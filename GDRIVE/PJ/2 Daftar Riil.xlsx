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mpan\Infokom\2026\PTJ\"/>
    </mc:Choice>
  </mc:AlternateContent>
  <xr:revisionPtr revIDLastSave="0" documentId="13_ncr:1_{44FAEEC6-1AC6-40F0-8F44-9664C52930B9}" xr6:coauthVersionLast="47" xr6:coauthVersionMax="47" xr10:uidLastSave="{00000000-0000-0000-0000-000000000000}"/>
  <bookViews>
    <workbookView xWindow="14295" yWindow="0" windowWidth="14610" windowHeight="15585" firstSheet="3" activeTab="7" xr2:uid="{00000000-000D-0000-FFFF-FFFF00000000}"/>
  </bookViews>
  <sheets>
    <sheet name="Pasar Simpang Katis" sheetId="213" r:id="rId1"/>
    <sheet name="Pengawalan PJAS" sheetId="199" r:id="rId2"/>
    <sheet name="Mangrove" sheetId="198" r:id="rId3"/>
    <sheet name="Kosong" sheetId="173" r:id="rId4"/>
    <sheet name="PJAS" sheetId="197" r:id="rId5"/>
    <sheet name="Nama Dafriil (2)" sheetId="161" r:id="rId6"/>
    <sheet name="Fasilitasi" sheetId="180" state="hidden" r:id="rId7"/>
    <sheet name="Juni." sheetId="214" r:id="rId8"/>
    <sheet name="Pasar" sheetId="196" r:id="rId9"/>
    <sheet name="lama" sheetId="192" r:id="rId10"/>
    <sheet name="Feb 2026" sheetId="211" r:id="rId11"/>
    <sheet name="OKt" sheetId="191" state="hidden" r:id="rId12"/>
    <sheet name="Sep" sheetId="190" state="hidden" r:id="rId13"/>
    <sheet name="Agust" sheetId="189" state="hidden" r:id="rId14"/>
    <sheet name="Juli" sheetId="188" state="hidden" r:id="rId15"/>
    <sheet name="Juni" sheetId="187" state="hidden" r:id="rId16"/>
    <sheet name="MEi" sheetId="186" state="hidden" r:id="rId17"/>
    <sheet name="Mar-Apr" sheetId="185" state="hidden" r:id="rId18"/>
    <sheet name="Feb" sheetId="184" state="hidden" r:id="rId19"/>
    <sheet name="Jan" sheetId="183" state="hidden" r:id="rId20"/>
    <sheet name="CPNS" sheetId="164" state="hidden" r:id="rId21"/>
  </sheets>
  <externalReferences>
    <externalReference r:id="rId22"/>
  </externalReferences>
  <definedNames>
    <definedName name="_xlnm.Print_Area" localSheetId="13">Agust!$A$1030:$L$1068</definedName>
    <definedName name="_xlnm.Print_Area" localSheetId="20">CPNS!$A$1:$L$118</definedName>
    <definedName name="_xlnm.Print_Area" localSheetId="6">Fasilitasi!$A$248:$L$290</definedName>
    <definedName name="_xlnm.Print_Area" localSheetId="18">Feb!$A$485:$L$525</definedName>
    <definedName name="_xlnm.Print_Area" localSheetId="10">'Feb 2026'!$A$1:$L$41</definedName>
    <definedName name="_xlnm.Print_Area" localSheetId="19">Jan!$A$2:$L$43</definedName>
    <definedName name="_xlnm.Print_Area" localSheetId="14">Juli!$A$212:$L$250</definedName>
    <definedName name="_xlnm.Print_Area" localSheetId="15">Juni!$A$1180:$L$1218</definedName>
    <definedName name="_xlnm.Print_Area" localSheetId="7">Juni.!$A$1:$L$41</definedName>
    <definedName name="_xlnm.Print_Area" localSheetId="3">Kosong!$A$1:$L$43</definedName>
    <definedName name="_xlnm.Print_Area" localSheetId="9">lama!$A$5060:$L$5098</definedName>
    <definedName name="_xlnm.Print_Area" localSheetId="2">Mangrove!$A$381:$L$419</definedName>
    <definedName name="_xlnm.Print_Area" localSheetId="17">'Mar-Apr'!$A$1797:$L$1837</definedName>
    <definedName name="_xlnm.Print_Area" localSheetId="16">MEi!$A$648:$L$689</definedName>
    <definedName name="_xlnm.Print_Area" localSheetId="5">'Nama Dafriil (2)'!#REF!</definedName>
    <definedName name="_xlnm.Print_Area" localSheetId="11">OKt!$A$2591:$L$2627</definedName>
    <definedName name="_xlnm.Print_Area" localSheetId="8">Pasar!$A$692:$L$731</definedName>
    <definedName name="_xlnm.Print_Area" localSheetId="0">'Pasar Simpang Katis'!$A$1:$L$41</definedName>
    <definedName name="_xlnm.Print_Area" localSheetId="1">'Pengawalan PJAS'!#REF!</definedName>
    <definedName name="_xlnm.Print_Area" localSheetId="4">PJAS!$A$90:$L$128</definedName>
    <definedName name="_xlnm.Print_Area" localSheetId="12">Sep!$A$1983:$L$2021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4" i="214" l="1"/>
  <c r="H913" i="214"/>
  <c r="I898" i="214"/>
  <c r="H785" i="214"/>
  <c r="H691" i="214"/>
  <c r="H738" i="214"/>
  <c r="H868" i="214"/>
  <c r="I853" i="214"/>
  <c r="H827" i="214"/>
  <c r="I812" i="214"/>
  <c r="H784" i="214"/>
  <c r="I769" i="214"/>
  <c r="H737" i="214"/>
  <c r="I722" i="214"/>
  <c r="H690" i="214"/>
  <c r="I675" i="214"/>
  <c r="H647" i="214"/>
  <c r="I632" i="214"/>
  <c r="H604" i="214"/>
  <c r="I589" i="214"/>
  <c r="H561" i="214"/>
  <c r="I546" i="214"/>
  <c r="H518" i="214"/>
  <c r="I503" i="214"/>
  <c r="H475" i="214"/>
  <c r="I460" i="214"/>
  <c r="H433" i="214"/>
  <c r="I418" i="214"/>
  <c r="H390" i="214"/>
  <c r="I375" i="214"/>
  <c r="H348" i="214"/>
  <c r="I333" i="214"/>
  <c r="H305" i="214"/>
  <c r="I290" i="214"/>
  <c r="H262" i="214"/>
  <c r="I247" i="214"/>
  <c r="H218" i="214"/>
  <c r="I203" i="214"/>
  <c r="H175" i="214"/>
  <c r="I160" i="214"/>
  <c r="H132" i="214"/>
  <c r="I117" i="214"/>
  <c r="H87" i="214"/>
  <c r="I72" i="214"/>
  <c r="H38" i="214"/>
  <c r="I23" i="214"/>
  <c r="H175" i="213"/>
  <c r="I160" i="213"/>
  <c r="H132" i="213"/>
  <c r="I117" i="213"/>
  <c r="H87" i="213"/>
  <c r="I72" i="213"/>
  <c r="H38" i="213"/>
  <c r="I23" i="213"/>
  <c r="H175" i="211"/>
  <c r="I160" i="211"/>
  <c r="H132" i="211"/>
  <c r="I117" i="211"/>
  <c r="H87" i="211"/>
  <c r="I72" i="211"/>
  <c r="H38" i="211"/>
  <c r="I23" i="211"/>
  <c r="I715" i="196" l="1"/>
  <c r="I671" i="196"/>
  <c r="I628" i="196"/>
  <c r="I585" i="196" l="1"/>
  <c r="U557" i="196"/>
  <c r="V542" i="196"/>
  <c r="H557" i="196"/>
  <c r="I542" i="196"/>
  <c r="U513" i="196"/>
  <c r="V498" i="196"/>
  <c r="H513" i="196"/>
  <c r="I498" i="196"/>
  <c r="I454" i="196"/>
  <c r="W166" i="199" l="1"/>
  <c r="X151" i="199"/>
  <c r="H166" i="199"/>
  <c r="I151" i="199"/>
  <c r="W123" i="199"/>
  <c r="X108" i="199"/>
  <c r="H123" i="199"/>
  <c r="I108" i="199"/>
  <c r="W81" i="199"/>
  <c r="X66" i="199"/>
  <c r="H81" i="199"/>
  <c r="I66" i="199"/>
  <c r="W40" i="199"/>
  <c r="X25" i="199"/>
  <c r="H40" i="199"/>
  <c r="I25" i="199"/>
  <c r="D393" i="198"/>
  <c r="H417" i="198" s="1"/>
  <c r="I403" i="198"/>
  <c r="D352" i="198"/>
  <c r="H376" i="198" s="1"/>
  <c r="I362" i="198"/>
  <c r="D312" i="198"/>
  <c r="H336" i="198" s="1"/>
  <c r="I322" i="198"/>
  <c r="D271" i="198"/>
  <c r="H295" i="198" s="1"/>
  <c r="I281" i="198"/>
  <c r="H254" i="198"/>
  <c r="I239" i="198"/>
  <c r="U237" i="198"/>
  <c r="U239" i="198" s="1"/>
  <c r="H211" i="198"/>
  <c r="I196" i="198"/>
  <c r="H170" i="198"/>
  <c r="I155" i="198"/>
  <c r="H127" i="198"/>
  <c r="I112" i="198"/>
  <c r="H83" i="198"/>
  <c r="I68" i="198"/>
  <c r="H40" i="198"/>
  <c r="I25" i="198"/>
  <c r="I411" i="196"/>
  <c r="H41" i="173"/>
  <c r="H295" i="197" l="1"/>
  <c r="I281" i="197"/>
  <c r="I365" i="196"/>
  <c r="H337" i="196"/>
  <c r="I322" i="196"/>
  <c r="T295" i="196"/>
  <c r="U280" i="196"/>
  <c r="H295" i="196"/>
  <c r="I280" i="196" l="1"/>
  <c r="H127" i="197" l="1"/>
  <c r="I112" i="197"/>
  <c r="H83" i="197"/>
  <c r="I68" i="197"/>
  <c r="H254" i="197"/>
  <c r="I239" i="197"/>
  <c r="U237" i="197"/>
  <c r="U239" i="197" s="1"/>
  <c r="H211" i="197"/>
  <c r="I196" i="197"/>
  <c r="H170" i="197"/>
  <c r="I155" i="197"/>
  <c r="H40" i="197"/>
  <c r="I25" i="197"/>
  <c r="H254" i="196" l="1"/>
  <c r="U239" i="196"/>
  <c r="I239" i="196"/>
  <c r="H211" i="196"/>
  <c r="I196" i="196"/>
  <c r="H170" i="196"/>
  <c r="I155" i="196"/>
  <c r="H127" i="196"/>
  <c r="I112" i="196"/>
  <c r="H83" i="196"/>
  <c r="I68" i="196"/>
  <c r="H40" i="196"/>
  <c r="I25" i="196"/>
  <c r="I5124" i="192" l="1"/>
  <c r="I5126" i="192" s="1"/>
  <c r="I5082" i="192" l="1"/>
  <c r="I5039" i="192"/>
  <c r="I4996" i="192"/>
  <c r="I4953" i="192"/>
  <c r="I4910" i="192"/>
  <c r="I4867" i="192"/>
  <c r="I4822" i="192"/>
  <c r="I4782" i="192" l="1"/>
  <c r="I4740" i="192"/>
  <c r="I4694" i="192"/>
  <c r="I4651" i="192"/>
  <c r="I4608" i="192"/>
  <c r="I4565" i="192"/>
  <c r="I4522" i="192"/>
  <c r="I4476" i="192"/>
  <c r="I4433" i="192"/>
  <c r="I4392" i="192"/>
  <c r="I4350" i="192"/>
  <c r="I4307" i="192"/>
  <c r="I4264" i="192"/>
  <c r="I4219" i="192"/>
  <c r="I4221" i="192" s="1"/>
  <c r="I4177" i="192"/>
  <c r="I4179" i="192" s="1"/>
  <c r="I4135" i="192"/>
  <c r="I4137" i="192" s="1"/>
  <c r="I4091" i="192"/>
  <c r="I4093" i="192" s="1"/>
  <c r="I4047" i="192"/>
  <c r="I4049" i="192" s="1"/>
  <c r="I4003" i="192"/>
  <c r="I4005" i="192" s="1"/>
  <c r="I3960" i="192"/>
  <c r="I3962" i="192" s="1"/>
  <c r="I3917" i="192"/>
  <c r="I3919" i="192" s="1"/>
  <c r="I3867" i="192"/>
  <c r="I3869" i="192" s="1"/>
  <c r="I3738" i="192"/>
  <c r="I3824" i="192"/>
  <c r="I3781" i="192"/>
  <c r="I3697" i="192"/>
  <c r="H3712" i="192"/>
  <c r="I3654" i="192"/>
  <c r="I3611" i="192"/>
  <c r="I3567" i="192"/>
  <c r="I3525" i="192"/>
  <c r="I3039" i="192"/>
  <c r="H3095" i="192"/>
  <c r="I3080" i="192"/>
  <c r="I2998" i="192"/>
  <c r="I2957" i="192"/>
  <c r="I2915" i="192"/>
  <c r="H2888" i="192"/>
  <c r="I2873" i="192"/>
  <c r="I2824" i="192"/>
  <c r="I2783" i="192"/>
  <c r="I2731" i="192" l="1"/>
  <c r="I2689" i="192"/>
  <c r="I2632" i="192"/>
  <c r="I2584" i="192"/>
  <c r="I2542" i="192"/>
  <c r="I2496" i="192"/>
  <c r="I2456" i="192"/>
  <c r="I2406" i="192"/>
  <c r="I2345" i="192"/>
  <c r="I2302" i="192"/>
  <c r="I2260" i="192"/>
  <c r="I2174" i="192"/>
  <c r="H2232" i="192"/>
  <c r="I2217" i="192"/>
  <c r="H2189" i="192"/>
  <c r="I2131" i="192"/>
  <c r="I2088" i="192"/>
  <c r="H2057" i="192"/>
  <c r="I2042" i="192"/>
  <c r="H2014" i="192"/>
  <c r="I1999" i="192"/>
  <c r="I1957" i="192"/>
  <c r="I1916" i="192"/>
  <c r="I1875" i="192"/>
  <c r="I1830" i="192"/>
  <c r="I1832" i="192" s="1"/>
  <c r="I1787" i="192"/>
  <c r="I1745" i="192"/>
  <c r="I1704" i="192"/>
  <c r="I1661" i="192"/>
  <c r="I1620" i="192"/>
  <c r="I1578" i="192"/>
  <c r="H1546" i="192"/>
  <c r="I1531" i="192"/>
  <c r="I1489" i="192"/>
  <c r="I1432" i="192"/>
  <c r="I1331" i="192"/>
  <c r="I1333" i="192" s="1"/>
  <c r="I1275" i="192"/>
  <c r="I1148" i="192"/>
  <c r="I1189" i="192"/>
  <c r="I1231" i="192"/>
  <c r="H1111" i="192"/>
  <c r="I1096" i="192"/>
  <c r="I1055" i="192"/>
  <c r="I1012" i="192"/>
  <c r="I970" i="192"/>
  <c r="I925" i="192"/>
  <c r="I927" i="192" s="1"/>
  <c r="I887" i="192"/>
  <c r="I845" i="192"/>
  <c r="I716" i="192"/>
  <c r="I805" i="192"/>
  <c r="I761" i="192"/>
  <c r="I500" i="192"/>
  <c r="H731" i="192"/>
  <c r="I672" i="192"/>
  <c r="I630" i="192"/>
  <c r="I586" i="192"/>
  <c r="I543" i="192"/>
  <c r="I459" i="192"/>
  <c r="I413" i="192"/>
  <c r="I415" i="192" s="1"/>
  <c r="I370" i="192"/>
  <c r="I373" i="192" s="1"/>
  <c r="I1384" i="192" l="1"/>
  <c r="I155" i="192"/>
  <c r="I113" i="192"/>
  <c r="I71" i="192"/>
  <c r="I2728" i="191"/>
  <c r="I2730" i="191" s="1"/>
  <c r="I2689" i="191"/>
  <c r="I2691" i="191" s="1"/>
  <c r="I2612" i="191"/>
  <c r="I2614" i="191" s="1"/>
  <c r="I2652" i="191"/>
  <c r="I2654" i="191" s="1"/>
  <c r="U2568" i="191"/>
  <c r="U2525" i="191"/>
  <c r="U2432" i="191"/>
  <c r="U2435" i="191" s="1"/>
  <c r="U2475" i="191"/>
  <c r="U2478" i="191" s="1"/>
  <c r="I2478" i="191"/>
  <c r="I2571" i="191"/>
  <c r="I2528" i="191"/>
  <c r="I2435" i="191"/>
  <c r="I2390" i="191"/>
  <c r="I2347" i="191"/>
  <c r="I2256" i="191"/>
  <c r="H2230" i="191"/>
  <c r="I2215" i="191"/>
  <c r="H2189" i="191"/>
  <c r="I2174" i="191"/>
  <c r="H2148" i="191"/>
  <c r="I2133" i="191"/>
  <c r="H2104" i="191"/>
  <c r="I2091" i="191"/>
  <c r="I2051" i="191"/>
  <c r="H2025" i="191"/>
  <c r="I2010" i="191"/>
  <c r="I1966" i="191"/>
  <c r="U2571" i="191" l="1"/>
  <c r="U2528" i="191"/>
  <c r="I1924" i="191"/>
  <c r="I1881" i="191"/>
  <c r="I1790" i="191"/>
  <c r="I1652" i="191"/>
  <c r="I1610" i="191"/>
  <c r="I1567" i="191"/>
  <c r="H1540" i="191"/>
  <c r="I1525" i="191"/>
  <c r="H1499" i="191"/>
  <c r="I1484" i="191"/>
  <c r="I1441" i="191"/>
  <c r="I1399" i="191"/>
  <c r="I1357" i="191"/>
  <c r="I1316" i="191"/>
  <c r="I1273" i="191"/>
  <c r="I1230" i="191"/>
  <c r="I1092" i="191"/>
  <c r="I1050" i="191"/>
  <c r="I1007" i="191"/>
  <c r="I953" i="191"/>
  <c r="I912" i="191"/>
  <c r="I550" i="191"/>
  <c r="I551" i="191" s="1"/>
  <c r="I784" i="191"/>
  <c r="I785" i="191" s="1"/>
  <c r="I737" i="191"/>
  <c r="I738" i="191" s="1"/>
  <c r="I867" i="191"/>
  <c r="I825" i="191"/>
  <c r="I695" i="191" l="1"/>
  <c r="I651" i="191"/>
  <c r="H617" i="191"/>
  <c r="I602" i="191"/>
  <c r="H523" i="191"/>
  <c r="I508" i="191"/>
  <c r="H478" i="191"/>
  <c r="I463" i="191"/>
  <c r="H433" i="191"/>
  <c r="I418" i="191"/>
  <c r="I366" i="191"/>
  <c r="I325" i="191"/>
  <c r="H298" i="191"/>
  <c r="I283" i="191"/>
  <c r="I240" i="191"/>
  <c r="I198" i="191"/>
  <c r="I155" i="191"/>
  <c r="I110" i="191"/>
  <c r="I68" i="191"/>
  <c r="I25" i="191"/>
  <c r="H2060" i="190"/>
  <c r="I2045" i="190"/>
  <c r="I2005" i="190"/>
  <c r="I1962" i="190"/>
  <c r="I1920" i="190"/>
  <c r="I1878" i="190"/>
  <c r="I1833" i="190"/>
  <c r="I1789" i="190"/>
  <c r="I1747" i="190"/>
  <c r="I1705" i="190"/>
  <c r="I1660" i="190"/>
  <c r="I1616" i="190"/>
  <c r="I1299" i="190"/>
  <c r="I1301" i="190" s="1"/>
  <c r="I1571" i="190"/>
  <c r="I1573" i="190" s="1"/>
  <c r="I1527" i="190"/>
  <c r="I1529" i="190" s="1"/>
  <c r="I1484" i="190"/>
  <c r="I1486" i="190" s="1"/>
  <c r="I1438" i="190"/>
  <c r="I1440" i="190" s="1"/>
  <c r="I1388" i="190"/>
  <c r="I1390" i="190" s="1"/>
  <c r="I1343" i="190"/>
  <c r="I1345" i="190" s="1"/>
  <c r="I1256" i="190"/>
  <c r="I1258" i="190" s="1"/>
  <c r="I1210" i="190"/>
  <c r="I1212" i="190" s="1"/>
  <c r="I1078" i="190"/>
  <c r="I1080" i="190" s="1"/>
  <c r="I1167" i="190"/>
  <c r="I1169" i="190" s="1"/>
  <c r="I1124" i="190"/>
  <c r="I1126" i="190" s="1"/>
  <c r="I1033" i="190"/>
  <c r="I1035" i="190" s="1"/>
  <c r="I992" i="190"/>
  <c r="I949" i="190"/>
  <c r="I906" i="190"/>
  <c r="I861" i="190"/>
  <c r="I819" i="190"/>
  <c r="I774" i="190"/>
  <c r="I729" i="190"/>
  <c r="I1096" i="189"/>
  <c r="I1052" i="189"/>
  <c r="I1010" i="189"/>
  <c r="I686" i="190"/>
  <c r="I644" i="190"/>
  <c r="I962" i="189"/>
  <c r="I919" i="189"/>
  <c r="I602" i="190"/>
  <c r="I557" i="190"/>
  <c r="I461" i="190"/>
  <c r="I416" i="190"/>
  <c r="I506" i="190"/>
  <c r="I374" i="190"/>
  <c r="I243" i="190"/>
  <c r="I245" i="190" s="1"/>
  <c r="I331" i="190"/>
  <c r="I332" i="190" s="1"/>
  <c r="I289" i="190"/>
  <c r="I290" i="190"/>
  <c r="I198" i="190"/>
  <c r="I200" i="190" s="1"/>
  <c r="I156" i="190"/>
  <c r="I114" i="190"/>
  <c r="I69" i="190"/>
  <c r="I25" i="190"/>
  <c r="I703" i="189"/>
  <c r="I744" i="189"/>
  <c r="I785" i="189"/>
  <c r="I829" i="189"/>
  <c r="I874" i="189"/>
  <c r="I652" i="189"/>
  <c r="I608" i="189"/>
  <c r="I563" i="189"/>
  <c r="I519" i="189"/>
  <c r="I478" i="189"/>
  <c r="I437" i="189"/>
  <c r="I388" i="189"/>
  <c r="I346" i="189"/>
  <c r="I296" i="189"/>
  <c r="I252" i="189"/>
  <c r="I211" i="189"/>
  <c r="I153" i="189"/>
  <c r="I111" i="189"/>
  <c r="I67" i="189"/>
  <c r="I25" i="189"/>
  <c r="I364" i="188"/>
  <c r="I366" i="188" s="1"/>
  <c r="I319" i="188"/>
  <c r="I321" i="188" s="1"/>
  <c r="I234" i="188"/>
  <c r="I276" i="188"/>
  <c r="I193" i="188"/>
  <c r="I152" i="188"/>
  <c r="I110" i="188"/>
  <c r="I66" i="188"/>
  <c r="I23" i="188"/>
  <c r="I1245" i="187"/>
  <c r="I1202" i="187"/>
  <c r="I1137" i="187"/>
  <c r="I1097" i="187"/>
  <c r="I1054" i="187"/>
  <c r="I1008" i="187"/>
  <c r="I1010" i="187" s="1"/>
  <c r="I965" i="187"/>
  <c r="I967" i="187" s="1"/>
  <c r="H939" i="187"/>
  <c r="I924" i="187"/>
  <c r="I878" i="187"/>
  <c r="I836" i="187"/>
  <c r="I786" i="187"/>
  <c r="I743" i="187"/>
  <c r="I699" i="187"/>
  <c r="I555" i="187"/>
  <c r="I557" i="187" s="1"/>
  <c r="I601" i="187"/>
  <c r="I645" i="187"/>
  <c r="I647" i="187" s="1"/>
  <c r="I513" i="187"/>
  <c r="I515" i="187" s="1"/>
  <c r="I468" i="187"/>
  <c r="I470" i="187" s="1"/>
  <c r="I425" i="187"/>
  <c r="I427" i="187" s="1"/>
  <c r="I380" i="187"/>
  <c r="I382" i="187" s="1"/>
  <c r="I336" i="187"/>
  <c r="I338" i="187" s="1"/>
  <c r="I292" i="187"/>
  <c r="I294" i="187" s="1"/>
  <c r="I246" i="187"/>
  <c r="I249" i="187" s="1"/>
  <c r="I202" i="187"/>
  <c r="I205" i="187" s="1"/>
  <c r="I160" i="187"/>
  <c r="I163" i="187" s="1"/>
  <c r="I118" i="187"/>
  <c r="I72" i="187"/>
  <c r="I27" i="187"/>
  <c r="I670" i="186"/>
  <c r="I625" i="186"/>
  <c r="I578" i="186"/>
  <c r="I581" i="186" s="1"/>
  <c r="I671" i="186"/>
  <c r="I383" i="186"/>
  <c r="I386" i="186" s="1"/>
  <c r="I333" i="186"/>
  <c r="I336" i="186" s="1"/>
  <c r="I283" i="186"/>
  <c r="I286" i="186" s="1"/>
  <c r="I535" i="186"/>
  <c r="I489" i="186"/>
  <c r="I431" i="186"/>
  <c r="I229" i="186"/>
  <c r="I183" i="186"/>
  <c r="I139" i="186"/>
  <c r="I75" i="186"/>
  <c r="I27" i="186"/>
  <c r="I1861" i="185"/>
  <c r="I1864" i="185" s="1"/>
  <c r="I1818" i="185"/>
  <c r="I1821" i="185" s="1"/>
  <c r="H1836" i="185"/>
  <c r="I1770" i="185"/>
  <c r="I1774" i="185" s="1"/>
  <c r="I1724" i="185"/>
  <c r="I1728" i="185" s="1"/>
  <c r="H1789" i="185"/>
  <c r="I1682" i="185"/>
  <c r="I1635" i="185"/>
  <c r="I1592" i="185"/>
  <c r="I1548" i="185"/>
  <c r="I1503" i="185"/>
  <c r="I1453" i="185"/>
  <c r="I1456" i="185" s="1"/>
  <c r="I1408" i="185"/>
  <c r="I1411" i="185" s="1"/>
  <c r="I1321" i="185"/>
  <c r="I1324" i="185" s="1"/>
  <c r="I1232" i="185"/>
  <c r="I1235" i="185" s="1"/>
  <c r="I1277" i="185"/>
  <c r="I1280" i="185" s="1"/>
  <c r="I1364" i="185"/>
  <c r="I1367" i="185" s="1"/>
  <c r="I1189" i="185"/>
  <c r="H1158" i="185"/>
  <c r="I1143" i="185"/>
  <c r="I1098" i="185"/>
  <c r="I1053" i="185"/>
  <c r="I1006" i="185"/>
  <c r="I963" i="185"/>
  <c r="I912" i="185"/>
  <c r="I861" i="185"/>
  <c r="I817" i="185"/>
  <c r="I772" i="185"/>
  <c r="I728" i="185"/>
  <c r="I678" i="185"/>
  <c r="I681" i="185" s="1"/>
  <c r="I634" i="185"/>
  <c r="I589" i="185"/>
  <c r="I538" i="185"/>
  <c r="I494" i="185"/>
  <c r="I447" i="185"/>
  <c r="I403" i="185"/>
  <c r="I356" i="185"/>
  <c r="I312" i="185"/>
  <c r="I259" i="185"/>
  <c r="I215" i="185"/>
  <c r="I169" i="185"/>
  <c r="I123" i="185"/>
  <c r="I75" i="185"/>
  <c r="I27" i="185"/>
  <c r="H626" i="184"/>
  <c r="I611" i="184"/>
  <c r="I562" i="184"/>
  <c r="I509" i="184"/>
  <c r="I467" i="184"/>
  <c r="I420" i="184"/>
  <c r="I376" i="184"/>
  <c r="I24" i="184"/>
  <c r="I27" i="184" s="1"/>
  <c r="I71" i="184"/>
  <c r="I73" i="184" s="1"/>
  <c r="I118" i="184"/>
  <c r="I120" i="184" s="1"/>
  <c r="I166" i="184"/>
  <c r="I168" i="184" s="1"/>
  <c r="I312" i="184"/>
  <c r="I265" i="184"/>
  <c r="I221" i="184"/>
  <c r="I122" i="183"/>
  <c r="I74" i="183"/>
  <c r="I26" i="183"/>
  <c r="I268" i="180"/>
  <c r="I274" i="180" s="1"/>
  <c r="H289" i="180"/>
  <c r="I218" i="180"/>
  <c r="I224" i="180" s="1"/>
  <c r="H239" i="180"/>
  <c r="H189" i="180"/>
  <c r="I168" i="180"/>
  <c r="I174" i="180" s="1"/>
  <c r="H143" i="180"/>
  <c r="I122" i="180"/>
  <c r="I128" i="180" s="1"/>
  <c r="H93" i="180"/>
  <c r="I72" i="180"/>
  <c r="I78" i="180" s="1"/>
  <c r="H43" i="180"/>
  <c r="I22" i="180"/>
  <c r="I28" i="180" s="1"/>
  <c r="H372" i="164"/>
  <c r="H371" i="164"/>
  <c r="I356" i="164"/>
  <c r="I310" i="164"/>
  <c r="H326" i="164"/>
  <c r="H325" i="164"/>
  <c r="H279" i="164"/>
  <c r="H278" i="164"/>
  <c r="I259" i="164"/>
  <c r="I263" i="164" s="1"/>
  <c r="H232" i="164"/>
  <c r="H231" i="164"/>
  <c r="I212" i="164"/>
  <c r="I216" i="164" s="1"/>
  <c r="H182" i="164"/>
  <c r="H181" i="164"/>
  <c r="I162" i="164"/>
  <c r="I166" i="164" s="1"/>
  <c r="H135" i="164"/>
  <c r="H134" i="164"/>
  <c r="I115" i="164"/>
  <c r="I119" i="164" s="1"/>
  <c r="H89" i="164"/>
  <c r="H88" i="164"/>
  <c r="I69" i="164"/>
  <c r="I73" i="164" s="1"/>
  <c r="H42" i="164"/>
  <c r="H41" i="164"/>
  <c r="I22" i="164"/>
  <c r="I26" i="164" s="1"/>
  <c r="I673" i="186" l="1"/>
</calcChain>
</file>

<file path=xl/sharedStrings.xml><?xml version="1.0" encoding="utf-8"?>
<sst xmlns="http://schemas.openxmlformats.org/spreadsheetml/2006/main" count="16749" uniqueCount="711">
  <si>
    <t>1.</t>
  </si>
  <si>
    <t>:</t>
  </si>
  <si>
    <t>2.</t>
  </si>
  <si>
    <t>NO</t>
  </si>
  <si>
    <t>U R A I A N</t>
  </si>
  <si>
    <t>Jumlah</t>
  </si>
  <si>
    <t>DAFTAR PENGELUARAN RIIL</t>
  </si>
  <si>
    <t>Yang bertanda tangan dibawah ini</t>
  </si>
  <si>
    <t>N a m a</t>
  </si>
  <si>
    <t>N I P</t>
  </si>
  <si>
    <t>Jabatan</t>
  </si>
  <si>
    <t>Jumlah uang tersebut pada angka 1 diatas benar-benar dikeluarkan untuk pelaksanaan perjalanan dinas dimaksud dan apabila dikemudian hari terdapat kelebihan atas pembayaran , kami bersedia untuk menyetorkan kelebihan tersebut ke Kas Negara.</t>
  </si>
  <si>
    <t>Demikian pernyataan ini kami buat dengan sebenarnya, untuk dipergunakan sebagaimana mestinya</t>
  </si>
  <si>
    <t xml:space="preserve">Pejabat Negara /Pegawai Negeri yang </t>
  </si>
  <si>
    <t>melakukan Perjalanan Dinas</t>
  </si>
  <si>
    <t>Mengetahui/ Menyetujui</t>
  </si>
  <si>
    <t>1</t>
  </si>
  <si>
    <t>Keterangan</t>
  </si>
  <si>
    <t>Pejabat Pembuat Komitmen</t>
  </si>
  <si>
    <t>Drs. Elieser Silaen, Apt</t>
  </si>
  <si>
    <t>BALAI PENGAWAS OBAT DAN MAKANAN</t>
  </si>
  <si>
    <t>DI PANGKALPINANG</t>
  </si>
  <si>
    <t>BADAN POM RI</t>
  </si>
  <si>
    <t>NIP. 198408072007121001</t>
  </si>
  <si>
    <t>NIP. 196107061995031001</t>
  </si>
  <si>
    <t>Iswadi, S.Farm,Apt</t>
  </si>
  <si>
    <t>NIP. 197910102006041004</t>
  </si>
  <si>
    <t>NIP. 198405282007121001</t>
  </si>
  <si>
    <t>Staf Balai POM Pangkalpinang</t>
  </si>
  <si>
    <t>NIP. 198107282006041006</t>
  </si>
  <si>
    <t>NIP. 198405232008122001</t>
  </si>
  <si>
    <t>NIP. 198703152008122002</t>
  </si>
  <si>
    <t>NIP. 198703202008122003</t>
  </si>
  <si>
    <t>Ria Emeilia, S.Farm, Apt</t>
  </si>
  <si>
    <t>NIP. 198410282007122001</t>
  </si>
  <si>
    <t>NIP. 198510222008122002</t>
  </si>
  <si>
    <t>Indita Tiara Puspa, A.Md</t>
  </si>
  <si>
    <t>NIP. 198301262008122001</t>
  </si>
  <si>
    <t>Desy Anindyasari , A.Md</t>
  </si>
  <si>
    <t>NIP. 198512022008122002</t>
  </si>
  <si>
    <t>Anita Indriyastuti, A.Md</t>
  </si>
  <si>
    <t>Deri Rita , A.Md</t>
  </si>
  <si>
    <t>NIP. 198406272008122002</t>
  </si>
  <si>
    <t>Sony Lawrensia, S.Farm, Apt</t>
  </si>
  <si>
    <t>NIP. 19840704 200912 2 002</t>
  </si>
  <si>
    <t>NIP. 19840902 200912 2 002</t>
  </si>
  <si>
    <t>NIP. 19861002 200912 2 002</t>
  </si>
  <si>
    <t>Welinda Syafri, S.Farm, Apt</t>
  </si>
  <si>
    <t>NIP. 19840111 200912 2 003</t>
  </si>
  <si>
    <t>Hayatil Khairy Yarza, S.Si.</t>
  </si>
  <si>
    <t>NIP. 19860117 200912 2 003</t>
  </si>
  <si>
    <t>Silvia Anggraini, S.Farm, Apt</t>
  </si>
  <si>
    <t>NIP. 19850901 200812 2 001</t>
  </si>
  <si>
    <t>NIP. 19850511 200912 1 001</t>
  </si>
  <si>
    <t>Sri Wardhani Primaatmi, S.Farm, Apt</t>
  </si>
  <si>
    <t>NIP. 19810310 200604 2 002</t>
  </si>
  <si>
    <t>Fitri Yulianti, S.Farm, Apt</t>
  </si>
  <si>
    <t>NIP. 19840701 201012 2 002</t>
  </si>
  <si>
    <t>I l d a y a t i , A.Md</t>
  </si>
  <si>
    <t>NIP. 19860214 200912 2 004</t>
  </si>
  <si>
    <t>Dewi Rahmawati, S.Si.</t>
  </si>
  <si>
    <t>NIP. 19860413 200912 2 002</t>
  </si>
  <si>
    <t>Ririn Suprihanti, A.Md</t>
  </si>
  <si>
    <t>NIP. 19860505 200912 2 004</t>
  </si>
  <si>
    <t>Ika Kartika, A.Md.</t>
  </si>
  <si>
    <t>Gita Andesta Rini , A.Md</t>
  </si>
  <si>
    <t>NIP. 19861211 200912 2 003</t>
  </si>
  <si>
    <t>Muhammad Apriadi, A.Md</t>
  </si>
  <si>
    <t>NIP. 19870428 200912 1 001</t>
  </si>
  <si>
    <t>Riantika Kurniati, A.Md</t>
  </si>
  <si>
    <t>NIP. 19850318 201012 2 004</t>
  </si>
  <si>
    <t>Terry Yessi Evelin Sembiring, S.H.</t>
  </si>
  <si>
    <t>NIP. 19880114 201012 1 002</t>
  </si>
  <si>
    <t>Rizky Prie Affianto</t>
  </si>
  <si>
    <t>-</t>
  </si>
  <si>
    <t>Frans Eryxon Ambarita, A.Md</t>
  </si>
  <si>
    <t>Raden Rara Dyah  Antuni, S.Farm, Apt</t>
  </si>
  <si>
    <t>Andhika Achmad Sugiarto, S.Farm, Apt</t>
  </si>
  <si>
    <t>Lia Tri Wahyuni, A.Md</t>
  </si>
  <si>
    <t>NIP. 19880113 200812 2 001</t>
  </si>
  <si>
    <t>Kepala Sub Bagian Tata Usaha</t>
  </si>
  <si>
    <t>Kepala Balai POM di Pangkalpinang</t>
  </si>
  <si>
    <t>Nurhasanah, S. Farm., Apt</t>
  </si>
  <si>
    <t>Pratiwi Setianingsih, S. Farm., Apt</t>
  </si>
  <si>
    <t>19890206 201402 2 002</t>
  </si>
  <si>
    <t>Prawita Lintang Larasati, S. Farm., Apt</t>
  </si>
  <si>
    <t>Ester Junita Sinaga, S. Farm., Apt</t>
  </si>
  <si>
    <t>19880823 201402 2 002</t>
  </si>
  <si>
    <t>Singgih Prabowo Adi, S.Farm, Apt</t>
  </si>
  <si>
    <t>NIP. 19860610 201402 1 003</t>
  </si>
  <si>
    <t>NIP. 19900618 201402 2 003</t>
  </si>
  <si>
    <t>Biaya transport pegawai dan /atau biaya penginapan di bawah ini yang tidak dapat diperoleh bukti-bukti pengeluarannya, meliputi :</t>
  </si>
  <si>
    <t>Ronny Adha Wicaksono, S.Farm, Apt</t>
  </si>
  <si>
    <t>NIP. 19870805 201502 1 001</t>
  </si>
  <si>
    <t>Vidya Hanum Ayuningtyas, S.Si</t>
  </si>
  <si>
    <t>NIP. 19910904 201502 2 004</t>
  </si>
  <si>
    <t>Puspa Sari Paniti Ratri, S. Farm. Apt</t>
  </si>
  <si>
    <t>Frenandha Dwi Dharmawan, S.Si</t>
  </si>
  <si>
    <t>NIP. 19910202 201502 1 004</t>
  </si>
  <si>
    <t>NIP. 19891128 201402 2 003</t>
  </si>
  <si>
    <t>NIP. 19870123 201502 2 001</t>
  </si>
  <si>
    <t>Ni Made Ani Kusumadewi, A.Md</t>
  </si>
  <si>
    <t>NIP. 19920625 201502 2 001</t>
  </si>
  <si>
    <t>Ahmad Burhan Rifa'I, STP</t>
  </si>
  <si>
    <t>NIP. 19890517 201502 1 004</t>
  </si>
  <si>
    <t>NIP. 199209142015021001</t>
  </si>
  <si>
    <t>Siska, S.Si</t>
  </si>
  <si>
    <t>Ade Yan Emerson, S.Kom</t>
  </si>
  <si>
    <t>NIP.19710319 199903 1 002</t>
  </si>
  <si>
    <t>Tri Astuti Rahmawati, S.T.P.,M.Sc.</t>
  </si>
  <si>
    <t>Dedi Afriansyah, S.Kom</t>
  </si>
  <si>
    <t>Pelaksana Pengadministrasi Umum</t>
  </si>
  <si>
    <t>Donny Tua Hamonangan, SH</t>
  </si>
  <si>
    <t>Pelaksana Pengadministrasi Kegiatan</t>
  </si>
  <si>
    <t>Kepala Loka POM di Belitung</t>
  </si>
  <si>
    <t>NIP. 19880217 200912 2 003</t>
  </si>
  <si>
    <t>Kasie Pemeriksaan dan Penindakan</t>
  </si>
  <si>
    <t>Kasie Informasi dan Komunikasi</t>
  </si>
  <si>
    <t>Staf Loka  POM di Kab. Belitung</t>
  </si>
  <si>
    <t>Kasie Pengujian</t>
  </si>
  <si>
    <t>Hermanto, S.Si.,Apt.,MPPM</t>
  </si>
  <si>
    <t>Gilang Rimadini, S.Kom</t>
  </si>
  <si>
    <t>Administrasi Keuangan</t>
  </si>
  <si>
    <t>Lisa Andini, S.Kom</t>
  </si>
  <si>
    <t>Saziliani, A.Md</t>
  </si>
  <si>
    <t>Eny Susilowati, S.Gz</t>
  </si>
  <si>
    <t>Laboran PBM</t>
  </si>
  <si>
    <t>Atik Riwati, A.Md</t>
  </si>
  <si>
    <t>Laboran Teranokoko</t>
  </si>
  <si>
    <t>NIP. -</t>
  </si>
  <si>
    <t>TU</t>
  </si>
  <si>
    <t>PEMDAK</t>
  </si>
  <si>
    <t>PENGUJIAN</t>
  </si>
  <si>
    <t>INFOKOM</t>
  </si>
  <si>
    <t>Desi Nurmayanti, A.Md</t>
  </si>
  <si>
    <t>Administrasi Umum</t>
  </si>
  <si>
    <t>Pangkalpinang,      Maret 2019</t>
  </si>
  <si>
    <t>Taxi  Rumah - Bandara PKP PP</t>
  </si>
  <si>
    <t>Taxi Bandara Jakarta - Penginapan Jakarta PP</t>
  </si>
  <si>
    <t>Juliyardi, ST</t>
  </si>
  <si>
    <t>19860725 201903 1 002</t>
  </si>
  <si>
    <t>CPNS</t>
  </si>
  <si>
    <t>Berdasarkan Surat Perintah Perjalanan Dinas/Surat Tugas Tanggal 01 Maret  2019  Nomor : B-HK.07.03.97.03.19.110 dengan ini kami menyatakan dengan sesungguhnya bahwa :</t>
  </si>
  <si>
    <t>Fatrisia Ratnasari, S.E.</t>
  </si>
  <si>
    <t>NIP. 19960512 201903 2 007</t>
  </si>
  <si>
    <t>Taxi Rumah - Bandara Lampung</t>
  </si>
  <si>
    <t xml:space="preserve">Taxi  Bandara PKP  - Kantor </t>
  </si>
  <si>
    <t>Nungki Nuari Dewi, S.Si.</t>
  </si>
  <si>
    <t>NIP. 19960720 201903 2 003</t>
  </si>
  <si>
    <t>Fitri Afrilia, S.H.</t>
  </si>
  <si>
    <t>NIP. 19920404 201903 2 007</t>
  </si>
  <si>
    <t>Al Ihya Yunus Putri, A.Md.</t>
  </si>
  <si>
    <t>NIP.19951231 201903 2 005</t>
  </si>
  <si>
    <t>Taxi Rumah - Bandara Jambi</t>
  </si>
  <si>
    <t>Priya Tri Nanda, S.Si.</t>
  </si>
  <si>
    <t>NIP. 19950322 201903 1 004</t>
  </si>
  <si>
    <t>Bhella Rianti Febbyola, S.H.</t>
  </si>
  <si>
    <t>NIP. 19950201 201903 2 007</t>
  </si>
  <si>
    <t>Taxi Rumah - Bandara Palembang</t>
  </si>
  <si>
    <t>Rizki Afriyanti, ST</t>
  </si>
  <si>
    <t>NIP. 19970803 201903 2 001</t>
  </si>
  <si>
    <t>Veni Oktivia, S.E.</t>
  </si>
  <si>
    <t>NIP. 19931017 201903 2 004</t>
  </si>
  <si>
    <t>Taxi Rumah - Bandara Bengkulu</t>
  </si>
  <si>
    <t>Pancareta Qadarsih, S.E.</t>
  </si>
  <si>
    <t>NIP. 19950409 201903 2 007</t>
  </si>
  <si>
    <t>Taxi Rumah - Bandara Ygyakarta</t>
  </si>
  <si>
    <t>Megi Okta Rizki, S.H.</t>
  </si>
  <si>
    <t>NIP. 19921031 201903 1 003</t>
  </si>
  <si>
    <t>Lidya Sari Simanjuntak, SKM</t>
  </si>
  <si>
    <t>NIP. 19960229 201903 2 002</t>
  </si>
  <si>
    <t>Muhamad Toha, A.Md.</t>
  </si>
  <si>
    <t>NIP. 19950722 201903 1 002</t>
  </si>
  <si>
    <t>Taxi  Rumah - Bandara Jakarta PP</t>
  </si>
  <si>
    <t>Taxi Bandara PKP - Kantor PP</t>
  </si>
  <si>
    <t>Tito Dwi Christianto, S.TP.</t>
  </si>
  <si>
    <t>NIP. 19941228 201903 1 005</t>
  </si>
  <si>
    <t>Karlina Apria Nafri, S.Farm., Apt.</t>
  </si>
  <si>
    <t>NIP. 19930422 201903 2 003</t>
  </si>
  <si>
    <t>Wedita Destriani, S.Farm., Apt.</t>
  </si>
  <si>
    <t>NIP. 19940224 201903 2 007</t>
  </si>
  <si>
    <t>Hudana Alam Putra, S.Sos.</t>
  </si>
  <si>
    <t>NIP. 19960107 201903 1 003</t>
  </si>
  <si>
    <t>Prima Siska Damanik, S.Farm., Apt.</t>
  </si>
  <si>
    <t>NIP. 19920429 201903 2 007</t>
  </si>
  <si>
    <t>Fanny Roselia, S.Farm., Apt.</t>
  </si>
  <si>
    <t>NIP. 19930601 201903 2 005</t>
  </si>
  <si>
    <t>Muhammad Herpi Akbar, S.Farm, Apt</t>
  </si>
  <si>
    <t>NIP. 19931113 201903 1 002</t>
  </si>
  <si>
    <t xml:space="preserve">Taxi  Bandung - Bandara Jakarta </t>
  </si>
  <si>
    <t>Alda Linanda, S.Si.</t>
  </si>
  <si>
    <t>NIP. 19950105 201903 2 005</t>
  </si>
  <si>
    <t>Atika Melati, S.Farm., Apt.</t>
  </si>
  <si>
    <t>NIP. 19941110 201903 2 006</t>
  </si>
  <si>
    <t>Kafidul Ulum, S.TP.</t>
  </si>
  <si>
    <t>19920517 201903 1 007</t>
  </si>
  <si>
    <t>Dita Yustine Windaningrum, S.Si.</t>
  </si>
  <si>
    <t>NIP. 19921215 201903 2 005</t>
  </si>
  <si>
    <t>Marruni Zariah, S. Farm.,Apt</t>
  </si>
  <si>
    <t>Pangkalpinang,</t>
  </si>
  <si>
    <t>19870123 201502 2 001</t>
  </si>
  <si>
    <t>198405282007121001</t>
  </si>
  <si>
    <t>19710319 199903 1 002</t>
  </si>
  <si>
    <t>PFM Ahli Muda</t>
  </si>
  <si>
    <t>Selama 1 Hari</t>
  </si>
  <si>
    <t>Meditha Arumsari, S.TP</t>
  </si>
  <si>
    <t>Bangka tengah,</t>
  </si>
  <si>
    <t>Selama 2 Hari</t>
  </si>
  <si>
    <t>September 2020</t>
  </si>
  <si>
    <t>Berdasarkan Surat Perintah Perjalanan Dinas/Surat Tugas Tanggal 10 September 2020  Nomor : RT.02.01.97.974.09.20.679  dengan ini kami menyatakan dengan sesungguhnya bahwa :</t>
  </si>
  <si>
    <t>Transport Lokal Bangka tengah-Kab.Bangka tengah PP</t>
  </si>
  <si>
    <t>Sri Meilani,AMKL</t>
  </si>
  <si>
    <t>197905012011012001</t>
  </si>
  <si>
    <t>Sanitarian Puskesmas Namang</t>
  </si>
  <si>
    <t>/ Hari</t>
  </si>
  <si>
    <t>NIP. 197905012011012001</t>
  </si>
  <si>
    <t>Yurika</t>
  </si>
  <si>
    <t>Tim Keamanan Pangan Desa Belilik</t>
  </si>
  <si>
    <t>Robiah</t>
  </si>
  <si>
    <t>Tim Keamanan Pangan Desa Kurau Barat</t>
  </si>
  <si>
    <t>Berdasarkan Surat Perintah Perjalanan Dinas/Surat Tugas Tanggal 21 September 2020  Nomor : RT.02.01.97.974.09.20.708  dengan ini kami menyatakan dengan sesungguhnya bahwa :</t>
  </si>
  <si>
    <t>Lis Yuniarti,AMKL</t>
  </si>
  <si>
    <t>198102242010012006</t>
  </si>
  <si>
    <t>Sanitarian Puskesmas Koba</t>
  </si>
  <si>
    <t>NIP.198102242010012006</t>
  </si>
  <si>
    <t>Berdasarkan Surat Perintah Perjalanan Dinas/Surat Tugas Tanggal 16 September 2020  Nomor : RT.02.01.97.974.09.20.699  dengan ini kami menyatakan dengan sesungguhnya bahwa :</t>
  </si>
  <si>
    <t>Mohamad Bagir,  Apt.,MSc</t>
  </si>
  <si>
    <t>Berdasarkan Surat Perintah Perjalanan Dinas/Surat Tugas Tanggal 14 Januari 2021  Nomor : RT.02.01.97.974.01.21.27 dengan ini kami menyatakan dengan sesungguhnya bahwa :</t>
  </si>
  <si>
    <t>Transport Lokal Pangkalpinang ke  Pangkalpinang PP</t>
  </si>
  <si>
    <t>Januari 2021</t>
  </si>
  <si>
    <t>Transport Pangkalpinang ke Kab. Bangka PP</t>
  </si>
  <si>
    <t>Berdasarkan Surat Perintah Perjalanan Dinas/Surat Tugas Tanggal 08 Februari 2021  Nomor : RT.02.01.97.974.02.21.89 dengan ini kami menyatakan dengan sesungguhnya bahwa :</t>
  </si>
  <si>
    <t>Februari 2021</t>
  </si>
  <si>
    <t>Koordinator Substansi Informasi dan Komunikasi</t>
  </si>
  <si>
    <t>19880113 200812 2 001</t>
  </si>
  <si>
    <t>PFM Mahir</t>
  </si>
  <si>
    <t>19861002 200912 2 002</t>
  </si>
  <si>
    <t>Berdasarkan Surat Perintah Perjalanan Dinas/Surat Tugas Tanggal 15 Februari 2021  Nomor : RT.02.01.97.974.02.21.106 dengan ini kami menyatakan dengan sesungguhnya bahwa :</t>
  </si>
  <si>
    <t>Hotel 30 %</t>
  </si>
  <si>
    <t>/Malam</t>
  </si>
  <si>
    <t>Selama 1 Malam</t>
  </si>
  <si>
    <t>Berdasarkan Surat Perintah Perjalanan Dinas/Surat Tugas Tanggal 15 Februari 2021  Nomor : RT.02.01.97.974.02.21.107 dengan ini kami menyatakan dengan sesungguhnya bahwa :</t>
  </si>
  <si>
    <t>Berdasarkan Surat Perintah Perjalanan Dinas/Surat Tugas Tanggal 23 Februari 2021  Nomor : RT.02.01.97.974.02.21.139 dengan ini kami menyatakan dengan sesungguhnya bahwa :</t>
  </si>
  <si>
    <t>Pengadministrasi Kegiatan</t>
  </si>
  <si>
    <t>Berdasarkan Surat Perintah Perjalanan Dinas/Surat Tugas Tanggal 15 Maret 2021  Nomor : RT.02.01.97.974.03.21.204 dengan ini kami menyatakan dengan sesungguhnya bahwa :</t>
  </si>
  <si>
    <t>Maret 2021</t>
  </si>
  <si>
    <t>Berdasarkan Surat Perintah Perjalanan Dinas/Surat Tugas Tanggal 18 Maret 2021  Nomor : RT.02.01.97.974.03.21.215 dengan ini kami menyatakan dengan sesungguhnya bahwa :</t>
  </si>
  <si>
    <t>Berdasarkan Surat Perintah Perjalanan Dinas/Surat Tugas Tanggal 18 Maret 2021  Nomor : RT.02.01.97.974.03.21.216 dengan ini kami menyatakan dengan sesungguhnya bahwa :</t>
  </si>
  <si>
    <t>Berdasarkan Surat Perintah Perjalanan Dinas/Surat Tugas Tanggal 23 Maret 2021  Nomor : RT.02.01.97.974.03.21.229 dengan ini kami menyatakan dengan sesungguhnya bahwa :</t>
  </si>
  <si>
    <t>19880114 201012 1 002</t>
  </si>
  <si>
    <t>Pranata Komputer Ahli Pertama</t>
  </si>
  <si>
    <t>Berdasarkan Surat Perintah Perjalanan Dinas/Surat Tugas Tanggal 30 Maret 2021  Nomor : RT.02.01.97.974.03.21.251 dengan ini kami menyatakan dengan sesungguhnya bahwa :</t>
  </si>
  <si>
    <t>Transport Pangkalpinang ke Kab. Bangka Selatan PP</t>
  </si>
  <si>
    <t>Berdasarkan Surat Perintah Perjalanan Dinas/Surat Tugas Tanggal 31 Maret 2021  Nomor : RT.02.01.97.974.03.21.254 dengan ini kami menyatakan dengan sesungguhnya bahwa :</t>
  </si>
  <si>
    <t>April 2021</t>
  </si>
  <si>
    <t>Berdasarkan Surat Perintah Perjalanan Dinas/Surat Tugas Tanggal 06 April 2021  Nomor : RT.02.01.97.974.04.21.273 dengan ini kami menyatakan dengan sesungguhnya bahwa :</t>
  </si>
  <si>
    <t>Berdasarkan Surat Perintah Perjalanan Dinas/Surat Tugas Tanggal 05 April 2021  Nomor : RT.02.01.97.974.04.21.266 dengan ini kami menyatakan dengan sesungguhnya bahwa :</t>
  </si>
  <si>
    <t>Berdasarkan Surat Perintah Perjalanan Dinas/Surat Tugas Tanggal 05 April 2021  Nomor : RT.02.01.97.974.04.21.265 dengan ini kami menyatakan dengan sesungguhnya bahwa :</t>
  </si>
  <si>
    <t>Berdasarkan Surat Perintah Perjalanan Dinas/Surat Tugas Tanggal 09 April 2021  Nomor : RT.02.01.97.974.04.21.288 dengan ini kami menyatakan dengan sesungguhnya bahwa :</t>
  </si>
  <si>
    <t>Berdasarkan Surat Perintah Perjalanan Dinas/Surat Tugas Tanggal 21 April 2021  Nomor : RT.02.01.97.974.04.21.321 dengan ini kami menyatakan dengan sesungguhnya bahwa :</t>
  </si>
  <si>
    <t>Berdasarkan Surat Perintah Perjalanan Dinas/Surat Tugas Tanggal 19 April 2021  Nomor : RT.02.01.97.974.04.21.310 dengan ini kami menyatakan dengan sesungguhnya bahwa :</t>
  </si>
  <si>
    <t>Transport Lokal Padang ke Padang  PP</t>
  </si>
  <si>
    <t>/Hari</t>
  </si>
  <si>
    <t>19870805 201502 1 001</t>
  </si>
  <si>
    <t>Koordinator Kelompok Substansi Pemeriksaan</t>
  </si>
  <si>
    <t>Koordinator Kelompok Substansi Informasi dan Komunikasi</t>
  </si>
  <si>
    <t>Transport</t>
  </si>
  <si>
    <t>Berdasarkan Surat Perintah Perjalanan Dinas/Surat Tugas Tanggal 19 April 2021  Nomor : RT.02.01.97.974.04.21.311 dengan ini kami menyatakan dengan sesungguhnya bahwa :</t>
  </si>
  <si>
    <t>Berdasarkan Surat Perintah Perjalanan Dinas/Surat Tugas Tanggal 03 Mei 2021  Nomor : RT.02.01.10A.10A4.05.21.357 dengan ini kami menyatakan dengan sesungguhnya bahwa :</t>
  </si>
  <si>
    <t>Transport Pangkalpinang ke Kab. Bangka Barat  PP</t>
  </si>
  <si>
    <t>Mei2021</t>
  </si>
  <si>
    <t>Berdasarkan Surat Perintah Perjalanan Dinas/Surat Tugas Tanggal 06 Mei 2021  Nomor : RT.02.01.10A.10A4.05.21.370 dengan ini kami menyatakan dengan sesungguhnya bahwa :</t>
  </si>
  <si>
    <t>Transport Pangkalpinang ke Kab. Bangka  PP</t>
  </si>
  <si>
    <t>Mei 2021</t>
  </si>
  <si>
    <t>19950201 201903 2 007</t>
  </si>
  <si>
    <t>PFM Ahli Pertama</t>
  </si>
  <si>
    <t>19960720 201903 2 003</t>
  </si>
  <si>
    <t>Mei  2021</t>
  </si>
  <si>
    <t>Berdasarkan Surat Perintah Perjalanan Dinas/Surat Tugas Tanggal 25 Mei 2021  Nomor : RT.02.01.10A.10A4.05.21.414 dengan ini kami menyatakan dengan sesungguhnya bahwa :</t>
  </si>
  <si>
    <t>/</t>
  </si>
  <si>
    <t>Malam</t>
  </si>
  <si>
    <t>Selama 2 Malam</t>
  </si>
  <si>
    <t>Berdasarkan Surat Perintah Perjalanan Dinas/Surat Tugas Tanggal 23 Mei 2021  Nomor : RT.02.01.10A.10A4.05.21.410 dengan ini kami menyatakan dengan sesungguhnya bahwa :</t>
  </si>
  <si>
    <t>Transport Bandara PGK- Rumah</t>
  </si>
  <si>
    <t>19890517 201502 1 004</t>
  </si>
  <si>
    <t>Nurul Ilmiyati, S.Farm.,Apt.,M.Sc</t>
  </si>
  <si>
    <t>198310112007122000</t>
  </si>
  <si>
    <t>Subkoordinator Subkelompok Substansi Pengujian Kimia BBPOM Palembang</t>
  </si>
  <si>
    <t>Transport Bandara batam-hotel PP</t>
  </si>
  <si>
    <t xml:space="preserve">Transport  Bandara palembang- Rumah </t>
  </si>
  <si>
    <t>NIP. 198310112007122000</t>
  </si>
  <si>
    <t>Berdasarkan Surat Perintah Perjalanan Dinas/Surat Tugas Tanggal 25 Mei 2021  Nomor : RT.02.01.10A.10A4.05.21.415 dengan ini kami menyatakan dengan sesungguhnya bahwa :</t>
  </si>
  <si>
    <t>Berdasarkan Surat Perintah Perjalanan Dinas/Surat Tugas Tanggal 25 Mei 2021  Nomor : RT.02.01.10A.10A4.05.21.416 dengan ini kami menyatakan dengan sesungguhnya bahwa :</t>
  </si>
  <si>
    <t>Tiket Pesawat  Pangkalpinang-Batam P</t>
  </si>
  <si>
    <t>Transport Bandara Batam-Hotel PP</t>
  </si>
  <si>
    <t>Tiket Pesawat Lampung -Batam P</t>
  </si>
  <si>
    <t>Transport Rumah-Bandara Lampung</t>
  </si>
  <si>
    <t>Berdasarkan Surat Perintah Perjalanan Dinas/Surat Tugas Tanggal 04 Juni 2021  Nomor : RT.02.01.10A.10A4.06.21.440 dengan ini kami menyatakan dengan sesungguhnya bahwa :</t>
  </si>
  <si>
    <t>Tiket Pesawat  Pangkalpinang-Belitung PP</t>
  </si>
  <si>
    <t>Juni 2021</t>
  </si>
  <si>
    <t>Transport Rumah- Bandara PGK PP</t>
  </si>
  <si>
    <t>Transport Bandara PGK- Rumah P</t>
  </si>
  <si>
    <t>Berdasarkan Surat Perintah Perjalanan Dinas/Surat Tugas Tanggal 08 Juni 2021  Nomor : RT.02.01.10A.10A4.06.21.451 dengan ini kami menyatakan dengan sesungguhnya bahwa :</t>
  </si>
  <si>
    <t xml:space="preserve">Transport Pangkalpinang ke Kab. Bangka </t>
  </si>
  <si>
    <t>Berdasarkan Surat Perintah Perjalanan Dinas/Surat Tugas Tanggal 08 Juni 2021  Nomor : RT.02.01.10A.10A4.06.21.453 dengan ini kami menyatakan dengan sesungguhnya bahwa :</t>
  </si>
  <si>
    <t>Berdasarkan Surat Perintah Perjalanan Dinas/Surat Tugas Tanggal 08 Juni 2021  Nomor : RT.02.01.10A.10A4.06.21.452 dengan ini kami menyatakan dengan sesungguhnya bahwa :</t>
  </si>
  <si>
    <t>Berdasarkan Surat Perintah Perjalanan Dinas/Surat Tugas Tanggal 23 Juni 2021  Nomor : HM.04.02.10A.10A4.06.21.505 dengan ini kami menyatakan dengan sesungguhnya bahwa :</t>
  </si>
  <si>
    <t>Berdasarkan Surat Perintah Perjalanan Dinas/Surat Tugas Tanggal 23 Juni 2021  Nomor : HM.04.02.10A.10A4.06.21.506 dengan ini kami menyatakan dengan sesungguhnya bahwa :</t>
  </si>
  <si>
    <t>Pratiwi Setianingsih, S.Farm.,Apt</t>
  </si>
  <si>
    <t>198911282014022003</t>
  </si>
  <si>
    <t>NIP. 198911282014022003</t>
  </si>
  <si>
    <t>Berdasarkan Surat Perintah Perjalanan Dinas/Surat Tugas Tanggal 24 Juni 2021  Nomor : HM.04.02.10A.10A4.06.21.512 dengan ini kami menyatakan dengan sesungguhnya bahwa :</t>
  </si>
  <si>
    <t>Berdasarkan Surat Perintah Perjalanan Dinas/Surat Tugas Tanggal 29 Juni 2021  Nomor : HM.04.02.10A.10A4.06.21.527 dengan ini kami menyatakan dengan sesungguhnya bahwa :</t>
  </si>
  <si>
    <t>Transport Pangkalpinang ke Kab. Bangka Tengah</t>
  </si>
  <si>
    <t>Juli 2021</t>
  </si>
  <si>
    <t>Berdasarkan Surat Perintah Perjalanan Dinas/Surat Tugas Tanggal 12 Juli 2021  Nomor : HM.04.02.10A.10A4.07.21.560 dengan ini kami menyatakan dengan sesungguhnya bahwa :</t>
  </si>
  <si>
    <t>Berdasarkan Surat Perintah Perjalanan Dinas/Surat Tugas Tanggal 08 Juli 2021  Nomor : HM.04.02.10A.10A4.07.21.551 dengan ini kami menyatakan dengan sesungguhnya bahwa :</t>
  </si>
  <si>
    <t>Berdasarkan Surat Perintah Perjalanan Dinas/Surat Tugas Tanggal 21 Juli 2021  Nomor : HM.04.02.10A.10A4.07.21.588 dengan ini kami menyatakan dengan sesungguhnya bahwa :</t>
  </si>
  <si>
    <t>Transport Pangkalpinang ke Kab. Bangka Selatan</t>
  </si>
  <si>
    <t>Berdasarkan Surat Perintah Perjalanan Dinas/Surat Tugas Tanggal 27 Juli 2021  Nomor : HM.04.02.10A.10A4.07.21.605 dengan ini kami menyatakan dengan sesungguhnya bahwa :</t>
  </si>
  <si>
    <t>Berdasarkan Surat Perintah Perjalanan Dinas/Surat Tugas Tanggal 09 Agustus  2021  Nomor : HM.04.02.10A.10A4.08.21.644 dengan ini kami menyatakan dengan sesungguhnya bahwa :</t>
  </si>
  <si>
    <t>Agustus 2021</t>
  </si>
  <si>
    <t>Berdasarkan Surat Perintah Perjalanan Dinas/Surat Tugas Tanggal 12 Agustus  2021  Nomor : HM.04.02.10A.10A4.08.21.660 dengan ini kami menyatakan dengan sesungguhnya bahwa :</t>
  </si>
  <si>
    <t>Transport Pangkalpinang ke Pangkalpinang</t>
  </si>
  <si>
    <t>Transport Pangkalpinang ke Kab. Bangka Barat</t>
  </si>
  <si>
    <t>Berdasarkan Surat Perintah Perjalanan Dinas/Surat Tugas Tanggal 20 Agustus  2021  Nomor : HM.04.02.10A.10A2.08.21.682 dengan ini kami menyatakan dengan sesungguhnya bahwa :</t>
  </si>
  <si>
    <t>19910202 201502 1 004</t>
  </si>
  <si>
    <t>Koordinator Kelompok Substansi Penindakan</t>
  </si>
  <si>
    <t>Tedy Wirawan, M.Si., Apt</t>
  </si>
  <si>
    <t>NIP.19690504 199903 1 001</t>
  </si>
  <si>
    <t>19690504 199903 1 001</t>
  </si>
  <si>
    <t>Berdasarkan Surat Perintah Perjalanan Dinas/Surat Tugas Tanggal 20 Agustus  2021  Nomor : HM.04.02.10A.10A4.08.21.681 dengan ini kami menyatakan dengan sesungguhnya bahwa :</t>
  </si>
  <si>
    <t>Berdasarkan Surat Perintah Perjalanan Dinas/Surat Tugas Tanggal 25 Agustus  2021  Nomor : HM.04.02.10A.10A4.08.21.694 dengan ini kami menyatakan dengan sesungguhnya bahwa :</t>
  </si>
  <si>
    <t>Berdasarkan Surat Perintah Perjalanan Dinas/Surat Tugas Tanggal 25 Agustus  2021  Nomor : HM.04.02.10A.10A4.08.21.717 dengan ini kami menyatakan dengan sesungguhnya bahwa :</t>
  </si>
  <si>
    <t>Berdasarkan Surat Perintah Perjalanan Dinas/Surat Tugas Tanggal 25 Agustus 2021  Nomor : HM.04.02.10A.10A4.08.21.713 dengan ini kami menyatakan dengan sesungguhnya bahwa :</t>
  </si>
  <si>
    <t>September 2021</t>
  </si>
  <si>
    <t>Berdasarkan Surat Perintah Perjalanan Dinas/Surat Tugas Tanggal 25 Agustus 2021  Nomor : HM.04.02.10A.10A4.08.21.702 dengan ini kami menyatakan dengan sesungguhnya bahwa :</t>
  </si>
  <si>
    <t>Berdasarkan Surat Perintah Perjalanan Dinas/Surat Tugas Tanggal 08 September 2021  Nomor : HM.04.02.10A.10A4.09.21.768 dengan ini kami menyatakan dengan sesungguhnya bahwa :</t>
  </si>
  <si>
    <t>Berdasarkan Surat Perintah Perjalanan Dinas/Surat Tugas Tanggal 18 Agustus  2021  Nomor : HM.04.02.10A.10A4.08.21.674 dengan ini kami menyatakan dengan sesungguhnya bahwa :</t>
  </si>
  <si>
    <t xml:space="preserve">Transport  Lokal Pangkalpinang ke Pangkalpinang </t>
  </si>
  <si>
    <t>Ronny Adha Wicaksono, S. Farm. Apt</t>
  </si>
  <si>
    <t>Berdasarkan Surat Perintah Perjalanan Dinas/Surat Tugas Tanggal 13 September 2021  Nomor : HM.04.02.10A.10A4.09.21.785 dengan ini kami menyatakan dengan sesungguhnya bahwa :</t>
  </si>
  <si>
    <t>Berdasarkan Surat Perintah Perjalanan Dinas/Surat Tugas Tanggal 31 Agustus 2021  Nomor : HM.04.02.10A.10A4.09.21.736 dengan ini kami menyatakan dengan sesungguhnya bahwa :</t>
  </si>
  <si>
    <t>Berdasarkan Surat Perintah Perjalanan Dinas/Surat Tugas Tanggal 25 Agustus 2021  Nomor : HM.04.02.10A.10A4.08.21.705 dengan ini kami menyatakan dengan sesungguhnya bahwa :</t>
  </si>
  <si>
    <t>Berdasarkan Surat Perintah Perjalanan Dinas/Surat Tugas Tanggal 15 September 2021  Nomor : HM.04.02.10A.10A4.09.21.793 dengan ini kami menyatakan dengan sesungguhnya bahwa :</t>
  </si>
  <si>
    <t>Berdasarkan Surat Perintah Perjalanan Dinas/Surat Tugas Tanggal 25 Agustus 2021  Nomor : HM.04.02.10A.10A4.08.21.708 dengan ini kami menyatakan dengan sesungguhnya bahwa :</t>
  </si>
  <si>
    <t>Berdasarkan Surat Perintah Perjalanan Dinas/Surat Tugas Tanggal 25 Agustus 2021  Nomor : HM.04.02.10A.10A4.08.21.711 dengan ini kami menyatakan dengan sesungguhnya bahwa :</t>
  </si>
  <si>
    <t>Berdasarkan Surat Perintah Perjalanan Dinas/Surat Tugas Tanggal 22 September 2021  Nomor : HM.04.02.10A.10A4.09.21.821 dengan ini kami menyatakan dengan sesungguhnya bahwa :</t>
  </si>
  <si>
    <t>Transport Pangkalpinang ke Kab. Bangka tengah</t>
  </si>
  <si>
    <t>Berdasarkan Surat Perintah Perjalanan Dinas/Surat Tugas Tanggal 25 Agustus 2021  Nomor : HM.04.02.10A.10A4.08.21.714 dengan ini kami menyatakan dengan sesungguhnya bahwa :</t>
  </si>
  <si>
    <t>Berdasarkan Surat Perintah Perjalanan Dinas/Surat Tugas Tanggal 20 September 2021  Nomor : HM.04.02.10A.10A4.09.21.812 dengan ini kami menyatakan dengan sesungguhnya bahwa :</t>
  </si>
  <si>
    <t>Berdasarkan Surat Perintah Perjalanan Dinas/Surat Tugas Tanggal 20 September 2021  Nomor : HM.04.02.10A.10A4.09.21.814 dengan ini kami menyatakan dengan sesungguhnya bahwa :</t>
  </si>
  <si>
    <t>Berdasarkan Surat Perintah Perjalanan Dinas/Surat Tugas Tanggal 27 September 2021  Nomor : HM.04.02.10A.10A4.09.21.835 dengan ini kami menyatakan dengan sesungguhnya bahwa :</t>
  </si>
  <si>
    <t>198405232008122001</t>
  </si>
  <si>
    <t>Kepala Sub.Bagian Tata Usaha</t>
  </si>
  <si>
    <t>Donny Tua Hamonangan, S.H</t>
  </si>
  <si>
    <t>Berdasarkan Surat Perintah Perjalanan Dinas/Surat Tugas Tanggal 01 Oktober 2021  Nomor : HM.04.02.10A.10A4.10.21.855 dengan ini kami menyatakan dengan sesungguhnya bahwa :</t>
  </si>
  <si>
    <t>Oktober 2021</t>
  </si>
  <si>
    <t>198512022008122002</t>
  </si>
  <si>
    <t>Bendahara</t>
  </si>
  <si>
    <t>Berdasarkan Surat Perintah Perjalanan Dinas/Surat Tugas Tanggal 07 Oktober 2021  Nomor : HM.04.02.10A.10A4.10.21.879 dengan ini kami menyatakan dengan sesungguhnya bahwa :</t>
  </si>
  <si>
    <t>Berdasarkan Surat Perintah Perjalanan Dinas/Surat Tugas Tanggal 07 Oktober 2021  Nomor : HM.04.02.10A.10A4.10.21.880 dengan ini kami menyatakan dengan sesungguhnya bahwa :</t>
  </si>
  <si>
    <t>Berdasarkan Surat Perintah Perjalanan Dinas/Surat Tugas Tanggal 11 Oktober 2021  Nomor : HM.04.02.10A.10A4.10.21.891 dengan ini kami menyatakan dengan sesungguhnya bahwa :</t>
  </si>
  <si>
    <t>198703152008122002</t>
  </si>
  <si>
    <t>Septo Dwi Yan Purnomo, A.Md</t>
  </si>
  <si>
    <t>199209142015021001</t>
  </si>
  <si>
    <t>PFM Terampil</t>
  </si>
  <si>
    <t>Berdasarkan Surat Perintah Perjalanan Dinas/Surat Tugas Tanggal 11 Oktober 2021  Nomor : HM.04.02.10A.10A4.10.21.892 dengan ini kami menyatakan dengan sesungguhnya bahwa :</t>
  </si>
  <si>
    <t>19891128 201402 2 003</t>
  </si>
  <si>
    <t>Berdasarkan Surat Perintah Perjalanan Dinas/Surat Tugas Tanggal 11 Oktober 2021  Nomor : HM.04.02.10A.10A4.10.21.893 dengan ini kami menyatakan dengan sesungguhnya bahwa :</t>
  </si>
  <si>
    <t>Transport Pangkalpinang ke  Pangkalpinang</t>
  </si>
  <si>
    <t>Berdasarkan Surat Perintah Perjalanan Dinas/Surat Tugas Tanggal 14 Oktober 2021  Nomor : HM.04.02.10A.10A4.10.21.909 dengan ini kami menyatakan dengan sesungguhnya bahwa :</t>
  </si>
  <si>
    <t>Transport Pangkalpinang ke  Kab. Bangka Selatan</t>
  </si>
  <si>
    <t>Berdasarkan Surat Perintah Perjalanan Dinas/Surat Tugas Tanggal 19 Oktober 2021  Nomor : HM.04.02.10A.10A4.10.21.928 dengan ini kami menyatakan dengan sesungguhnya bahwa :</t>
  </si>
  <si>
    <t>Transport Pangkalpinang ke  Kab. Bangka Tengah</t>
  </si>
  <si>
    <t>Berdasarkan Surat Perintah Perjalanan Dinas/Surat Tugas Tanggal 21 Oktober 2021  Nomor : HM.04.02.10A.10A4.10.21.934 dengan ini kami menyatakan dengan sesungguhnya bahwa :</t>
  </si>
  <si>
    <t>Berdasarkan Surat Perintah Perjalanan Dinas/Surat Tugas Tanggal 21 Oktober 2021  Nomor : HM.04.02.10A.10A4.10.21.938 dengan ini kami menyatakan dengan sesungguhnya bahwa :</t>
  </si>
  <si>
    <t>Berdasarkan Surat Perintah Perjalanan Dinas/Surat Tugas Tanggal 19 Oktober 2021  Nomor : HM.04.02.10A.10A4.10.21.927 dengan ini kami menyatakan dengan sesungguhnya bahwa :</t>
  </si>
  <si>
    <t xml:space="preserve">Transport Lokal   Kab. Bangka  ke  Kab. Bangka </t>
  </si>
  <si>
    <t>Berdasarkan Surat Perintah Perjalanan Dinas/Surat Tugas Tanggal 13 Oktober 2021  Nomor : HM.04.02.10A.10A4.10.21.904 dengan ini kami menyatakan dengan sesungguhnya bahwa :</t>
  </si>
  <si>
    <t>Iga Anggraini, SKM</t>
  </si>
  <si>
    <t>Sanitarian Puskesmas Bakam</t>
  </si>
  <si>
    <t>Hikmah Mukta Mira</t>
  </si>
  <si>
    <t>Tim Keamanan Pangan Desa Bukit Layang</t>
  </si>
  <si>
    <t>Berdasarkan Surat Perintah Perjalanan Dinas/Surat Tugas Tanggal 21 Oktober 2021  Nomor : HM.04.02.10A.10A4.10.21.935 dengan ini kami menyatakan dengan sesungguhnya bahwa :</t>
  </si>
  <si>
    <t xml:space="preserve">Transport Pangkalpinang ke  Kab. Bangka </t>
  </si>
  <si>
    <t>Berdasarkan Surat Perintah Perjalanan Dinas/Surat Tugas Tanggal 27 Oktober 2021  Nomor : HM.04.02.10A.10A4.10.21.959 dengan ini kami menyatakan dengan sesungguhnya bahwa :</t>
  </si>
  <si>
    <t>198801142010121002</t>
  </si>
  <si>
    <t>NIP. 198801142010121002</t>
  </si>
  <si>
    <t>Hudana Alam Putra, S.Sos</t>
  </si>
  <si>
    <t>199601072019031003</t>
  </si>
  <si>
    <t>NIP. 199601072019031003</t>
  </si>
  <si>
    <t>Berdasarkan Surat Perintah Perjalanan Dinas/Surat Tugas Tanggal 27 Oktober 2021  Nomor : HM.04.02.10A.10A4.10.21.958 dengan ini kami menyatakan dengan sesungguhnya bahwa :</t>
  </si>
  <si>
    <t>Berdasarkan Surat Perintah Perjalanan Dinas/Surat Tugas Tanggal 27 Oktober 2021  Nomor : HM.04.02.10A.10A4.10.21.956 dengan ini kami menyatakan dengan sesungguhnya bahwa :</t>
  </si>
  <si>
    <t>Siti Khotijah</t>
  </si>
  <si>
    <t>Kader Keamanan Pangan Desa Puding Besar</t>
  </si>
  <si>
    <t>Ernawati, AMKL</t>
  </si>
  <si>
    <t>Sanitarian Puskesmas Kenanga</t>
  </si>
  <si>
    <t>198712282009032000</t>
  </si>
  <si>
    <t>Berdasarkan Surat Perintah Perjalanan Dinas/Surat Tugas Tanggal 27 Oktober 2021  Nomor : HM.04.02.10A.10A4.10.21.955 dengan ini kami menyatakan dengan sesungguhnya bahwa :</t>
  </si>
  <si>
    <t>NIP. 198712282009032000</t>
  </si>
  <si>
    <t>Lanita</t>
  </si>
  <si>
    <t>Kader Keamanan Pangan Desa Rebo</t>
  </si>
  <si>
    <t>Berdasarkan Surat Perintah Perjalanan Dinas/Surat Tugas Tanggal 27 Oktober 2021  Nomor : HM.04.02.10A.10A4.10.21.955dengan ini kami menyatakan dengan sesungguhnya bahwa :</t>
  </si>
  <si>
    <t>Berdasarkan Surat Perintah Perjalanan Dinas/Surat Tugas Tanggal 29 Oktober 2021  Nomor : HM.04.02.10A.10A4.10.21.969 dengan ini kami menyatakan dengan sesungguhnya bahwa :</t>
  </si>
  <si>
    <t>Transport Pangkalpinang ke Kab. Bangka</t>
  </si>
  <si>
    <t>Berdasarkan Surat Perintah Perjalanan Dinas/Surat Tugas Tanggal 04 November 2021  Nomor : HM.04.02.10A.10A4.11.21.991 dengan ini kami menyatakan dengan sesungguhnya bahwa :</t>
  </si>
  <si>
    <t>November 2021</t>
  </si>
  <si>
    <t>Berdasarkan Surat Perintah Perjalanan Dinas/Surat Tugas Tanggal 29 Oktober 2021  Nomor : HM.04.02.10A.10A4.10.21.970 dengan ini kami menyatakan dengan sesungguhnya bahwa :</t>
  </si>
  <si>
    <t>Selama 1Malam</t>
  </si>
  <si>
    <t>Berdasarkan Surat Perintah Perjalanan Dinas/Surat Tugas Tanggal 11 November 2021  Nomor : HM.04.02.10A.10A4.11.21.1022 dengan ini kami menyatakan dengan sesungguhnya bahwa :</t>
  </si>
  <si>
    <t>Februari 2022</t>
  </si>
  <si>
    <t>Berdasarkan Surat Perintah Perjalanan Dinas/Surat Tugas Tanggal 11 Februari 2022  Nomor : HM.04.02.10A.10A4.02.22.112 dengan ini kami menyatakan dengan sesungguhnya bahwa :</t>
  </si>
  <si>
    <t>Transport Bandara-Pangkalpinang (rumah) PP</t>
  </si>
  <si>
    <t>Transport Bandara-Belitung PP</t>
  </si>
  <si>
    <t>Transport Lokal Pangkalpinang- Pangkalpinang PP</t>
  </si>
  <si>
    <t>Berdasarkan Surat Perintah Perjalanan Dinas/Surat Tugas Tanggal 23 Februari 2022  Nomor : HM.04.02.10A.10A4.02.22.150 dengan ini kami menyatakan dengan sesungguhnya bahwa :</t>
  </si>
  <si>
    <t>Maret 2022</t>
  </si>
  <si>
    <t>Berdasarkan Surat Perintah Perjalanan Dinas/Surat Tugas Tanggal 24 Februari 2022  Nomor : HM.04.02.10A.10A4.02.22.156 dengan ini kami menyatakan dengan sesungguhnya bahwa :</t>
  </si>
  <si>
    <t>Transport Bandara-Belitung P</t>
  </si>
  <si>
    <t>Transport taxi Bandara Belitung- Kab.Belitung PP</t>
  </si>
  <si>
    <t>Transport Taxi Bandara Belitung- Kab.Belitung P</t>
  </si>
  <si>
    <t>Berdasarkan Surat Perintah Perjalanan Dinas/Surat Tugas Tanggal 18 Maret 2022  Nomor : HM.07.10A.10A4.03.22.211 dengan ini kami menyatakan dengan sesungguhnya bahwa :</t>
  </si>
  <si>
    <t>Transport PKP-Kab. Bangka PP</t>
  </si>
  <si>
    <t>19840902 200912 2 002</t>
  </si>
  <si>
    <t>Berdasarkan Surat Perintah Perjalanan Dinas/Surat Tugas Tanggal 25 April 2022  Nomor : PM.02.04.10A.10A4.04.22.320 dengan ini kami menyatakan dengan sesungguhnya bahwa :</t>
  </si>
  <si>
    <t>April 2022</t>
  </si>
  <si>
    <t>Berdasarkan Surat Perintah Perjalanan Dinas/Surat Tugas Tanggal 09 Mei 2022  Nomor : PW.04.03.10A.10A4.05.22.343 dengan ini kami menyatakan dengan sesungguhnya bahwa :</t>
  </si>
  <si>
    <t>Mei 2022</t>
  </si>
  <si>
    <t>Berdasarkan Surat Perintah Perjalanan Dinas/Surat Tugas Tanggal 18 Mei 2022  Nomor : HM.11.02.10A.10A4.05.22.378 dengan ini kami menyatakan dengan sesungguhnya bahwa :</t>
  </si>
  <si>
    <t>Berdasarkan Surat Perintah Perjalanan Dinas/Surat Tugas Tanggal 09 Mei 2022  Nomor : HM.03.04.10A.10A4.05.22.344 dengan ini kami menyatakan dengan sesungguhnya bahwa :</t>
  </si>
  <si>
    <t>Berdasarkan Surat Perintah Perjalanan Dinas/Surat Tugas Tanggal 27 Mei 2022  Nomor : PM.02.04.10A.10A4.05.22.421 dengan ini kami menyatakan dengan sesungguhnya bahwa :</t>
  </si>
  <si>
    <t>Transport PKP-Kab. Bangka tengah PP</t>
  </si>
  <si>
    <t>Transport PKP-Kab. Bangka  PP</t>
  </si>
  <si>
    <t>Berdasarkan Surat Perintah Perjalanan Dinas/Surat Tugas Tanggal 15 Juni 2022  Nomor : HM.03.01.10A.10A4.06.22.486 dengan ini kami menyatakan dengan sesungguhnya bahwa :</t>
  </si>
  <si>
    <t>Juni 2022</t>
  </si>
  <si>
    <t>Falih Al Asqolani, S.T., M.Eng</t>
  </si>
  <si>
    <t>1982010220100011015</t>
  </si>
  <si>
    <t>Analis Bangunan dan Perumahan</t>
  </si>
  <si>
    <t>Transport  lokal Pangkalpinang-Pangkalpinang  PP</t>
  </si>
  <si>
    <t>NIP. 1982010220100011015</t>
  </si>
  <si>
    <t>April  2022</t>
  </si>
  <si>
    <t>Berdasarkan Surat Perintah Perjalanan Dinas/Surat Tugas Tanggal 20 April 2022  Nomor : HM.03.01.10A.10A4.04.22.307 dengan ini kami menyatakan dengan sesungguhnya bahwa :</t>
  </si>
  <si>
    <t>Transport Lokal Pangkalpinang-Pangkalpinang PP</t>
  </si>
  <si>
    <t>Berdasarkan Surat Perintah Perjalanan Dinas/Surat Tugas Tanggal 21 Juni 2022  Nomor : HM.11.02.10A.10A4.06.22.503 dengan ini kami menyatakan dengan sesungguhnya bahwa :</t>
  </si>
  <si>
    <t>Juli 2022</t>
  </si>
  <si>
    <t>Selama 3 Malam</t>
  </si>
  <si>
    <t>Berdasarkan Surat Perintah Perjalanan Dinas/Surat Tugas Tanggal 26 Juli 2022  Nomor : HM.11.02.10A.10A4.07.22.647 dengan ini kami menyatakan dengan sesungguhnya bahwa :</t>
  </si>
  <si>
    <t>Berdasarkan Surat Perintah Perjalanan Dinas/Surat Tugas Tanggal 28Juli 2022  Nomor : PM.02.0410A.10A4.07.22.657 dengan ini kami menyatakan dengan sesungguhnya bahwa :</t>
  </si>
  <si>
    <t>Agustus 2022</t>
  </si>
  <si>
    <t>Berdasarkan Surat Perintah Perjalanan Dinas/Surat Tugas Tanggal 22 Agustus 2022  Nomor : HM.11.02.10A.10A4.08.22.749 dengan ini kami menyatakan dengan sesungguhnya bahwa :</t>
  </si>
  <si>
    <t>PPNPN Subbagian Tata Usaha</t>
  </si>
  <si>
    <t>Berdasarkan Surat Perintah Perjalanan Dinas/Surat Tugas Tanggal 29 Juli 2022  Nomor : HM.11.02.10A.10A4.07.22.661 dengan ini kami menyatakan dengan sesungguhnya bahwa :</t>
  </si>
  <si>
    <t>19960107 201903 1 003</t>
  </si>
  <si>
    <t>Pengemudi</t>
  </si>
  <si>
    <t>Agus Setiawan</t>
  </si>
  <si>
    <t>Berdasarkan Surat Perintah Perjalanan Dinas/Surat Tugas Tanggal 19 Agustus 2022  Nomor : PM.02.0410A.10A4.08.22.738 dengan ini kami menyatakan dengan sesungguhnya bahwa :</t>
  </si>
  <si>
    <t>Berdasarkan Surat Perintah Perjalanan Dinas/Surat Tugas Tanggal 26 Agustus 2022  Nomor : HM.11.02.10A.10A4.08.22.767 dengan ini kami menyatakan dengan sesungguhnya bahwa :</t>
  </si>
  <si>
    <t xml:space="preserve">apt.Angela Marselly Br Barus, S.Farm </t>
  </si>
  <si>
    <t>199703252022032002</t>
  </si>
  <si>
    <t xml:space="preserve">PFM </t>
  </si>
  <si>
    <t>NIP. 199703252022032002</t>
  </si>
  <si>
    <t>Riska widiyana, S.Si</t>
  </si>
  <si>
    <t>199212132022032001</t>
  </si>
  <si>
    <t>NIP. 199212132022032001</t>
  </si>
  <si>
    <t>19970803 201903 2 001</t>
  </si>
  <si>
    <t>Akhlakul Kanaah</t>
  </si>
  <si>
    <t>SAKA POM</t>
  </si>
  <si>
    <t>Andre</t>
  </si>
  <si>
    <t>Berdasarkan Surat Perintah Perjalanan Dinas/Surat Tugas Tanggal 05 September 2022  Nomor : HM.03.01.10A.10A4.09.22.804 dengan ini kami menyatakan dengan sesungguhnya bahwa :</t>
  </si>
  <si>
    <t>Transport PKP- Kab.Bangka PP</t>
  </si>
  <si>
    <t>September 2022</t>
  </si>
  <si>
    <t>Berdasarkan Surat Perintah Perjalanan Dinas/Surat Tugas Tanggal 09 September 2022  Nomor : HM.11.02.10A.10A4.09.22.825 dengan ini kami menyatakan dengan sesungguhnya bahwa :</t>
  </si>
  <si>
    <t>19950322 201903 1 004</t>
  </si>
  <si>
    <t>198703202008122003</t>
  </si>
  <si>
    <t xml:space="preserve">Netty Desi Margaretta Manullang, S.E., </t>
  </si>
  <si>
    <t>199312032020122001</t>
  </si>
  <si>
    <t xml:space="preserve">Analis Pengelola Keuangan APBN Ahli Pertama </t>
  </si>
  <si>
    <t>Hana Mardiah, S.E</t>
  </si>
  <si>
    <t>199408022020122002</t>
  </si>
  <si>
    <t>Analis Anggaran Ahli Pertama</t>
  </si>
  <si>
    <t>NIP. 199408022020122002</t>
  </si>
  <si>
    <t>Berdasarkan Surat Perintah Perjalanan Dinas/Surat Tugas Tanggal 14 September 2022  Nomor : HM.11.02.10A.10A4.09.22.841 dengan ini kami menyatakan dengan sesungguhnya bahwa :</t>
  </si>
  <si>
    <t>Berdasarkan Surat Perintah Perjalanan Dinas/Surat Tugas Tanggal 02 September 2022  Nomor : HM.03.01.10A.10A4.09.22.799 dengan ini kami menyatakan dengan sesungguhnya bahwa :</t>
  </si>
  <si>
    <t>Berdasarkan Surat Perintah Perjalanan Dinas/Surat Tugas Tanggal 23 September 2022  Nomor : HM.11.02.10A.10A4.09.22.872 dengan ini kami menyatakan dengan sesungguhnya bahwa :</t>
  </si>
  <si>
    <t>Koordinator Kelompok Subs. Pemeriksaan</t>
  </si>
  <si>
    <t>19931113 201903 1 002</t>
  </si>
  <si>
    <t>Berdasarkan Surat Perintah Perjalanan Dinas/Surat Tugas Tanggal 23 September 2022  Nomor : HM.03.01.10A.10A4.09.22.870 dengan ini kami menyatakan dengan sesungguhnya bahwa :</t>
  </si>
  <si>
    <t>Transport Pangkalpinang-Kab. Bangka PP</t>
  </si>
  <si>
    <t>Berdasarkan Surat Perintah Perjalanan Dinas/Surat Tugas Tanggal 05 Oktober 2022  Nomor : HM.03.01..10A.10A4.10.22.918 dengan ini kami menyatakan dengan sesungguhnya bahwa :</t>
  </si>
  <si>
    <t>Transport Pangkalpinang-Kab. Bangka Tengah PP</t>
  </si>
  <si>
    <t>Oktober 2022</t>
  </si>
  <si>
    <t>Berdasarkan Surat Perintah Perjalanan Dinas/Surat Tugas Tanggal 11 Oktober 2022  Nomor : PM.02.04.10A.10A4.10.22.951 dengan ini kami menyatakan dengan sesungguhnya bahwa :</t>
  </si>
  <si>
    <t>Berdasarkan Surat Perintah Perjalanan Dinas/Surat Tugas Tanggal 11 Oktober 2022  Nomor : HM.03.01.10A.10A4.10.22.950 dengan ini kami menyatakan dengan sesungguhnya bahwa :</t>
  </si>
  <si>
    <t>Berdasarkan Surat Perintah Perjalanan Dinas/Surat Tugas Tanggal 21 Oktober 2022  Nomor : PM.02.04.10A.10A4.10.22.1003  dengan ini kami menyatakan dengan sesungguhnya bahwa :</t>
  </si>
  <si>
    <t>Berdasarkan Surat Perintah Perjalanan Dinas/Surat Tugas Tanggal 26 Oktober 2022  Nomor : PB.02.02.10A.10A4.10.22.1023 dengan ini kami menyatakan dengan sesungguhnya bahwa :</t>
  </si>
  <si>
    <t>Koordinator kelompok subs. Infokom</t>
  </si>
  <si>
    <t xml:space="preserve">Transport lokal Pangkalpinang-Pangkalpinang PP </t>
  </si>
  <si>
    <t>November 2022</t>
  </si>
  <si>
    <t>Berdasarkan Surat Perintah Perjalanan Dinas/Surat Tugas Tanggal 08 November 2022  Nomor : HM.11.02.10A.10A4.11.22.1083 dengan ini kami menyatakan dengan sesungguhnya bahwa :</t>
  </si>
  <si>
    <t xml:space="preserve">Transport  Pangkalpinang-Kab. Bangka PP </t>
  </si>
  <si>
    <t>Berdasarkan Surat Perintah Perjalanan Dinas/Surat Tugas Tanggal 15 November 2022  Nomor : PM.02.04.10A.10A4.11.22.1116 dengan ini kami menyatakan dengan sesungguhnya bahwa :</t>
  </si>
  <si>
    <t>Berdasarkan Surat Perintah Perjalanan Dinas/Surat Tugas Tanggal 22 November 2022  Nomor : PM.02.04.10A.10A4.11.22.1141 dengan ini kami menyatakan dengan sesungguhnya bahwa :</t>
  </si>
  <si>
    <t>Desember 2022</t>
  </si>
  <si>
    <t>Berdasarkan Surat Perintah Perjalanan Dinas/Surat Tugas Tanggal 02 Desember 2022  Nomor : HM.03.01.10A.10A4.12.22.1194 dengan ini kami menyatakan dengan sesungguhnya bahwa :</t>
  </si>
  <si>
    <t>Berdasarkan Surat Perintah Perjalanan Dinas/Surat Tugas Tanggal 28 November 2022  Nomor : HM.03.01.10A.10A4.11.22.1164 dengan ini kami menyatakan dengan sesungguhnya bahwa :</t>
  </si>
  <si>
    <t>Transport Lokal Pangkalpinang-Pangkapinang PP</t>
  </si>
  <si>
    <t>Berdasarkan Surat Perintah Perjalanan Dinas/Surat Tugas Tanggal 05 Desember 2022  Nomor : HM.03.01.10A.10A4.12.22.1198 dengan ini kami menyatakan dengan sesungguhnya bahwa :</t>
  </si>
  <si>
    <t xml:space="preserve">Transport  Pangkalpinang-Kab. Bangka tengah PP </t>
  </si>
  <si>
    <t>Berdasarkan Surat Perintah Perjalanan Dinas/Surat Tugas Tanggal 02 Desember 2022  Nomor : HM.03.01.10A.10A4.12.22.1196 dengan ini kami menyatakan dengan sesungguhnya bahwa :</t>
  </si>
  <si>
    <t>Berdasarkan Surat Perintah Perjalanan Dinas/Surat Tugas Tanggal 12 Desember 2022  Nomor : PM.02.04.10A.10A4.12.22.1234 dengan ini kami menyatakan dengan sesungguhnya bahwa :</t>
  </si>
  <si>
    <t xml:space="preserve">Transport Jakarta -Kota Cirebon PP </t>
  </si>
  <si>
    <t>Berdasarkan Surat Perintah Perjalanan Dinas/Surat Tugas Tanggal 15 Desember 2022  Nomor : HM.03.02.10A.10A5.12.22.1247 dengan ini kami menyatakan dengan sesungguhnya bahwa :</t>
  </si>
  <si>
    <t>NIP. 19880823 201402 2 002</t>
  </si>
  <si>
    <t>19840704 200912 2 002</t>
  </si>
  <si>
    <t>Koordinator Kelompok Subs. Pengujian</t>
  </si>
  <si>
    <t>198408072007121001</t>
  </si>
  <si>
    <t>PFM Pelaksana</t>
  </si>
  <si>
    <t>Sofiyani Chandrawati Anwar, S.Si., Apt., M.Si.</t>
  </si>
  <si>
    <t>NIP.19710530 199903 2 001</t>
  </si>
  <si>
    <t>19710530 199903 2 001</t>
  </si>
  <si>
    <t>Koordinator Kelompok Substansi Infokom</t>
  </si>
  <si>
    <t>Hotel 30 % (27-28 Desember 2022)</t>
  </si>
  <si>
    <t>Berdasarkan Surat Perintah Perjalanan Dinas/Surat Tugas Tanggal 23 Desember 2022  Nomor : HM.03.02.10A.10A5.12.22.1273 dengan ini kami menyatakan dengan sesungguhnya bahwa :</t>
  </si>
  <si>
    <t>Transport Pangkalpinang ke Kab. Bangka Tengah PP</t>
  </si>
  <si>
    <t>PFM Ahli Pertama Loka POM di Kabupaten Belitung</t>
  </si>
  <si>
    <t>Berdasarkan Surat Perintah Perjalanan Dinas/Surat Tugas Tanggal 28 April 2023  Nomor : PW.04.03.10A.10A4.03.23.428 dengan ini kami menyatakan dengan sesungguhnya bahwa :</t>
  </si>
  <si>
    <t>Transport Lokal Bangka Barat ke Kab. Bangka  Barat PP</t>
  </si>
  <si>
    <t>Mei 2023</t>
  </si>
  <si>
    <t>YAUMA FITRIA, AMKL</t>
  </si>
  <si>
    <t>Sanitarian Mahir Puskesmas Puput</t>
  </si>
  <si>
    <t>CINTIA RAHMAWATI, A. Md. KL</t>
  </si>
  <si>
    <t>Tenaga Sanitasi Lingkungan Puskesmas Puput</t>
  </si>
  <si>
    <t>Kab. Bangka Barat,</t>
  </si>
  <si>
    <t>Mei  2023</t>
  </si>
  <si>
    <t>PARIYANTO</t>
  </si>
  <si>
    <t>Satpam Pasar Petugas Pasar Parittiga</t>
  </si>
  <si>
    <t xml:space="preserve">RIKI </t>
  </si>
  <si>
    <t>Ketua Pokja Pasar Ikan Parit Tiga</t>
  </si>
  <si>
    <t>Karlinda</t>
  </si>
  <si>
    <t>198506182009032003</t>
  </si>
  <si>
    <t>199203202020122007</t>
  </si>
  <si>
    <t>NIP. 198506182009032003</t>
  </si>
  <si>
    <t>NIP. 199203202020122007</t>
  </si>
  <si>
    <t>Berdasarkan Surat Perintah Perjalanan Dinas/Surat Tugas Tanggal 15 Mei 2023  Nomor : PW.04.03.10A.10A4.05.23.01 dengan ini kami menyatakan dengan sesungguhnya bahwa :</t>
  </si>
  <si>
    <t>Transport Lokal Kab. Belitung ke Kab. Belitung PP</t>
  </si>
  <si>
    <t>Kab. Belitung,</t>
  </si>
  <si>
    <t xml:space="preserve">/Hari </t>
  </si>
  <si>
    <t>Berdasarkan Surat Perintah Perjalanan Dinas/Surat Tugas Tanggal 05 Juli 2023  Nomor : PW.04.03.10A.10A4.07.23.630 dengan ini kami menyatakan dengan sesungguhnya bahwa :</t>
  </si>
  <si>
    <t>Transport Lokal Kab. Bangka ke Kab. Bangka  PP</t>
  </si>
  <si>
    <t>Kab. Bangka ,</t>
  </si>
  <si>
    <t>Juli 2023</t>
  </si>
  <si>
    <t>Petugas Pasar Higienis Air Ruai</t>
  </si>
  <si>
    <t>Subaria</t>
  </si>
  <si>
    <t>Lia Tri Wahyuni, S.Si</t>
  </si>
  <si>
    <t>Ika Kartika, S.T.P</t>
  </si>
  <si>
    <t>Agustus 2023</t>
  </si>
  <si>
    <t>JULIYARDI, ST</t>
  </si>
  <si>
    <t>198607252019031002</t>
  </si>
  <si>
    <t>Berdasarkan Surat Perintah Perjalanan Dinas/Surat Tugas Tanggal 25 Agustus 2023  Nomor : PM.02.04.10A.10A4.08.23.843 dengan ini kami menyatakan dengan sesungguhnya bahwa :</t>
  </si>
  <si>
    <t>NIP. 198607252019031002</t>
  </si>
  <si>
    <t>Berdasarkan Surat Perintah Perjalanan Dinas/Surat Tugas Tanggal 25 Agustus 2023  Nomor : PM.02.04.10A.10A4.08.23.844 dengan ini kami menyatakan dengan sesungguhnya bahwa :</t>
  </si>
  <si>
    <t>LIDYA SARI SIMANJUNTAK, SKM</t>
  </si>
  <si>
    <t>199602292019032002</t>
  </si>
  <si>
    <t>NIP. 199602292019032002</t>
  </si>
  <si>
    <t>September 2023</t>
  </si>
  <si>
    <t>Berdasarkan Surat Perintah Perjalanan Dinas/Surat Tugas Tanggal 05 September 2023  Nomor : PW.04.03.10A.10A4.09.23.890 dengan ini kami menyatakan dengan sesungguhnya bahwa :</t>
  </si>
  <si>
    <t>Hardiyanti</t>
  </si>
  <si>
    <t>Juru Pungut Pasar Perumnas Belinyu</t>
  </si>
  <si>
    <t>Berdasarkan Surat Perintah Perjalanan Dinas/Surat Tugas Tanggal 05 September 2023  Nomor : PW.04.03.10A.10A4.09.23.889 dengan ini kami menyatakan dengan sesungguhnya bahwa :</t>
  </si>
  <si>
    <t>Faridian Dwi Noor</t>
  </si>
  <si>
    <t>Petugas Pasar Kenanga</t>
  </si>
  <si>
    <t>Noza Fiqri</t>
  </si>
  <si>
    <t>Transport Lokal Kab. Bangka Barat ke Kab. Bangka Barat PP</t>
  </si>
  <si>
    <t>Berdasarkan Surat Perintah Perjalanan Dinas/Surat Tugas Tanggal 20 September 2023  Nomor : PW.04.03.10A.10A4.09.23.889 dengan ini kami menyatakan dengan sesungguhnya bahwa :</t>
  </si>
  <si>
    <t>Sittah</t>
  </si>
  <si>
    <t>197610262009032006</t>
  </si>
  <si>
    <t>Tito Dwi Christianto, STP</t>
  </si>
  <si>
    <t>199412282019031005</t>
  </si>
  <si>
    <t>Berdasarkan Surat Perintah Perjalanan Dinas/Surat Tugas Tanggal 3 Oktober 2023  Nomor : PM.02.04.10A.10A4.10.23.1036 dengan ini kami menyatakan dengan sesungguhnya bahwa :</t>
  </si>
  <si>
    <t>Kab. Belitung, 3 Oktober 2023</t>
  </si>
  <si>
    <t>NIP. 199412282019031005</t>
  </si>
  <si>
    <t>Oktober 2023</t>
  </si>
  <si>
    <t>Transport Lokal Kab. Bangka Tengah-Kab. Bangka Tengah PP</t>
  </si>
  <si>
    <t>Oktober  2023</t>
  </si>
  <si>
    <t>Subkoor Bidang Konsumsi dan Keamanan Pangan/ AKP Ahli Muda</t>
  </si>
  <si>
    <t>Berdasarkan Surat Perintah Perjalanan Dinas/Surat Tugas Tanggal 23 Oktober 2023  Nomor : PW.04.03.10A.10A4.10.23.1114 dengan ini kami menyatakan dengan sesungguhnya bahwa :</t>
  </si>
  <si>
    <t xml:space="preserve">     Sittah</t>
  </si>
  <si>
    <t xml:space="preserve">     '197610262009032006</t>
  </si>
  <si>
    <t xml:space="preserve">     Subkoor Bidang Konsumsi dan Keamanan Pangan/ AKP Ahli Muda</t>
  </si>
  <si>
    <t>Sanitarian Puskesmas Puput</t>
  </si>
  <si>
    <t>Berdasarkan Surat Perintah Perjalanan Dinas/Surat Tugas Tanggal 23 Oktober 2023  Nomor : PW.04.03.10A.10A4.10.23.1115 dengan ini kami menyatakan dengan sesungguhnya bahwa :</t>
  </si>
  <si>
    <t>Berdasarkan Surat Perintah Perjalanan Dinas/Surat Tugas Tanggal 31 Oktober 2023  Nomor : HM.03.10A.10A4.10.23.1153 dengan ini kami menyatakan dengan sesungguhnya bahwa :</t>
  </si>
  <si>
    <t>Kab. Bangka Tengah, 31 Oktober 2023</t>
  </si>
  <si>
    <t>198612302014021004</t>
  </si>
  <si>
    <t>Analis Hutan Lahan RHL Balai Pengelolaan Daerah Aliran Sungai (BPDAS) Prov. Bangka Belitung</t>
  </si>
  <si>
    <t>198203242005011003</t>
  </si>
  <si>
    <t>Kepala Balai Pengelolaan Daerah Aliran Sungai (BPDAS) Prov. Bangka Belitung</t>
  </si>
  <si>
    <t>198902252015022003</t>
  </si>
  <si>
    <t>Analis Hutan dan Lahan Balai Pengelolaan Daerah Aliran Sungai (BPDAS) Prov. Bangka Belitung</t>
  </si>
  <si>
    <t>198212082008021001</t>
  </si>
  <si>
    <t>Kasi RHL Balai Pengelolaan Daerah Aliran Sungai (BPDAS) Prov. Bangka Belitung</t>
  </si>
  <si>
    <t>Septo Dwi Yan Purnomo, S. T.P</t>
  </si>
  <si>
    <t>Indita Tiara Puspa, S.TP</t>
  </si>
  <si>
    <t>Fatun Indarti, S.Pd</t>
  </si>
  <si>
    <t>198209282006042009</t>
  </si>
  <si>
    <t>Guru SMP Negeri 1 Koba</t>
  </si>
  <si>
    <t>Pangkalpinang, 17 November 2023</t>
  </si>
  <si>
    <t>Dwi Kartika, S.Pd</t>
  </si>
  <si>
    <t>198206162010012011</t>
  </si>
  <si>
    <t>Rafini</t>
  </si>
  <si>
    <t>196808292003122001</t>
  </si>
  <si>
    <t>Kepala Sekolah SD Negeri 8 Sungailiat</t>
  </si>
  <si>
    <t>Akmalia Isza</t>
  </si>
  <si>
    <t>198306092023212007</t>
  </si>
  <si>
    <t>Guru SD Negeri 8 Sungailiat</t>
  </si>
  <si>
    <t>Yunia</t>
  </si>
  <si>
    <t>Guru MIN 1 Bangka</t>
  </si>
  <si>
    <t>NIP.-</t>
  </si>
  <si>
    <t>Arini</t>
  </si>
  <si>
    <t>Yusnaini, S.Pd</t>
  </si>
  <si>
    <t>197802272005012007</t>
  </si>
  <si>
    <t>Wakil Kepala Sekolah SMA Negeri 1 Sungailiat</t>
  </si>
  <si>
    <t>NIP. 198209282006042009</t>
  </si>
  <si>
    <t>NIP. 198206162010012011</t>
  </si>
  <si>
    <t>NIP. 196808292003122001</t>
  </si>
  <si>
    <t>NIP. 198306092023212007</t>
  </si>
  <si>
    <t>NIP. 197802272005012007</t>
  </si>
  <si>
    <t>Eka Putri Utami</t>
  </si>
  <si>
    <t>1995122902212005</t>
  </si>
  <si>
    <t>Guru SMA Negeri 1 Sungailiat</t>
  </si>
  <si>
    <t>NIP. 1995122902212005</t>
  </si>
  <si>
    <t>Berdasarkan Surat Perintah Perjalanan Dinas/Surat Tugas Tanggal 16 November 2023  Nomor : PM.02.04.10A.10A4.11.23.1224 dengan ini kami menyatakan dengan sesungguhnya bahwa :</t>
  </si>
  <si>
    <t>Transport Kab. Bangka Tengah ke Pangkalpinang PP</t>
  </si>
  <si>
    <t>Transport  Kab. Bangka ke Pangkalpinang PP</t>
  </si>
  <si>
    <t>Transport Kab. Bangka ke Pangkalpinang PP</t>
  </si>
  <si>
    <t>Agus Riyanto, S.Si.,Apt</t>
  </si>
  <si>
    <t>NIP.19810804 200604 1 005</t>
  </si>
  <si>
    <t>NIP.  19931203 202012 2 001</t>
  </si>
  <si>
    <t>Mei 2024</t>
  </si>
  <si>
    <t>Transport Lokal Pangkalpinang - Pangkalpinang PP</t>
  </si>
  <si>
    <t>Berdasarkan Surat Perintah Perjalanan Dinas/Surat Tugas Tanggal 21 Mei 2024  Nomor : PW.04.03.8B.05.24.462 dengan ini kami menyatakan dengan sesungguhnya bahwa :</t>
  </si>
  <si>
    <t>Transport Lokal Kab. Belitung Timur ke Kab. Kab. Belitung Timur PP</t>
  </si>
  <si>
    <t>Kab. Belitung Timur,</t>
  </si>
  <si>
    <t>Netty Desi Margaretta Manullang, S.E</t>
  </si>
  <si>
    <t>NIP. 19931203 202012 2 001</t>
  </si>
  <si>
    <t>Seviliana, S.A.N</t>
  </si>
  <si>
    <t>19830910 201001 2 011</t>
  </si>
  <si>
    <t>Berdasarkan Surat Perintah Perjalanan Dinas/Surat Tugas Tanggal 04 Juni 2024  Nomor : PW.04.03.8B.06.24.520 dengan ini kami menyatakan dengan sesungguhnya bahwa :</t>
  </si>
  <si>
    <t>Transport Lokal Kab. Bangka Barat Ke Kabupaten Bangka Barat PP</t>
  </si>
  <si>
    <t>Juni 2024</t>
  </si>
  <si>
    <t>NIP. 19830910 201001 2 011</t>
  </si>
  <si>
    <t>Tria Qorina, AMKL</t>
  </si>
  <si>
    <t>19880119 201001 2 012</t>
  </si>
  <si>
    <t>Sanitarian Mahir Dinas Kesehatan Kabupaten Bangka Barat</t>
  </si>
  <si>
    <t>NIP. 19880119 201001 2 012</t>
  </si>
  <si>
    <t>Sub Koordinator PDN Dinas Koperasi UKM dan Perdagangan Kabupaten Bangka Barat</t>
  </si>
  <si>
    <t>Drajatun Suardhinie, SE</t>
  </si>
  <si>
    <t>Staf Perdagangan Dinas Koperasi UKM dan Perdagangan Kabupaten Bangka Barat</t>
  </si>
  <si>
    <t>Berdasarkan Surat Perintah Perjalanan Dinas/Surat Tugas Tanggal 11 Juni 2024  Nomor :  PW.04.03.8B.06.24.554 dengan ini kami menyatakan dengan sesungguhnya bahwa :</t>
  </si>
  <si>
    <t>Kota Pangkalpinang,</t>
  </si>
  <si>
    <t xml:space="preserve">Transport Lokal Pangkalpinang-Pangkalpinang PP </t>
  </si>
  <si>
    <t>Berdasarkan Surat Perintah Perjalanan Dinas/Surat Tugas Tanggal 10 September 2024  Nomor :  PW.04.03.8B.09.24.943 dengan ini kami menyatakan dengan sesungguhnya bahwa :</t>
  </si>
  <si>
    <t xml:space="preserve">Transport Lokal Kab. Bangka - Kab. Bangka PP </t>
  </si>
  <si>
    <t>Bangka,</t>
  </si>
  <si>
    <t>September 2024</t>
  </si>
  <si>
    <t>Berdasarkan Surat Perintah Perjalanan Dinas/Surat Tugas Tanggal 25 September 2024  Nomor :  PW.04.03.8B.09.24.1004 dengan ini kami menyatakan dengan sesungguhnya bahwa :</t>
  </si>
  <si>
    <t xml:space="preserve">Transport Lokal Pangkalpinang - Pangkalpinang  PP </t>
  </si>
  <si>
    <t>Pangkalpinang, 26 Februari 2026</t>
  </si>
  <si>
    <t>Berdasarkan Surat Perintah Perjalanan Dinas/Surat Tugas Tanggal 25 Februari 2026 Nomor : OT.03.02.7B.02.26.159 dengan ini kami menyatakan dengan sesungguhnya bahwa :</t>
  </si>
  <si>
    <t>Berdasarkan Surat Perintah Perjalanan Dinas/Surat Tugas Tanggal 11 Mei 2026 Nomor : PM.02.04.20B.05.26.383 dengan ini kami menyatakan dengan sesungguhnya bahwa :</t>
  </si>
  <si>
    <t>Transport Lokal Kab. Bangka Tengah - Kab. Bangka Tengah PP</t>
  </si>
  <si>
    <t>Kab. Bangka Tengah, 12 Mei 2026</t>
  </si>
  <si>
    <t>Berdasarkan Surat Perintah Perjalanan Dinas/Surat Tugas Tanggal 05 Juni 2026 Nomor : OT.03.02.20B.06.26.450  dengan ini kami menyatakan dengan sesungguhnya bahwa :</t>
  </si>
  <si>
    <t>Pangkalpinang, 08 Juni 2026</t>
  </si>
  <si>
    <t xml:space="preserve">PFM Ahli Muda </t>
  </si>
  <si>
    <t>Tri Astuti Rahmawati, S.TP., M.Sc.</t>
  </si>
  <si>
    <t xml:space="preserve">PFM Ahli Madya </t>
  </si>
  <si>
    <t>Puspa Sari Paniti Ratri, S.Farm. Apt</t>
  </si>
  <si>
    <t>Muhammad Herpi Akbar, S.Farm., Apt., M.Farm.</t>
  </si>
  <si>
    <t xml:space="preserve">NIP. 19931113 201903 1 002 </t>
  </si>
  <si>
    <t>Ahmad Burhan Rifa'i, S.TP.</t>
  </si>
  <si>
    <t xml:space="preserve">Ika Kartika, S.T.P </t>
  </si>
  <si>
    <t xml:space="preserve">19861002 200912 2 002 </t>
  </si>
  <si>
    <t xml:space="preserve">PFM Ahli Pertama </t>
  </si>
  <si>
    <t xml:space="preserve">19880114 201012 1 002 </t>
  </si>
  <si>
    <t xml:space="preserve">Talia Lucluba Madina, S.T.P </t>
  </si>
  <si>
    <t>19960315 202506 2 005</t>
  </si>
  <si>
    <t xml:space="preserve">Alvindra Pratama, S.T </t>
  </si>
  <si>
    <t xml:space="preserve">19940925 202506 1004 </t>
  </si>
  <si>
    <t xml:space="preserve">Agus Setiawan </t>
  </si>
  <si>
    <t xml:space="preserve">Pengemudi </t>
  </si>
  <si>
    <t>Pangkalpinang, 17 Juni 2026</t>
  </si>
  <si>
    <t>Berdasarkan Surat Perintah Perjalanan Dinas/Surat Tugas Tanggal 15 Juni 2026 Nomor : PM.02.01.20B.06.26.482  dengan ini kami menyatakan dengan sesungguhnya bahwa :</t>
  </si>
  <si>
    <t>BALAI BESAR PENGAWAS OBAT DAN MAKANAN</t>
  </si>
  <si>
    <t>Berdasarkan Surat Perintah Perjalanan Dinas/Surat Tugas Tanggal 15 Juli 2026 Nomor : PM.02.01.20B.07.26.599  dengan ini kami menyatakan dengan sesungguhnya bahwa :</t>
  </si>
  <si>
    <t xml:space="preserve">Nurleli, S.E </t>
  </si>
  <si>
    <t>19810502 201101 2 004</t>
  </si>
  <si>
    <t>Penyuluh Perindag Pertama Dinas Koperasi UKM Perindustrian dan Perdagangan Kab. Bangka Selatan</t>
  </si>
  <si>
    <t>Transport Lokal Kab. Bangka Selatan ke Kab. Bangka Selatan PP</t>
  </si>
  <si>
    <t>Bangka Selatan, 23 Juli 2026</t>
  </si>
  <si>
    <t>Berdasarkan Surat Perintah Perjalanan Dinas/Surat Tugas Tanggal 22 Juli 2026 Nomor : PM.02.01.20B.07.26.626  dengan ini kami menyatakan dengan sesungguhnya bahwa :</t>
  </si>
  <si>
    <t>Zuria Mitra, S.AB</t>
  </si>
  <si>
    <t>19891026 202012 2 010</t>
  </si>
  <si>
    <t>Petugas Pasar Pelataran Parkir Terminal Toboali</t>
  </si>
  <si>
    <t>Pangkal Pinang, 20 Juli 2026</t>
  </si>
  <si>
    <t>Transport Lokal Pangkal Pinang - Pangkal Pinang PP</t>
  </si>
  <si>
    <t>Berdasarkan Surat Perintah Perjalanan Dinas/Surat Tugas Tanggal 18 Agustus 2026 Nomor : OT.03.02.20B.08.26.719  dengan ini kami menyatakan dengan sesungguhnya bahwa :</t>
  </si>
  <si>
    <t>Hotel 30%</t>
  </si>
  <si>
    <t>Selama 4 Malam</t>
  </si>
  <si>
    <t>Pangkal Pinang, 31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</si>
</sst>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p&quot;#,##0;[Red]\-&quot;Rp&quot;#,##0"/>
    <numFmt numFmtId="164" formatCode="_(* #,##0_);_(* \(#,##0\);_(* &quot;-&quot;_);_(@_)"/>
    <numFmt numFmtId="165" formatCode="&quot;Rp&quot;#,##0_);\(&quot;Rp&quot;#,##0\)"/>
    <numFmt numFmtId="166" formatCode="_(&quot;Rp&quot;* #,##0_);_(&quot;Rp&quot;* \(#,##0\);_(&quot;Rp&quot;* &quot;-&quot;_);_(@_)"/>
    <numFmt numFmtId="167" formatCode="_-&quot;Rp.&quot;* #,##0_-;_-&quot;Rp.&quot;* #,##0\-;_-&quot;Rp.&quot;* &quot;-&quot;_-;_-@_-"/>
    <numFmt numFmtId="168" formatCode="_-&quot;Rp.&quot;* #,##0.00_-;_-&quot;Rp.&quot;* #,##0.00\-;_-&quot;Rp.&quot;* &quot;-&quot;??_-;_-@_-"/>
    <numFmt numFmtId="169" formatCode="_-&quot;Rp&quot;* #,##0_-;\-&quot;Rp&quot;* #,##0_-;_-&quot;Rp&quot;* &quot;-&quot;??_-;_-@_-"/>
  </numFmts>
  <fonts count="68" x14ac:knownFonts="1">
    <font>
      <sz val="10"/>
      <name val="Arial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u/>
      <sz val="11"/>
      <name val="Times New Roman"/>
      <family val="1"/>
    </font>
    <font>
      <b/>
      <sz val="11"/>
      <name val="Arial"/>
      <family val="2"/>
    </font>
    <font>
      <b/>
      <u/>
      <sz val="10"/>
      <name val="Times New Roman"/>
      <family val="1"/>
    </font>
    <font>
      <b/>
      <u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Arial"/>
      <family val="2"/>
    </font>
    <font>
      <sz val="11"/>
      <name val="Arial Narrow"/>
      <family val="2"/>
    </font>
    <font>
      <b/>
      <u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u/>
      <sz val="11"/>
      <color theme="5"/>
      <name val="Times New Roman"/>
      <family val="1"/>
    </font>
    <font>
      <sz val="11"/>
      <color theme="5"/>
      <name val="Times New Roman"/>
      <family val="1"/>
    </font>
    <font>
      <sz val="10"/>
      <color theme="5"/>
      <name val="Arial"/>
      <family val="2"/>
    </font>
    <font>
      <b/>
      <sz val="12"/>
      <color theme="5"/>
      <name val="Times New Roman"/>
      <family val="1"/>
    </font>
    <font>
      <sz val="10"/>
      <color theme="5"/>
      <name val="Times New Roman"/>
      <family val="1"/>
    </font>
    <font>
      <b/>
      <sz val="12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Times New Roman"/>
      <family val="1"/>
    </font>
    <font>
      <sz val="10"/>
      <color rgb="FFFF0000"/>
      <name val="Times New Roman"/>
      <family val="1"/>
    </font>
    <font>
      <b/>
      <u/>
      <sz val="11"/>
      <name val="Arial Narrow"/>
      <family val="2"/>
    </font>
    <font>
      <b/>
      <sz val="11"/>
      <name val="Arial Narrow"/>
      <family val="2"/>
    </font>
    <font>
      <b/>
      <sz val="10"/>
      <color theme="0"/>
      <name val="Times New Roman"/>
      <family val="1"/>
    </font>
    <font>
      <b/>
      <u/>
      <sz val="10"/>
      <color theme="0"/>
      <name val="Times New Roman"/>
      <family val="1"/>
    </font>
    <font>
      <b/>
      <sz val="14"/>
      <color theme="0"/>
      <name val="Times New Roman"/>
      <family val="1"/>
    </font>
    <font>
      <b/>
      <sz val="11"/>
      <color theme="0"/>
      <name val="Times New Roman"/>
      <family val="1"/>
    </font>
    <font>
      <b/>
      <u/>
      <sz val="9"/>
      <color theme="0"/>
      <name val="Times New Roman"/>
      <family val="1"/>
    </font>
    <font>
      <sz val="9"/>
      <color theme="0"/>
      <name val="Times New Roman"/>
      <family val="1"/>
    </font>
    <font>
      <b/>
      <u/>
      <sz val="10"/>
      <color theme="1"/>
      <name val="Times New Roman"/>
      <family val="1"/>
    </font>
    <font>
      <b/>
      <u/>
      <sz val="10"/>
      <color rgb="FFFF0000"/>
      <name val="Arial Narrow"/>
      <family val="2"/>
    </font>
    <font>
      <sz val="10"/>
      <color rgb="FFFF0000"/>
      <name val="Arial Narrow"/>
      <family val="2"/>
    </font>
    <font>
      <b/>
      <u/>
      <sz val="12"/>
      <name val="Arial Narrow"/>
      <family val="2"/>
    </font>
    <font>
      <sz val="12"/>
      <name val="Arial Narrow"/>
      <family val="2"/>
    </font>
    <font>
      <b/>
      <sz val="14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u/>
      <sz val="14"/>
      <name val="Arial Narrow"/>
      <family val="2"/>
    </font>
    <font>
      <b/>
      <u/>
      <sz val="14"/>
      <color theme="1"/>
      <name val="Arial Narrow"/>
      <family val="2"/>
    </font>
    <font>
      <b/>
      <sz val="14"/>
      <color theme="0"/>
      <name val="Arial Narrow"/>
      <family val="2"/>
    </font>
    <font>
      <sz val="14"/>
      <color theme="0"/>
      <name val="Arial Narrow"/>
      <family val="2"/>
    </font>
    <font>
      <b/>
      <u/>
      <sz val="14"/>
      <color theme="0"/>
      <name val="Arial Narrow"/>
      <family val="2"/>
    </font>
    <font>
      <b/>
      <u/>
      <sz val="12"/>
      <name val="Times New Roman"/>
      <family val="1"/>
    </font>
    <font>
      <sz val="12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</cellStyleXfs>
  <cellXfs count="341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164" fontId="3" fillId="0" borderId="0" xfId="0" applyNumberFormat="1" applyFont="1"/>
    <xf numFmtId="164" fontId="2" fillId="0" borderId="1" xfId="0" applyNumberFormat="1" applyFont="1" applyBorder="1"/>
    <xf numFmtId="0" fontId="3" fillId="0" borderId="0" xfId="0" quotePrefix="1" applyFont="1"/>
    <xf numFmtId="3" fontId="3" fillId="0" borderId="0" xfId="0" applyNumberFormat="1" applyFont="1"/>
    <xf numFmtId="0" fontId="3" fillId="0" borderId="0" xfId="0" quotePrefix="1" applyFont="1" applyAlignment="1">
      <alignment horizontal="center"/>
    </xf>
    <xf numFmtId="0" fontId="3" fillId="0" borderId="0" xfId="0" quotePrefix="1" applyFont="1" applyAlignment="1">
      <alignment vertical="top"/>
    </xf>
    <xf numFmtId="0" fontId="2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8" fillId="0" borderId="4" xfId="0" applyFont="1" applyBorder="1"/>
    <xf numFmtId="0" fontId="7" fillId="0" borderId="2" xfId="0" applyFont="1" applyBorder="1"/>
    <xf numFmtId="0" fontId="8" fillId="0" borderId="5" xfId="0" quotePrefix="1" applyFont="1" applyBorder="1"/>
    <xf numFmtId="0" fontId="8" fillId="0" borderId="6" xfId="0" applyFont="1" applyBorder="1"/>
    <xf numFmtId="166" fontId="8" fillId="0" borderId="5" xfId="0" applyNumberFormat="1" applyFont="1" applyBorder="1"/>
    <xf numFmtId="164" fontId="8" fillId="0" borderId="5" xfId="0" applyNumberFormat="1" applyFont="1" applyBorder="1"/>
    <xf numFmtId="0" fontId="8" fillId="0" borderId="7" xfId="0" quotePrefix="1" applyFont="1" applyBorder="1"/>
    <xf numFmtId="0" fontId="8" fillId="0" borderId="8" xfId="0" applyFont="1" applyBorder="1"/>
    <xf numFmtId="0" fontId="8" fillId="0" borderId="9" xfId="0" applyFont="1" applyBorder="1"/>
    <xf numFmtId="164" fontId="8" fillId="0" borderId="7" xfId="0" applyNumberFormat="1" applyFont="1" applyBorder="1"/>
    <xf numFmtId="0" fontId="5" fillId="0" borderId="0" xfId="0" applyFont="1" applyAlignment="1">
      <alignment horizontal="center"/>
    </xf>
    <xf numFmtId="0" fontId="13" fillId="0" borderId="0" xfId="0" applyFont="1"/>
    <xf numFmtId="0" fontId="15" fillId="0" borderId="0" xfId="0" applyFont="1"/>
    <xf numFmtId="0" fontId="13" fillId="0" borderId="0" xfId="0" quotePrefix="1" applyFont="1"/>
    <xf numFmtId="0" fontId="13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10" fillId="0" borderId="0" xfId="0" quotePrefix="1" applyFont="1"/>
    <xf numFmtId="0" fontId="11" fillId="0" borderId="0" xfId="0" applyFont="1"/>
    <xf numFmtId="0" fontId="14" fillId="0" borderId="0" xfId="0" applyFont="1"/>
    <xf numFmtId="164" fontId="10" fillId="0" borderId="0" xfId="0" applyNumberFormat="1" applyFont="1"/>
    <xf numFmtId="0" fontId="0" fillId="0" borderId="0" xfId="0" quotePrefix="1"/>
    <xf numFmtId="0" fontId="12" fillId="0" borderId="0" xfId="0" applyFont="1"/>
    <xf numFmtId="0" fontId="16" fillId="0" borderId="0" xfId="0" applyFont="1"/>
    <xf numFmtId="166" fontId="3" fillId="0" borderId="5" xfId="0" applyNumberFormat="1" applyFont="1" applyBorder="1"/>
    <xf numFmtId="0" fontId="3" fillId="0" borderId="5" xfId="0" quotePrefix="1" applyFont="1" applyBorder="1"/>
    <xf numFmtId="0" fontId="2" fillId="0" borderId="0" xfId="0" applyFont="1"/>
    <xf numFmtId="166" fontId="2" fillId="0" borderId="1" xfId="0" applyNumberFormat="1" applyFont="1" applyBorder="1"/>
    <xf numFmtId="0" fontId="3" fillId="0" borderId="6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2" fillId="0" borderId="11" xfId="0" applyFont="1" applyBorder="1"/>
    <xf numFmtId="164" fontId="2" fillId="0" borderId="11" xfId="0" applyNumberFormat="1" applyFont="1" applyBorder="1"/>
    <xf numFmtId="0" fontId="3" fillId="0" borderId="12" xfId="0" applyFont="1" applyBorder="1"/>
    <xf numFmtId="0" fontId="3" fillId="0" borderId="0" xfId="0" applyFont="1" applyAlignment="1">
      <alignment vertical="top"/>
    </xf>
    <xf numFmtId="166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6" xfId="0" applyFont="1" applyBorder="1" applyAlignment="1">
      <alignment vertical="center"/>
    </xf>
    <xf numFmtId="166" fontId="3" fillId="0" borderId="5" xfId="0" applyNumberFormat="1" applyFont="1" applyBorder="1" applyAlignment="1">
      <alignment vertical="center"/>
    </xf>
    <xf numFmtId="0" fontId="8" fillId="0" borderId="0" xfId="0" quotePrefix="1" applyFont="1"/>
    <xf numFmtId="164" fontId="8" fillId="0" borderId="0" xfId="0" applyNumberFormat="1" applyFont="1"/>
    <xf numFmtId="166" fontId="8" fillId="0" borderId="0" xfId="0" applyNumberFormat="1" applyFont="1"/>
    <xf numFmtId="0" fontId="3" fillId="0" borderId="5" xfId="0" quotePrefix="1" applyFont="1" applyBorder="1" applyAlignment="1">
      <alignment vertical="center"/>
    </xf>
    <xf numFmtId="0" fontId="24" fillId="0" borderId="0" xfId="0" applyFont="1"/>
    <xf numFmtId="0" fontId="25" fillId="0" borderId="0" xfId="0" applyFont="1" applyAlignment="1">
      <alignment vertical="top"/>
    </xf>
    <xf numFmtId="0" fontId="16" fillId="0" borderId="0" xfId="0" applyFont="1" applyAlignment="1">
      <alignment horizontal="left" vertical="center"/>
    </xf>
    <xf numFmtId="0" fontId="1" fillId="0" borderId="0" xfId="0" applyFont="1"/>
    <xf numFmtId="0" fontId="16" fillId="0" borderId="0" xfId="0" applyFont="1" applyAlignment="1">
      <alignment vertical="center"/>
    </xf>
    <xf numFmtId="0" fontId="25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quotePrefix="1" applyFont="1" applyAlignment="1">
      <alignment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horizontal="left"/>
    </xf>
    <xf numFmtId="0" fontId="30" fillId="0" borderId="0" xfId="0" applyFont="1"/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quotePrefix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6" xfId="0" applyFont="1" applyBorder="1" applyAlignment="1">
      <alignment vertical="center"/>
    </xf>
    <xf numFmtId="166" fontId="8" fillId="0" borderId="5" xfId="0" applyNumberFormat="1" applyFont="1" applyBorder="1" applyAlignment="1">
      <alignment vertical="center"/>
    </xf>
    <xf numFmtId="0" fontId="10" fillId="0" borderId="0" xfId="0" quotePrefix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0" fillId="0" borderId="0" xfId="0" quotePrefix="1" applyAlignment="1">
      <alignment vertical="center"/>
    </xf>
    <xf numFmtId="0" fontId="31" fillId="0" borderId="0" xfId="0" applyFont="1" applyAlignment="1">
      <alignment horizontal="left"/>
    </xf>
    <xf numFmtId="0" fontId="32" fillId="0" borderId="0" xfId="0" applyFont="1"/>
    <xf numFmtId="166" fontId="0" fillId="0" borderId="0" xfId="0" applyNumberForma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7" fillId="0" borderId="0" xfId="0" applyFont="1"/>
    <xf numFmtId="167" fontId="8" fillId="0" borderId="5" xfId="2" applyFont="1" applyBorder="1"/>
    <xf numFmtId="166" fontId="11" fillId="0" borderId="0" xfId="0" applyNumberFormat="1" applyFont="1" applyAlignment="1">
      <alignment vertical="center"/>
    </xf>
    <xf numFmtId="0" fontId="18" fillId="0" borderId="0" xfId="0" applyFont="1"/>
    <xf numFmtId="0" fontId="3" fillId="0" borderId="5" xfId="0" quotePrefix="1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3" fillId="0" borderId="0" xfId="0" applyFont="1"/>
    <xf numFmtId="0" fontId="8" fillId="0" borderId="0" xfId="0" applyFont="1" applyAlignment="1">
      <alignment vertical="top"/>
    </xf>
    <xf numFmtId="0" fontId="3" fillId="0" borderId="5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vertical="top"/>
    </xf>
    <xf numFmtId="0" fontId="22" fillId="0" borderId="0" xfId="0" applyFont="1"/>
    <xf numFmtId="0" fontId="21" fillId="0" borderId="0" xfId="0" quotePrefix="1" applyFont="1"/>
    <xf numFmtId="0" fontId="34" fillId="0" borderId="0" xfId="0" applyFont="1"/>
    <xf numFmtId="0" fontId="35" fillId="0" borderId="0" xfId="0" applyFont="1" applyAlignment="1">
      <alignment horizontal="center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36" fillId="0" borderId="0" xfId="0" quotePrefix="1" applyFont="1"/>
    <xf numFmtId="0" fontId="36" fillId="0" borderId="0" xfId="0" applyFont="1" applyAlignment="1">
      <alignment vertical="center"/>
    </xf>
    <xf numFmtId="0" fontId="36" fillId="0" borderId="0" xfId="0" applyFont="1" applyAlignment="1">
      <alignment vertical="top"/>
    </xf>
    <xf numFmtId="0" fontId="39" fillId="0" borderId="0" xfId="0" applyFont="1"/>
    <xf numFmtId="164" fontId="38" fillId="0" borderId="0" xfId="0" applyNumberFormat="1" applyFont="1"/>
    <xf numFmtId="0" fontId="18" fillId="0" borderId="0" xfId="0" applyFont="1" applyAlignment="1">
      <alignment horizontal="left" vertical="center"/>
    </xf>
    <xf numFmtId="0" fontId="40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65" fontId="8" fillId="0" borderId="14" xfId="1" applyNumberFormat="1" applyFont="1" applyBorder="1" applyAlignment="1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18" fillId="0" borderId="0" xfId="0" applyFont="1" applyAlignment="1">
      <alignment horizontal="left"/>
    </xf>
    <xf numFmtId="0" fontId="8" fillId="0" borderId="1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7" fontId="13" fillId="0" borderId="0" xfId="2" applyFont="1" applyBorder="1" applyAlignment="1">
      <alignment vertical="center"/>
    </xf>
    <xf numFmtId="0" fontId="23" fillId="0" borderId="0" xfId="0" quotePrefix="1" applyFont="1" applyAlignment="1">
      <alignment vertical="center"/>
    </xf>
    <xf numFmtId="166" fontId="23" fillId="0" borderId="5" xfId="0" applyNumberFormat="1" applyFont="1" applyBorder="1" applyAlignment="1">
      <alignment horizontal="center" vertical="center"/>
    </xf>
    <xf numFmtId="167" fontId="8" fillId="0" borderId="0" xfId="2" applyFont="1" applyBorder="1" applyAlignment="1">
      <alignment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166" fontId="3" fillId="0" borderId="13" xfId="0" applyNumberFormat="1" applyFont="1" applyBorder="1" applyAlignment="1">
      <alignment vertical="center"/>
    </xf>
    <xf numFmtId="0" fontId="8" fillId="0" borderId="5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8" fillId="0" borderId="0" xfId="0" quotePrefix="1" applyFont="1" applyAlignment="1">
      <alignment vertical="center"/>
    </xf>
    <xf numFmtId="164" fontId="8" fillId="0" borderId="5" xfId="0" applyNumberFormat="1" applyFont="1" applyBorder="1" applyAlignment="1">
      <alignment vertical="center"/>
    </xf>
    <xf numFmtId="0" fontId="8" fillId="0" borderId="0" xfId="0" quotePrefix="1" applyFont="1" applyAlignment="1">
      <alignment vertical="top"/>
    </xf>
    <xf numFmtId="0" fontId="16" fillId="0" borderId="0" xfId="0" applyFont="1" applyAlignment="1">
      <alignment horizontal="left"/>
    </xf>
    <xf numFmtId="0" fontId="41" fillId="0" borderId="0" xfId="0" applyFont="1"/>
    <xf numFmtId="0" fontId="8" fillId="0" borderId="16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5" xfId="0" quotePrefix="1" applyFont="1" applyBorder="1" applyAlignment="1">
      <alignment horizontal="center" vertical="top"/>
    </xf>
    <xf numFmtId="166" fontId="8" fillId="0" borderId="0" xfId="0" applyNumberFormat="1" applyFont="1" applyAlignment="1">
      <alignment vertical="top"/>
    </xf>
    <xf numFmtId="166" fontId="8" fillId="0" borderId="5" xfId="0" applyNumberFormat="1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 vertical="top"/>
    </xf>
    <xf numFmtId="0" fontId="8" fillId="0" borderId="0" xfId="0" quotePrefix="1" applyFont="1" applyAlignment="1">
      <alignment horizontal="left" vertical="center"/>
    </xf>
    <xf numFmtId="6" fontId="8" fillId="0" borderId="14" xfId="0" applyNumberFormat="1" applyFont="1" applyBorder="1" applyAlignment="1">
      <alignment vertical="center"/>
    </xf>
    <xf numFmtId="0" fontId="8" fillId="0" borderId="14" xfId="0" quotePrefix="1" applyFont="1" applyBorder="1" applyAlignment="1">
      <alignment vertical="center"/>
    </xf>
    <xf numFmtId="164" fontId="2" fillId="0" borderId="0" xfId="0" applyNumberFormat="1" applyFont="1"/>
    <xf numFmtId="0" fontId="3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/>
    <xf numFmtId="0" fontId="2" fillId="0" borderId="18" xfId="0" applyFont="1" applyBorder="1"/>
    <xf numFmtId="169" fontId="8" fillId="0" borderId="0" xfId="0" applyNumberFormat="1" applyFont="1" applyAlignment="1">
      <alignment horizontal="left" vertical="center"/>
    </xf>
    <xf numFmtId="0" fontId="23" fillId="0" borderId="17" xfId="0" applyFont="1" applyBorder="1" applyAlignment="1">
      <alignment vertical="center"/>
    </xf>
    <xf numFmtId="0" fontId="23" fillId="0" borderId="14" xfId="0" quotePrefix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0" xfId="0" quotePrefix="1" applyFont="1" applyAlignment="1">
      <alignment horizontal="center" vertical="center"/>
    </xf>
    <xf numFmtId="6" fontId="8" fillId="0" borderId="0" xfId="0" quotePrefix="1" applyNumberFormat="1" applyFont="1" applyAlignment="1">
      <alignment vertical="center"/>
    </xf>
    <xf numFmtId="0" fontId="42" fillId="0" borderId="0" xfId="0" applyFont="1" applyAlignment="1">
      <alignment horizontal="left" vertical="center"/>
    </xf>
    <xf numFmtId="0" fontId="23" fillId="0" borderId="0" xfId="0" applyFont="1" applyAlignment="1">
      <alignment vertical="top"/>
    </xf>
    <xf numFmtId="0" fontId="43" fillId="0" borderId="0" xfId="0" applyFont="1" applyAlignment="1">
      <alignment horizontal="left" vertical="center"/>
    </xf>
    <xf numFmtId="0" fontId="23" fillId="0" borderId="0" xfId="0" quotePrefix="1" applyFont="1" applyAlignment="1">
      <alignment vertical="top"/>
    </xf>
    <xf numFmtId="0" fontId="13" fillId="0" borderId="0" xfId="0" quotePrefix="1" applyFont="1" applyAlignment="1">
      <alignment vertical="top"/>
    </xf>
    <xf numFmtId="0" fontId="42" fillId="0" borderId="0" xfId="0" applyFont="1" applyAlignment="1">
      <alignment horizontal="left"/>
    </xf>
    <xf numFmtId="6" fontId="8" fillId="0" borderId="0" xfId="0" applyNumberFormat="1" applyFont="1" applyAlignment="1">
      <alignment vertical="center"/>
    </xf>
    <xf numFmtId="0" fontId="8" fillId="0" borderId="6" xfId="0" quotePrefix="1" applyFont="1" applyBorder="1" applyAlignment="1">
      <alignment vertical="center"/>
    </xf>
    <xf numFmtId="0" fontId="2" fillId="0" borderId="3" xfId="0" applyFont="1" applyBorder="1"/>
    <xf numFmtId="0" fontId="3" fillId="0" borderId="3" xfId="0" applyFont="1" applyBorder="1"/>
    <xf numFmtId="0" fontId="3" fillId="0" borderId="4" xfId="0" applyFont="1" applyBorder="1"/>
    <xf numFmtId="164" fontId="3" fillId="0" borderId="7" xfId="0" applyNumberFormat="1" applyFont="1" applyBorder="1"/>
    <xf numFmtId="0" fontId="44" fillId="0" borderId="0" xfId="0" applyFont="1"/>
    <xf numFmtId="0" fontId="32" fillId="0" borderId="0" xfId="0" quotePrefix="1" applyFont="1"/>
    <xf numFmtId="0" fontId="40" fillId="0" borderId="0" xfId="0" applyFont="1" applyAlignment="1">
      <alignment vertical="center"/>
    </xf>
    <xf numFmtId="0" fontId="45" fillId="0" borderId="0" xfId="0" applyFont="1"/>
    <xf numFmtId="0" fontId="32" fillId="0" borderId="0" xfId="0" applyFont="1" applyAlignment="1">
      <alignment vertical="top"/>
    </xf>
    <xf numFmtId="0" fontId="8" fillId="0" borderId="14" xfId="0" applyFont="1" applyBorder="1" applyAlignment="1">
      <alignment vertical="top"/>
    </xf>
    <xf numFmtId="17" fontId="3" fillId="0" borderId="0" xfId="0" quotePrefix="1" applyNumberFormat="1" applyFont="1"/>
    <xf numFmtId="0" fontId="46" fillId="0" borderId="0" xfId="0" applyFont="1" applyAlignment="1">
      <alignment horizontal="center"/>
    </xf>
    <xf numFmtId="0" fontId="40" fillId="0" borderId="0" xfId="0" quotePrefix="1" applyFont="1" applyAlignment="1">
      <alignment horizontal="center"/>
    </xf>
    <xf numFmtId="0" fontId="40" fillId="0" borderId="0" xfId="0" quotePrefix="1" applyFont="1" applyAlignment="1">
      <alignment vertical="top"/>
    </xf>
    <xf numFmtId="0" fontId="47" fillId="0" borderId="0" xfId="0" applyFont="1"/>
    <xf numFmtId="0" fontId="40" fillId="0" borderId="0" xfId="0" applyFont="1" applyAlignment="1">
      <alignment horizontal="center" vertical="center"/>
    </xf>
    <xf numFmtId="0" fontId="32" fillId="0" borderId="0" xfId="0" quotePrefix="1" applyFont="1" applyAlignment="1">
      <alignment vertical="center"/>
    </xf>
    <xf numFmtId="0" fontId="32" fillId="0" borderId="0" xfId="0" applyFont="1" applyAlignment="1">
      <alignment vertical="center"/>
    </xf>
    <xf numFmtId="166" fontId="40" fillId="0" borderId="0" xfId="0" applyNumberFormat="1" applyFont="1" applyAlignment="1">
      <alignment vertical="center"/>
    </xf>
    <xf numFmtId="0" fontId="40" fillId="0" borderId="0" xfId="0" quotePrefix="1" applyFont="1" applyAlignment="1">
      <alignment horizontal="center" vertical="center"/>
    </xf>
    <xf numFmtId="164" fontId="32" fillId="0" borderId="0" xfId="0" applyNumberFormat="1" applyFont="1" applyAlignment="1">
      <alignment vertical="center"/>
    </xf>
    <xf numFmtId="164" fontId="32" fillId="0" borderId="0" xfId="0" applyNumberFormat="1" applyFont="1"/>
    <xf numFmtId="0" fontId="40" fillId="0" borderId="0" xfId="0" quotePrefix="1" applyFont="1"/>
    <xf numFmtId="166" fontId="47" fillId="0" borderId="0" xfId="0" applyNumberFormat="1" applyFont="1"/>
    <xf numFmtId="164" fontId="47" fillId="0" borderId="0" xfId="0" applyNumberFormat="1" applyFont="1"/>
    <xf numFmtId="0" fontId="48" fillId="0" borderId="0" xfId="0" applyFont="1"/>
    <xf numFmtId="0" fontId="49" fillId="0" borderId="0" xfId="0" applyFont="1" applyAlignment="1">
      <alignment vertical="top"/>
    </xf>
    <xf numFmtId="0" fontId="37" fillId="0" borderId="0" xfId="0" applyFont="1" applyAlignment="1">
      <alignment horizontal="left"/>
    </xf>
    <xf numFmtId="0" fontId="36" fillId="0" borderId="0" xfId="0" quotePrefix="1" applyFont="1" applyAlignment="1">
      <alignment horizontal="left"/>
    </xf>
    <xf numFmtId="0" fontId="36" fillId="0" borderId="0" xfId="0" applyFont="1" applyAlignment="1">
      <alignment horizontal="left" vertical="center"/>
    </xf>
    <xf numFmtId="0" fontId="50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9" fontId="8" fillId="0" borderId="0" xfId="0" applyNumberFormat="1" applyFont="1"/>
    <xf numFmtId="0" fontId="51" fillId="0" borderId="0" xfId="0" applyFont="1"/>
    <xf numFmtId="0" fontId="52" fillId="0" borderId="0" xfId="0" applyFont="1"/>
    <xf numFmtId="167" fontId="8" fillId="0" borderId="14" xfId="0" applyNumberFormat="1" applyFont="1" applyBorder="1" applyAlignment="1">
      <alignment vertical="center"/>
    </xf>
    <xf numFmtId="0" fontId="47" fillId="0" borderId="0" xfId="0" applyFont="1" applyAlignment="1">
      <alignment horizontal="left"/>
    </xf>
    <xf numFmtId="0" fontId="40" fillId="0" borderId="0" xfId="0" quotePrefix="1" applyFont="1" applyAlignment="1">
      <alignment horizontal="left"/>
    </xf>
    <xf numFmtId="0" fontId="40" fillId="0" borderId="0" xfId="0" applyFont="1" applyAlignment="1">
      <alignment horizontal="left" vertical="center"/>
    </xf>
    <xf numFmtId="0" fontId="45" fillId="0" borderId="0" xfId="0" applyFont="1" applyAlignment="1">
      <alignment vertical="top"/>
    </xf>
    <xf numFmtId="0" fontId="53" fillId="0" borderId="0" xfId="3" applyFont="1" applyAlignment="1">
      <alignment horizontal="left"/>
    </xf>
    <xf numFmtId="0" fontId="54" fillId="0" borderId="0" xfId="3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7" fillId="0" borderId="0" xfId="0" applyFont="1"/>
    <xf numFmtId="0" fontId="55" fillId="0" borderId="0" xfId="0" applyFont="1" applyAlignment="1">
      <alignment horizontal="left" vertical="top"/>
    </xf>
    <xf numFmtId="0" fontId="57" fillId="0" borderId="0" xfId="0" quotePrefix="1" applyFont="1" applyAlignment="1">
      <alignment horizontal="center"/>
    </xf>
    <xf numFmtId="0" fontId="57" fillId="0" borderId="0" xfId="0" applyFont="1" applyAlignment="1">
      <alignment vertical="center"/>
    </xf>
    <xf numFmtId="0" fontId="57" fillId="0" borderId="0" xfId="0" quotePrefix="1" applyFont="1" applyAlignment="1">
      <alignment horizontal="left"/>
    </xf>
    <xf numFmtId="0" fontId="57" fillId="0" borderId="0" xfId="0" quotePrefix="1" applyFont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58" fillId="0" borderId="0" xfId="0" applyFont="1"/>
    <xf numFmtId="0" fontId="57" fillId="0" borderId="0" xfId="0" quotePrefix="1" applyFont="1" applyAlignment="1">
      <alignment vertical="top"/>
    </xf>
    <xf numFmtId="0" fontId="55" fillId="0" borderId="2" xfId="0" applyFont="1" applyBorder="1"/>
    <xf numFmtId="0" fontId="55" fillId="0" borderId="3" xfId="0" applyFont="1" applyBorder="1"/>
    <xf numFmtId="0" fontId="57" fillId="0" borderId="3" xfId="0" applyFont="1" applyBorder="1"/>
    <xf numFmtId="0" fontId="57" fillId="0" borderId="4" xfId="0" applyFont="1" applyBorder="1"/>
    <xf numFmtId="0" fontId="57" fillId="0" borderId="16" xfId="0" applyFont="1" applyBorder="1" applyAlignment="1">
      <alignment horizontal="center" vertical="center"/>
    </xf>
    <xf numFmtId="0" fontId="57" fillId="0" borderId="14" xfId="0" applyFont="1" applyBorder="1" applyAlignment="1">
      <alignment vertical="top"/>
    </xf>
    <xf numFmtId="0" fontId="57" fillId="0" borderId="6" xfId="0" applyFont="1" applyBorder="1" applyAlignment="1">
      <alignment vertical="center"/>
    </xf>
    <xf numFmtId="166" fontId="57" fillId="0" borderId="5" xfId="0" applyNumberFormat="1" applyFont="1" applyBorder="1" applyAlignment="1">
      <alignment vertical="center"/>
    </xf>
    <xf numFmtId="0" fontId="57" fillId="0" borderId="5" xfId="0" quotePrefix="1" applyFont="1" applyBorder="1" applyAlignment="1">
      <alignment horizontal="center" vertical="center"/>
    </xf>
    <xf numFmtId="0" fontId="57" fillId="0" borderId="0" xfId="0" quotePrefix="1" applyFont="1" applyAlignment="1">
      <alignment horizontal="left" vertical="center"/>
    </xf>
    <xf numFmtId="164" fontId="57" fillId="0" borderId="7" xfId="0" applyNumberFormat="1" applyFont="1" applyBorder="1"/>
    <xf numFmtId="0" fontId="57" fillId="0" borderId="6" xfId="0" applyFont="1" applyBorder="1"/>
    <xf numFmtId="0" fontId="57" fillId="0" borderId="5" xfId="0" quotePrefix="1" applyFont="1" applyBorder="1"/>
    <xf numFmtId="0" fontId="55" fillId="0" borderId="0" xfId="0" applyFont="1"/>
    <xf numFmtId="166" fontId="55" fillId="0" borderId="1" xfId="0" applyNumberFormat="1" applyFont="1" applyBorder="1"/>
    <xf numFmtId="0" fontId="57" fillId="0" borderId="10" xfId="0" quotePrefix="1" applyFont="1" applyBorder="1"/>
    <xf numFmtId="0" fontId="57" fillId="0" borderId="11" xfId="0" applyFont="1" applyBorder="1"/>
    <xf numFmtId="0" fontId="55" fillId="0" borderId="11" xfId="0" applyFont="1" applyBorder="1"/>
    <xf numFmtId="164" fontId="55" fillId="0" borderId="11" xfId="0" applyNumberFormat="1" applyFont="1" applyBorder="1"/>
    <xf numFmtId="0" fontId="57" fillId="0" borderId="12" xfId="0" applyFont="1" applyBorder="1"/>
    <xf numFmtId="0" fontId="59" fillId="0" borderId="0" xfId="3" applyFont="1" applyAlignment="1">
      <alignment horizontal="left"/>
    </xf>
    <xf numFmtId="0" fontId="59" fillId="0" borderId="0" xfId="0" applyFont="1" applyAlignment="1">
      <alignment horizontal="left"/>
    </xf>
    <xf numFmtId="0" fontId="59" fillId="0" borderId="0" xfId="0" applyFont="1"/>
    <xf numFmtId="0" fontId="57" fillId="0" borderId="0" xfId="3" applyFont="1" applyAlignment="1">
      <alignment horizontal="left"/>
    </xf>
    <xf numFmtId="0" fontId="57" fillId="0" borderId="0" xfId="0" quotePrefix="1" applyFont="1"/>
    <xf numFmtId="0" fontId="60" fillId="0" borderId="0" xfId="0" applyFont="1" applyAlignment="1">
      <alignment vertical="top"/>
    </xf>
    <xf numFmtId="0" fontId="61" fillId="0" borderId="0" xfId="0" applyFont="1" applyAlignment="1">
      <alignment horizontal="left"/>
    </xf>
    <xf numFmtId="0" fontId="62" fillId="0" borderId="0" xfId="0" quotePrefix="1" applyFont="1" applyAlignment="1">
      <alignment horizontal="left"/>
    </xf>
    <xf numFmtId="0" fontId="62" fillId="0" borderId="0" xfId="0" applyFont="1" applyAlignment="1">
      <alignment horizontal="left" vertical="center"/>
    </xf>
    <xf numFmtId="0" fontId="63" fillId="0" borderId="0" xfId="0" applyFont="1" applyAlignment="1">
      <alignment horizontal="left"/>
    </xf>
    <xf numFmtId="0" fontId="62" fillId="0" borderId="0" xfId="0" applyFont="1"/>
    <xf numFmtId="0" fontId="64" fillId="0" borderId="0" xfId="0" applyFont="1"/>
    <xf numFmtId="0" fontId="65" fillId="0" borderId="0" xfId="0" applyFont="1"/>
    <xf numFmtId="0" fontId="36" fillId="0" borderId="0" xfId="3" applyFont="1" applyAlignment="1">
      <alignment vertical="center"/>
    </xf>
    <xf numFmtId="0" fontId="53" fillId="0" borderId="0" xfId="0" applyFont="1"/>
    <xf numFmtId="0" fontId="54" fillId="0" borderId="0" xfId="0" applyFont="1"/>
    <xf numFmtId="0" fontId="66" fillId="0" borderId="0" xfId="3" applyFont="1" applyAlignment="1">
      <alignment horizontal="left"/>
    </xf>
    <xf numFmtId="0" fontId="36" fillId="0" borderId="0" xfId="3" applyFont="1" applyAlignment="1">
      <alignment vertical="top"/>
    </xf>
    <xf numFmtId="0" fontId="67" fillId="0" borderId="0" xfId="0" applyFont="1"/>
    <xf numFmtId="0" fontId="40" fillId="0" borderId="0" xfId="3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17" fontId="3" fillId="0" borderId="0" xfId="0" quotePrefix="1" applyNumberFormat="1" applyFont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17" fontId="8" fillId="0" borderId="0" xfId="0" quotePrefix="1" applyNumberFormat="1" applyFont="1" applyAlignment="1">
      <alignment horizontal="center"/>
    </xf>
    <xf numFmtId="0" fontId="8" fillId="0" borderId="15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17" fontId="40" fillId="0" borderId="0" xfId="0" quotePrefix="1" applyNumberFormat="1" applyFont="1" applyAlignment="1">
      <alignment horizontal="center"/>
    </xf>
    <xf numFmtId="17" fontId="40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0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66" fontId="32" fillId="0" borderId="0" xfId="1" applyNumberFormat="1" applyFont="1" applyBorder="1" applyAlignment="1">
      <alignment horizontal="left" vertical="center"/>
    </xf>
    <xf numFmtId="0" fontId="40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17" fontId="3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58" fillId="0" borderId="0" xfId="0" applyFont="1" applyAlignment="1">
      <alignment horizontal="left" vertical="center" wrapText="1"/>
    </xf>
    <xf numFmtId="0" fontId="57" fillId="0" borderId="11" xfId="0" applyFont="1" applyBorder="1" applyAlignment="1">
      <alignment horizontal="left" vertical="top" wrapText="1"/>
    </xf>
    <xf numFmtId="0" fontId="57" fillId="0" borderId="15" xfId="0" applyFont="1" applyBorder="1" applyAlignment="1">
      <alignment horizontal="left" vertical="top" wrapText="1"/>
    </xf>
    <xf numFmtId="0" fontId="57" fillId="0" borderId="14" xfId="0" applyFont="1" applyBorder="1" applyAlignment="1">
      <alignment horizontal="left" vertical="top" wrapText="1"/>
    </xf>
    <xf numFmtId="0" fontId="57" fillId="0" borderId="13" xfId="0" applyFont="1" applyBorder="1" applyAlignment="1">
      <alignment horizontal="left" vertical="top" wrapText="1"/>
    </xf>
    <xf numFmtId="0" fontId="57" fillId="0" borderId="0" xfId="0" applyFont="1" applyAlignment="1">
      <alignment horizontal="left" vertical="top" wrapText="1"/>
    </xf>
    <xf numFmtId="0" fontId="57" fillId="0" borderId="0" xfId="0" applyFont="1" applyAlignment="1">
      <alignment horizontal="left" vertical="center" wrapText="1"/>
    </xf>
    <xf numFmtId="17" fontId="57" fillId="0" borderId="0" xfId="0" quotePrefix="1" applyNumberFormat="1" applyFont="1" applyAlignment="1">
      <alignment horizontal="center"/>
    </xf>
    <xf numFmtId="0" fontId="34" fillId="0" borderId="0" xfId="0" applyFont="1" applyAlignment="1">
      <alignment horizontal="left" vertical="center" wrapText="1"/>
    </xf>
    <xf numFmtId="0" fontId="8" fillId="0" borderId="15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41" fillId="0" borderId="0" xfId="0" applyFont="1" applyAlignment="1">
      <alignment horizontal="left" vertical="center" wrapText="1"/>
    </xf>
    <xf numFmtId="17" fontId="41" fillId="0" borderId="0" xfId="0" quotePrefix="1" applyNumberFormat="1" applyFont="1" applyAlignment="1">
      <alignment horizontal="center"/>
    </xf>
    <xf numFmtId="0" fontId="3" fillId="0" borderId="0" xfId="0" quotePrefix="1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3" fillId="0" borderId="6" xfId="0" quotePrefix="1" applyFont="1" applyBorder="1" applyAlignment="1">
      <alignment horizontal="left" vertical="center"/>
    </xf>
    <xf numFmtId="0" fontId="8" fillId="0" borderId="14" xfId="0" quotePrefix="1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66" fontId="8" fillId="0" borderId="15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/>
    </xf>
    <xf numFmtId="0" fontId="11" fillId="0" borderId="0" xfId="0" applyFont="1" applyAlignment="1">
      <alignment horizontal="left" vertical="center"/>
    </xf>
  </cellXfs>
  <cellStyles count="4">
    <cellStyle name="Currency" xfId="1" builtinId="4"/>
    <cellStyle name="Currency [0]" xfId="2" builtinId="7"/>
    <cellStyle name="Normal" xfId="0" builtinId="0"/>
    <cellStyle name="Normal 2" xfId="3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extcloud/Infokom/2024/Meditha/1%20Kuitansi(AutoRecovered)%20(Autosaved).xlsx" TargetMode="External"/><Relationship Id="rId1" Type="http://schemas.openxmlformats.org/officeDocument/2006/relationships/externalLinkPath" Target="/nextcloud/Infokom/2024/Meditha/1%20Kuitansi(AutoRecovered)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ngawalan PJAS"/>
      <sheetName val="Mangrove"/>
      <sheetName val="CB (2)"/>
      <sheetName val="CB"/>
      <sheetName val="PJAS"/>
      <sheetName val="CPNS"/>
      <sheetName val="BELITUNG"/>
      <sheetName val="Nama"/>
      <sheetName val="Sheet2"/>
      <sheetName val="desembr"/>
      <sheetName val="September"/>
      <sheetName val="Juli"/>
      <sheetName val="Junni"/>
      <sheetName val="Mei"/>
      <sheetName val="April"/>
      <sheetName val="Maret"/>
      <sheetName val="feb"/>
      <sheetName val="Jan"/>
      <sheetName val="Pasar"/>
      <sheetName val="des"/>
    </sheetNames>
    <sheetDataSet>
      <sheetData sheetId="0"/>
      <sheetData sheetId="1">
        <row r="30">
          <cell r="J30" t="str">
            <v>Arif Sudarmanto, S.Si.,M.Si</v>
          </cell>
        </row>
        <row r="92">
          <cell r="J92" t="str">
            <v>Pratiwi Intan Fibriyarti</v>
          </cell>
        </row>
        <row r="154">
          <cell r="J154" t="str">
            <v xml:space="preserve">Muchtar </v>
          </cell>
        </row>
        <row r="216">
          <cell r="J216" t="str">
            <v>Sapta Aji Sanjaya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A3FB-B8E2-46E4-83F2-EF160A934331}">
  <dimension ref="A1:L669"/>
  <sheetViews>
    <sheetView topLeftCell="A13" zoomScaleNormal="100" zoomScaleSheetLayoutView="100" workbookViewId="0">
      <selection activeCell="B32" sqref="B32:B39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15.42578125" style="4" customWidth="1"/>
    <col min="6" max="6" width="14.85546875" style="4" customWidth="1"/>
    <col min="7" max="7" width="1.7109375" style="4" customWidth="1"/>
    <col min="8" max="8" width="7.5703125" style="4" customWidth="1"/>
    <col min="9" max="9" width="12.42578125" style="4" customWidth="1"/>
    <col min="10" max="10" width="10.28515625" style="4" customWidth="1"/>
    <col min="11" max="11" width="5.28515625" style="4" customWidth="1"/>
    <col min="12" max="12" width="2.14062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6.42578125" style="4" customWidth="1"/>
    <col min="17" max="17" width="2.5703125" style="4" customWidth="1"/>
    <col min="18" max="19" width="9.140625" style="4" customWidth="1"/>
    <col min="20" max="20" width="10" style="4" customWidth="1"/>
    <col min="21" max="21" width="9.140625" style="4" customWidth="1"/>
    <col min="22" max="22" width="9.140625" style="4"/>
    <col min="23" max="23" width="15.85546875" style="4" customWidth="1"/>
    <col min="24" max="24" width="9.140625" style="4"/>
    <col min="25" max="25" width="7.140625" style="4" customWidth="1"/>
    <col min="26" max="26" width="3" style="4" customWidth="1"/>
    <col min="27" max="16384" width="9.140625" style="4"/>
  </cols>
  <sheetData>
    <row r="1" spans="1:12" ht="15.75" x14ac:dyDescent="0.25">
      <c r="A1" s="3" t="s">
        <v>22</v>
      </c>
    </row>
    <row r="2" spans="1:12" ht="15.75" x14ac:dyDescent="0.2">
      <c r="A2" s="122" t="s">
        <v>20</v>
      </c>
    </row>
    <row r="3" spans="1:12" ht="15.75" x14ac:dyDescent="0.2">
      <c r="A3" s="122" t="s">
        <v>21</v>
      </c>
    </row>
    <row r="4" spans="1:12" ht="15.75" x14ac:dyDescent="0.2">
      <c r="A4" s="122"/>
    </row>
    <row r="5" spans="1:12" ht="12.75" x14ac:dyDescent="0.2"/>
    <row r="6" spans="1:12" ht="21.95" customHeight="1" x14ac:dyDescent="0.3">
      <c r="A6" s="276" t="s">
        <v>6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</row>
    <row r="7" spans="1:12" ht="18.75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15" x14ac:dyDescent="0.25">
      <c r="A8" s="1"/>
      <c r="B8" s="1"/>
    </row>
    <row r="9" spans="1:12" ht="15" x14ac:dyDescent="0.25">
      <c r="A9" s="1" t="s">
        <v>7</v>
      </c>
      <c r="B9" s="1"/>
    </row>
    <row r="10" spans="1:12" ht="21.95" customHeight="1" x14ac:dyDescent="0.25">
      <c r="A10" s="1"/>
      <c r="B10" s="1"/>
    </row>
    <row r="11" spans="1:12" ht="15" x14ac:dyDescent="0.25">
      <c r="A11" s="1" t="s">
        <v>8</v>
      </c>
      <c r="C11" s="9" t="s">
        <v>1</v>
      </c>
      <c r="D11" s="37"/>
      <c r="E11" s="76"/>
      <c r="F11" s="76"/>
      <c r="G11" s="76"/>
      <c r="H11" s="76"/>
    </row>
    <row r="12" spans="1:12" ht="15" x14ac:dyDescent="0.25">
      <c r="A12" s="1" t="s">
        <v>9</v>
      </c>
      <c r="C12" s="9" t="s">
        <v>1</v>
      </c>
      <c r="D12" s="1"/>
      <c r="E12" s="76"/>
      <c r="F12" s="76"/>
      <c r="G12" s="76"/>
      <c r="H12" s="76"/>
    </row>
    <row r="13" spans="1:12" ht="15" x14ac:dyDescent="0.2">
      <c r="A13" s="50" t="s">
        <v>10</v>
      </c>
      <c r="B13" s="76"/>
      <c r="C13" s="91" t="s">
        <v>1</v>
      </c>
      <c r="D13" s="50"/>
      <c r="E13" s="76"/>
      <c r="F13" s="76"/>
      <c r="G13" s="76"/>
      <c r="H13" s="76"/>
      <c r="I13" s="76"/>
      <c r="J13" s="76"/>
      <c r="K13" s="76"/>
      <c r="L13" s="76"/>
    </row>
    <row r="14" spans="1:12" ht="15" customHeight="1" x14ac:dyDescent="0.25">
      <c r="A14" s="1"/>
      <c r="B14" s="1"/>
      <c r="D14" s="1"/>
    </row>
    <row r="15" spans="1:12" ht="41.25" customHeight="1" x14ac:dyDescent="0.2">
      <c r="A15" s="277" t="s">
        <v>670</v>
      </c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</row>
    <row r="16" spans="1:12" ht="21.95" customHeight="1" x14ac:dyDescent="0.25">
      <c r="A16" s="1"/>
      <c r="B16" s="1"/>
    </row>
    <row r="17" spans="1:12" ht="39" customHeight="1" thickBot="1" x14ac:dyDescent="0.25">
      <c r="A17" s="10" t="s">
        <v>0</v>
      </c>
      <c r="B17" s="278" t="s">
        <v>91</v>
      </c>
      <c r="C17" s="278"/>
      <c r="D17" s="278"/>
      <c r="E17" s="278"/>
      <c r="F17" s="278"/>
      <c r="G17" s="278"/>
      <c r="H17" s="278"/>
      <c r="I17" s="278"/>
      <c r="J17" s="278"/>
      <c r="K17" s="278"/>
      <c r="L17" s="278"/>
    </row>
    <row r="18" spans="1:12" ht="15.75" thickTop="1" x14ac:dyDescent="0.25">
      <c r="A18" s="1"/>
      <c r="B18" s="11" t="s">
        <v>3</v>
      </c>
      <c r="C18" s="12" t="s">
        <v>4</v>
      </c>
      <c r="D18" s="13"/>
      <c r="E18" s="13"/>
      <c r="F18" s="13"/>
      <c r="G18" s="13"/>
      <c r="H18" s="14"/>
      <c r="I18" s="15" t="s">
        <v>5</v>
      </c>
      <c r="J18" s="12" t="s">
        <v>17</v>
      </c>
      <c r="K18" s="13"/>
      <c r="L18" s="14"/>
    </row>
    <row r="19" spans="1:12" ht="15" x14ac:dyDescent="0.2">
      <c r="A19" s="50"/>
      <c r="B19" s="143">
        <v>1</v>
      </c>
      <c r="C19" s="129" t="s">
        <v>671</v>
      </c>
      <c r="D19" s="130"/>
      <c r="E19" s="130"/>
      <c r="F19" s="217"/>
      <c r="G19" s="76"/>
      <c r="H19" s="79"/>
      <c r="I19" s="56">
        <v>100000</v>
      </c>
      <c r="J19" s="76" t="s">
        <v>204</v>
      </c>
      <c r="K19" s="76"/>
      <c r="L19" s="79"/>
    </row>
    <row r="20" spans="1:12" ht="15" x14ac:dyDescent="0.2">
      <c r="A20" s="50"/>
      <c r="B20" s="100"/>
      <c r="C20" s="76"/>
      <c r="D20" s="76"/>
      <c r="E20" s="76"/>
      <c r="F20" s="169"/>
      <c r="G20" s="76"/>
      <c r="H20" s="76"/>
      <c r="I20" s="56"/>
      <c r="J20" s="76"/>
      <c r="K20" s="76"/>
      <c r="L20" s="79"/>
    </row>
    <row r="21" spans="1:12" ht="15" x14ac:dyDescent="0.2">
      <c r="A21" s="50"/>
      <c r="B21" s="100"/>
      <c r="C21" s="76"/>
      <c r="D21" s="76"/>
      <c r="E21" s="76"/>
      <c r="F21" s="169"/>
      <c r="G21" s="76"/>
      <c r="H21" s="76"/>
      <c r="I21" s="56"/>
      <c r="J21" s="76"/>
      <c r="K21" s="76"/>
      <c r="L21" s="79"/>
    </row>
    <row r="22" spans="1:12" ht="15" x14ac:dyDescent="0.2">
      <c r="A22" s="50"/>
      <c r="B22" s="100"/>
      <c r="C22" s="76"/>
      <c r="D22" s="76"/>
      <c r="E22" s="76"/>
      <c r="F22" s="169"/>
      <c r="G22" s="76"/>
      <c r="H22" s="76"/>
      <c r="I22" s="56"/>
      <c r="J22" s="76"/>
      <c r="K22" s="76"/>
      <c r="L22" s="79"/>
    </row>
    <row r="23" spans="1:12" ht="15" x14ac:dyDescent="0.25">
      <c r="A23" s="1"/>
      <c r="B23" s="39"/>
      <c r="C23" s="1"/>
      <c r="D23" s="1"/>
      <c r="E23" s="1"/>
      <c r="F23" s="40" t="s">
        <v>5</v>
      </c>
      <c r="G23" s="40"/>
      <c r="H23" s="1"/>
      <c r="I23" s="41">
        <f>I19</f>
        <v>100000</v>
      </c>
      <c r="J23" s="1"/>
      <c r="K23" s="1"/>
      <c r="L23" s="42"/>
    </row>
    <row r="24" spans="1:12" ht="21.95" customHeight="1" thickBot="1" x14ac:dyDescent="0.3">
      <c r="A24" s="1"/>
      <c r="B24" s="43"/>
      <c r="C24" s="44"/>
      <c r="D24" s="44"/>
      <c r="E24" s="44"/>
      <c r="F24" s="45"/>
      <c r="G24" s="45"/>
      <c r="H24" s="44"/>
      <c r="I24" s="46"/>
      <c r="J24" s="44"/>
      <c r="K24" s="44"/>
      <c r="L24" s="47"/>
    </row>
    <row r="25" spans="1:12" ht="21.95" customHeight="1" thickTop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48.75" customHeight="1" x14ac:dyDescent="0.2">
      <c r="A26" s="10" t="s">
        <v>2</v>
      </c>
      <c r="B26" s="279" t="s">
        <v>11</v>
      </c>
      <c r="C26" s="279"/>
      <c r="D26" s="279"/>
      <c r="E26" s="279"/>
      <c r="F26" s="279"/>
      <c r="G26" s="279"/>
      <c r="H26" s="279"/>
      <c r="I26" s="279"/>
      <c r="J26" s="279"/>
      <c r="K26" s="279"/>
      <c r="L26" s="279"/>
    </row>
    <row r="27" spans="1:12" ht="21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1.75" customHeight="1" x14ac:dyDescent="0.2">
      <c r="A28" s="280" t="s">
        <v>12</v>
      </c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</row>
    <row r="29" spans="1:12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x14ac:dyDescent="0.25">
      <c r="A31" s="1"/>
      <c r="B31" s="1"/>
      <c r="C31" s="1"/>
      <c r="D31" s="1"/>
      <c r="E31" s="1"/>
      <c r="F31" s="1"/>
      <c r="G31" s="1"/>
      <c r="H31" s="4" t="s">
        <v>672</v>
      </c>
    </row>
    <row r="32" spans="1:12" ht="15" x14ac:dyDescent="0.25">
      <c r="A32" s="1"/>
      <c r="B32" s="1" t="s">
        <v>15</v>
      </c>
      <c r="C32" s="1"/>
      <c r="D32" s="1"/>
      <c r="E32" s="1"/>
      <c r="F32" s="1"/>
      <c r="G32" s="1"/>
      <c r="H32" s="4" t="s">
        <v>13</v>
      </c>
    </row>
    <row r="33" spans="1:12" ht="15" x14ac:dyDescent="0.2">
      <c r="A33" s="48"/>
      <c r="B33" s="48" t="s">
        <v>18</v>
      </c>
      <c r="C33" s="48"/>
      <c r="D33" s="48"/>
      <c r="E33" s="48"/>
      <c r="F33" s="48"/>
      <c r="G33" s="48"/>
      <c r="H33" s="99" t="s">
        <v>14</v>
      </c>
      <c r="I33" s="99"/>
      <c r="J33" s="99"/>
      <c r="K33" s="99"/>
      <c r="L33" s="99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x14ac:dyDescent="0.25">
      <c r="A36" s="1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"/>
    </row>
    <row r="37" spans="1:12" ht="15" x14ac:dyDescent="0.25">
      <c r="A37" s="1"/>
      <c r="K37" s="103"/>
      <c r="L37" s="1"/>
    </row>
    <row r="38" spans="1:12" ht="15" x14ac:dyDescent="0.25">
      <c r="A38" s="1"/>
      <c r="B38" s="272" t="s">
        <v>644</v>
      </c>
      <c r="H38" s="274">
        <f>D11</f>
        <v>0</v>
      </c>
      <c r="I38" s="95"/>
      <c r="J38" s="92"/>
      <c r="K38" s="103"/>
      <c r="L38" s="1"/>
    </row>
    <row r="39" spans="1:12" ht="15" x14ac:dyDescent="0.25">
      <c r="A39" s="1"/>
      <c r="B39" s="273" t="s">
        <v>638</v>
      </c>
      <c r="C39" s="57"/>
      <c r="H39" s="275" t="s">
        <v>27</v>
      </c>
      <c r="K39" s="103"/>
    </row>
    <row r="40" spans="1:12" ht="12.75" x14ac:dyDescent="0.2"/>
    <row r="41" spans="1:12" ht="12.75" x14ac:dyDescent="0.2"/>
    <row r="42" spans="1:12" ht="12.75" x14ac:dyDescent="0.2"/>
    <row r="43" spans="1:12" ht="12.75" x14ac:dyDescent="0.2"/>
    <row r="44" spans="1:12" ht="12.75" x14ac:dyDescent="0.2"/>
    <row r="45" spans="1:12" ht="12" customHeight="1" x14ac:dyDescent="0.2"/>
    <row r="46" spans="1:12" ht="12.75" x14ac:dyDescent="0.2"/>
    <row r="47" spans="1:12" ht="12.75" x14ac:dyDescent="0.2"/>
    <row r="48" spans="1:12" ht="12.75" x14ac:dyDescent="0.2"/>
    <row r="49" spans="1:12" ht="12.75" x14ac:dyDescent="0.2"/>
    <row r="50" spans="1:12" ht="15.75" x14ac:dyDescent="0.25">
      <c r="A50" s="3" t="s">
        <v>22</v>
      </c>
    </row>
    <row r="51" spans="1:12" ht="15.75" x14ac:dyDescent="0.2">
      <c r="A51" s="122" t="s">
        <v>20</v>
      </c>
    </row>
    <row r="52" spans="1:12" ht="15.75" x14ac:dyDescent="0.2">
      <c r="A52" s="122" t="s">
        <v>21</v>
      </c>
    </row>
    <row r="53" spans="1:12" ht="15.75" x14ac:dyDescent="0.2">
      <c r="A53" s="122"/>
    </row>
    <row r="54" spans="1:12" ht="12.75" x14ac:dyDescent="0.2"/>
    <row r="55" spans="1:12" ht="18.75" x14ac:dyDescent="0.3">
      <c r="A55" s="276" t="s">
        <v>6</v>
      </c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</row>
    <row r="56" spans="1:12" ht="18.75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15" x14ac:dyDescent="0.25">
      <c r="A57" s="1"/>
      <c r="B57" s="1"/>
    </row>
    <row r="58" spans="1:12" ht="21.95" customHeight="1" x14ac:dyDescent="0.25">
      <c r="A58" s="1" t="s">
        <v>7</v>
      </c>
      <c r="B58" s="1"/>
    </row>
    <row r="59" spans="1:12" ht="15" x14ac:dyDescent="0.25">
      <c r="A59" s="1"/>
      <c r="B59" s="1"/>
    </row>
    <row r="60" spans="1:12" ht="15" x14ac:dyDescent="0.25">
      <c r="A60" s="1" t="s">
        <v>8</v>
      </c>
      <c r="C60" s="9" t="s">
        <v>1</v>
      </c>
      <c r="D60" s="37" t="s">
        <v>96</v>
      </c>
      <c r="E60" s="76"/>
      <c r="F60" s="76"/>
      <c r="G60" s="76"/>
      <c r="H60" s="76"/>
    </row>
    <row r="61" spans="1:12" ht="15" x14ac:dyDescent="0.25">
      <c r="A61" s="1" t="s">
        <v>9</v>
      </c>
      <c r="C61" s="9" t="s">
        <v>1</v>
      </c>
      <c r="D61" s="1" t="s">
        <v>200</v>
      </c>
      <c r="E61" s="76"/>
      <c r="F61" s="76"/>
      <c r="G61" s="76"/>
      <c r="H61" s="76"/>
    </row>
    <row r="62" spans="1:12" ht="15" x14ac:dyDescent="0.25">
      <c r="A62" s="50" t="s">
        <v>10</v>
      </c>
      <c r="B62" s="76"/>
      <c r="C62" s="91" t="s">
        <v>1</v>
      </c>
      <c r="D62" s="1" t="s">
        <v>203</v>
      </c>
      <c r="E62" s="76"/>
      <c r="F62" s="76"/>
      <c r="G62" s="76"/>
      <c r="H62" s="76"/>
      <c r="I62" s="76"/>
      <c r="J62" s="76"/>
      <c r="K62" s="76"/>
      <c r="L62" s="76"/>
    </row>
    <row r="63" spans="1:12" ht="15" x14ac:dyDescent="0.25">
      <c r="A63" s="1"/>
      <c r="B63" s="1"/>
      <c r="D63" s="1"/>
    </row>
    <row r="64" spans="1:12" ht="30.75" customHeight="1" x14ac:dyDescent="0.2">
      <c r="A64" s="277" t="s">
        <v>669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</row>
    <row r="65" spans="1:12" ht="15" x14ac:dyDescent="0.25">
      <c r="A65" s="1"/>
      <c r="B65" s="1"/>
    </row>
    <row r="66" spans="1:12" ht="33.75" customHeight="1" thickBot="1" x14ac:dyDescent="0.25">
      <c r="A66" s="10" t="s">
        <v>0</v>
      </c>
      <c r="B66" s="278" t="s">
        <v>91</v>
      </c>
      <c r="C66" s="278"/>
      <c r="D66" s="278"/>
      <c r="E66" s="278"/>
      <c r="F66" s="278"/>
      <c r="G66" s="278"/>
      <c r="H66" s="278"/>
      <c r="I66" s="278"/>
      <c r="J66" s="278"/>
      <c r="K66" s="278"/>
      <c r="L66" s="278"/>
    </row>
    <row r="67" spans="1:12" ht="15.75" thickTop="1" x14ac:dyDescent="0.25">
      <c r="A67" s="1"/>
      <c r="B67" s="11" t="s">
        <v>3</v>
      </c>
      <c r="C67" s="12" t="s">
        <v>4</v>
      </c>
      <c r="D67" s="13"/>
      <c r="E67" s="13"/>
      <c r="F67" s="13"/>
      <c r="G67" s="13"/>
      <c r="H67" s="14"/>
      <c r="I67" s="15" t="s">
        <v>5</v>
      </c>
      <c r="J67" s="12" t="s">
        <v>17</v>
      </c>
      <c r="K67" s="13"/>
      <c r="L67" s="14"/>
    </row>
    <row r="68" spans="1:12" ht="15" x14ac:dyDescent="0.2">
      <c r="A68" s="50"/>
      <c r="B68" s="143">
        <v>1</v>
      </c>
      <c r="C68" s="129" t="s">
        <v>640</v>
      </c>
      <c r="D68" s="130"/>
      <c r="E68" s="130"/>
      <c r="F68" s="217"/>
      <c r="G68" s="76"/>
      <c r="H68" s="79"/>
      <c r="I68" s="56">
        <v>170000</v>
      </c>
      <c r="J68" s="76" t="s">
        <v>204</v>
      </c>
      <c r="K68" s="76"/>
      <c r="L68" s="79"/>
    </row>
    <row r="69" spans="1:12" ht="15" x14ac:dyDescent="0.2">
      <c r="A69" s="50"/>
      <c r="B69" s="100"/>
      <c r="C69" s="76"/>
      <c r="D69" s="76"/>
      <c r="E69" s="76"/>
      <c r="F69" s="169"/>
      <c r="G69" s="76"/>
      <c r="H69" s="76"/>
      <c r="I69" s="56"/>
      <c r="J69" s="76"/>
      <c r="K69" s="76"/>
      <c r="L69" s="79"/>
    </row>
    <row r="70" spans="1:12" ht="15" x14ac:dyDescent="0.2">
      <c r="A70" s="50"/>
      <c r="B70" s="100"/>
      <c r="C70" s="76"/>
      <c r="D70" s="76"/>
      <c r="E70" s="76"/>
      <c r="F70" s="169"/>
      <c r="G70" s="76"/>
      <c r="H70" s="76"/>
      <c r="I70" s="56"/>
      <c r="J70" s="76"/>
      <c r="K70" s="76"/>
      <c r="L70" s="79"/>
    </row>
    <row r="71" spans="1:12" ht="15" x14ac:dyDescent="0.2">
      <c r="B71" s="96"/>
      <c r="C71" s="124"/>
      <c r="D71" s="124"/>
      <c r="E71" s="127"/>
      <c r="F71" s="125"/>
      <c r="G71" s="124"/>
      <c r="H71" s="124"/>
      <c r="I71" s="23"/>
      <c r="L71" s="17"/>
    </row>
    <row r="72" spans="1:12" ht="15" x14ac:dyDescent="0.25">
      <c r="A72" s="1"/>
      <c r="B72" s="39"/>
      <c r="C72" s="1"/>
      <c r="D72" s="1"/>
      <c r="E72" s="1"/>
      <c r="F72" s="40" t="s">
        <v>5</v>
      </c>
      <c r="G72" s="40"/>
      <c r="H72" s="1"/>
      <c r="I72" s="41">
        <f>I68</f>
        <v>170000</v>
      </c>
      <c r="J72" s="1"/>
      <c r="K72" s="1"/>
      <c r="L72" s="42"/>
    </row>
    <row r="73" spans="1:12" ht="15.75" thickBot="1" x14ac:dyDescent="0.3">
      <c r="A73" s="1"/>
      <c r="B73" s="43"/>
      <c r="C73" s="44"/>
      <c r="D73" s="44"/>
      <c r="E73" s="44"/>
      <c r="F73" s="45"/>
      <c r="G73" s="45"/>
      <c r="H73" s="44"/>
      <c r="I73" s="46"/>
      <c r="J73" s="44"/>
      <c r="K73" s="44"/>
      <c r="L73" s="47"/>
    </row>
    <row r="74" spans="1:12" ht="15.75" thickTop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46.5" customHeight="1" x14ac:dyDescent="0.2">
      <c r="A75" s="10" t="s">
        <v>2</v>
      </c>
      <c r="B75" s="279" t="s">
        <v>11</v>
      </c>
      <c r="C75" s="279"/>
      <c r="D75" s="279"/>
      <c r="E75" s="279"/>
      <c r="F75" s="279"/>
      <c r="G75" s="279"/>
      <c r="H75" s="279"/>
      <c r="I75" s="279"/>
      <c r="J75" s="279"/>
      <c r="K75" s="279"/>
      <c r="L75" s="279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1.95" customHeight="1" x14ac:dyDescent="0.2">
      <c r="A77" s="280" t="s">
        <v>12</v>
      </c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</row>
    <row r="78" spans="1:12" ht="1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6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7.25" customHeight="1" x14ac:dyDescent="0.25">
      <c r="A80" s="1"/>
      <c r="B80" s="1"/>
      <c r="C80" s="1"/>
      <c r="D80" s="1"/>
      <c r="E80" s="1"/>
      <c r="F80" s="1"/>
      <c r="G80" s="1"/>
      <c r="H80" s="4" t="s">
        <v>668</v>
      </c>
    </row>
    <row r="81" spans="1:12" ht="21.95" customHeight="1" x14ac:dyDescent="0.25">
      <c r="A81" s="1"/>
      <c r="B81" s="1" t="s">
        <v>15</v>
      </c>
      <c r="C81" s="1"/>
      <c r="D81" s="1"/>
      <c r="E81" s="1"/>
      <c r="F81" s="1"/>
      <c r="G81" s="1"/>
      <c r="H81" s="4" t="s">
        <v>13</v>
      </c>
    </row>
    <row r="82" spans="1:12" ht="15" x14ac:dyDescent="0.2">
      <c r="A82" s="48"/>
      <c r="B82" s="48" t="s">
        <v>18</v>
      </c>
      <c r="C82" s="48"/>
      <c r="D82" s="48"/>
      <c r="E82" s="48"/>
      <c r="F82" s="48"/>
      <c r="G82" s="48"/>
      <c r="H82" s="99" t="s">
        <v>14</v>
      </c>
      <c r="I82" s="99"/>
      <c r="J82" s="99"/>
      <c r="K82" s="99"/>
      <c r="L82" s="99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"/>
    </row>
    <row r="86" spans="1:12" ht="15" x14ac:dyDescent="0.25">
      <c r="A86" s="1"/>
      <c r="K86" s="103"/>
      <c r="L86" s="1"/>
    </row>
    <row r="87" spans="1:12" ht="15" x14ac:dyDescent="0.25">
      <c r="A87" s="1"/>
      <c r="B87" s="272" t="s">
        <v>644</v>
      </c>
      <c r="H87" s="37" t="str">
        <f>D60</f>
        <v>Puspa Sari Paniti Ratri, S. Farm. Apt</v>
      </c>
      <c r="I87" s="95"/>
      <c r="J87" s="92"/>
      <c r="K87" s="103"/>
      <c r="L87" s="1"/>
    </row>
    <row r="88" spans="1:12" ht="15" x14ac:dyDescent="0.25">
      <c r="A88" s="1"/>
      <c r="B88" s="273" t="s">
        <v>638</v>
      </c>
      <c r="C88" s="57"/>
      <c r="H88" s="269" t="s">
        <v>27</v>
      </c>
      <c r="K88" s="103"/>
    </row>
    <row r="89" spans="1:12" ht="12.75" x14ac:dyDescent="0.2"/>
    <row r="90" spans="1:12" ht="12.75" x14ac:dyDescent="0.2"/>
    <row r="95" spans="1:12" ht="15.75" x14ac:dyDescent="0.25">
      <c r="A95" s="3" t="s">
        <v>22</v>
      </c>
    </row>
    <row r="96" spans="1:12" ht="15.75" x14ac:dyDescent="0.2">
      <c r="A96" s="122" t="s">
        <v>20</v>
      </c>
    </row>
    <row r="97" spans="1:12" ht="15.75" x14ac:dyDescent="0.2">
      <c r="A97" s="122" t="s">
        <v>21</v>
      </c>
    </row>
    <row r="98" spans="1:12" ht="15.75" x14ac:dyDescent="0.2">
      <c r="A98" s="122"/>
    </row>
    <row r="99" spans="1:12" ht="12.75" x14ac:dyDescent="0.2"/>
    <row r="100" spans="1:12" ht="18.75" x14ac:dyDescent="0.3">
      <c r="A100" s="276" t="s">
        <v>6</v>
      </c>
      <c r="B100" s="276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</row>
    <row r="101" spans="1:12" ht="18.75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</row>
    <row r="102" spans="1:12" ht="15" x14ac:dyDescent="0.25">
      <c r="A102" s="1"/>
      <c r="B102" s="1"/>
    </row>
    <row r="103" spans="1:12" ht="15" x14ac:dyDescent="0.25">
      <c r="A103" s="1" t="s">
        <v>7</v>
      </c>
      <c r="B103" s="1"/>
    </row>
    <row r="104" spans="1:12" ht="16.5" customHeight="1" x14ac:dyDescent="0.25">
      <c r="A104" s="1"/>
      <c r="B104" s="1"/>
    </row>
    <row r="105" spans="1:12" ht="15" x14ac:dyDescent="0.25">
      <c r="A105" s="1" t="s">
        <v>8</v>
      </c>
      <c r="C105" s="9" t="s">
        <v>1</v>
      </c>
      <c r="D105" s="37" t="s">
        <v>554</v>
      </c>
      <c r="E105" s="76"/>
      <c r="F105" s="76"/>
      <c r="G105" s="76"/>
      <c r="H105" s="76"/>
    </row>
    <row r="106" spans="1:12" ht="15" x14ac:dyDescent="0.25">
      <c r="A106" s="1" t="s">
        <v>9</v>
      </c>
      <c r="C106" s="9" t="s">
        <v>1</v>
      </c>
      <c r="D106" s="1" t="s">
        <v>234</v>
      </c>
      <c r="E106" s="76"/>
      <c r="F106" s="76"/>
      <c r="G106" s="76"/>
      <c r="H106" s="76"/>
    </row>
    <row r="107" spans="1:12" ht="15" x14ac:dyDescent="0.25">
      <c r="A107" s="50" t="s">
        <v>10</v>
      </c>
      <c r="B107" s="76"/>
      <c r="C107" s="91" t="s">
        <v>1</v>
      </c>
      <c r="D107" s="1" t="s">
        <v>203</v>
      </c>
      <c r="E107" s="76"/>
      <c r="F107" s="76"/>
      <c r="G107" s="76"/>
      <c r="H107" s="76"/>
      <c r="I107" s="76"/>
      <c r="J107" s="76"/>
      <c r="K107" s="76"/>
      <c r="L107" s="76"/>
    </row>
    <row r="108" spans="1:12" ht="15" x14ac:dyDescent="0.25">
      <c r="A108" s="1"/>
      <c r="B108" s="1"/>
      <c r="D108" s="1"/>
    </row>
    <row r="109" spans="1:12" ht="31.5" customHeight="1" x14ac:dyDescent="0.2">
      <c r="A109" s="277" t="s">
        <v>669</v>
      </c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</row>
    <row r="110" spans="1:12" ht="15" x14ac:dyDescent="0.25">
      <c r="A110" s="1"/>
      <c r="B110" s="1"/>
    </row>
    <row r="111" spans="1:12" ht="36.75" customHeight="1" thickBot="1" x14ac:dyDescent="0.25">
      <c r="A111" s="10" t="s">
        <v>0</v>
      </c>
      <c r="B111" s="278" t="s">
        <v>91</v>
      </c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</row>
    <row r="112" spans="1:12" ht="15.75" thickTop="1" x14ac:dyDescent="0.25">
      <c r="A112" s="1"/>
      <c r="B112" s="11" t="s">
        <v>3</v>
      </c>
      <c r="C112" s="12" t="s">
        <v>4</v>
      </c>
      <c r="D112" s="13"/>
      <c r="E112" s="13"/>
      <c r="F112" s="13"/>
      <c r="G112" s="13"/>
      <c r="H112" s="14"/>
      <c r="I112" s="15" t="s">
        <v>5</v>
      </c>
      <c r="J112" s="12" t="s">
        <v>17</v>
      </c>
      <c r="K112" s="13"/>
      <c r="L112" s="14"/>
    </row>
    <row r="113" spans="1:12" ht="15" x14ac:dyDescent="0.2">
      <c r="A113" s="50"/>
      <c r="B113" s="143">
        <v>1</v>
      </c>
      <c r="C113" s="129" t="s">
        <v>640</v>
      </c>
      <c r="D113" s="130"/>
      <c r="E113" s="130"/>
      <c r="F113" s="217"/>
      <c r="G113" s="76"/>
      <c r="H113" s="79"/>
      <c r="I113" s="56">
        <v>170000</v>
      </c>
      <c r="J113" s="76" t="s">
        <v>204</v>
      </c>
      <c r="K113" s="76"/>
      <c r="L113" s="79"/>
    </row>
    <row r="114" spans="1:12" ht="15" x14ac:dyDescent="0.2">
      <c r="A114" s="50"/>
      <c r="B114" s="100"/>
      <c r="C114" s="76"/>
      <c r="D114" s="76"/>
      <c r="E114" s="76"/>
      <c r="F114" s="169"/>
      <c r="G114" s="76"/>
      <c r="H114" s="76"/>
      <c r="I114" s="56"/>
      <c r="J114" s="76"/>
      <c r="K114" s="76"/>
      <c r="L114" s="79"/>
    </row>
    <row r="115" spans="1:12" ht="15" x14ac:dyDescent="0.2">
      <c r="A115" s="50"/>
      <c r="B115" s="100"/>
      <c r="C115" s="76"/>
      <c r="D115" s="76"/>
      <c r="E115" s="76"/>
      <c r="F115" s="169"/>
      <c r="G115" s="76"/>
      <c r="H115" s="76"/>
      <c r="I115" s="56"/>
      <c r="J115" s="76"/>
      <c r="K115" s="76"/>
      <c r="L115" s="79"/>
    </row>
    <row r="116" spans="1:12" ht="15" x14ac:dyDescent="0.2">
      <c r="B116" s="96"/>
      <c r="C116" s="124"/>
      <c r="D116" s="124"/>
      <c r="E116" s="127"/>
      <c r="F116" s="125"/>
      <c r="G116" s="124"/>
      <c r="H116" s="124"/>
      <c r="I116" s="23"/>
      <c r="L116" s="17"/>
    </row>
    <row r="117" spans="1:12" ht="15" x14ac:dyDescent="0.25">
      <c r="A117" s="1"/>
      <c r="B117" s="39"/>
      <c r="C117" s="1"/>
      <c r="D117" s="1"/>
      <c r="E117" s="1"/>
      <c r="F117" s="40" t="s">
        <v>5</v>
      </c>
      <c r="G117" s="40"/>
      <c r="H117" s="1"/>
      <c r="I117" s="41">
        <f>I113</f>
        <v>170000</v>
      </c>
      <c r="J117" s="1"/>
      <c r="K117" s="1"/>
      <c r="L117" s="42"/>
    </row>
    <row r="118" spans="1:12" ht="15.75" thickBot="1" x14ac:dyDescent="0.3">
      <c r="A118" s="1"/>
      <c r="B118" s="43"/>
      <c r="C118" s="44"/>
      <c r="D118" s="44"/>
      <c r="E118" s="44"/>
      <c r="F118" s="45"/>
      <c r="G118" s="45"/>
      <c r="H118" s="44"/>
      <c r="I118" s="46"/>
      <c r="J118" s="44"/>
      <c r="K118" s="44"/>
      <c r="L118" s="47"/>
    </row>
    <row r="119" spans="1:12" ht="21.95" customHeight="1" thickTop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49.5" customHeight="1" x14ac:dyDescent="0.2">
      <c r="A120" s="10" t="s">
        <v>2</v>
      </c>
      <c r="B120" s="279" t="s">
        <v>11</v>
      </c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x14ac:dyDescent="0.2">
      <c r="A122" s="280" t="s">
        <v>12</v>
      </c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</row>
    <row r="123" spans="1:12" ht="16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4.25" customHeight="1" x14ac:dyDescent="0.25">
      <c r="A125" s="1"/>
      <c r="B125" s="1"/>
      <c r="C125" s="1"/>
      <c r="D125" s="1"/>
      <c r="E125" s="1"/>
      <c r="F125" s="1"/>
      <c r="G125" s="1"/>
      <c r="H125" s="4" t="s">
        <v>668</v>
      </c>
    </row>
    <row r="126" spans="1:12" ht="15" x14ac:dyDescent="0.25">
      <c r="A126" s="1"/>
      <c r="B126" s="1" t="s">
        <v>15</v>
      </c>
      <c r="C126" s="1"/>
      <c r="D126" s="1"/>
      <c r="E126" s="1"/>
      <c r="F126" s="1"/>
      <c r="G126" s="1"/>
      <c r="H126" s="4" t="s">
        <v>13</v>
      </c>
    </row>
    <row r="127" spans="1:12" ht="15" x14ac:dyDescent="0.2">
      <c r="A127" s="48"/>
      <c r="B127" s="48" t="s">
        <v>18</v>
      </c>
      <c r="C127" s="48"/>
      <c r="D127" s="48"/>
      <c r="E127" s="48"/>
      <c r="F127" s="48"/>
      <c r="G127" s="48"/>
      <c r="H127" s="99" t="s">
        <v>14</v>
      </c>
      <c r="I127" s="99"/>
      <c r="J127" s="99"/>
      <c r="K127" s="99"/>
      <c r="L127" s="99"/>
    </row>
    <row r="128" spans="1:1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5">
      <c r="A130" s="1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"/>
    </row>
    <row r="131" spans="1:12" ht="15" x14ac:dyDescent="0.25">
      <c r="A131" s="1"/>
      <c r="K131" s="103"/>
      <c r="L131" s="1"/>
    </row>
    <row r="132" spans="1:12" ht="15" x14ac:dyDescent="0.25">
      <c r="A132" s="1"/>
      <c r="B132" s="272" t="s">
        <v>644</v>
      </c>
      <c r="H132" s="37" t="str">
        <f>D105</f>
        <v>Lia Tri Wahyuni, S.Si</v>
      </c>
      <c r="I132" s="95"/>
      <c r="J132" s="92"/>
      <c r="K132" s="103"/>
      <c r="L132" s="1"/>
    </row>
    <row r="133" spans="1:12" ht="15" x14ac:dyDescent="0.25">
      <c r="A133" s="1"/>
      <c r="B133" s="273" t="s">
        <v>638</v>
      </c>
      <c r="C133" s="57"/>
      <c r="H133" s="269" t="s">
        <v>27</v>
      </c>
      <c r="K133" s="103"/>
    </row>
    <row r="138" spans="1:12" ht="21.95" customHeight="1" x14ac:dyDescent="0.25">
      <c r="A138" s="3" t="s">
        <v>22</v>
      </c>
    </row>
    <row r="139" spans="1:12" ht="15.75" x14ac:dyDescent="0.2">
      <c r="A139" s="122" t="s">
        <v>20</v>
      </c>
    </row>
    <row r="140" spans="1:12" ht="15.75" x14ac:dyDescent="0.2">
      <c r="A140" s="122" t="s">
        <v>21</v>
      </c>
    </row>
    <row r="141" spans="1:12" ht="15.75" x14ac:dyDescent="0.2">
      <c r="A141" s="122"/>
    </row>
    <row r="142" spans="1:12" ht="12.75" x14ac:dyDescent="0.2"/>
    <row r="143" spans="1:12" ht="18.75" x14ac:dyDescent="0.3">
      <c r="A143" s="276" t="s">
        <v>6</v>
      </c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</row>
    <row r="144" spans="1:12" ht="18.75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</row>
    <row r="145" spans="1:12" ht="15" x14ac:dyDescent="0.25">
      <c r="A145" s="1"/>
      <c r="B145" s="1"/>
    </row>
    <row r="146" spans="1:12" ht="15" x14ac:dyDescent="0.25">
      <c r="A146" s="1" t="s">
        <v>7</v>
      </c>
      <c r="B146" s="1"/>
    </row>
    <row r="147" spans="1:12" ht="15" x14ac:dyDescent="0.25">
      <c r="A147" s="1"/>
      <c r="B147" s="1"/>
    </row>
    <row r="148" spans="1:12" ht="15" x14ac:dyDescent="0.25">
      <c r="A148" s="1" t="s">
        <v>8</v>
      </c>
      <c r="C148" s="9" t="s">
        <v>1</v>
      </c>
      <c r="D148" s="37" t="s">
        <v>555</v>
      </c>
      <c r="E148" s="76"/>
      <c r="F148" s="76"/>
      <c r="G148" s="76"/>
      <c r="H148" s="76"/>
    </row>
    <row r="149" spans="1:12" ht="15" x14ac:dyDescent="0.25">
      <c r="A149" s="1" t="s">
        <v>9</v>
      </c>
      <c r="C149" s="9" t="s">
        <v>1</v>
      </c>
      <c r="D149" s="1" t="s">
        <v>236</v>
      </c>
      <c r="E149" s="76"/>
      <c r="F149" s="76"/>
      <c r="G149" s="76"/>
      <c r="H149" s="76"/>
    </row>
    <row r="150" spans="1:12" ht="15" x14ac:dyDescent="0.25">
      <c r="A150" s="50" t="s">
        <v>10</v>
      </c>
      <c r="B150" s="76"/>
      <c r="C150" s="91" t="s">
        <v>1</v>
      </c>
      <c r="D150" s="1" t="s">
        <v>275</v>
      </c>
      <c r="E150" s="76"/>
      <c r="F150" s="76"/>
      <c r="G150" s="76"/>
      <c r="H150" s="76"/>
      <c r="I150" s="76"/>
      <c r="J150" s="76"/>
      <c r="K150" s="76"/>
      <c r="L150" s="76"/>
    </row>
    <row r="151" spans="1:12" ht="15" x14ac:dyDescent="0.25">
      <c r="A151" s="1"/>
      <c r="B151" s="1"/>
      <c r="D151" s="1"/>
    </row>
    <row r="152" spans="1:12" ht="31.5" customHeight="1" x14ac:dyDescent="0.2">
      <c r="A152" s="277" t="s">
        <v>669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</row>
    <row r="153" spans="1:12" ht="15" x14ac:dyDescent="0.25">
      <c r="A153" s="1"/>
      <c r="B153" s="1"/>
    </row>
    <row r="154" spans="1:12" ht="37.5" customHeight="1" thickBot="1" x14ac:dyDescent="0.25">
      <c r="A154" s="10" t="s">
        <v>0</v>
      </c>
      <c r="B154" s="278" t="s">
        <v>91</v>
      </c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</row>
    <row r="155" spans="1:12" ht="15.75" thickTop="1" x14ac:dyDescent="0.25">
      <c r="A155" s="1"/>
      <c r="B155" s="11" t="s">
        <v>3</v>
      </c>
      <c r="C155" s="12" t="s">
        <v>4</v>
      </c>
      <c r="D155" s="13"/>
      <c r="E155" s="13"/>
      <c r="F155" s="13"/>
      <c r="G155" s="13"/>
      <c r="H155" s="14"/>
      <c r="I155" s="15" t="s">
        <v>5</v>
      </c>
      <c r="J155" s="12" t="s">
        <v>17</v>
      </c>
      <c r="K155" s="13"/>
      <c r="L155" s="14"/>
    </row>
    <row r="156" spans="1:12" ht="15" x14ac:dyDescent="0.2">
      <c r="A156" s="50"/>
      <c r="B156" s="143">
        <v>1</v>
      </c>
      <c r="C156" s="129" t="s">
        <v>640</v>
      </c>
      <c r="D156" s="130"/>
      <c r="E156" s="130"/>
      <c r="F156" s="217"/>
      <c r="G156" s="76"/>
      <c r="H156" s="79"/>
      <c r="I156" s="56">
        <v>170000</v>
      </c>
      <c r="J156" s="76" t="s">
        <v>204</v>
      </c>
      <c r="K156" s="76"/>
      <c r="L156" s="79"/>
    </row>
    <row r="157" spans="1:12" ht="15" x14ac:dyDescent="0.2">
      <c r="A157" s="50"/>
      <c r="B157" s="100"/>
      <c r="C157" s="76"/>
      <c r="D157" s="76"/>
      <c r="E157" s="76"/>
      <c r="F157" s="169"/>
      <c r="G157" s="76"/>
      <c r="H157" s="76"/>
      <c r="I157" s="56"/>
      <c r="J157" s="76"/>
      <c r="K157" s="76"/>
      <c r="L157" s="79"/>
    </row>
    <row r="158" spans="1:12" ht="15" x14ac:dyDescent="0.2">
      <c r="A158" s="50"/>
      <c r="B158" s="100"/>
      <c r="C158" s="76"/>
      <c r="D158" s="76"/>
      <c r="E158" s="76"/>
      <c r="F158" s="169"/>
      <c r="G158" s="76"/>
      <c r="H158" s="76"/>
      <c r="I158" s="56"/>
      <c r="J158" s="76"/>
      <c r="K158" s="76"/>
      <c r="L158" s="79"/>
    </row>
    <row r="159" spans="1:12" ht="15" x14ac:dyDescent="0.2">
      <c r="B159" s="96"/>
      <c r="C159" s="124"/>
      <c r="D159" s="124"/>
      <c r="E159" s="127"/>
      <c r="F159" s="125"/>
      <c r="G159" s="124"/>
      <c r="H159" s="124"/>
      <c r="I159" s="23"/>
      <c r="L159" s="17"/>
    </row>
    <row r="160" spans="1:12" ht="15" x14ac:dyDescent="0.25">
      <c r="A160" s="1"/>
      <c r="B160" s="39"/>
      <c r="C160" s="1"/>
      <c r="D160" s="1"/>
      <c r="E160" s="1"/>
      <c r="F160" s="40" t="s">
        <v>5</v>
      </c>
      <c r="G160" s="40"/>
      <c r="H160" s="1"/>
      <c r="I160" s="41">
        <f>I156</f>
        <v>170000</v>
      </c>
      <c r="J160" s="1"/>
      <c r="K160" s="1"/>
      <c r="L160" s="42"/>
    </row>
    <row r="161" spans="1:12" ht="15.75" thickBot="1" x14ac:dyDescent="0.3">
      <c r="A161" s="1"/>
      <c r="B161" s="43"/>
      <c r="C161" s="44"/>
      <c r="D161" s="44"/>
      <c r="E161" s="44"/>
      <c r="F161" s="45"/>
      <c r="G161" s="45"/>
      <c r="H161" s="44"/>
      <c r="I161" s="46"/>
      <c r="J161" s="44"/>
      <c r="K161" s="44"/>
      <c r="L161" s="47"/>
    </row>
    <row r="162" spans="1:12" ht="15.75" thickTop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48" customHeight="1" x14ac:dyDescent="0.2">
      <c r="A163" s="10" t="s">
        <v>2</v>
      </c>
      <c r="B163" s="279" t="s">
        <v>11</v>
      </c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</row>
    <row r="164" spans="1:12" ht="1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21.95" customHeight="1" x14ac:dyDescent="0.2">
      <c r="A165" s="280" t="s">
        <v>12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</row>
    <row r="166" spans="1:12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7.25" customHeight="1" x14ac:dyDescent="0.25">
      <c r="A168" s="1"/>
      <c r="B168" s="1"/>
      <c r="C168" s="1"/>
      <c r="D168" s="1"/>
      <c r="E168" s="1"/>
      <c r="F168" s="1"/>
      <c r="G168" s="1"/>
      <c r="H168" s="4" t="s">
        <v>668</v>
      </c>
    </row>
    <row r="169" spans="1:12" ht="15" x14ac:dyDescent="0.25">
      <c r="A169" s="1"/>
      <c r="B169" s="1" t="s">
        <v>15</v>
      </c>
      <c r="C169" s="1"/>
      <c r="D169" s="1"/>
      <c r="E169" s="1"/>
      <c r="F169" s="1"/>
      <c r="G169" s="1"/>
      <c r="H169" s="4" t="s">
        <v>13</v>
      </c>
    </row>
    <row r="170" spans="1:12" ht="15" x14ac:dyDescent="0.2">
      <c r="A170" s="48"/>
      <c r="B170" s="48" t="s">
        <v>18</v>
      </c>
      <c r="C170" s="48"/>
      <c r="D170" s="48"/>
      <c r="E170" s="48"/>
      <c r="F170" s="48"/>
      <c r="G170" s="48"/>
      <c r="H170" s="99" t="s">
        <v>14</v>
      </c>
      <c r="I170" s="99"/>
      <c r="J170" s="99"/>
      <c r="K170" s="99"/>
      <c r="L170" s="99"/>
    </row>
    <row r="171" spans="1:12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 x14ac:dyDescent="0.25">
      <c r="A173" s="1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"/>
    </row>
    <row r="174" spans="1:12" ht="15" x14ac:dyDescent="0.25">
      <c r="A174" s="1"/>
      <c r="K174" s="103"/>
      <c r="L174" s="1"/>
    </row>
    <row r="175" spans="1:12" ht="15" x14ac:dyDescent="0.25">
      <c r="A175" s="1"/>
      <c r="B175" s="272" t="s">
        <v>644</v>
      </c>
      <c r="H175" s="37" t="str">
        <f>D148</f>
        <v>Ika Kartika, S.T.P</v>
      </c>
      <c r="I175" s="95"/>
      <c r="J175" s="92"/>
      <c r="K175" s="103"/>
      <c r="L175" s="1"/>
    </row>
    <row r="176" spans="1:12" ht="15" x14ac:dyDescent="0.25">
      <c r="A176" s="1"/>
      <c r="B176" s="273" t="s">
        <v>638</v>
      </c>
      <c r="C176" s="57"/>
      <c r="H176" s="269" t="s">
        <v>27</v>
      </c>
      <c r="K176" s="103"/>
    </row>
    <row r="190" ht="25.5" customHeight="1" x14ac:dyDescent="0.2"/>
    <row r="192" ht="12.75" x14ac:dyDescent="0.2"/>
    <row r="194" ht="29.25" customHeight="1" x14ac:dyDescent="0.2"/>
    <row r="195" ht="34.5" customHeight="1" x14ac:dyDescent="0.2"/>
    <row r="196" ht="36" customHeight="1" x14ac:dyDescent="0.2"/>
    <row r="197" ht="32.25" customHeight="1" x14ac:dyDescent="0.2"/>
    <row r="198" ht="39.75" customHeight="1" x14ac:dyDescent="0.2"/>
    <row r="199" ht="48" customHeight="1" x14ac:dyDescent="0.2"/>
    <row r="203" ht="49.5" customHeight="1" x14ac:dyDescent="0.2"/>
    <row r="204" ht="49.5" customHeight="1" x14ac:dyDescent="0.2"/>
    <row r="207" ht="12.75" x14ac:dyDescent="0.2"/>
    <row r="215" ht="12.75" x14ac:dyDescent="0.2"/>
    <row r="216" ht="12.75" x14ac:dyDescent="0.2"/>
    <row r="233" ht="29.25" customHeight="1" x14ac:dyDescent="0.2"/>
    <row r="236" ht="32.25" customHeight="1" x14ac:dyDescent="0.2"/>
    <row r="238" ht="36.75" customHeight="1" x14ac:dyDescent="0.2"/>
    <row r="240" ht="21" customHeight="1" x14ac:dyDescent="0.2"/>
    <row r="242" ht="50.25" customHeight="1" x14ac:dyDescent="0.2"/>
    <row r="245" ht="12.75" x14ac:dyDescent="0.2"/>
    <row r="249" ht="12.75" x14ac:dyDescent="0.2"/>
    <row r="251" ht="12.75" x14ac:dyDescent="0.2"/>
    <row r="252" ht="12.75" x14ac:dyDescent="0.2"/>
    <row r="256" ht="12.75" x14ac:dyDescent="0.2"/>
    <row r="257" ht="12.75" x14ac:dyDescent="0.2"/>
    <row r="258" ht="12.75" x14ac:dyDescent="0.2"/>
    <row r="277" ht="31.5" customHeight="1" x14ac:dyDescent="0.2"/>
    <row r="278" ht="38.25" customHeight="1" x14ac:dyDescent="0.2"/>
    <row r="279" ht="33" customHeight="1" x14ac:dyDescent="0.2"/>
    <row r="280" ht="31.5" customHeight="1" x14ac:dyDescent="0.2"/>
    <row r="286" ht="51" customHeight="1" x14ac:dyDescent="0.2"/>
    <row r="287" ht="12.75" x14ac:dyDescent="0.2"/>
    <row r="288" ht="12.75" x14ac:dyDescent="0.2"/>
    <row r="295" ht="12.75" x14ac:dyDescent="0.2"/>
    <row r="304" ht="12.75" x14ac:dyDescent="0.2"/>
    <row r="305" ht="21.75" hidden="1" customHeight="1" x14ac:dyDescent="0.2"/>
    <row r="321" ht="27.75" customHeight="1" x14ac:dyDescent="0.2"/>
    <row r="323" ht="39" customHeight="1" x14ac:dyDescent="0.2"/>
    <row r="328" ht="33" customHeight="1" x14ac:dyDescent="0.2"/>
    <row r="330" ht="45" customHeight="1" x14ac:dyDescent="0.2"/>
    <row r="337" ht="48" customHeight="1" x14ac:dyDescent="0.2"/>
    <row r="346" ht="12.75" customHeight="1" x14ac:dyDescent="0.2"/>
    <row r="347" ht="21.75" hidden="1" customHeight="1" x14ac:dyDescent="0.2"/>
    <row r="371" ht="29.25" customHeight="1" x14ac:dyDescent="0.2"/>
    <row r="373" ht="39.75" customHeight="1" x14ac:dyDescent="0.2"/>
    <row r="380" ht="45.75" customHeight="1" x14ac:dyDescent="0.2"/>
    <row r="386" ht="12.75" x14ac:dyDescent="0.2"/>
    <row r="389" ht="6" customHeight="1" x14ac:dyDescent="0.2"/>
    <row r="390" ht="21.75" hidden="1" customHeight="1" x14ac:dyDescent="0.2"/>
    <row r="409" ht="12.75" x14ac:dyDescent="0.2"/>
    <row r="412" ht="25.5" customHeight="1" x14ac:dyDescent="0.2"/>
    <row r="414" ht="36" customHeight="1" x14ac:dyDescent="0.2"/>
    <row r="421" ht="51.75" customHeight="1" x14ac:dyDescent="0.2"/>
    <row r="429" ht="5.25" customHeight="1" x14ac:dyDescent="0.2"/>
    <row r="430" ht="21.75" customHeight="1" x14ac:dyDescent="0.2"/>
    <row r="431" ht="21.75" hidden="1" customHeight="1" x14ac:dyDescent="0.2"/>
    <row r="456" ht="30" customHeight="1" x14ac:dyDescent="0.2"/>
    <row r="463" ht="48" customHeight="1" x14ac:dyDescent="0.2"/>
    <row r="472" ht="5.25" customHeight="1" x14ac:dyDescent="0.2"/>
    <row r="473" ht="21.75" hidden="1" customHeight="1" x14ac:dyDescent="0.2"/>
    <row r="496" ht="42" customHeight="1" x14ac:dyDescent="0.2"/>
    <row r="498" ht="29.25" customHeight="1" x14ac:dyDescent="0.2"/>
    <row r="505" ht="45" customHeight="1" x14ac:dyDescent="0.2"/>
    <row r="511" ht="12.75" x14ac:dyDescent="0.2"/>
    <row r="514" ht="6.75" customHeight="1" x14ac:dyDescent="0.2"/>
    <row r="515" ht="21.75" hidden="1" customHeight="1" x14ac:dyDescent="0.2"/>
    <row r="516" ht="3" customHeight="1" x14ac:dyDescent="0.2"/>
    <row r="538" ht="26.25" customHeight="1" x14ac:dyDescent="0.2"/>
    <row r="540" ht="36" customHeight="1" x14ac:dyDescent="0.2"/>
    <row r="547" ht="49.5" customHeight="1" x14ac:dyDescent="0.2"/>
    <row r="556" ht="13.5" customHeight="1" x14ac:dyDescent="0.2"/>
    <row r="557" ht="21.75" hidden="1" customHeight="1" x14ac:dyDescent="0.2"/>
    <row r="580" ht="26.25" customHeight="1" x14ac:dyDescent="0.2"/>
    <row r="582" ht="32.25" customHeight="1" x14ac:dyDescent="0.2"/>
    <row r="589" ht="32.25" customHeight="1" x14ac:dyDescent="0.2"/>
    <row r="598" ht="15.75" customHeight="1" x14ac:dyDescent="0.2"/>
    <row r="599" ht="21.75" hidden="1" customHeight="1" x14ac:dyDescent="0.2"/>
    <row r="620" ht="30" customHeight="1" x14ac:dyDescent="0.2"/>
    <row r="622" ht="33" customHeight="1" x14ac:dyDescent="0.2"/>
    <row r="629" ht="46.5" customHeight="1" x14ac:dyDescent="0.2"/>
    <row r="660" ht="30.75" customHeight="1" x14ac:dyDescent="0.2"/>
    <row r="662" ht="39" customHeight="1" x14ac:dyDescent="0.2"/>
    <row r="669" ht="45.75" customHeight="1" x14ac:dyDescent="0.2"/>
  </sheetData>
  <mergeCells count="20">
    <mergeCell ref="B163:L163"/>
    <mergeCell ref="A165:L165"/>
    <mergeCell ref="B111:L111"/>
    <mergeCell ref="B120:L120"/>
    <mergeCell ref="A122:L122"/>
    <mergeCell ref="A143:L143"/>
    <mergeCell ref="A152:L152"/>
    <mergeCell ref="B154:L154"/>
    <mergeCell ref="A109:L109"/>
    <mergeCell ref="A6:L6"/>
    <mergeCell ref="A15:L15"/>
    <mergeCell ref="B17:L17"/>
    <mergeCell ref="B26:L26"/>
    <mergeCell ref="A28:L28"/>
    <mergeCell ref="A55:L55"/>
    <mergeCell ref="A64:L64"/>
    <mergeCell ref="B66:L66"/>
    <mergeCell ref="B75:L75"/>
    <mergeCell ref="A77:L77"/>
    <mergeCell ref="A100:L100"/>
  </mergeCells>
  <pageMargins left="0.5" right="0.2" top="0.75" bottom="1" header="0.5" footer="0.5"/>
  <pageSetup paperSize="5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9F3C-352C-4533-B262-BB95BFC6A5F7}">
  <dimension ref="A3:AA167"/>
  <sheetViews>
    <sheetView topLeftCell="A146" zoomScaleNormal="100" zoomScaleSheetLayoutView="100" workbookViewId="0">
      <selection activeCell="P129" sqref="P129:AA167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15.42578125" style="4" customWidth="1"/>
    <col min="6" max="6" width="13" style="4" customWidth="1"/>
    <col min="7" max="7" width="2.85546875" style="4" customWidth="1"/>
    <col min="8" max="8" width="7.5703125" style="4" customWidth="1"/>
    <col min="9" max="9" width="18.140625" style="4" customWidth="1"/>
    <col min="10" max="10" width="6.28515625" style="4" customWidth="1"/>
    <col min="11" max="11" width="5.28515625" style="4" customWidth="1"/>
    <col min="12" max="12" width="2.140625" style="4" customWidth="1"/>
    <col min="13" max="13" width="4.140625" style="4" customWidth="1"/>
    <col min="14" max="14" width="4.28515625" style="4" customWidth="1"/>
    <col min="15" max="15" width="3.7109375" style="4" customWidth="1"/>
    <col min="16" max="16" width="10" style="4" bestFit="1" customWidth="1"/>
    <col min="17" max="17" width="4.7109375" style="4" customWidth="1"/>
    <col min="18" max="20" width="9.140625" style="4"/>
    <col min="21" max="21" width="13.5703125" style="4" customWidth="1"/>
    <col min="22" max="22" width="9.140625" style="4"/>
    <col min="23" max="23" width="2.7109375" style="4" customWidth="1"/>
    <col min="24" max="24" width="13.28515625" style="4" customWidth="1"/>
    <col min="25" max="25" width="9.140625" style="4"/>
    <col min="26" max="26" width="7.7109375" style="4" customWidth="1"/>
    <col min="27" max="27" width="4.42578125" style="4" hidden="1" customWidth="1"/>
    <col min="28" max="16384" width="9.140625" style="4"/>
  </cols>
  <sheetData>
    <row r="3" spans="1:27" ht="21.95" customHeight="1" x14ac:dyDescent="0.25">
      <c r="A3" s="3" t="s">
        <v>22</v>
      </c>
      <c r="P3" s="3" t="s">
        <v>22</v>
      </c>
    </row>
    <row r="4" spans="1:27" ht="21.95" customHeight="1" x14ac:dyDescent="0.2">
      <c r="A4" s="122" t="s">
        <v>20</v>
      </c>
      <c r="P4" s="122" t="s">
        <v>20</v>
      </c>
    </row>
    <row r="5" spans="1:27" ht="21.95" customHeight="1" x14ac:dyDescent="0.2">
      <c r="A5" s="122" t="s">
        <v>21</v>
      </c>
      <c r="P5" s="122" t="s">
        <v>21</v>
      </c>
    </row>
    <row r="9" spans="1:27" ht="21.9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  <c r="P9" s="276" t="s">
        <v>6</v>
      </c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</row>
    <row r="10" spans="1:27" ht="21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1.9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1.95" customHeight="1" x14ac:dyDescent="0.25">
      <c r="A12" s="1"/>
      <c r="B12" s="1"/>
      <c r="P12" s="1"/>
      <c r="Q12" s="1"/>
    </row>
    <row r="13" spans="1:27" ht="21.95" customHeight="1" x14ac:dyDescent="0.25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P13" s="1" t="s">
        <v>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s="76" customFormat="1" ht="21.9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1.95" customHeight="1" x14ac:dyDescent="0.25">
      <c r="A15" s="1" t="s">
        <v>8</v>
      </c>
      <c r="B15" s="1"/>
      <c r="C15" s="9" t="s">
        <v>1</v>
      </c>
      <c r="D15" s="40" t="s">
        <v>604</v>
      </c>
      <c r="E15" s="50"/>
      <c r="F15" s="50"/>
      <c r="G15" s="50"/>
      <c r="H15" s="50"/>
      <c r="I15" s="1"/>
      <c r="J15" s="1"/>
      <c r="K15" s="1"/>
      <c r="L15" s="1"/>
      <c r="P15" s="1" t="s">
        <v>8</v>
      </c>
      <c r="Q15" s="1"/>
      <c r="R15" s="9" t="s">
        <v>1</v>
      </c>
      <c r="S15" s="40" t="s">
        <v>608</v>
      </c>
      <c r="T15" s="50"/>
      <c r="U15" s="50"/>
      <c r="V15" s="50"/>
      <c r="W15" s="50"/>
      <c r="X15" s="1"/>
      <c r="Y15" s="1"/>
      <c r="Z15" s="1"/>
      <c r="AA15" s="1"/>
    </row>
    <row r="16" spans="1:27" ht="21.95" customHeight="1" x14ac:dyDescent="0.25">
      <c r="A16" s="1" t="s">
        <v>9</v>
      </c>
      <c r="B16" s="1"/>
      <c r="C16" s="9" t="s">
        <v>1</v>
      </c>
      <c r="D16" s="7" t="s">
        <v>605</v>
      </c>
      <c r="E16" s="50"/>
      <c r="F16" s="50"/>
      <c r="G16" s="50"/>
      <c r="H16" s="50"/>
      <c r="I16" s="1"/>
      <c r="J16" s="1"/>
      <c r="K16" s="1"/>
      <c r="L16" s="1"/>
      <c r="P16" s="1" t="s">
        <v>9</v>
      </c>
      <c r="Q16" s="1"/>
      <c r="R16" s="9" t="s">
        <v>1</v>
      </c>
      <c r="S16" s="7" t="s">
        <v>609</v>
      </c>
      <c r="T16" s="50"/>
      <c r="U16" s="50"/>
      <c r="V16" s="50"/>
      <c r="W16" s="50"/>
      <c r="X16" s="1"/>
      <c r="Y16" s="1"/>
      <c r="Z16" s="1"/>
      <c r="AA16" s="1"/>
    </row>
    <row r="17" spans="1:27" ht="21.95" customHeight="1" x14ac:dyDescent="0.2">
      <c r="A17" s="50" t="s">
        <v>10</v>
      </c>
      <c r="B17" s="50"/>
      <c r="C17" s="91" t="s">
        <v>1</v>
      </c>
      <c r="D17" s="50" t="s">
        <v>606</v>
      </c>
      <c r="E17" s="50"/>
      <c r="F17" s="50"/>
      <c r="G17" s="50"/>
      <c r="H17" s="50"/>
      <c r="I17" s="50"/>
      <c r="J17" s="50"/>
      <c r="K17" s="50"/>
      <c r="L17" s="50"/>
      <c r="P17" s="50" t="s">
        <v>10</v>
      </c>
      <c r="Q17" s="50"/>
      <c r="R17" s="91" t="s">
        <v>1</v>
      </c>
      <c r="S17" s="50" t="s">
        <v>606</v>
      </c>
      <c r="T17" s="50"/>
      <c r="U17" s="50"/>
      <c r="V17" s="50"/>
      <c r="W17" s="50"/>
      <c r="X17" s="50"/>
      <c r="Y17" s="50"/>
      <c r="Z17" s="50"/>
      <c r="AA17" s="50"/>
    </row>
    <row r="18" spans="1:27" ht="21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s="148" customFormat="1" ht="32.25" customHeight="1" x14ac:dyDescent="0.2">
      <c r="A19" s="280" t="s">
        <v>632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P19" s="280" t="s">
        <v>632</v>
      </c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</row>
    <row r="20" spans="1:27" ht="21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3.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P21" s="10" t="s">
        <v>0</v>
      </c>
      <c r="Q21" s="278" t="s">
        <v>91</v>
      </c>
      <c r="R21" s="278"/>
      <c r="S21" s="278"/>
      <c r="T21" s="278"/>
      <c r="U21" s="278"/>
      <c r="V21" s="278"/>
      <c r="W21" s="278"/>
      <c r="X21" s="278"/>
      <c r="Y21" s="278"/>
      <c r="Z21" s="278"/>
      <c r="AA21" s="278"/>
    </row>
    <row r="22" spans="1:27" ht="21.95" customHeight="1" thickTop="1" x14ac:dyDescent="0.25">
      <c r="A22" s="1"/>
      <c r="B22" s="11" t="s">
        <v>3</v>
      </c>
      <c r="C22" s="180" t="s">
        <v>4</v>
      </c>
      <c r="D22" s="181"/>
      <c r="E22" s="181"/>
      <c r="F22" s="181"/>
      <c r="G22" s="181"/>
      <c r="H22" s="182"/>
      <c r="I22" s="11" t="s">
        <v>5</v>
      </c>
      <c r="J22" s="180" t="s">
        <v>17</v>
      </c>
      <c r="K22" s="181"/>
      <c r="L22" s="182"/>
      <c r="P22" s="1"/>
      <c r="Q22" s="11" t="s">
        <v>3</v>
      </c>
      <c r="R22" s="180" t="s">
        <v>4</v>
      </c>
      <c r="S22" s="181"/>
      <c r="T22" s="181"/>
      <c r="U22" s="181"/>
      <c r="V22" s="181"/>
      <c r="W22" s="182"/>
      <c r="X22" s="11" t="s">
        <v>5</v>
      </c>
      <c r="Y22" s="180" t="s">
        <v>17</v>
      </c>
      <c r="Z22" s="182"/>
      <c r="AA22" s="182"/>
    </row>
    <row r="23" spans="1:27" ht="21.95" customHeight="1" x14ac:dyDescent="0.2">
      <c r="A23" s="50"/>
      <c r="B23" s="143">
        <v>1</v>
      </c>
      <c r="C23" s="281" t="s">
        <v>633</v>
      </c>
      <c r="D23" s="282"/>
      <c r="E23" s="282"/>
      <c r="F23" s="282"/>
      <c r="G23" s="50"/>
      <c r="H23" s="55"/>
      <c r="I23" s="56">
        <v>250000</v>
      </c>
      <c r="J23" s="50"/>
      <c r="K23" s="50"/>
      <c r="L23" s="55"/>
      <c r="P23" s="50"/>
      <c r="Q23" s="143">
        <v>1</v>
      </c>
      <c r="R23" s="212" t="s">
        <v>633</v>
      </c>
      <c r="S23" s="213"/>
      <c r="T23" s="213"/>
      <c r="U23" s="213"/>
      <c r="V23" s="50"/>
      <c r="W23" s="55"/>
      <c r="X23" s="56">
        <v>250000</v>
      </c>
      <c r="Y23" s="50"/>
      <c r="Z23" s="55"/>
      <c r="AA23" s="55"/>
    </row>
    <row r="24" spans="1:27" ht="21.95" customHeight="1" x14ac:dyDescent="0.25">
      <c r="A24" s="1"/>
      <c r="B24" s="96"/>
      <c r="C24" s="124"/>
      <c r="D24" s="124"/>
      <c r="E24" s="127"/>
      <c r="F24" s="125"/>
      <c r="G24" s="124"/>
      <c r="H24" s="124"/>
      <c r="I24" s="183"/>
      <c r="J24" s="1"/>
      <c r="K24" s="1"/>
      <c r="L24" s="42"/>
      <c r="P24" s="1"/>
      <c r="Q24" s="96"/>
      <c r="R24" s="124"/>
      <c r="S24" s="124"/>
      <c r="T24" s="127"/>
      <c r="U24" s="125"/>
      <c r="V24" s="124"/>
      <c r="W24" s="124"/>
      <c r="X24" s="183"/>
      <c r="Y24" s="1"/>
      <c r="Z24" s="42"/>
      <c r="AA24" s="42"/>
    </row>
    <row r="25" spans="1:27" ht="21.9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f>I23</f>
        <v>250000</v>
      </c>
      <c r="J25" s="1"/>
      <c r="K25" s="1"/>
      <c r="L25" s="42"/>
      <c r="P25" s="1"/>
      <c r="Q25" s="39"/>
      <c r="R25" s="1"/>
      <c r="S25" s="1"/>
      <c r="T25" s="1"/>
      <c r="U25" s="40" t="s">
        <v>5</v>
      </c>
      <c r="V25" s="40"/>
      <c r="W25" s="1"/>
      <c r="X25" s="41">
        <f>X23</f>
        <v>250000</v>
      </c>
      <c r="Y25" s="1"/>
      <c r="Z25" s="42"/>
      <c r="AA25" s="42"/>
    </row>
    <row r="26" spans="1:27" ht="21.9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  <c r="P26" s="1"/>
      <c r="Q26" s="43"/>
      <c r="R26" s="44"/>
      <c r="S26" s="44"/>
      <c r="T26" s="44"/>
      <c r="U26" s="45"/>
      <c r="V26" s="45"/>
      <c r="W26" s="44"/>
      <c r="X26" s="46"/>
      <c r="Y26" s="44"/>
      <c r="Z26" s="47"/>
      <c r="AA26" s="47"/>
    </row>
    <row r="27" spans="1:27" ht="21.9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6.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P28" s="10" t="s">
        <v>2</v>
      </c>
      <c r="Q28" s="279" t="s">
        <v>11</v>
      </c>
      <c r="R28" s="279"/>
      <c r="S28" s="279"/>
      <c r="T28" s="279"/>
      <c r="U28" s="279"/>
      <c r="V28" s="279"/>
      <c r="W28" s="279"/>
      <c r="X28" s="279"/>
      <c r="Y28" s="279"/>
      <c r="Z28" s="279"/>
      <c r="AA28" s="279"/>
    </row>
    <row r="29" spans="1:27" ht="21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1.95" customHeight="1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P30" s="280" t="s">
        <v>12</v>
      </c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</row>
    <row r="31" spans="1:27" ht="21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1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1.95" customHeight="1" x14ac:dyDescent="0.25">
      <c r="A33" s="1"/>
      <c r="B33" s="1"/>
      <c r="C33" s="1"/>
      <c r="D33" s="1"/>
      <c r="E33" s="1"/>
      <c r="F33" s="1"/>
      <c r="G33" s="1"/>
      <c r="H33" s="1" t="s">
        <v>607</v>
      </c>
      <c r="I33" s="1"/>
      <c r="J33" s="190"/>
      <c r="K33" s="190"/>
      <c r="L33" s="190"/>
      <c r="P33" s="1"/>
      <c r="Q33" s="1"/>
      <c r="R33" s="1"/>
      <c r="S33" s="1"/>
      <c r="T33" s="1"/>
      <c r="U33" s="1"/>
      <c r="V33" s="1"/>
      <c r="W33" s="1" t="s">
        <v>607</v>
      </c>
      <c r="X33" s="1"/>
      <c r="Y33" s="190"/>
      <c r="Z33" s="190"/>
      <c r="AA33" s="190"/>
    </row>
    <row r="34" spans="1:27" ht="15" customHeight="1" x14ac:dyDescent="0.25">
      <c r="A34" s="1"/>
      <c r="B34" s="1" t="s">
        <v>15</v>
      </c>
      <c r="C34" s="1"/>
      <c r="D34" s="1"/>
      <c r="E34" s="1"/>
      <c r="F34" s="1"/>
      <c r="G34" s="1"/>
      <c r="H34" s="1" t="s">
        <v>13</v>
      </c>
      <c r="I34" s="1"/>
      <c r="J34" s="1"/>
      <c r="K34" s="1"/>
      <c r="L34" s="1"/>
      <c r="P34" s="1"/>
      <c r="Q34" s="1" t="s">
        <v>15</v>
      </c>
      <c r="R34" s="1"/>
      <c r="S34" s="1"/>
      <c r="T34" s="1"/>
      <c r="U34" s="1"/>
      <c r="V34" s="1"/>
      <c r="W34" s="1" t="s">
        <v>13</v>
      </c>
      <c r="X34" s="1"/>
      <c r="Y34" s="1"/>
      <c r="Z34" s="1"/>
      <c r="AA34" s="1"/>
    </row>
    <row r="35" spans="1:27" ht="16.5" customHeight="1" x14ac:dyDescent="0.25">
      <c r="A35" s="1"/>
      <c r="B35" s="1" t="s">
        <v>18</v>
      </c>
      <c r="C35" s="1"/>
      <c r="D35" s="1"/>
      <c r="E35" s="1"/>
      <c r="F35" s="1"/>
      <c r="G35" s="1"/>
      <c r="H35" s="1" t="s">
        <v>14</v>
      </c>
      <c r="I35" s="1"/>
      <c r="J35" s="1"/>
      <c r="K35" s="1"/>
      <c r="L35" s="1"/>
      <c r="P35" s="1"/>
      <c r="Q35" s="1" t="s">
        <v>18</v>
      </c>
      <c r="R35" s="1"/>
      <c r="S35" s="1"/>
      <c r="T35" s="1"/>
      <c r="U35" s="1"/>
      <c r="V35" s="1"/>
      <c r="W35" s="1" t="s">
        <v>14</v>
      </c>
      <c r="X35" s="1"/>
      <c r="Y35" s="1"/>
      <c r="Z35" s="1"/>
      <c r="AA35" s="1"/>
    </row>
    <row r="36" spans="1:27" ht="2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1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1.7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1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1.95" customHeight="1" x14ac:dyDescent="0.25">
      <c r="A40" s="1"/>
      <c r="B40" s="37" t="s">
        <v>77</v>
      </c>
      <c r="C40" s="1"/>
      <c r="D40" s="1"/>
      <c r="E40" s="1"/>
      <c r="F40" s="1"/>
      <c r="G40" s="1"/>
      <c r="H40" s="37" t="str">
        <f>D15</f>
        <v>Fatun Indarti, S.Pd</v>
      </c>
      <c r="I40" s="37"/>
      <c r="J40" s="40"/>
      <c r="K40" s="1"/>
      <c r="L40" s="1"/>
      <c r="P40" s="1"/>
      <c r="Q40" s="37" t="s">
        <v>77</v>
      </c>
      <c r="R40" s="1"/>
      <c r="S40" s="1"/>
      <c r="T40" s="1"/>
      <c r="U40" s="1"/>
      <c r="V40" s="1"/>
      <c r="W40" s="37" t="str">
        <f>S15</f>
        <v>Dwi Kartika, S.Pd</v>
      </c>
      <c r="X40" s="37"/>
      <c r="Y40" s="40"/>
      <c r="Z40" s="1"/>
      <c r="AA40" s="1"/>
    </row>
    <row r="41" spans="1:27" ht="21.95" customHeight="1" x14ac:dyDescent="0.25">
      <c r="A41" s="1"/>
      <c r="B41" s="48" t="s">
        <v>27</v>
      </c>
      <c r="C41" s="7"/>
      <c r="D41" s="1"/>
      <c r="E41" s="1"/>
      <c r="F41" s="1"/>
      <c r="G41" s="1"/>
      <c r="H41" s="48" t="s">
        <v>623</v>
      </c>
      <c r="I41" s="1"/>
      <c r="J41" s="1"/>
      <c r="K41" s="1"/>
      <c r="L41" s="1"/>
      <c r="P41" s="1"/>
      <c r="Q41" s="48" t="s">
        <v>27</v>
      </c>
      <c r="R41" s="7"/>
      <c r="S41" s="1"/>
      <c r="T41" s="1"/>
      <c r="U41" s="1"/>
      <c r="V41" s="1"/>
      <c r="W41" s="48" t="s">
        <v>624</v>
      </c>
      <c r="X41" s="1"/>
      <c r="Y41" s="1"/>
      <c r="Z41" s="1"/>
      <c r="AA41" s="1"/>
    </row>
    <row r="44" spans="1:27" ht="21.95" customHeight="1" x14ac:dyDescent="0.25">
      <c r="A44" s="3" t="s">
        <v>22</v>
      </c>
      <c r="P44" s="3" t="s">
        <v>22</v>
      </c>
    </row>
    <row r="45" spans="1:27" ht="21.95" customHeight="1" x14ac:dyDescent="0.2">
      <c r="A45" s="122" t="s">
        <v>20</v>
      </c>
      <c r="P45" s="122" t="s">
        <v>20</v>
      </c>
    </row>
    <row r="46" spans="1:27" ht="21.95" customHeight="1" x14ac:dyDescent="0.2">
      <c r="A46" s="122" t="s">
        <v>21</v>
      </c>
      <c r="P46" s="122" t="s">
        <v>21</v>
      </c>
    </row>
    <row r="50" spans="1:27" ht="21.95" customHeight="1" x14ac:dyDescent="0.3">
      <c r="A50" s="276" t="s">
        <v>6</v>
      </c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P50" s="276" t="s">
        <v>6</v>
      </c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</row>
    <row r="51" spans="1:27" ht="21.95" customHeigh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1.95" customHeigh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1.95" customHeight="1" x14ac:dyDescent="0.25">
      <c r="A53" s="1"/>
      <c r="B53" s="1"/>
      <c r="P53" s="1"/>
      <c r="Q53" s="1"/>
    </row>
    <row r="54" spans="1:27" ht="21.95" customHeight="1" x14ac:dyDescent="0.25">
      <c r="A54" s="1" t="s">
        <v>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P54" s="1" t="s">
        <v>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1.9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1.95" customHeight="1" x14ac:dyDescent="0.25">
      <c r="A56" s="1" t="s">
        <v>8</v>
      </c>
      <c r="B56" s="1"/>
      <c r="C56" s="9" t="s">
        <v>1</v>
      </c>
      <c r="D56" s="40" t="s">
        <v>610</v>
      </c>
      <c r="E56" s="50"/>
      <c r="F56" s="50"/>
      <c r="G56" s="50"/>
      <c r="H56" s="50"/>
      <c r="I56" s="1"/>
      <c r="J56" s="1"/>
      <c r="K56" s="1"/>
      <c r="L56" s="1"/>
      <c r="P56" s="1" t="s">
        <v>8</v>
      </c>
      <c r="Q56" s="1"/>
      <c r="R56" s="9" t="s">
        <v>1</v>
      </c>
      <c r="S56" s="40" t="s">
        <v>613</v>
      </c>
      <c r="T56" s="50"/>
      <c r="U56" s="50"/>
      <c r="V56" s="50"/>
      <c r="W56" s="50"/>
      <c r="X56" s="1"/>
      <c r="Y56" s="1"/>
      <c r="Z56" s="1"/>
      <c r="AA56" s="1"/>
    </row>
    <row r="57" spans="1:27" ht="21.95" customHeight="1" x14ac:dyDescent="0.25">
      <c r="A57" s="1" t="s">
        <v>9</v>
      </c>
      <c r="B57" s="1"/>
      <c r="C57" s="9" t="s">
        <v>1</v>
      </c>
      <c r="D57" s="7" t="s">
        <v>611</v>
      </c>
      <c r="E57" s="50"/>
      <c r="F57" s="50"/>
      <c r="G57" s="50"/>
      <c r="H57" s="50"/>
      <c r="I57" s="1"/>
      <c r="J57" s="1"/>
      <c r="K57" s="1"/>
      <c r="L57" s="1"/>
      <c r="P57" s="1" t="s">
        <v>9</v>
      </c>
      <c r="Q57" s="1"/>
      <c r="R57" s="9" t="s">
        <v>1</v>
      </c>
      <c r="S57" s="7" t="s">
        <v>614</v>
      </c>
      <c r="T57" s="50"/>
      <c r="U57" s="50"/>
      <c r="V57" s="50"/>
      <c r="W57" s="50"/>
      <c r="X57" s="1"/>
      <c r="Y57" s="1"/>
      <c r="Z57" s="1"/>
      <c r="AA57" s="1"/>
    </row>
    <row r="58" spans="1:27" ht="21.95" customHeight="1" x14ac:dyDescent="0.2">
      <c r="A58" s="50" t="s">
        <v>10</v>
      </c>
      <c r="B58" s="50"/>
      <c r="C58" s="91" t="s">
        <v>1</v>
      </c>
      <c r="D58" s="50" t="s">
        <v>612</v>
      </c>
      <c r="E58" s="50"/>
      <c r="F58" s="50"/>
      <c r="G58" s="50"/>
      <c r="H58" s="50"/>
      <c r="I58" s="50"/>
      <c r="J58" s="50"/>
      <c r="K58" s="50"/>
      <c r="L58" s="50"/>
      <c r="P58" s="50" t="s">
        <v>10</v>
      </c>
      <c r="Q58" s="50"/>
      <c r="R58" s="91" t="s">
        <v>1</v>
      </c>
      <c r="S58" s="50" t="s">
        <v>615</v>
      </c>
      <c r="T58" s="50"/>
      <c r="U58" s="50"/>
      <c r="V58" s="50"/>
      <c r="W58" s="50"/>
      <c r="X58" s="50"/>
      <c r="Y58" s="50"/>
      <c r="Z58" s="50"/>
      <c r="AA58" s="50"/>
    </row>
    <row r="59" spans="1:27" ht="21.9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36" customHeight="1" x14ac:dyDescent="0.2">
      <c r="A60" s="280" t="s">
        <v>632</v>
      </c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P60" s="280" t="s">
        <v>632</v>
      </c>
      <c r="Q60" s="280"/>
      <c r="R60" s="280"/>
      <c r="S60" s="280"/>
      <c r="T60" s="280"/>
      <c r="U60" s="280"/>
      <c r="V60" s="280"/>
      <c r="W60" s="280"/>
      <c r="X60" s="280"/>
      <c r="Y60" s="280"/>
      <c r="Z60" s="280"/>
      <c r="AA60" s="280"/>
    </row>
    <row r="61" spans="1:27" ht="21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33.75" customHeight="1" thickBot="1" x14ac:dyDescent="0.25">
      <c r="A62" s="10" t="s">
        <v>0</v>
      </c>
      <c r="B62" s="278" t="s">
        <v>91</v>
      </c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P62" s="10" t="s">
        <v>0</v>
      </c>
      <c r="Q62" s="278" t="s">
        <v>91</v>
      </c>
      <c r="R62" s="278"/>
      <c r="S62" s="278"/>
      <c r="T62" s="278"/>
      <c r="U62" s="278"/>
      <c r="V62" s="278"/>
      <c r="W62" s="278"/>
      <c r="X62" s="278"/>
      <c r="Y62" s="278"/>
      <c r="Z62" s="278"/>
      <c r="AA62" s="278"/>
    </row>
    <row r="63" spans="1:27" ht="21.95" customHeight="1" thickTop="1" x14ac:dyDescent="0.25">
      <c r="A63" s="1"/>
      <c r="B63" s="11" t="s">
        <v>3</v>
      </c>
      <c r="C63" s="180" t="s">
        <v>4</v>
      </c>
      <c r="D63" s="181"/>
      <c r="E63" s="181"/>
      <c r="F63" s="181"/>
      <c r="G63" s="181"/>
      <c r="H63" s="182"/>
      <c r="I63" s="11" t="s">
        <v>5</v>
      </c>
      <c r="J63" s="180" t="s">
        <v>17</v>
      </c>
      <c r="K63" s="181"/>
      <c r="L63" s="182"/>
      <c r="P63" s="1"/>
      <c r="Q63" s="11" t="s">
        <v>3</v>
      </c>
      <c r="R63" s="180" t="s">
        <v>4</v>
      </c>
      <c r="S63" s="181"/>
      <c r="T63" s="181"/>
      <c r="U63" s="181"/>
      <c r="V63" s="181"/>
      <c r="W63" s="182"/>
      <c r="X63" s="11" t="s">
        <v>5</v>
      </c>
      <c r="Y63" s="180" t="s">
        <v>17</v>
      </c>
      <c r="Z63" s="182"/>
      <c r="AA63" s="182"/>
    </row>
    <row r="64" spans="1:27" ht="21.95" customHeight="1" x14ac:dyDescent="0.2">
      <c r="A64" s="50"/>
      <c r="B64" s="143">
        <v>1</v>
      </c>
      <c r="C64" s="281" t="s">
        <v>634</v>
      </c>
      <c r="D64" s="282"/>
      <c r="E64" s="282"/>
      <c r="F64" s="282"/>
      <c r="G64" s="50"/>
      <c r="H64" s="55"/>
      <c r="I64" s="56">
        <v>250000</v>
      </c>
      <c r="J64" s="50"/>
      <c r="K64" s="50"/>
      <c r="L64" s="55"/>
      <c r="P64" s="50"/>
      <c r="Q64" s="143">
        <v>1</v>
      </c>
      <c r="R64" s="281" t="s">
        <v>634</v>
      </c>
      <c r="S64" s="282"/>
      <c r="T64" s="282"/>
      <c r="U64" s="282"/>
      <c r="V64" s="50"/>
      <c r="W64" s="55"/>
      <c r="X64" s="56">
        <v>250000</v>
      </c>
      <c r="Y64" s="50"/>
      <c r="Z64" s="55"/>
      <c r="AA64" s="55"/>
    </row>
    <row r="65" spans="1:27" ht="21.95" customHeight="1" x14ac:dyDescent="0.25">
      <c r="A65" s="1"/>
      <c r="B65" s="96"/>
      <c r="C65" s="124"/>
      <c r="D65" s="124"/>
      <c r="E65" s="127"/>
      <c r="F65" s="125"/>
      <c r="G65" s="124"/>
      <c r="H65" s="124"/>
      <c r="I65" s="183"/>
      <c r="J65" s="1"/>
      <c r="K65" s="1"/>
      <c r="L65" s="42"/>
      <c r="P65" s="1"/>
      <c r="Q65" s="96"/>
      <c r="R65" s="124"/>
      <c r="S65" s="124"/>
      <c r="T65" s="127"/>
      <c r="U65" s="125"/>
      <c r="V65" s="124"/>
      <c r="W65" s="124"/>
      <c r="X65" s="183"/>
      <c r="Y65" s="1"/>
      <c r="Z65" s="42"/>
      <c r="AA65" s="42"/>
    </row>
    <row r="66" spans="1:27" ht="21.95" customHeight="1" x14ac:dyDescent="0.25">
      <c r="A66" s="1"/>
      <c r="B66" s="39"/>
      <c r="C66" s="1"/>
      <c r="D66" s="1"/>
      <c r="E66" s="1"/>
      <c r="F66" s="40" t="s">
        <v>5</v>
      </c>
      <c r="G66" s="40"/>
      <c r="H66" s="1"/>
      <c r="I66" s="41">
        <f>I64</f>
        <v>250000</v>
      </c>
      <c r="J66" s="1"/>
      <c r="K66" s="1"/>
      <c r="L66" s="42"/>
      <c r="P66" s="1"/>
      <c r="Q66" s="39"/>
      <c r="R66" s="1"/>
      <c r="S66" s="1"/>
      <c r="T66" s="1"/>
      <c r="U66" s="40" t="s">
        <v>5</v>
      </c>
      <c r="V66" s="40"/>
      <c r="W66" s="1"/>
      <c r="X66" s="41">
        <f>X64</f>
        <v>250000</v>
      </c>
      <c r="Y66" s="1"/>
      <c r="Z66" s="42"/>
      <c r="AA66" s="42"/>
    </row>
    <row r="67" spans="1:27" ht="21.95" customHeight="1" thickBot="1" x14ac:dyDescent="0.3">
      <c r="A67" s="1"/>
      <c r="B67" s="43"/>
      <c r="C67" s="44"/>
      <c r="D67" s="44"/>
      <c r="E67" s="44"/>
      <c r="F67" s="45"/>
      <c r="G67" s="45"/>
      <c r="H67" s="44"/>
      <c r="I67" s="46"/>
      <c r="J67" s="44"/>
      <c r="K67" s="44"/>
      <c r="L67" s="47"/>
      <c r="P67" s="1"/>
      <c r="Q67" s="43"/>
      <c r="R67" s="44"/>
      <c r="S67" s="44"/>
      <c r="T67" s="44"/>
      <c r="U67" s="45"/>
      <c r="V67" s="45"/>
      <c r="W67" s="44"/>
      <c r="X67" s="46"/>
      <c r="Y67" s="44"/>
      <c r="Z67" s="47"/>
      <c r="AA67" s="47"/>
    </row>
    <row r="68" spans="1:27" ht="21.95" customHeight="1" thickTop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50.25" customHeight="1" x14ac:dyDescent="0.2">
      <c r="A69" s="10" t="s">
        <v>2</v>
      </c>
      <c r="B69" s="279" t="s">
        <v>11</v>
      </c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P69" s="10" t="s">
        <v>2</v>
      </c>
      <c r="Q69" s="279" t="s">
        <v>11</v>
      </c>
      <c r="R69" s="279"/>
      <c r="S69" s="279"/>
      <c r="T69" s="279"/>
      <c r="U69" s="279"/>
      <c r="V69" s="279"/>
      <c r="W69" s="279"/>
      <c r="X69" s="279"/>
      <c r="Y69" s="279"/>
      <c r="Z69" s="279"/>
      <c r="AA69" s="279"/>
    </row>
    <row r="70" spans="1:27" ht="21.9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1.95" customHeight="1" x14ac:dyDescent="0.2">
      <c r="A71" s="280" t="s">
        <v>12</v>
      </c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P71" s="280" t="s">
        <v>12</v>
      </c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</row>
    <row r="72" spans="1:27" ht="21.9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1.9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1.95" customHeight="1" x14ac:dyDescent="0.25">
      <c r="A74" s="1"/>
      <c r="B74" s="1"/>
      <c r="C74" s="1"/>
      <c r="D74" s="1"/>
      <c r="E74" s="1"/>
      <c r="F74" s="1"/>
      <c r="G74" s="1"/>
      <c r="H74" s="1" t="s">
        <v>607</v>
      </c>
      <c r="I74" s="1"/>
      <c r="J74" s="190"/>
      <c r="K74" s="190"/>
      <c r="L74" s="190"/>
      <c r="P74" s="1"/>
      <c r="Q74" s="1"/>
      <c r="R74" s="1"/>
      <c r="S74" s="1"/>
      <c r="T74" s="1"/>
      <c r="U74" s="1"/>
      <c r="V74" s="1"/>
      <c r="W74" s="1" t="s">
        <v>607</v>
      </c>
      <c r="X74" s="1"/>
      <c r="Y74" s="190"/>
      <c r="Z74" s="190"/>
      <c r="AA74" s="190"/>
    </row>
    <row r="75" spans="1:27" ht="21.95" customHeight="1" x14ac:dyDescent="0.25">
      <c r="A75" s="1"/>
      <c r="B75" s="1" t="s">
        <v>15</v>
      </c>
      <c r="C75" s="1"/>
      <c r="D75" s="1"/>
      <c r="E75" s="1"/>
      <c r="F75" s="1"/>
      <c r="G75" s="1"/>
      <c r="H75" s="1" t="s">
        <v>13</v>
      </c>
      <c r="I75" s="1"/>
      <c r="J75" s="1"/>
      <c r="K75" s="1"/>
      <c r="L75" s="1"/>
      <c r="P75" s="1"/>
      <c r="Q75" s="1" t="s">
        <v>15</v>
      </c>
      <c r="R75" s="1"/>
      <c r="S75" s="1"/>
      <c r="T75" s="1"/>
      <c r="U75" s="1"/>
      <c r="V75" s="1"/>
      <c r="W75" s="1" t="s">
        <v>13</v>
      </c>
      <c r="X75" s="1"/>
      <c r="Y75" s="1"/>
      <c r="Z75" s="1"/>
      <c r="AA75" s="1"/>
    </row>
    <row r="76" spans="1:27" ht="21.95" customHeight="1" x14ac:dyDescent="0.25">
      <c r="A76" s="1"/>
      <c r="B76" s="1" t="s">
        <v>18</v>
      </c>
      <c r="C76" s="1"/>
      <c r="D76" s="1"/>
      <c r="E76" s="1"/>
      <c r="F76" s="1"/>
      <c r="G76" s="1"/>
      <c r="H76" s="1" t="s">
        <v>14</v>
      </c>
      <c r="I76" s="1"/>
      <c r="J76" s="1"/>
      <c r="K76" s="1"/>
      <c r="L76" s="1"/>
      <c r="P76" s="1"/>
      <c r="Q76" s="1" t="s">
        <v>18</v>
      </c>
      <c r="R76" s="1"/>
      <c r="S76" s="1"/>
      <c r="T76" s="1"/>
      <c r="U76" s="1"/>
      <c r="V76" s="1"/>
      <c r="W76" s="1" t="s">
        <v>14</v>
      </c>
      <c r="X76" s="1"/>
      <c r="Y76" s="1"/>
      <c r="Z76" s="1"/>
      <c r="AA76" s="1"/>
    </row>
    <row r="77" spans="1:27" ht="21.9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1.9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1.9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1.9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1.95" customHeight="1" x14ac:dyDescent="0.25">
      <c r="A81" s="1"/>
      <c r="B81" s="37" t="s">
        <v>77</v>
      </c>
      <c r="C81" s="1"/>
      <c r="D81" s="1"/>
      <c r="E81" s="1"/>
      <c r="F81" s="1"/>
      <c r="G81" s="1"/>
      <c r="H81" s="37" t="str">
        <f>D56</f>
        <v>Rafini</v>
      </c>
      <c r="I81" s="37"/>
      <c r="J81" s="40"/>
      <c r="K81" s="1"/>
      <c r="L81" s="1"/>
      <c r="P81" s="1"/>
      <c r="Q81" s="37" t="s">
        <v>77</v>
      </c>
      <c r="R81" s="1"/>
      <c r="S81" s="1"/>
      <c r="T81" s="1"/>
      <c r="U81" s="1"/>
      <c r="V81" s="1"/>
      <c r="W81" s="37" t="str">
        <f>S56</f>
        <v>Akmalia Isza</v>
      </c>
      <c r="X81" s="37"/>
      <c r="Y81" s="40"/>
      <c r="Z81" s="1"/>
      <c r="AA81" s="1"/>
    </row>
    <row r="82" spans="1:27" ht="21.95" customHeight="1" x14ac:dyDescent="0.25">
      <c r="A82" s="1"/>
      <c r="B82" s="48" t="s">
        <v>27</v>
      </c>
      <c r="C82" s="7"/>
      <c r="D82" s="1"/>
      <c r="E82" s="1"/>
      <c r="F82" s="1"/>
      <c r="G82" s="1"/>
      <c r="H82" s="48" t="s">
        <v>625</v>
      </c>
      <c r="I82" s="1"/>
      <c r="J82" s="1"/>
      <c r="K82" s="1"/>
      <c r="L82" s="1"/>
      <c r="P82" s="1"/>
      <c r="Q82" s="48" t="s">
        <v>27</v>
      </c>
      <c r="R82" s="7"/>
      <c r="S82" s="1"/>
      <c r="T82" s="1"/>
      <c r="U82" s="1"/>
      <c r="V82" s="1"/>
      <c r="W82" s="48" t="s">
        <v>626</v>
      </c>
      <c r="X82" s="1"/>
      <c r="Y82" s="1"/>
      <c r="Z82" s="1"/>
      <c r="AA82" s="1"/>
    </row>
    <row r="86" spans="1:27" ht="21.95" customHeight="1" x14ac:dyDescent="0.25">
      <c r="A86" s="3" t="s">
        <v>22</v>
      </c>
      <c r="P86" s="3" t="s">
        <v>22</v>
      </c>
    </row>
    <row r="87" spans="1:27" ht="21.95" customHeight="1" x14ac:dyDescent="0.2">
      <c r="A87" s="122" t="s">
        <v>20</v>
      </c>
      <c r="P87" s="122" t="s">
        <v>20</v>
      </c>
    </row>
    <row r="88" spans="1:27" ht="21.95" customHeight="1" x14ac:dyDescent="0.2">
      <c r="A88" s="122" t="s">
        <v>21</v>
      </c>
      <c r="P88" s="122" t="s">
        <v>21</v>
      </c>
    </row>
    <row r="92" spans="1:27" ht="21.95" customHeight="1" x14ac:dyDescent="0.3">
      <c r="A92" s="276" t="s">
        <v>6</v>
      </c>
      <c r="B92" s="276"/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P92" s="276" t="s">
        <v>6</v>
      </c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</row>
    <row r="93" spans="1:27" ht="21.95" customHeight="1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1.95" customHeight="1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1.95" customHeight="1" x14ac:dyDescent="0.25">
      <c r="A95" s="1"/>
      <c r="B95" s="1"/>
      <c r="P95" s="1"/>
      <c r="Q95" s="1"/>
    </row>
    <row r="96" spans="1:27" ht="21.95" customHeight="1" x14ac:dyDescent="0.25">
      <c r="A96" s="1" t="s">
        <v>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P96" s="1" t="s">
        <v>7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1.9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1.95" customHeight="1" x14ac:dyDescent="0.25">
      <c r="A98" s="1" t="s">
        <v>8</v>
      </c>
      <c r="B98" s="1"/>
      <c r="C98" s="9" t="s">
        <v>1</v>
      </c>
      <c r="D98" s="40" t="s">
        <v>616</v>
      </c>
      <c r="E98" s="50"/>
      <c r="F98" s="50"/>
      <c r="G98" s="50"/>
      <c r="H98" s="50"/>
      <c r="I98" s="1"/>
      <c r="J98" s="1"/>
      <c r="K98" s="1"/>
      <c r="L98" s="1"/>
      <c r="P98" s="1" t="s">
        <v>8</v>
      </c>
      <c r="Q98" s="1"/>
      <c r="R98" s="9" t="s">
        <v>1</v>
      </c>
      <c r="S98" s="40" t="s">
        <v>619</v>
      </c>
      <c r="T98" s="50"/>
      <c r="U98" s="50"/>
      <c r="V98" s="50"/>
      <c r="W98" s="50"/>
      <c r="X98" s="1"/>
      <c r="Y98" s="1"/>
      <c r="Z98" s="1"/>
      <c r="AA98" s="1"/>
    </row>
    <row r="99" spans="1:27" ht="21.95" customHeight="1" x14ac:dyDescent="0.25">
      <c r="A99" s="1" t="s">
        <v>9</v>
      </c>
      <c r="B99" s="1"/>
      <c r="C99" s="9" t="s">
        <v>1</v>
      </c>
      <c r="D99" s="7" t="s">
        <v>74</v>
      </c>
      <c r="E99" s="50"/>
      <c r="F99" s="50"/>
      <c r="G99" s="50"/>
      <c r="H99" s="50"/>
      <c r="I99" s="1"/>
      <c r="J99" s="1"/>
      <c r="K99" s="1"/>
      <c r="L99" s="1"/>
      <c r="P99" s="1" t="s">
        <v>9</v>
      </c>
      <c r="Q99" s="1"/>
      <c r="R99" s="9" t="s">
        <v>1</v>
      </c>
      <c r="S99" s="7" t="s">
        <v>74</v>
      </c>
      <c r="T99" s="50"/>
      <c r="U99" s="50"/>
      <c r="V99" s="50"/>
      <c r="W99" s="50"/>
      <c r="X99" s="1"/>
      <c r="Y99" s="1"/>
      <c r="Z99" s="1"/>
      <c r="AA99" s="1"/>
    </row>
    <row r="100" spans="1:27" ht="21.95" customHeight="1" x14ac:dyDescent="0.2">
      <c r="A100" s="50" t="s">
        <v>10</v>
      </c>
      <c r="B100" s="50"/>
      <c r="C100" s="91" t="s">
        <v>1</v>
      </c>
      <c r="D100" s="50" t="s">
        <v>617</v>
      </c>
      <c r="E100" s="50"/>
      <c r="F100" s="50"/>
      <c r="G100" s="50"/>
      <c r="H100" s="50"/>
      <c r="I100" s="50"/>
      <c r="J100" s="50"/>
      <c r="K100" s="50"/>
      <c r="L100" s="50"/>
      <c r="P100" s="50" t="s">
        <v>10</v>
      </c>
      <c r="Q100" s="50"/>
      <c r="R100" s="91" t="s">
        <v>1</v>
      </c>
      <c r="S100" s="50" t="s">
        <v>617</v>
      </c>
      <c r="T100" s="50"/>
      <c r="U100" s="50"/>
      <c r="V100" s="50"/>
      <c r="W100" s="50"/>
      <c r="X100" s="50"/>
      <c r="Y100" s="50"/>
      <c r="Z100" s="50"/>
      <c r="AA100" s="50"/>
    </row>
    <row r="101" spans="1:27" ht="21.9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.45" customHeight="1" x14ac:dyDescent="0.2">
      <c r="A102" s="280" t="s">
        <v>632</v>
      </c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P102" s="280" t="s">
        <v>632</v>
      </c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80"/>
    </row>
    <row r="103" spans="1:27" ht="21.9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7.25" customHeight="1" thickBot="1" x14ac:dyDescent="0.25">
      <c r="A104" s="10" t="s">
        <v>0</v>
      </c>
      <c r="B104" s="278" t="s">
        <v>91</v>
      </c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P104" s="10" t="s">
        <v>0</v>
      </c>
      <c r="Q104" s="278" t="s">
        <v>91</v>
      </c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</row>
    <row r="105" spans="1:27" ht="21.95" customHeight="1" thickTop="1" x14ac:dyDescent="0.25">
      <c r="A105" s="1"/>
      <c r="B105" s="11" t="s">
        <v>3</v>
      </c>
      <c r="C105" s="180" t="s">
        <v>4</v>
      </c>
      <c r="D105" s="181"/>
      <c r="E105" s="181"/>
      <c r="F105" s="181"/>
      <c r="G105" s="181"/>
      <c r="H105" s="182"/>
      <c r="I105" s="11" t="s">
        <v>5</v>
      </c>
      <c r="J105" s="180" t="s">
        <v>17</v>
      </c>
      <c r="K105" s="181"/>
      <c r="L105" s="182"/>
      <c r="P105" s="1"/>
      <c r="Q105" s="11" t="s">
        <v>3</v>
      </c>
      <c r="R105" s="180" t="s">
        <v>4</v>
      </c>
      <c r="S105" s="181"/>
      <c r="T105" s="181"/>
      <c r="U105" s="181"/>
      <c r="V105" s="181"/>
      <c r="W105" s="182"/>
      <c r="X105" s="11" t="s">
        <v>5</v>
      </c>
      <c r="Y105" s="180" t="s">
        <v>17</v>
      </c>
      <c r="Z105" s="182"/>
      <c r="AA105" s="182"/>
    </row>
    <row r="106" spans="1:27" ht="21.95" customHeight="1" x14ac:dyDescent="0.2">
      <c r="A106" s="50"/>
      <c r="B106" s="143">
        <v>1</v>
      </c>
      <c r="C106" s="281" t="s">
        <v>634</v>
      </c>
      <c r="D106" s="282"/>
      <c r="E106" s="282"/>
      <c r="F106" s="282"/>
      <c r="G106" s="50"/>
      <c r="H106" s="55"/>
      <c r="I106" s="56">
        <v>250000</v>
      </c>
      <c r="J106" s="50"/>
      <c r="K106" s="50"/>
      <c r="L106" s="55"/>
      <c r="P106" s="50"/>
      <c r="Q106" s="143">
        <v>1</v>
      </c>
      <c r="R106" s="281" t="s">
        <v>635</v>
      </c>
      <c r="S106" s="282"/>
      <c r="T106" s="282"/>
      <c r="U106" s="282"/>
      <c r="V106" s="50"/>
      <c r="W106" s="55"/>
      <c r="X106" s="56">
        <v>250000</v>
      </c>
      <c r="Y106" s="50"/>
      <c r="Z106" s="55"/>
      <c r="AA106" s="55"/>
    </row>
    <row r="107" spans="1:27" ht="21.95" customHeight="1" x14ac:dyDescent="0.25">
      <c r="A107" s="1"/>
      <c r="B107" s="96"/>
      <c r="C107" s="124"/>
      <c r="D107" s="124"/>
      <c r="E107" s="127"/>
      <c r="F107" s="125"/>
      <c r="G107" s="124"/>
      <c r="H107" s="124"/>
      <c r="I107" s="183"/>
      <c r="J107" s="1"/>
      <c r="K107" s="1"/>
      <c r="L107" s="42"/>
      <c r="P107" s="1"/>
      <c r="Q107" s="96"/>
      <c r="R107" s="124"/>
      <c r="S107" s="124"/>
      <c r="T107" s="127"/>
      <c r="U107" s="125"/>
      <c r="V107" s="124"/>
      <c r="W107" s="124"/>
      <c r="X107" s="183"/>
      <c r="Y107" s="1"/>
      <c r="Z107" s="42"/>
      <c r="AA107" s="42"/>
    </row>
    <row r="108" spans="1:27" ht="21.95" customHeight="1" x14ac:dyDescent="0.25">
      <c r="A108" s="1"/>
      <c r="B108" s="39"/>
      <c r="C108" s="1"/>
      <c r="D108" s="1"/>
      <c r="E108" s="1"/>
      <c r="F108" s="40" t="s">
        <v>5</v>
      </c>
      <c r="G108" s="40"/>
      <c r="H108" s="1"/>
      <c r="I108" s="41">
        <f>I106</f>
        <v>250000</v>
      </c>
      <c r="J108" s="1"/>
      <c r="K108" s="1"/>
      <c r="L108" s="42"/>
      <c r="P108" s="1"/>
      <c r="Q108" s="39"/>
      <c r="R108" s="1"/>
      <c r="S108" s="1"/>
      <c r="T108" s="1"/>
      <c r="U108" s="40" t="s">
        <v>5</v>
      </c>
      <c r="V108" s="40"/>
      <c r="W108" s="1"/>
      <c r="X108" s="41">
        <f>X106</f>
        <v>250000</v>
      </c>
      <c r="Y108" s="1"/>
      <c r="Z108" s="42"/>
      <c r="AA108" s="42"/>
    </row>
    <row r="109" spans="1:27" ht="21.95" customHeight="1" thickBot="1" x14ac:dyDescent="0.3">
      <c r="A109" s="1"/>
      <c r="B109" s="43"/>
      <c r="C109" s="44"/>
      <c r="D109" s="44"/>
      <c r="E109" s="44"/>
      <c r="F109" s="45"/>
      <c r="G109" s="45"/>
      <c r="H109" s="44"/>
      <c r="I109" s="46"/>
      <c r="J109" s="44"/>
      <c r="K109" s="44"/>
      <c r="L109" s="47"/>
      <c r="P109" s="1"/>
      <c r="Q109" s="43"/>
      <c r="R109" s="44"/>
      <c r="S109" s="44"/>
      <c r="T109" s="44"/>
      <c r="U109" s="45"/>
      <c r="V109" s="45"/>
      <c r="W109" s="44"/>
      <c r="X109" s="46"/>
      <c r="Y109" s="44"/>
      <c r="Z109" s="47"/>
      <c r="AA109" s="47"/>
    </row>
    <row r="110" spans="1:27" ht="21.95" customHeight="1" thickTop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45" customHeight="1" x14ac:dyDescent="0.2">
      <c r="A111" s="10" t="s">
        <v>2</v>
      </c>
      <c r="B111" s="279" t="s">
        <v>11</v>
      </c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P111" s="10" t="s">
        <v>2</v>
      </c>
      <c r="Q111" s="279" t="s">
        <v>11</v>
      </c>
      <c r="R111" s="279"/>
      <c r="S111" s="279"/>
      <c r="T111" s="279"/>
      <c r="U111" s="279"/>
      <c r="V111" s="279"/>
      <c r="W111" s="279"/>
      <c r="X111" s="279"/>
      <c r="Y111" s="279"/>
      <c r="Z111" s="279"/>
      <c r="AA111" s="279"/>
    </row>
    <row r="112" spans="1:27" ht="21.9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1.95" customHeight="1" x14ac:dyDescent="0.2">
      <c r="A113" s="280" t="s">
        <v>12</v>
      </c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P113" s="280" t="s">
        <v>12</v>
      </c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  <c r="AA113" s="280"/>
    </row>
    <row r="114" spans="1:27" ht="21.9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1.9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1.95" customHeight="1" x14ac:dyDescent="0.25">
      <c r="A116" s="1"/>
      <c r="B116" s="1"/>
      <c r="C116" s="1"/>
      <c r="D116" s="1"/>
      <c r="E116" s="1"/>
      <c r="F116" s="1"/>
      <c r="G116" s="1"/>
      <c r="H116" s="1" t="s">
        <v>607</v>
      </c>
      <c r="I116" s="1"/>
      <c r="J116" s="190"/>
      <c r="K116" s="190"/>
      <c r="L116" s="190"/>
      <c r="P116" s="1"/>
      <c r="Q116" s="1"/>
      <c r="R116" s="1"/>
      <c r="S116" s="1"/>
      <c r="T116" s="1"/>
      <c r="U116" s="1"/>
      <c r="V116" s="1"/>
      <c r="W116" s="1" t="s">
        <v>607</v>
      </c>
      <c r="X116" s="1"/>
      <c r="Y116" s="190"/>
      <c r="Z116" s="190"/>
      <c r="AA116" s="190"/>
    </row>
    <row r="117" spans="1:27" ht="21.95" customHeight="1" x14ac:dyDescent="0.25">
      <c r="A117" s="1"/>
      <c r="B117" s="1" t="s">
        <v>15</v>
      </c>
      <c r="C117" s="1"/>
      <c r="D117" s="1"/>
      <c r="E117" s="1"/>
      <c r="F117" s="1"/>
      <c r="G117" s="1"/>
      <c r="H117" s="1" t="s">
        <v>13</v>
      </c>
      <c r="I117" s="1"/>
      <c r="J117" s="1"/>
      <c r="K117" s="1"/>
      <c r="L117" s="1"/>
      <c r="P117" s="1"/>
      <c r="Q117" s="1" t="s">
        <v>15</v>
      </c>
      <c r="R117" s="1"/>
      <c r="S117" s="1"/>
      <c r="T117" s="1"/>
      <c r="U117" s="1"/>
      <c r="V117" s="1"/>
      <c r="W117" s="1" t="s">
        <v>13</v>
      </c>
      <c r="X117" s="1"/>
      <c r="Y117" s="1"/>
      <c r="Z117" s="1"/>
      <c r="AA117" s="1"/>
    </row>
    <row r="118" spans="1:27" ht="21.95" customHeight="1" x14ac:dyDescent="0.25">
      <c r="A118" s="1"/>
      <c r="B118" s="1" t="s">
        <v>18</v>
      </c>
      <c r="C118" s="1"/>
      <c r="D118" s="1"/>
      <c r="E118" s="1"/>
      <c r="F118" s="1"/>
      <c r="G118" s="1"/>
      <c r="H118" s="1" t="s">
        <v>14</v>
      </c>
      <c r="I118" s="1"/>
      <c r="J118" s="1"/>
      <c r="K118" s="1"/>
      <c r="L118" s="1"/>
      <c r="P118" s="1"/>
      <c r="Q118" s="1" t="s">
        <v>18</v>
      </c>
      <c r="R118" s="1"/>
      <c r="S118" s="1"/>
      <c r="T118" s="1"/>
      <c r="U118" s="1"/>
      <c r="V118" s="1"/>
      <c r="W118" s="1" t="s">
        <v>14</v>
      </c>
      <c r="X118" s="1"/>
      <c r="Y118" s="1"/>
      <c r="Z118" s="1"/>
      <c r="AA118" s="1"/>
    </row>
    <row r="119" spans="1:27" ht="21.9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1.9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1.9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1.9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1.95" customHeight="1" x14ac:dyDescent="0.25">
      <c r="A123" s="1"/>
      <c r="B123" s="37" t="s">
        <v>77</v>
      </c>
      <c r="C123" s="1"/>
      <c r="D123" s="1"/>
      <c r="E123" s="1"/>
      <c r="F123" s="1"/>
      <c r="G123" s="1"/>
      <c r="H123" s="37" t="str">
        <f>D98</f>
        <v>Yunia</v>
      </c>
      <c r="I123" s="37"/>
      <c r="J123" s="40"/>
      <c r="K123" s="1"/>
      <c r="L123" s="1"/>
      <c r="P123" s="1"/>
      <c r="Q123" s="37" t="s">
        <v>77</v>
      </c>
      <c r="R123" s="1"/>
      <c r="S123" s="1"/>
      <c r="T123" s="1"/>
      <c r="U123" s="1"/>
      <c r="V123" s="1"/>
      <c r="W123" s="37" t="str">
        <f>S98</f>
        <v>Arini</v>
      </c>
      <c r="X123" s="37"/>
      <c r="Y123" s="40"/>
      <c r="Z123" s="1"/>
      <c r="AA123" s="1"/>
    </row>
    <row r="124" spans="1:27" ht="21.95" customHeight="1" x14ac:dyDescent="0.25">
      <c r="A124" s="1"/>
      <c r="B124" s="48" t="s">
        <v>27</v>
      </c>
      <c r="C124" s="7"/>
      <c r="D124" s="1"/>
      <c r="E124" s="1"/>
      <c r="F124" s="1"/>
      <c r="G124" s="1"/>
      <c r="H124" s="48" t="s">
        <v>618</v>
      </c>
      <c r="I124" s="1"/>
      <c r="J124" s="1"/>
      <c r="K124" s="1"/>
      <c r="L124" s="1"/>
      <c r="P124" s="1"/>
      <c r="Q124" s="48" t="s">
        <v>27</v>
      </c>
      <c r="R124" s="7"/>
      <c r="S124" s="1"/>
      <c r="T124" s="1"/>
      <c r="U124" s="1"/>
      <c r="V124" s="1"/>
      <c r="W124" s="48" t="s">
        <v>618</v>
      </c>
      <c r="X124" s="1"/>
      <c r="Y124" s="1"/>
      <c r="Z124" s="1"/>
      <c r="AA124" s="1"/>
    </row>
    <row r="129" spans="1:27" ht="21.95" customHeight="1" x14ac:dyDescent="0.25">
      <c r="A129" s="3" t="s">
        <v>22</v>
      </c>
      <c r="P129" s="3" t="s">
        <v>22</v>
      </c>
    </row>
    <row r="130" spans="1:27" ht="21.95" customHeight="1" x14ac:dyDescent="0.2">
      <c r="A130" s="122" t="s">
        <v>20</v>
      </c>
      <c r="P130" s="122" t="s">
        <v>20</v>
      </c>
    </row>
    <row r="131" spans="1:27" ht="21.95" customHeight="1" x14ac:dyDescent="0.2">
      <c r="A131" s="122" t="s">
        <v>21</v>
      </c>
      <c r="P131" s="122" t="s">
        <v>21</v>
      </c>
    </row>
    <row r="135" spans="1:27" ht="21.95" customHeight="1" x14ac:dyDescent="0.3">
      <c r="A135" s="276" t="s">
        <v>6</v>
      </c>
      <c r="B135" s="276"/>
      <c r="C135" s="276"/>
      <c r="D135" s="276"/>
      <c r="E135" s="276"/>
      <c r="F135" s="276"/>
      <c r="G135" s="276"/>
      <c r="H135" s="276"/>
      <c r="I135" s="276"/>
      <c r="J135" s="276"/>
      <c r="K135" s="276"/>
      <c r="L135" s="276"/>
      <c r="P135" s="276" t="s">
        <v>6</v>
      </c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  <c r="AA135" s="276"/>
    </row>
    <row r="136" spans="1:27" ht="21.95" customHeight="1" x14ac:dyDescent="0.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1.95" customHeight="1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1.95" customHeight="1" x14ac:dyDescent="0.25">
      <c r="A138" s="1"/>
      <c r="B138" s="1"/>
      <c r="P138" s="1"/>
      <c r="Q138" s="1"/>
    </row>
    <row r="139" spans="1:27" ht="21.95" customHeight="1" x14ac:dyDescent="0.25">
      <c r="A139" s="1" t="s">
        <v>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P139" s="1" t="s">
        <v>7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1.9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1.95" customHeight="1" x14ac:dyDescent="0.25">
      <c r="A141" s="1" t="s">
        <v>8</v>
      </c>
      <c r="B141" s="1"/>
      <c r="C141" s="9" t="s">
        <v>1</v>
      </c>
      <c r="D141" s="40" t="s">
        <v>620</v>
      </c>
      <c r="E141" s="50"/>
      <c r="F141" s="50"/>
      <c r="G141" s="50"/>
      <c r="H141" s="50"/>
      <c r="I141" s="1"/>
      <c r="J141" s="1"/>
      <c r="K141" s="1"/>
      <c r="L141" s="1"/>
      <c r="P141" s="1" t="s">
        <v>8</v>
      </c>
      <c r="Q141" s="1"/>
      <c r="R141" s="9" t="s">
        <v>1</v>
      </c>
      <c r="S141" s="40" t="s">
        <v>628</v>
      </c>
      <c r="T141" s="50"/>
      <c r="U141" s="50"/>
      <c r="V141" s="50"/>
      <c r="W141" s="50"/>
      <c r="X141" s="1"/>
      <c r="Y141" s="1"/>
      <c r="Z141" s="1"/>
      <c r="AA141" s="1"/>
    </row>
    <row r="142" spans="1:27" ht="21.95" customHeight="1" x14ac:dyDescent="0.25">
      <c r="A142" s="1" t="s">
        <v>9</v>
      </c>
      <c r="B142" s="1"/>
      <c r="C142" s="9" t="s">
        <v>1</v>
      </c>
      <c r="D142" s="7" t="s">
        <v>621</v>
      </c>
      <c r="E142" s="50"/>
      <c r="F142" s="50"/>
      <c r="G142" s="50"/>
      <c r="H142" s="50"/>
      <c r="I142" s="1"/>
      <c r="J142" s="1"/>
      <c r="K142" s="1"/>
      <c r="L142" s="1"/>
      <c r="P142" s="1" t="s">
        <v>9</v>
      </c>
      <c r="Q142" s="1"/>
      <c r="R142" s="9" t="s">
        <v>1</v>
      </c>
      <c r="S142" s="7" t="s">
        <v>629</v>
      </c>
      <c r="T142" s="50"/>
      <c r="U142" s="50"/>
      <c r="V142" s="50"/>
      <c r="W142" s="50"/>
      <c r="X142" s="1"/>
      <c r="Y142" s="1"/>
      <c r="Z142" s="1"/>
      <c r="AA142" s="1"/>
    </row>
    <row r="143" spans="1:27" ht="21.95" customHeight="1" x14ac:dyDescent="0.2">
      <c r="A143" s="50" t="s">
        <v>10</v>
      </c>
      <c r="B143" s="50"/>
      <c r="C143" s="91" t="s">
        <v>1</v>
      </c>
      <c r="D143" s="50" t="s">
        <v>622</v>
      </c>
      <c r="E143" s="50"/>
      <c r="F143" s="50"/>
      <c r="G143" s="50"/>
      <c r="H143" s="50"/>
      <c r="I143" s="50"/>
      <c r="J143" s="50"/>
      <c r="K143" s="50"/>
      <c r="L143" s="50"/>
      <c r="P143" s="50" t="s">
        <v>10</v>
      </c>
      <c r="Q143" s="50"/>
      <c r="R143" s="91" t="s">
        <v>1</v>
      </c>
      <c r="S143" s="50" t="s">
        <v>630</v>
      </c>
      <c r="T143" s="50"/>
      <c r="U143" s="50"/>
      <c r="V143" s="50"/>
      <c r="W143" s="50"/>
      <c r="X143" s="50"/>
      <c r="Y143" s="50"/>
      <c r="Z143" s="50"/>
      <c r="AA143" s="50"/>
    </row>
    <row r="144" spans="1:27" ht="21.9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33" customHeight="1" x14ac:dyDescent="0.2">
      <c r="A145" s="280" t="s">
        <v>632</v>
      </c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P145" s="280" t="s">
        <v>632</v>
      </c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  <c r="AA145" s="280"/>
    </row>
    <row r="146" spans="1:27" ht="21.9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39.75" customHeight="1" thickBot="1" x14ac:dyDescent="0.25">
      <c r="A147" s="10" t="s">
        <v>0</v>
      </c>
      <c r="B147" s="278" t="s">
        <v>91</v>
      </c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P147" s="10" t="s">
        <v>0</v>
      </c>
      <c r="Q147" s="278" t="s">
        <v>91</v>
      </c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</row>
    <row r="148" spans="1:27" ht="21.95" customHeight="1" thickTop="1" x14ac:dyDescent="0.25">
      <c r="A148" s="1"/>
      <c r="B148" s="11" t="s">
        <v>3</v>
      </c>
      <c r="C148" s="180" t="s">
        <v>4</v>
      </c>
      <c r="D148" s="181"/>
      <c r="E148" s="181"/>
      <c r="F148" s="181"/>
      <c r="G148" s="181"/>
      <c r="H148" s="182"/>
      <c r="I148" s="11" t="s">
        <v>5</v>
      </c>
      <c r="J148" s="180" t="s">
        <v>17</v>
      </c>
      <c r="K148" s="181"/>
      <c r="L148" s="182"/>
      <c r="P148" s="1"/>
      <c r="Q148" s="11" t="s">
        <v>3</v>
      </c>
      <c r="R148" s="180" t="s">
        <v>4</v>
      </c>
      <c r="S148" s="181"/>
      <c r="T148" s="181"/>
      <c r="U148" s="181"/>
      <c r="V148" s="181"/>
      <c r="W148" s="182"/>
      <c r="X148" s="11" t="s">
        <v>5</v>
      </c>
      <c r="Y148" s="180" t="s">
        <v>17</v>
      </c>
      <c r="Z148" s="182"/>
      <c r="AA148" s="182"/>
    </row>
    <row r="149" spans="1:27" ht="21.95" customHeight="1" x14ac:dyDescent="0.2">
      <c r="A149" s="50"/>
      <c r="B149" s="143">
        <v>1</v>
      </c>
      <c r="C149" s="281" t="s">
        <v>635</v>
      </c>
      <c r="D149" s="282"/>
      <c r="E149" s="282"/>
      <c r="F149" s="282"/>
      <c r="G149" s="50"/>
      <c r="H149" s="55"/>
      <c r="I149" s="56">
        <v>250000</v>
      </c>
      <c r="J149" s="50"/>
      <c r="K149" s="50"/>
      <c r="L149" s="55"/>
      <c r="P149" s="50"/>
      <c r="Q149" s="143">
        <v>1</v>
      </c>
      <c r="R149" s="281" t="s">
        <v>634</v>
      </c>
      <c r="S149" s="282"/>
      <c r="T149" s="282"/>
      <c r="U149" s="282"/>
      <c r="V149" s="50"/>
      <c r="W149" s="55"/>
      <c r="X149" s="56">
        <v>250000</v>
      </c>
      <c r="Y149" s="50"/>
      <c r="Z149" s="55"/>
      <c r="AA149" s="55"/>
    </row>
    <row r="150" spans="1:27" ht="21.95" customHeight="1" x14ac:dyDescent="0.25">
      <c r="A150" s="1"/>
      <c r="B150" s="96"/>
      <c r="C150" s="124"/>
      <c r="D150" s="124"/>
      <c r="E150" s="127"/>
      <c r="F150" s="125"/>
      <c r="G150" s="124"/>
      <c r="H150" s="124"/>
      <c r="I150" s="183"/>
      <c r="J150" s="1"/>
      <c r="K150" s="1"/>
      <c r="L150" s="42"/>
      <c r="P150" s="1"/>
      <c r="Q150" s="96"/>
      <c r="R150" s="124"/>
      <c r="S150" s="124"/>
      <c r="T150" s="127"/>
      <c r="U150" s="125"/>
      <c r="V150" s="124"/>
      <c r="W150" s="124"/>
      <c r="X150" s="183"/>
      <c r="Y150" s="1"/>
      <c r="Z150" s="42"/>
      <c r="AA150" s="42"/>
    </row>
    <row r="151" spans="1:27" ht="21.95" customHeight="1" x14ac:dyDescent="0.25">
      <c r="A151" s="1"/>
      <c r="B151" s="39"/>
      <c r="C151" s="1"/>
      <c r="D151" s="1"/>
      <c r="E151" s="1"/>
      <c r="F151" s="40" t="s">
        <v>5</v>
      </c>
      <c r="G151" s="40"/>
      <c r="H151" s="1"/>
      <c r="I151" s="41">
        <f>I149</f>
        <v>250000</v>
      </c>
      <c r="J151" s="1"/>
      <c r="K151" s="1"/>
      <c r="L151" s="42"/>
      <c r="P151" s="1"/>
      <c r="Q151" s="39"/>
      <c r="R151" s="1"/>
      <c r="S151" s="1"/>
      <c r="T151" s="1"/>
      <c r="U151" s="40" t="s">
        <v>5</v>
      </c>
      <c r="V151" s="40"/>
      <c r="W151" s="1"/>
      <c r="X151" s="41">
        <f>X149</f>
        <v>250000</v>
      </c>
      <c r="Y151" s="1"/>
      <c r="Z151" s="42"/>
      <c r="AA151" s="42"/>
    </row>
    <row r="152" spans="1:27" ht="21.95" customHeight="1" thickBot="1" x14ac:dyDescent="0.3">
      <c r="A152" s="1"/>
      <c r="B152" s="43"/>
      <c r="C152" s="44"/>
      <c r="D152" s="44"/>
      <c r="E152" s="44"/>
      <c r="F152" s="45"/>
      <c r="G152" s="45"/>
      <c r="H152" s="44"/>
      <c r="I152" s="46"/>
      <c r="J152" s="44"/>
      <c r="K152" s="44"/>
      <c r="L152" s="47"/>
      <c r="P152" s="1"/>
      <c r="Q152" s="43"/>
      <c r="R152" s="44"/>
      <c r="S152" s="44"/>
      <c r="T152" s="44"/>
      <c r="U152" s="45"/>
      <c r="V152" s="45"/>
      <c r="W152" s="44"/>
      <c r="X152" s="46"/>
      <c r="Y152" s="44"/>
      <c r="Z152" s="47"/>
      <c r="AA152" s="47"/>
    </row>
    <row r="153" spans="1:27" ht="21.95" customHeight="1" thickTop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5.75" customHeight="1" x14ac:dyDescent="0.2">
      <c r="A154" s="10" t="s">
        <v>2</v>
      </c>
      <c r="B154" s="279" t="s">
        <v>11</v>
      </c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P154" s="10" t="s">
        <v>2</v>
      </c>
      <c r="Q154" s="279" t="s">
        <v>11</v>
      </c>
      <c r="R154" s="279"/>
      <c r="S154" s="279"/>
      <c r="T154" s="279"/>
      <c r="U154" s="279"/>
      <c r="V154" s="279"/>
      <c r="W154" s="279"/>
      <c r="X154" s="279"/>
      <c r="Y154" s="279"/>
      <c r="Z154" s="279"/>
      <c r="AA154" s="279"/>
    </row>
    <row r="155" spans="1:27" ht="21.9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1.95" customHeight="1" x14ac:dyDescent="0.2">
      <c r="A156" s="280" t="s">
        <v>12</v>
      </c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P156" s="280" t="s">
        <v>12</v>
      </c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  <c r="AA156" s="280"/>
    </row>
    <row r="157" spans="1:27" ht="21.9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1.9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1.95" customHeight="1" x14ac:dyDescent="0.25">
      <c r="A159" s="1"/>
      <c r="B159" s="1"/>
      <c r="C159" s="1"/>
      <c r="D159" s="1"/>
      <c r="E159" s="1"/>
      <c r="F159" s="1"/>
      <c r="G159" s="1"/>
      <c r="H159" s="1" t="s">
        <v>607</v>
      </c>
      <c r="I159" s="1"/>
      <c r="J159" s="190"/>
      <c r="K159" s="190"/>
      <c r="L159" s="190"/>
      <c r="P159" s="1"/>
      <c r="Q159" s="1"/>
      <c r="R159" s="1"/>
      <c r="S159" s="1"/>
      <c r="T159" s="1"/>
      <c r="U159" s="1"/>
      <c r="V159" s="1"/>
      <c r="W159" s="1" t="s">
        <v>607</v>
      </c>
      <c r="X159" s="1"/>
      <c r="Y159" s="190"/>
      <c r="Z159" s="190"/>
      <c r="AA159" s="190"/>
    </row>
    <row r="160" spans="1:27" ht="21.95" customHeight="1" x14ac:dyDescent="0.25">
      <c r="A160" s="1"/>
      <c r="B160" s="1" t="s">
        <v>15</v>
      </c>
      <c r="C160" s="1"/>
      <c r="D160" s="1"/>
      <c r="E160" s="1"/>
      <c r="F160" s="1"/>
      <c r="G160" s="1"/>
      <c r="H160" s="1" t="s">
        <v>13</v>
      </c>
      <c r="I160" s="1"/>
      <c r="J160" s="1"/>
      <c r="K160" s="1"/>
      <c r="L160" s="1"/>
      <c r="P160" s="1"/>
      <c r="Q160" s="1" t="s">
        <v>15</v>
      </c>
      <c r="R160" s="1"/>
      <c r="S160" s="1"/>
      <c r="T160" s="1"/>
      <c r="U160" s="1"/>
      <c r="V160" s="1"/>
      <c r="W160" s="1" t="s">
        <v>13</v>
      </c>
      <c r="X160" s="1"/>
      <c r="Y160" s="1"/>
      <c r="Z160" s="1"/>
      <c r="AA160" s="1"/>
    </row>
    <row r="161" spans="1:27" ht="21.95" customHeight="1" x14ac:dyDescent="0.25">
      <c r="A161" s="1"/>
      <c r="B161" s="1" t="s">
        <v>18</v>
      </c>
      <c r="C161" s="1"/>
      <c r="D161" s="1"/>
      <c r="E161" s="1"/>
      <c r="F161" s="1"/>
      <c r="G161" s="1"/>
      <c r="H161" s="1" t="s">
        <v>14</v>
      </c>
      <c r="I161" s="1"/>
      <c r="J161" s="1"/>
      <c r="K161" s="1"/>
      <c r="L161" s="1"/>
      <c r="P161" s="1"/>
      <c r="Q161" s="1" t="s">
        <v>18</v>
      </c>
      <c r="R161" s="1"/>
      <c r="S161" s="1"/>
      <c r="T161" s="1"/>
      <c r="U161" s="1"/>
      <c r="V161" s="1"/>
      <c r="W161" s="1" t="s">
        <v>14</v>
      </c>
      <c r="X161" s="1"/>
      <c r="Y161" s="1"/>
      <c r="Z161" s="1"/>
      <c r="AA161" s="1"/>
    </row>
    <row r="162" spans="1:27" ht="21.9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1.9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1.9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1.9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1.95" customHeight="1" x14ac:dyDescent="0.25">
      <c r="A166" s="1"/>
      <c r="B166" s="37" t="s">
        <v>77</v>
      </c>
      <c r="C166" s="1"/>
      <c r="D166" s="1"/>
      <c r="E166" s="1"/>
      <c r="F166" s="1"/>
      <c r="G166" s="1"/>
      <c r="H166" s="37" t="str">
        <f>D141</f>
        <v>Yusnaini, S.Pd</v>
      </c>
      <c r="I166" s="37"/>
      <c r="J166" s="40"/>
      <c r="K166" s="1"/>
      <c r="L166" s="1"/>
      <c r="P166" s="1"/>
      <c r="Q166" s="37" t="s">
        <v>77</v>
      </c>
      <c r="R166" s="1"/>
      <c r="S166" s="1"/>
      <c r="T166" s="1"/>
      <c r="U166" s="1"/>
      <c r="V166" s="1"/>
      <c r="W166" s="37" t="str">
        <f>S141</f>
        <v>Eka Putri Utami</v>
      </c>
      <c r="X166" s="37"/>
      <c r="Y166" s="40"/>
      <c r="Z166" s="1"/>
      <c r="AA166" s="1"/>
    </row>
    <row r="167" spans="1:27" ht="21.95" customHeight="1" x14ac:dyDescent="0.25">
      <c r="A167" s="1"/>
      <c r="B167" s="48" t="s">
        <v>27</v>
      </c>
      <c r="C167" s="7"/>
      <c r="D167" s="1"/>
      <c r="E167" s="1"/>
      <c r="F167" s="1"/>
      <c r="G167" s="1"/>
      <c r="H167" s="48" t="s">
        <v>627</v>
      </c>
      <c r="I167" s="1"/>
      <c r="J167" s="1"/>
      <c r="K167" s="1"/>
      <c r="L167" s="1"/>
      <c r="P167" s="1"/>
      <c r="Q167" s="48" t="s">
        <v>27</v>
      </c>
      <c r="R167" s="7"/>
      <c r="S167" s="1"/>
      <c r="T167" s="1"/>
      <c r="U167" s="1"/>
      <c r="V167" s="1"/>
      <c r="W167" s="48" t="s">
        <v>631</v>
      </c>
      <c r="X167" s="1"/>
      <c r="Y167" s="1"/>
      <c r="Z167" s="1"/>
      <c r="AA167" s="1"/>
    </row>
  </sheetData>
  <mergeCells count="47">
    <mergeCell ref="A9:L9"/>
    <mergeCell ref="A19:L19"/>
    <mergeCell ref="B21:L21"/>
    <mergeCell ref="C23:F23"/>
    <mergeCell ref="B28:L28"/>
    <mergeCell ref="A30:L30"/>
    <mergeCell ref="A50:L50"/>
    <mergeCell ref="A60:L60"/>
    <mergeCell ref="B62:L62"/>
    <mergeCell ref="C64:F64"/>
    <mergeCell ref="A135:L135"/>
    <mergeCell ref="A145:L145"/>
    <mergeCell ref="B147:L147"/>
    <mergeCell ref="C149:F149"/>
    <mergeCell ref="A92:L92"/>
    <mergeCell ref="A102:L102"/>
    <mergeCell ref="B104:L104"/>
    <mergeCell ref="C106:F106"/>
    <mergeCell ref="P9:AA9"/>
    <mergeCell ref="P19:AA19"/>
    <mergeCell ref="Q21:AA21"/>
    <mergeCell ref="Q28:AA28"/>
    <mergeCell ref="P71:AA71"/>
    <mergeCell ref="P30:AA30"/>
    <mergeCell ref="B69:L69"/>
    <mergeCell ref="A71:L71"/>
    <mergeCell ref="P50:AA50"/>
    <mergeCell ref="P60:AA60"/>
    <mergeCell ref="Q62:AA62"/>
    <mergeCell ref="R64:U64"/>
    <mergeCell ref="Q69:AA69"/>
    <mergeCell ref="P156:AA156"/>
    <mergeCell ref="B111:L111"/>
    <mergeCell ref="A113:L113"/>
    <mergeCell ref="P92:AA92"/>
    <mergeCell ref="P102:AA102"/>
    <mergeCell ref="Q104:AA104"/>
    <mergeCell ref="R106:U106"/>
    <mergeCell ref="Q111:AA111"/>
    <mergeCell ref="P113:AA113"/>
    <mergeCell ref="P135:AA135"/>
    <mergeCell ref="P145:AA145"/>
    <mergeCell ref="Q147:AA147"/>
    <mergeCell ref="R149:U149"/>
    <mergeCell ref="Q154:AA154"/>
    <mergeCell ref="B154:L154"/>
    <mergeCell ref="A156:L156"/>
  </mergeCells>
  <pageMargins left="0.5" right="0.2" top="0.75" bottom="1" header="0.5" footer="0.5"/>
  <pageSetup paperSize="5" scale="90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F6A4-A937-4879-BB99-2B1DB17DBEB9}">
  <dimension ref="A3:X418"/>
  <sheetViews>
    <sheetView topLeftCell="A338" zoomScaleNormal="100" zoomScaleSheetLayoutView="100" workbookViewId="0">
      <selection activeCell="P284" sqref="P284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15.42578125" style="4" customWidth="1"/>
    <col min="6" max="6" width="13" style="4" customWidth="1"/>
    <col min="7" max="7" width="2.85546875" style="4" customWidth="1"/>
    <col min="8" max="8" width="7.5703125" style="4" customWidth="1"/>
    <col min="9" max="9" width="18.140625" style="4" customWidth="1"/>
    <col min="10" max="10" width="6.28515625" style="4" customWidth="1"/>
    <col min="11" max="11" width="5.28515625" style="4" customWidth="1"/>
    <col min="12" max="12" width="2.140625" style="4" customWidth="1"/>
    <col min="13" max="13" width="4.140625" style="4" customWidth="1"/>
    <col min="14" max="14" width="4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0" width="9.140625" style="4"/>
    <col min="21" max="21" width="13.5703125" style="4" customWidth="1"/>
    <col min="22" max="22" width="9.140625" style="4"/>
    <col min="23" max="23" width="12.5703125" style="4" bestFit="1" customWidth="1"/>
    <col min="24" max="16384" width="9.140625" style="4"/>
  </cols>
  <sheetData>
    <row r="3" spans="1:12" ht="21.95" customHeight="1" x14ac:dyDescent="0.25">
      <c r="A3" s="3" t="s">
        <v>22</v>
      </c>
    </row>
    <row r="4" spans="1:12" ht="21.95" customHeight="1" x14ac:dyDescent="0.2">
      <c r="A4" s="122" t="s">
        <v>20</v>
      </c>
    </row>
    <row r="5" spans="1:12" ht="21.95" customHeight="1" x14ac:dyDescent="0.2">
      <c r="A5" s="122" t="s">
        <v>21</v>
      </c>
    </row>
    <row r="9" spans="1:12" ht="21.9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21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21.9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21.95" customHeight="1" x14ac:dyDescent="0.25">
      <c r="A12" s="1"/>
      <c r="B12" s="1"/>
    </row>
    <row r="13" spans="1:12" ht="21.95" customHeight="1" x14ac:dyDescent="0.25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s="76" customFormat="1" ht="21.9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.95" customHeight="1" x14ac:dyDescent="0.25">
      <c r="A15" s="1" t="s">
        <v>8</v>
      </c>
      <c r="B15" s="1"/>
      <c r="C15" s="9" t="s">
        <v>1</v>
      </c>
      <c r="D15" s="40" t="s">
        <v>557</v>
      </c>
      <c r="E15" s="50"/>
      <c r="F15" s="50"/>
      <c r="G15" s="50"/>
      <c r="H15" s="50"/>
      <c r="I15" s="1"/>
      <c r="J15" s="1"/>
      <c r="K15" s="1"/>
      <c r="L15" s="1"/>
    </row>
    <row r="16" spans="1:12" ht="21.95" customHeight="1" x14ac:dyDescent="0.25">
      <c r="A16" s="1" t="s">
        <v>9</v>
      </c>
      <c r="B16" s="1"/>
      <c r="C16" s="9" t="s">
        <v>1</v>
      </c>
      <c r="D16" s="7" t="s">
        <v>558</v>
      </c>
      <c r="E16" s="50"/>
      <c r="F16" s="50"/>
      <c r="G16" s="50"/>
      <c r="H16" s="50"/>
      <c r="I16" s="1"/>
      <c r="J16" s="1"/>
      <c r="K16" s="1"/>
      <c r="L16" s="1"/>
    </row>
    <row r="17" spans="1:12" ht="21.95" customHeight="1" x14ac:dyDescent="0.2">
      <c r="A17" s="50" t="s">
        <v>10</v>
      </c>
      <c r="B17" s="50"/>
      <c r="C17" s="91" t="s">
        <v>1</v>
      </c>
      <c r="D17" s="50" t="s">
        <v>525</v>
      </c>
      <c r="E17" s="50"/>
      <c r="F17" s="50"/>
      <c r="G17" s="50"/>
      <c r="H17" s="50"/>
      <c r="I17" s="50"/>
      <c r="J17" s="50"/>
      <c r="K17" s="50"/>
      <c r="L17" s="50"/>
    </row>
    <row r="18" spans="1:12" ht="21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s="148" customFormat="1" ht="32.25" customHeight="1" x14ac:dyDescent="0.2">
      <c r="A19" s="280" t="s">
        <v>559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</row>
    <row r="20" spans="1:12" ht="21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43.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21.95" customHeight="1" thickTop="1" x14ac:dyDescent="0.25">
      <c r="A22" s="1"/>
      <c r="B22" s="11" t="s">
        <v>3</v>
      </c>
      <c r="C22" s="180" t="s">
        <v>4</v>
      </c>
      <c r="D22" s="181"/>
      <c r="E22" s="181"/>
      <c r="F22" s="181"/>
      <c r="G22" s="181"/>
      <c r="H22" s="182"/>
      <c r="I22" s="11" t="s">
        <v>5</v>
      </c>
      <c r="J22" s="180" t="s">
        <v>17</v>
      </c>
      <c r="K22" s="181"/>
      <c r="L22" s="182"/>
    </row>
    <row r="23" spans="1:12" ht="21.95" customHeight="1" x14ac:dyDescent="0.2">
      <c r="A23" s="50"/>
      <c r="B23" s="143">
        <v>1</v>
      </c>
      <c r="C23" s="281" t="s">
        <v>545</v>
      </c>
      <c r="D23" s="282"/>
      <c r="E23" s="282"/>
      <c r="F23" s="282"/>
      <c r="G23" s="50"/>
      <c r="H23" s="55"/>
      <c r="I23" s="56">
        <v>300000</v>
      </c>
      <c r="J23" s="50"/>
      <c r="K23" s="50"/>
      <c r="L23" s="55"/>
    </row>
    <row r="24" spans="1:12" ht="21.95" customHeight="1" x14ac:dyDescent="0.25">
      <c r="A24" s="1"/>
      <c r="B24" s="96"/>
      <c r="C24" s="124"/>
      <c r="D24" s="124"/>
      <c r="E24" s="127"/>
      <c r="F24" s="125"/>
      <c r="G24" s="124"/>
      <c r="H24" s="124"/>
      <c r="I24" s="183"/>
      <c r="J24" s="1"/>
      <c r="K24" s="1"/>
      <c r="L24" s="42"/>
    </row>
    <row r="25" spans="1:12" ht="21.9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f>I23</f>
        <v>300000</v>
      </c>
      <c r="J25" s="1"/>
      <c r="K25" s="1"/>
      <c r="L25" s="42"/>
    </row>
    <row r="26" spans="1:12" ht="21.9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</row>
    <row r="27" spans="1:12" ht="21.9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6.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</row>
    <row r="29" spans="1:12" ht="21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1.95" customHeight="1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</row>
    <row r="31" spans="1:12" ht="21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1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1.95" customHeight="1" x14ac:dyDescent="0.25">
      <c r="A33" s="1"/>
      <c r="B33" s="1"/>
      <c r="C33" s="1"/>
      <c r="D33" s="1"/>
      <c r="E33" s="1"/>
      <c r="F33" s="1"/>
      <c r="G33" s="1"/>
      <c r="H33" s="1" t="s">
        <v>546</v>
      </c>
      <c r="I33" s="1"/>
      <c r="J33" s="283" t="s">
        <v>565</v>
      </c>
      <c r="K33" s="283"/>
      <c r="L33" s="283"/>
    </row>
    <row r="34" spans="1:12" ht="15" customHeight="1" x14ac:dyDescent="0.25">
      <c r="A34" s="1"/>
      <c r="B34" s="1" t="s">
        <v>15</v>
      </c>
      <c r="C34" s="1"/>
      <c r="D34" s="1"/>
      <c r="E34" s="1"/>
      <c r="F34" s="1"/>
      <c r="G34" s="1"/>
      <c r="H34" s="1" t="s">
        <v>13</v>
      </c>
      <c r="I34" s="1"/>
      <c r="J34" s="1"/>
      <c r="K34" s="1"/>
      <c r="L34" s="1"/>
    </row>
    <row r="35" spans="1:12" ht="16.5" customHeight="1" x14ac:dyDescent="0.25">
      <c r="A35" s="1"/>
      <c r="B35" s="1" t="s">
        <v>18</v>
      </c>
      <c r="C35" s="1"/>
      <c r="D35" s="1"/>
      <c r="E35" s="1"/>
      <c r="F35" s="1"/>
      <c r="G35" s="1"/>
      <c r="H35" s="1" t="s">
        <v>14</v>
      </c>
      <c r="I35" s="1"/>
      <c r="J35" s="1"/>
      <c r="K35" s="1"/>
      <c r="L35" s="1"/>
    </row>
    <row r="36" spans="1:12" ht="2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1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1.7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1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1.95" customHeight="1" x14ac:dyDescent="0.25">
      <c r="A40" s="1"/>
      <c r="B40" s="37" t="s">
        <v>77</v>
      </c>
      <c r="C40" s="1"/>
      <c r="D40" s="1"/>
      <c r="E40" s="1"/>
      <c r="F40" s="1"/>
      <c r="G40" s="1"/>
      <c r="H40" s="37" t="str">
        <f>D15</f>
        <v>JULIYARDI, ST</v>
      </c>
      <c r="I40" s="37"/>
      <c r="J40" s="40"/>
      <c r="K40" s="1"/>
      <c r="L40" s="1"/>
    </row>
    <row r="41" spans="1:12" ht="21.95" customHeight="1" x14ac:dyDescent="0.25">
      <c r="A41" s="1"/>
      <c r="B41" s="48" t="s">
        <v>27</v>
      </c>
      <c r="C41" s="7"/>
      <c r="D41" s="1"/>
      <c r="E41" s="1"/>
      <c r="F41" s="1"/>
      <c r="G41" s="1"/>
      <c r="H41" s="48" t="s">
        <v>560</v>
      </c>
      <c r="I41" s="1"/>
      <c r="J41" s="1"/>
      <c r="K41" s="1"/>
      <c r="L41" s="1"/>
    </row>
    <row r="46" spans="1:12" ht="21.95" customHeight="1" x14ac:dyDescent="0.25">
      <c r="A46" s="3" t="s">
        <v>22</v>
      </c>
    </row>
    <row r="47" spans="1:12" ht="21.95" customHeight="1" x14ac:dyDescent="0.2">
      <c r="A47" s="122" t="s">
        <v>20</v>
      </c>
    </row>
    <row r="48" spans="1:12" ht="21.95" customHeight="1" x14ac:dyDescent="0.2">
      <c r="A48" s="122" t="s">
        <v>21</v>
      </c>
    </row>
    <row r="52" spans="1:12" ht="21.95" customHeight="1" x14ac:dyDescent="0.3">
      <c r="A52" s="276" t="s">
        <v>6</v>
      </c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6"/>
    </row>
    <row r="53" spans="1:12" ht="21.95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21.95" customHeigh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21.95" customHeight="1" x14ac:dyDescent="0.25">
      <c r="A55" s="1"/>
      <c r="B55" s="1"/>
    </row>
    <row r="56" spans="1:12" ht="21.95" customHeight="1" x14ac:dyDescent="0.25">
      <c r="A56" s="1" t="s">
        <v>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1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1.95" customHeight="1" x14ac:dyDescent="0.25">
      <c r="A58" s="1" t="s">
        <v>8</v>
      </c>
      <c r="B58" s="1"/>
      <c r="C58" s="9" t="s">
        <v>1</v>
      </c>
      <c r="D58" s="40" t="s">
        <v>557</v>
      </c>
      <c r="E58" s="50"/>
      <c r="F58" s="50"/>
      <c r="G58" s="50"/>
      <c r="H58" s="50"/>
      <c r="I58" s="1"/>
      <c r="J58" s="1"/>
      <c r="K58" s="1"/>
      <c r="L58" s="1"/>
    </row>
    <row r="59" spans="1:12" ht="21.95" customHeight="1" x14ac:dyDescent="0.25">
      <c r="A59" s="1" t="s">
        <v>9</v>
      </c>
      <c r="B59" s="1"/>
      <c r="C59" s="9" t="s">
        <v>1</v>
      </c>
      <c r="D59" s="7" t="s">
        <v>558</v>
      </c>
      <c r="E59" s="50"/>
      <c r="F59" s="50"/>
      <c r="G59" s="50"/>
      <c r="H59" s="50"/>
      <c r="I59" s="1"/>
      <c r="J59" s="1"/>
      <c r="K59" s="1"/>
      <c r="L59" s="1"/>
    </row>
    <row r="60" spans="1:12" ht="21.95" customHeight="1" x14ac:dyDescent="0.2">
      <c r="A60" s="50" t="s">
        <v>10</v>
      </c>
      <c r="B60" s="50"/>
      <c r="C60" s="91" t="s">
        <v>1</v>
      </c>
      <c r="D60" s="50" t="s">
        <v>525</v>
      </c>
      <c r="E60" s="50"/>
      <c r="F60" s="50"/>
      <c r="G60" s="50"/>
      <c r="H60" s="50"/>
      <c r="I60" s="50"/>
      <c r="J60" s="50"/>
      <c r="K60" s="50"/>
      <c r="L60" s="50"/>
    </row>
    <row r="61" spans="1:12" ht="21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7.75" customHeight="1" x14ac:dyDescent="0.2">
      <c r="A62" s="280" t="s">
        <v>561</v>
      </c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</row>
    <row r="63" spans="1:12" ht="21.9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42" customHeight="1" thickBot="1" x14ac:dyDescent="0.25">
      <c r="A64" s="10" t="s">
        <v>0</v>
      </c>
      <c r="B64" s="278" t="s">
        <v>91</v>
      </c>
      <c r="C64" s="278"/>
      <c r="D64" s="278"/>
      <c r="E64" s="278"/>
      <c r="F64" s="278"/>
      <c r="G64" s="278"/>
      <c r="H64" s="278"/>
      <c r="I64" s="278"/>
      <c r="J64" s="278"/>
      <c r="K64" s="278"/>
      <c r="L64" s="278"/>
    </row>
    <row r="65" spans="1:12" ht="21.95" customHeight="1" thickTop="1" x14ac:dyDescent="0.25">
      <c r="A65" s="1"/>
      <c r="B65" s="11" t="s">
        <v>3</v>
      </c>
      <c r="C65" s="180" t="s">
        <v>4</v>
      </c>
      <c r="D65" s="181"/>
      <c r="E65" s="181"/>
      <c r="F65" s="181"/>
      <c r="G65" s="181"/>
      <c r="H65" s="182"/>
      <c r="I65" s="11" t="s">
        <v>5</v>
      </c>
      <c r="J65" s="180" t="s">
        <v>17</v>
      </c>
      <c r="K65" s="181"/>
      <c r="L65" s="182"/>
    </row>
    <row r="66" spans="1:12" ht="21.95" customHeight="1" x14ac:dyDescent="0.2">
      <c r="A66" s="50"/>
      <c r="B66" s="143">
        <v>1</v>
      </c>
      <c r="C66" s="281" t="s">
        <v>545</v>
      </c>
      <c r="D66" s="282"/>
      <c r="E66" s="282"/>
      <c r="F66" s="282"/>
      <c r="G66" s="50"/>
      <c r="H66" s="55"/>
      <c r="I66" s="56">
        <v>300000</v>
      </c>
      <c r="J66" s="50"/>
      <c r="K66" s="50"/>
      <c r="L66" s="55"/>
    </row>
    <row r="67" spans="1:12" ht="21.95" customHeight="1" x14ac:dyDescent="0.25">
      <c r="A67" s="1"/>
      <c r="B67" s="96"/>
      <c r="C67" s="124"/>
      <c r="D67" s="124"/>
      <c r="E67" s="127"/>
      <c r="F67" s="125"/>
      <c r="G67" s="124"/>
      <c r="H67" s="124"/>
      <c r="I67" s="183"/>
      <c r="J67" s="1"/>
      <c r="K67" s="1"/>
      <c r="L67" s="42"/>
    </row>
    <row r="68" spans="1:12" ht="21.95" customHeight="1" x14ac:dyDescent="0.25">
      <c r="A68" s="1"/>
      <c r="B68" s="39"/>
      <c r="C68" s="1"/>
      <c r="D68" s="1"/>
      <c r="E68" s="1"/>
      <c r="F68" s="40" t="s">
        <v>5</v>
      </c>
      <c r="G68" s="40"/>
      <c r="H68" s="1"/>
      <c r="I68" s="41">
        <f>I66</f>
        <v>300000</v>
      </c>
      <c r="J68" s="1"/>
      <c r="K68" s="1"/>
      <c r="L68" s="42"/>
    </row>
    <row r="69" spans="1:12" ht="21.95" customHeight="1" thickBot="1" x14ac:dyDescent="0.3">
      <c r="A69" s="1"/>
      <c r="B69" s="43"/>
      <c r="C69" s="44"/>
      <c r="D69" s="44"/>
      <c r="E69" s="44"/>
      <c r="F69" s="45"/>
      <c r="G69" s="45"/>
      <c r="H69" s="44"/>
      <c r="I69" s="46"/>
      <c r="J69" s="44"/>
      <c r="K69" s="44"/>
      <c r="L69" s="47"/>
    </row>
    <row r="70" spans="1:12" ht="21.95" customHeight="1" thickTop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48.75" customHeight="1" x14ac:dyDescent="0.2">
      <c r="A71" s="10" t="s">
        <v>2</v>
      </c>
      <c r="B71" s="279" t="s">
        <v>11</v>
      </c>
      <c r="C71" s="279"/>
      <c r="D71" s="279"/>
      <c r="E71" s="279"/>
      <c r="F71" s="279"/>
      <c r="G71" s="279"/>
      <c r="H71" s="279"/>
      <c r="I71" s="279"/>
      <c r="J71" s="279"/>
      <c r="K71" s="279"/>
      <c r="L71" s="279"/>
    </row>
    <row r="72" spans="1:12" ht="21.9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1.95" customHeight="1" x14ac:dyDescent="0.2">
      <c r="A73" s="280" t="s">
        <v>12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</row>
    <row r="74" spans="1:12" ht="21.9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1.9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1.95" customHeight="1" x14ac:dyDescent="0.25">
      <c r="A76" s="1"/>
      <c r="B76" s="1"/>
      <c r="C76" s="1"/>
      <c r="D76" s="1"/>
      <c r="E76" s="1"/>
      <c r="F76" s="1"/>
      <c r="G76" s="1"/>
      <c r="H76" s="1" t="s">
        <v>546</v>
      </c>
      <c r="I76" s="1"/>
      <c r="J76" s="283" t="s">
        <v>556</v>
      </c>
      <c r="K76" s="283"/>
      <c r="L76" s="283"/>
    </row>
    <row r="77" spans="1:12" ht="15" x14ac:dyDescent="0.25">
      <c r="A77" s="1"/>
      <c r="B77" s="1" t="s">
        <v>15</v>
      </c>
      <c r="C77" s="1"/>
      <c r="D77" s="1"/>
      <c r="E77" s="1"/>
      <c r="F77" s="1"/>
      <c r="G77" s="1"/>
      <c r="H77" s="1" t="s">
        <v>13</v>
      </c>
      <c r="I77" s="1"/>
      <c r="J77" s="1"/>
      <c r="K77" s="1"/>
      <c r="L77" s="1"/>
    </row>
    <row r="78" spans="1:12" ht="15" x14ac:dyDescent="0.25">
      <c r="A78" s="1"/>
      <c r="B78" s="1" t="s">
        <v>18</v>
      </c>
      <c r="C78" s="1"/>
      <c r="D78" s="1"/>
      <c r="E78" s="1"/>
      <c r="F78" s="1"/>
      <c r="G78" s="1"/>
      <c r="H78" s="1" t="s">
        <v>14</v>
      </c>
      <c r="I78" s="1"/>
      <c r="J78" s="1"/>
      <c r="K78" s="1"/>
      <c r="L78" s="1"/>
    </row>
    <row r="79" spans="1:12" ht="21.9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8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1.75" hidden="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1.9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1.95" customHeight="1" x14ac:dyDescent="0.25">
      <c r="A83" s="1"/>
      <c r="B83" s="37" t="s">
        <v>77</v>
      </c>
      <c r="C83" s="1"/>
      <c r="D83" s="1"/>
      <c r="E83" s="1"/>
      <c r="F83" s="1"/>
      <c r="G83" s="1"/>
      <c r="H83" s="37" t="str">
        <f>D58</f>
        <v>JULIYARDI, ST</v>
      </c>
      <c r="I83" s="37"/>
      <c r="J83" s="40"/>
      <c r="K83" s="1"/>
      <c r="L83" s="1"/>
    </row>
    <row r="84" spans="1:12" ht="21.95" customHeight="1" x14ac:dyDescent="0.25">
      <c r="A84" s="1"/>
      <c r="B84" s="48" t="s">
        <v>27</v>
      </c>
      <c r="C84" s="7"/>
      <c r="D84" s="1"/>
      <c r="E84" s="1"/>
      <c r="F84" s="1"/>
      <c r="G84" s="1"/>
      <c r="H84" s="48" t="s">
        <v>560</v>
      </c>
      <c r="I84" s="1"/>
      <c r="J84" s="1"/>
      <c r="K84" s="1"/>
      <c r="L84" s="1"/>
    </row>
    <row r="90" spans="1:12" ht="21.95" customHeight="1" x14ac:dyDescent="0.25">
      <c r="A90" s="3" t="s">
        <v>22</v>
      </c>
    </row>
    <row r="91" spans="1:12" ht="21.95" customHeight="1" x14ac:dyDescent="0.2">
      <c r="A91" s="122" t="s">
        <v>20</v>
      </c>
    </row>
    <row r="92" spans="1:12" ht="21.95" customHeight="1" x14ac:dyDescent="0.2">
      <c r="A92" s="122" t="s">
        <v>21</v>
      </c>
    </row>
    <row r="96" spans="1:12" ht="21.95" customHeight="1" x14ac:dyDescent="0.3">
      <c r="A96" s="276" t="s">
        <v>6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</row>
    <row r="97" spans="1:12" ht="21.95" customHeigh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</row>
    <row r="98" spans="1:12" ht="21.95" customHeigh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1:12" ht="21.95" customHeight="1" x14ac:dyDescent="0.25">
      <c r="A99" s="1"/>
      <c r="B99" s="1"/>
    </row>
    <row r="100" spans="1:12" ht="21.95" customHeight="1" x14ac:dyDescent="0.25">
      <c r="A100" s="1" t="s">
        <v>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21.9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21.95" customHeight="1" x14ac:dyDescent="0.25">
      <c r="A102" s="1" t="s">
        <v>8</v>
      </c>
      <c r="B102" s="1"/>
      <c r="C102" s="9" t="s">
        <v>1</v>
      </c>
      <c r="D102" s="40" t="s">
        <v>562</v>
      </c>
      <c r="E102" s="50"/>
      <c r="F102" s="50"/>
      <c r="G102" s="50"/>
      <c r="H102" s="50"/>
      <c r="I102" s="1"/>
      <c r="J102" s="1"/>
      <c r="K102" s="1"/>
      <c r="L102" s="1"/>
    </row>
    <row r="103" spans="1:12" ht="21.95" customHeight="1" x14ac:dyDescent="0.25">
      <c r="A103" s="1" t="s">
        <v>9</v>
      </c>
      <c r="B103" s="1"/>
      <c r="C103" s="9" t="s">
        <v>1</v>
      </c>
      <c r="D103" s="7" t="s">
        <v>563</v>
      </c>
      <c r="E103" s="50"/>
      <c r="F103" s="50"/>
      <c r="G103" s="50"/>
      <c r="H103" s="50"/>
      <c r="I103" s="1"/>
      <c r="J103" s="1"/>
      <c r="K103" s="1"/>
      <c r="L103" s="1"/>
    </row>
    <row r="104" spans="1:12" ht="21.95" customHeight="1" x14ac:dyDescent="0.2">
      <c r="A104" s="50" t="s">
        <v>10</v>
      </c>
      <c r="B104" s="50"/>
      <c r="C104" s="91" t="s">
        <v>1</v>
      </c>
      <c r="D104" s="50" t="s">
        <v>525</v>
      </c>
      <c r="E104" s="50"/>
      <c r="F104" s="50"/>
      <c r="G104" s="50"/>
      <c r="H104" s="50"/>
      <c r="I104" s="50"/>
      <c r="J104" s="50"/>
      <c r="K104" s="50"/>
      <c r="L104" s="50"/>
    </row>
    <row r="105" spans="1:12" ht="21.9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33" customHeight="1" x14ac:dyDescent="0.2">
      <c r="A106" s="280" t="s">
        <v>559</v>
      </c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</row>
    <row r="107" spans="1:12" ht="21.9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34.5" customHeight="1" thickBot="1" x14ac:dyDescent="0.25">
      <c r="A108" s="10" t="s">
        <v>0</v>
      </c>
      <c r="B108" s="278" t="s">
        <v>91</v>
      </c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</row>
    <row r="109" spans="1:12" ht="21.95" customHeight="1" thickTop="1" x14ac:dyDescent="0.25">
      <c r="A109" s="1"/>
      <c r="B109" s="11" t="s">
        <v>3</v>
      </c>
      <c r="C109" s="180" t="s">
        <v>4</v>
      </c>
      <c r="D109" s="181"/>
      <c r="E109" s="181"/>
      <c r="F109" s="181"/>
      <c r="G109" s="181"/>
      <c r="H109" s="182"/>
      <c r="I109" s="11" t="s">
        <v>5</v>
      </c>
      <c r="J109" s="180" t="s">
        <v>17</v>
      </c>
      <c r="K109" s="181"/>
      <c r="L109" s="182"/>
    </row>
    <row r="110" spans="1:12" ht="21.95" customHeight="1" x14ac:dyDescent="0.2">
      <c r="A110" s="50"/>
      <c r="B110" s="143">
        <v>1</v>
      </c>
      <c r="C110" s="281" t="s">
        <v>545</v>
      </c>
      <c r="D110" s="282"/>
      <c r="E110" s="282"/>
      <c r="F110" s="282"/>
      <c r="G110" s="50"/>
      <c r="H110" s="55"/>
      <c r="I110" s="56">
        <v>300000</v>
      </c>
      <c r="J110" s="50"/>
      <c r="K110" s="50"/>
      <c r="L110" s="55"/>
    </row>
    <row r="111" spans="1:12" ht="21.95" customHeight="1" x14ac:dyDescent="0.25">
      <c r="A111" s="1"/>
      <c r="B111" s="96"/>
      <c r="C111" s="124"/>
      <c r="D111" s="124"/>
      <c r="E111" s="127"/>
      <c r="F111" s="125"/>
      <c r="G111" s="124"/>
      <c r="H111" s="124"/>
      <c r="I111" s="183"/>
      <c r="J111" s="1"/>
      <c r="K111" s="1"/>
      <c r="L111" s="42"/>
    </row>
    <row r="112" spans="1:12" ht="21.95" customHeight="1" x14ac:dyDescent="0.25">
      <c r="A112" s="1"/>
      <c r="B112" s="39"/>
      <c r="C112" s="1"/>
      <c r="D112" s="1"/>
      <c r="E112" s="1"/>
      <c r="F112" s="40" t="s">
        <v>5</v>
      </c>
      <c r="G112" s="40"/>
      <c r="H112" s="1"/>
      <c r="I112" s="41">
        <f>I110</f>
        <v>300000</v>
      </c>
      <c r="J112" s="1"/>
      <c r="K112" s="1"/>
      <c r="L112" s="42"/>
    </row>
    <row r="113" spans="1:12" ht="21.95" customHeight="1" thickBot="1" x14ac:dyDescent="0.3">
      <c r="A113" s="1"/>
      <c r="B113" s="43"/>
      <c r="C113" s="44"/>
      <c r="D113" s="44"/>
      <c r="E113" s="44"/>
      <c r="F113" s="45"/>
      <c r="G113" s="45"/>
      <c r="H113" s="44"/>
      <c r="I113" s="46"/>
      <c r="J113" s="44"/>
      <c r="K113" s="44"/>
      <c r="L113" s="47"/>
    </row>
    <row r="114" spans="1:12" ht="21.95" customHeight="1" thickTop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66.75" customHeight="1" x14ac:dyDescent="0.2">
      <c r="A115" s="10" t="s">
        <v>2</v>
      </c>
      <c r="B115" s="279" t="s">
        <v>11</v>
      </c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</row>
    <row r="116" spans="1:12" ht="21.9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21.95" customHeight="1" x14ac:dyDescent="0.2">
      <c r="A117" s="280" t="s">
        <v>12</v>
      </c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</row>
    <row r="118" spans="1:12" ht="21.9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21.9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1.95" customHeight="1" x14ac:dyDescent="0.25">
      <c r="A120" s="1"/>
      <c r="B120" s="1"/>
      <c r="C120" s="1"/>
      <c r="D120" s="1"/>
      <c r="E120" s="1"/>
      <c r="F120" s="1"/>
      <c r="G120" s="1"/>
      <c r="H120" s="1" t="s">
        <v>546</v>
      </c>
      <c r="I120" s="1"/>
      <c r="J120" s="283" t="s">
        <v>565</v>
      </c>
      <c r="K120" s="283"/>
      <c r="L120" s="283"/>
    </row>
    <row r="121" spans="1:12" ht="15" x14ac:dyDescent="0.25">
      <c r="A121" s="1"/>
      <c r="B121" s="1" t="s">
        <v>15</v>
      </c>
      <c r="C121" s="1"/>
      <c r="D121" s="1"/>
      <c r="E121" s="1"/>
      <c r="F121" s="1"/>
      <c r="G121" s="1"/>
      <c r="H121" s="1" t="s">
        <v>13</v>
      </c>
      <c r="I121" s="1"/>
      <c r="J121" s="1"/>
      <c r="K121" s="1"/>
      <c r="L121" s="1"/>
    </row>
    <row r="122" spans="1:12" ht="15.75" customHeight="1" x14ac:dyDescent="0.25">
      <c r="A122" s="1"/>
      <c r="B122" s="1" t="s">
        <v>18</v>
      </c>
      <c r="C122" s="1"/>
      <c r="D122" s="1"/>
      <c r="E122" s="1"/>
      <c r="F122" s="1"/>
      <c r="G122" s="1"/>
      <c r="H122" s="1" t="s">
        <v>14</v>
      </c>
      <c r="I122" s="1"/>
      <c r="J122" s="1"/>
      <c r="K122" s="1"/>
      <c r="L122" s="1"/>
    </row>
    <row r="123" spans="1:12" ht="21.9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21.75" hidden="1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21.9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21.95" customHeight="1" x14ac:dyDescent="0.25">
      <c r="A127" s="1"/>
      <c r="B127" s="37" t="s">
        <v>77</v>
      </c>
      <c r="C127" s="1"/>
      <c r="D127" s="1"/>
      <c r="E127" s="1"/>
      <c r="F127" s="1"/>
      <c r="G127" s="1"/>
      <c r="H127" s="37" t="str">
        <f>D102</f>
        <v>LIDYA SARI SIMANJUNTAK, SKM</v>
      </c>
      <c r="I127" s="37"/>
      <c r="J127" s="40"/>
      <c r="K127" s="1"/>
      <c r="L127" s="1"/>
    </row>
    <row r="128" spans="1:12" ht="21.95" customHeight="1" x14ac:dyDescent="0.25">
      <c r="A128" s="1"/>
      <c r="B128" s="48" t="s">
        <v>27</v>
      </c>
      <c r="C128" s="7"/>
      <c r="D128" s="1"/>
      <c r="E128" s="1"/>
      <c r="F128" s="1"/>
      <c r="G128" s="1"/>
      <c r="H128" s="48" t="s">
        <v>564</v>
      </c>
      <c r="I128" s="1"/>
      <c r="J128" s="1"/>
      <c r="K128" s="1"/>
      <c r="L128" s="1"/>
    </row>
    <row r="133" spans="1:12" ht="21.95" customHeight="1" x14ac:dyDescent="0.25">
      <c r="A133" s="3" t="s">
        <v>22</v>
      </c>
    </row>
    <row r="134" spans="1:12" ht="21.95" customHeight="1" x14ac:dyDescent="0.2">
      <c r="A134" s="122" t="s">
        <v>20</v>
      </c>
    </row>
    <row r="135" spans="1:12" ht="21.95" customHeight="1" x14ac:dyDescent="0.2">
      <c r="A135" s="122" t="s">
        <v>21</v>
      </c>
    </row>
    <row r="139" spans="1:12" ht="21.95" customHeight="1" x14ac:dyDescent="0.3">
      <c r="A139" s="276" t="s">
        <v>6</v>
      </c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</row>
    <row r="140" spans="1:12" ht="21.95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1:12" ht="21.9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21.95" customHeight="1" x14ac:dyDescent="0.25">
      <c r="A142" s="1"/>
      <c r="B142" s="1"/>
    </row>
    <row r="143" spans="1:12" ht="21.95" customHeight="1" x14ac:dyDescent="0.25">
      <c r="A143" s="1" t="s">
        <v>7</v>
      </c>
      <c r="B143" s="1"/>
    </row>
    <row r="144" spans="1:12" ht="21.95" customHeight="1" x14ac:dyDescent="0.25">
      <c r="A144" s="1"/>
      <c r="B144" s="1"/>
    </row>
    <row r="145" spans="1:12" ht="21.95" customHeight="1" x14ac:dyDescent="0.25">
      <c r="A145" s="1" t="s">
        <v>8</v>
      </c>
      <c r="C145" s="9" t="s">
        <v>1</v>
      </c>
      <c r="D145" s="92" t="s">
        <v>537</v>
      </c>
      <c r="E145" s="76"/>
      <c r="F145" s="76"/>
      <c r="G145" s="76"/>
      <c r="H145" s="76"/>
    </row>
    <row r="146" spans="1:12" ht="21.95" customHeight="1" x14ac:dyDescent="0.25">
      <c r="A146" s="1" t="s">
        <v>9</v>
      </c>
      <c r="C146" s="9" t="s">
        <v>1</v>
      </c>
      <c r="D146" s="57"/>
      <c r="E146" s="76"/>
      <c r="F146" s="76"/>
      <c r="G146" s="76"/>
      <c r="H146" s="76"/>
    </row>
    <row r="147" spans="1:12" ht="21.95" customHeight="1" x14ac:dyDescent="0.2">
      <c r="A147" s="50" t="s">
        <v>10</v>
      </c>
      <c r="B147" s="76"/>
      <c r="C147" s="91" t="s">
        <v>1</v>
      </c>
      <c r="D147" s="50" t="s">
        <v>538</v>
      </c>
      <c r="E147" s="76"/>
      <c r="F147" s="76"/>
      <c r="G147" s="76"/>
      <c r="H147" s="76"/>
      <c r="I147" s="76"/>
      <c r="J147" s="76"/>
      <c r="K147" s="76"/>
      <c r="L147" s="76"/>
    </row>
    <row r="148" spans="1:12" ht="21.95" customHeight="1" x14ac:dyDescent="0.25">
      <c r="A148" s="1"/>
      <c r="B148" s="1"/>
      <c r="D148" s="1"/>
    </row>
    <row r="149" spans="1:12" ht="32.25" customHeight="1" x14ac:dyDescent="0.2">
      <c r="A149" s="277" t="s">
        <v>526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</row>
    <row r="150" spans="1:12" ht="21.95" customHeight="1" x14ac:dyDescent="0.25">
      <c r="A150" s="1"/>
      <c r="B150" s="1"/>
    </row>
    <row r="151" spans="1:12" ht="35.25" customHeight="1" thickBot="1" x14ac:dyDescent="0.25">
      <c r="A151" s="10" t="s">
        <v>0</v>
      </c>
      <c r="B151" s="278" t="s">
        <v>91</v>
      </c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</row>
    <row r="152" spans="1:12" ht="21.95" customHeight="1" thickTop="1" x14ac:dyDescent="0.25">
      <c r="A152" s="1"/>
      <c r="B152" s="11" t="s">
        <v>3</v>
      </c>
      <c r="C152" s="12" t="s">
        <v>4</v>
      </c>
      <c r="D152" s="13"/>
      <c r="E152" s="13"/>
      <c r="F152" s="13"/>
      <c r="G152" s="13"/>
      <c r="H152" s="14"/>
      <c r="I152" s="15" t="s">
        <v>5</v>
      </c>
      <c r="J152" s="12" t="s">
        <v>17</v>
      </c>
      <c r="K152" s="13"/>
      <c r="L152" s="14"/>
    </row>
    <row r="153" spans="1:12" ht="21.95" customHeight="1" x14ac:dyDescent="0.2">
      <c r="A153" s="50"/>
      <c r="B153" s="143">
        <v>1</v>
      </c>
      <c r="C153" s="284" t="s">
        <v>527</v>
      </c>
      <c r="D153" s="285"/>
      <c r="E153" s="285"/>
      <c r="F153" s="285"/>
      <c r="G153" s="76"/>
      <c r="H153" s="79"/>
      <c r="I153" s="56">
        <v>150000</v>
      </c>
      <c r="J153" s="76"/>
      <c r="K153" s="76"/>
      <c r="L153" s="79"/>
    </row>
    <row r="154" spans="1:12" ht="21.95" customHeight="1" x14ac:dyDescent="0.2">
      <c r="B154" s="96"/>
      <c r="C154" s="124"/>
      <c r="D154" s="124"/>
      <c r="E154" s="127"/>
      <c r="F154" s="125"/>
      <c r="G154" s="124"/>
      <c r="H154" s="124"/>
      <c r="I154" s="23"/>
      <c r="L154" s="17"/>
    </row>
    <row r="155" spans="1:12" ht="21.95" customHeight="1" x14ac:dyDescent="0.25">
      <c r="A155" s="1"/>
      <c r="B155" s="39"/>
      <c r="C155" s="1"/>
      <c r="D155" s="1"/>
      <c r="E155" s="1"/>
      <c r="F155" s="40" t="s">
        <v>5</v>
      </c>
      <c r="G155" s="40"/>
      <c r="H155" s="1"/>
      <c r="I155" s="41">
        <f>I153</f>
        <v>150000</v>
      </c>
      <c r="J155" s="1"/>
      <c r="K155" s="1"/>
      <c r="L155" s="42"/>
    </row>
    <row r="156" spans="1:12" ht="21.95" customHeight="1" thickBot="1" x14ac:dyDescent="0.3">
      <c r="A156" s="1"/>
      <c r="B156" s="43"/>
      <c r="C156" s="44"/>
      <c r="D156" s="44"/>
      <c r="E156" s="44"/>
      <c r="F156" s="45"/>
      <c r="G156" s="45"/>
      <c r="H156" s="44"/>
      <c r="I156" s="46"/>
      <c r="J156" s="44"/>
      <c r="K156" s="44"/>
      <c r="L156" s="47"/>
    </row>
    <row r="157" spans="1:12" ht="21.95" customHeight="1" thickTop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47.25" customHeight="1" x14ac:dyDescent="0.2">
      <c r="A158" s="10" t="s">
        <v>2</v>
      </c>
      <c r="B158" s="279" t="s">
        <v>11</v>
      </c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</row>
    <row r="159" spans="1:12" ht="21.9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21.95" customHeight="1" x14ac:dyDescent="0.2">
      <c r="A160" s="280" t="s">
        <v>12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</row>
    <row r="161" spans="1:12" ht="21.9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21.9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7.25" customHeight="1" x14ac:dyDescent="0.25">
      <c r="A163" s="1"/>
      <c r="B163" s="1"/>
      <c r="C163" s="1"/>
      <c r="D163" s="1"/>
      <c r="E163" s="1"/>
      <c r="F163" s="1"/>
      <c r="G163" s="1"/>
      <c r="H163" s="4" t="s">
        <v>533</v>
      </c>
      <c r="J163" s="286" t="s">
        <v>534</v>
      </c>
      <c r="K163" s="286"/>
      <c r="L163" s="286"/>
    </row>
    <row r="164" spans="1:12" ht="15.75" customHeight="1" x14ac:dyDescent="0.25">
      <c r="A164" s="1"/>
      <c r="B164" s="1" t="s">
        <v>15</v>
      </c>
      <c r="C164" s="1"/>
      <c r="D164" s="1"/>
      <c r="E164" s="1"/>
      <c r="F164" s="1"/>
      <c r="G164" s="1"/>
      <c r="H164" s="4" t="s">
        <v>13</v>
      </c>
    </row>
    <row r="165" spans="1:12" ht="18.75" customHeight="1" x14ac:dyDescent="0.25">
      <c r="A165" s="1"/>
      <c r="B165" s="1" t="s">
        <v>18</v>
      </c>
      <c r="C165" s="1"/>
      <c r="D165" s="1"/>
      <c r="E165" s="1"/>
      <c r="F165" s="1"/>
      <c r="G165" s="1"/>
      <c r="H165" s="4" t="s">
        <v>14</v>
      </c>
    </row>
    <row r="166" spans="1:12" ht="21.9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21.75" hidden="1" customHeight="1" x14ac:dyDescent="0.25">
      <c r="A168" s="1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"/>
    </row>
    <row r="169" spans="1:12" ht="21.95" customHeight="1" x14ac:dyDescent="0.25">
      <c r="A169" s="1"/>
      <c r="K169" s="103"/>
      <c r="L169" s="1"/>
    </row>
    <row r="170" spans="1:12" ht="21.95" customHeight="1" x14ac:dyDescent="0.25">
      <c r="A170" s="1"/>
      <c r="B170" s="95" t="s">
        <v>77</v>
      </c>
      <c r="H170" s="95" t="str">
        <f>D145</f>
        <v xml:space="preserve">RIKI </v>
      </c>
      <c r="I170" s="95"/>
      <c r="J170" s="92"/>
      <c r="K170" s="103"/>
      <c r="L170" s="1"/>
    </row>
    <row r="171" spans="1:12" ht="21.95" customHeight="1" x14ac:dyDescent="0.25">
      <c r="A171" s="1"/>
      <c r="B171" s="99" t="s">
        <v>27</v>
      </c>
      <c r="C171" s="57"/>
      <c r="H171" s="99"/>
      <c r="K171" s="103"/>
    </row>
    <row r="174" spans="1:12" ht="21.95" customHeight="1" x14ac:dyDescent="0.25">
      <c r="A174" s="3" t="s">
        <v>22</v>
      </c>
    </row>
    <row r="175" spans="1:12" ht="21.95" customHeight="1" x14ac:dyDescent="0.2">
      <c r="A175" s="122" t="s">
        <v>20</v>
      </c>
    </row>
    <row r="176" spans="1:12" ht="21.95" customHeight="1" x14ac:dyDescent="0.2">
      <c r="A176" s="122" t="s">
        <v>21</v>
      </c>
    </row>
    <row r="180" spans="1:12" ht="21.95" customHeight="1" x14ac:dyDescent="0.3">
      <c r="A180" s="276" t="s">
        <v>6</v>
      </c>
      <c r="B180" s="276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</row>
    <row r="181" spans="1:12" ht="21.95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</row>
    <row r="182" spans="1:12" ht="21.95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</row>
    <row r="183" spans="1:12" ht="21.95" customHeight="1" x14ac:dyDescent="0.25">
      <c r="A183" s="1"/>
      <c r="B183" s="1"/>
    </row>
    <row r="184" spans="1:12" ht="21.95" customHeight="1" x14ac:dyDescent="0.25">
      <c r="A184" s="1" t="s">
        <v>7</v>
      </c>
      <c r="B184" s="1"/>
    </row>
    <row r="185" spans="1:12" ht="21.95" customHeight="1" x14ac:dyDescent="0.25">
      <c r="A185" s="1"/>
      <c r="B185" s="1"/>
    </row>
    <row r="186" spans="1:12" ht="21.95" customHeight="1" x14ac:dyDescent="0.25">
      <c r="A186" s="1" t="s">
        <v>8</v>
      </c>
      <c r="C186" s="9" t="s">
        <v>1</v>
      </c>
      <c r="D186" s="92" t="s">
        <v>539</v>
      </c>
      <c r="E186" s="76"/>
      <c r="F186" s="76"/>
      <c r="G186" s="76"/>
      <c r="H186" s="76"/>
    </row>
    <row r="187" spans="1:12" ht="21.95" customHeight="1" x14ac:dyDescent="0.25">
      <c r="A187" s="1" t="s">
        <v>9</v>
      </c>
      <c r="C187" s="9" t="s">
        <v>1</v>
      </c>
      <c r="D187" s="57"/>
      <c r="E187" s="76"/>
      <c r="F187" s="76"/>
      <c r="G187" s="76"/>
      <c r="H187" s="76"/>
    </row>
    <row r="188" spans="1:12" ht="21.95" customHeight="1" x14ac:dyDescent="0.2">
      <c r="A188" s="50" t="s">
        <v>10</v>
      </c>
      <c r="B188" s="76"/>
      <c r="C188" s="91" t="s">
        <v>1</v>
      </c>
      <c r="D188" s="50"/>
      <c r="E188" s="76"/>
      <c r="F188" s="76"/>
      <c r="G188" s="76"/>
      <c r="H188" s="76"/>
      <c r="I188" s="76"/>
      <c r="J188" s="76"/>
      <c r="K188" s="76"/>
      <c r="L188" s="76"/>
    </row>
    <row r="189" spans="1:12" ht="21.95" customHeight="1" x14ac:dyDescent="0.25">
      <c r="A189" s="1"/>
      <c r="B189" s="1"/>
      <c r="D189" s="1"/>
    </row>
    <row r="190" spans="1:12" ht="29.25" customHeight="1" x14ac:dyDescent="0.2">
      <c r="A190" s="277" t="s">
        <v>526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</row>
    <row r="191" spans="1:12" ht="21.95" customHeight="1" x14ac:dyDescent="0.25">
      <c r="A191" s="1"/>
      <c r="B191" s="1"/>
    </row>
    <row r="192" spans="1:12" ht="38.25" customHeight="1" thickBot="1" x14ac:dyDescent="0.25">
      <c r="A192" s="10" t="s">
        <v>0</v>
      </c>
      <c r="B192" s="278" t="s">
        <v>91</v>
      </c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</row>
    <row r="193" spans="1:12" ht="21.95" customHeight="1" thickTop="1" x14ac:dyDescent="0.25">
      <c r="A193" s="1"/>
      <c r="B193" s="11" t="s">
        <v>3</v>
      </c>
      <c r="C193" s="12" t="s">
        <v>4</v>
      </c>
      <c r="D193" s="13"/>
      <c r="E193" s="13"/>
      <c r="F193" s="13"/>
      <c r="G193" s="13"/>
      <c r="H193" s="14"/>
      <c r="I193" s="15" t="s">
        <v>5</v>
      </c>
      <c r="J193" s="12" t="s">
        <v>17</v>
      </c>
      <c r="K193" s="13"/>
      <c r="L193" s="14"/>
    </row>
    <row r="194" spans="1:12" ht="21.95" customHeight="1" x14ac:dyDescent="0.2">
      <c r="A194" s="50"/>
      <c r="B194" s="143">
        <v>1</v>
      </c>
      <c r="C194" s="284" t="s">
        <v>527</v>
      </c>
      <c r="D194" s="285"/>
      <c r="E194" s="285"/>
      <c r="F194" s="285"/>
      <c r="G194" s="76"/>
      <c r="H194" s="79"/>
      <c r="I194" s="56">
        <v>150000</v>
      </c>
      <c r="J194" s="76"/>
      <c r="K194" s="76"/>
      <c r="L194" s="79"/>
    </row>
    <row r="195" spans="1:12" ht="21.95" customHeight="1" x14ac:dyDescent="0.2">
      <c r="B195" s="96"/>
      <c r="C195" s="124"/>
      <c r="D195" s="124"/>
      <c r="E195" s="127"/>
      <c r="F195" s="125"/>
      <c r="G195" s="124"/>
      <c r="H195" s="124"/>
      <c r="I195" s="23"/>
      <c r="L195" s="17"/>
    </row>
    <row r="196" spans="1:12" ht="21.95" customHeight="1" x14ac:dyDescent="0.25">
      <c r="A196" s="1"/>
      <c r="B196" s="39"/>
      <c r="C196" s="1"/>
      <c r="D196" s="1"/>
      <c r="E196" s="1"/>
      <c r="F196" s="40" t="s">
        <v>5</v>
      </c>
      <c r="G196" s="40"/>
      <c r="H196" s="1"/>
      <c r="I196" s="41">
        <f>I194</f>
        <v>150000</v>
      </c>
      <c r="J196" s="1"/>
      <c r="K196" s="1"/>
      <c r="L196" s="42"/>
    </row>
    <row r="197" spans="1:12" ht="21.95" customHeight="1" thickBot="1" x14ac:dyDescent="0.3">
      <c r="A197" s="1"/>
      <c r="B197" s="43"/>
      <c r="C197" s="44"/>
      <c r="D197" s="44"/>
      <c r="E197" s="44"/>
      <c r="F197" s="45"/>
      <c r="G197" s="45"/>
      <c r="H197" s="44"/>
      <c r="I197" s="46"/>
      <c r="J197" s="44"/>
      <c r="K197" s="44"/>
      <c r="L197" s="47"/>
    </row>
    <row r="198" spans="1:12" ht="21.95" customHeight="1" thickTop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56.25" customHeight="1" x14ac:dyDescent="0.2">
      <c r="A199" s="10" t="s">
        <v>2</v>
      </c>
      <c r="B199" s="279" t="s">
        <v>11</v>
      </c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</row>
    <row r="200" spans="1:12" ht="21.9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21.95" customHeight="1" x14ac:dyDescent="0.2">
      <c r="A201" s="280" t="s">
        <v>12</v>
      </c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</row>
    <row r="202" spans="1:12" ht="21.9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21.9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21.95" customHeight="1" x14ac:dyDescent="0.25">
      <c r="A204" s="1"/>
      <c r="B204" s="1"/>
      <c r="C204" s="1"/>
      <c r="D204" s="1"/>
      <c r="E204" s="1"/>
      <c r="F204" s="1"/>
      <c r="G204" s="1"/>
      <c r="H204" s="4" t="s">
        <v>533</v>
      </c>
      <c r="J204" s="286" t="s">
        <v>534</v>
      </c>
      <c r="K204" s="286"/>
      <c r="L204" s="286"/>
    </row>
    <row r="205" spans="1:12" ht="15" x14ac:dyDescent="0.25">
      <c r="A205" s="1"/>
      <c r="B205" s="1" t="s">
        <v>15</v>
      </c>
      <c r="C205" s="1"/>
      <c r="D205" s="1"/>
      <c r="E205" s="1"/>
      <c r="F205" s="1"/>
      <c r="G205" s="1"/>
      <c r="H205" s="4" t="s">
        <v>13</v>
      </c>
    </row>
    <row r="206" spans="1:12" ht="15" x14ac:dyDescent="0.25">
      <c r="A206" s="1"/>
      <c r="B206" s="1" t="s">
        <v>18</v>
      </c>
      <c r="C206" s="1"/>
      <c r="D206" s="1"/>
      <c r="E206" s="1"/>
      <c r="F206" s="1"/>
      <c r="G206" s="1"/>
      <c r="H206" s="4" t="s">
        <v>14</v>
      </c>
    </row>
    <row r="207" spans="1:12" ht="21.9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8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24" ht="21.75" hidden="1" customHeight="1" x14ac:dyDescent="0.25">
      <c r="A209" s="1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"/>
    </row>
    <row r="210" spans="1:24" ht="21.95" customHeight="1" x14ac:dyDescent="0.25">
      <c r="A210" s="1"/>
      <c r="K210" s="103"/>
      <c r="L210" s="1"/>
    </row>
    <row r="211" spans="1:24" ht="21.95" customHeight="1" x14ac:dyDescent="0.25">
      <c r="A211" s="1"/>
      <c r="B211" s="95" t="s">
        <v>77</v>
      </c>
      <c r="H211" s="95" t="str">
        <f>D186</f>
        <v>Karlinda</v>
      </c>
      <c r="I211" s="95"/>
      <c r="J211" s="92"/>
      <c r="K211" s="103"/>
      <c r="L211" s="1"/>
    </row>
    <row r="212" spans="1:24" ht="21.95" customHeight="1" x14ac:dyDescent="0.25">
      <c r="A212" s="1"/>
      <c r="B212" s="99" t="s">
        <v>27</v>
      </c>
      <c r="C212" s="57"/>
      <c r="H212" s="99"/>
      <c r="K212" s="103"/>
    </row>
    <row r="217" spans="1:24" ht="21.95" customHeight="1" x14ac:dyDescent="0.25">
      <c r="A217" s="3" t="s">
        <v>22</v>
      </c>
      <c r="M217" s="3" t="s">
        <v>22</v>
      </c>
    </row>
    <row r="218" spans="1:24" ht="21.95" customHeight="1" x14ac:dyDescent="0.2">
      <c r="A218" s="122" t="s">
        <v>20</v>
      </c>
      <c r="M218" s="122" t="s">
        <v>20</v>
      </c>
    </row>
    <row r="219" spans="1:24" ht="21.95" customHeight="1" x14ac:dyDescent="0.2">
      <c r="A219" s="122" t="s">
        <v>21</v>
      </c>
      <c r="M219" s="122" t="s">
        <v>21</v>
      </c>
    </row>
    <row r="223" spans="1:24" ht="21.95" customHeight="1" x14ac:dyDescent="0.3">
      <c r="A223" s="276" t="s">
        <v>6</v>
      </c>
      <c r="B223" s="276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 t="s">
        <v>6</v>
      </c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</row>
    <row r="224" spans="1:24" ht="21.95" customHeigh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21.95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21.95" customHeight="1" x14ac:dyDescent="0.25">
      <c r="A226" s="1"/>
      <c r="B226" s="1"/>
      <c r="M226" s="1"/>
      <c r="N226" s="1"/>
    </row>
    <row r="227" spans="1:24" ht="21.95" customHeight="1" x14ac:dyDescent="0.25">
      <c r="A227" s="1" t="s">
        <v>7</v>
      </c>
      <c r="B227" s="1"/>
      <c r="M227" s="1" t="s">
        <v>7</v>
      </c>
      <c r="N227" s="1"/>
    </row>
    <row r="228" spans="1:24" ht="21.95" customHeight="1" x14ac:dyDescent="0.25">
      <c r="A228" s="1"/>
      <c r="B228" s="1"/>
      <c r="M228" s="1"/>
      <c r="N228" s="1"/>
    </row>
    <row r="229" spans="1:24" ht="21.95" customHeight="1" x14ac:dyDescent="0.25">
      <c r="A229" s="1" t="s">
        <v>8</v>
      </c>
      <c r="C229" s="9" t="s">
        <v>1</v>
      </c>
      <c r="D229" s="92" t="s">
        <v>553</v>
      </c>
      <c r="E229" s="76"/>
      <c r="F229" s="76"/>
      <c r="G229" s="76"/>
      <c r="H229" s="76"/>
      <c r="M229" s="1" t="s">
        <v>8</v>
      </c>
      <c r="O229" s="9" t="s">
        <v>1</v>
      </c>
      <c r="P229" s="92"/>
      <c r="Q229" s="76"/>
      <c r="R229" s="76"/>
      <c r="S229" s="76"/>
      <c r="T229" s="76"/>
    </row>
    <row r="230" spans="1:24" ht="21.95" customHeight="1" x14ac:dyDescent="0.25">
      <c r="A230" s="1" t="s">
        <v>9</v>
      </c>
      <c r="C230" s="9" t="s">
        <v>1</v>
      </c>
      <c r="D230" s="57" t="s">
        <v>74</v>
      </c>
      <c r="E230" s="76"/>
      <c r="F230" s="76"/>
      <c r="G230" s="76"/>
      <c r="H230" s="76"/>
      <c r="M230" s="1" t="s">
        <v>9</v>
      </c>
      <c r="O230" s="9" t="s">
        <v>1</v>
      </c>
      <c r="P230" s="57"/>
      <c r="Q230" s="76"/>
      <c r="R230" s="76"/>
      <c r="S230" s="76"/>
      <c r="T230" s="76"/>
    </row>
    <row r="231" spans="1:24" ht="21.95" customHeight="1" x14ac:dyDescent="0.2">
      <c r="A231" s="50" t="s">
        <v>10</v>
      </c>
      <c r="B231" s="76"/>
      <c r="C231" s="91" t="s">
        <v>1</v>
      </c>
      <c r="D231" s="50" t="s">
        <v>552</v>
      </c>
      <c r="E231" s="76"/>
      <c r="F231" s="76"/>
      <c r="G231" s="76"/>
      <c r="H231" s="76"/>
      <c r="I231" s="76"/>
      <c r="J231" s="76"/>
      <c r="K231" s="76"/>
      <c r="L231" s="76"/>
      <c r="M231" s="50" t="s">
        <v>10</v>
      </c>
      <c r="N231" s="76"/>
      <c r="O231" s="91" t="s">
        <v>1</v>
      </c>
      <c r="P231" s="50"/>
      <c r="Q231" s="76"/>
      <c r="R231" s="76"/>
      <c r="S231" s="76"/>
      <c r="T231" s="76"/>
      <c r="U231" s="76"/>
      <c r="V231" s="76"/>
      <c r="W231" s="76"/>
      <c r="X231" s="76"/>
    </row>
    <row r="232" spans="1:24" ht="21.95" customHeight="1" x14ac:dyDescent="0.25">
      <c r="A232" s="1"/>
      <c r="B232" s="1"/>
      <c r="D232" s="1"/>
      <c r="M232" s="1"/>
      <c r="N232" s="1"/>
      <c r="P232" s="1"/>
    </row>
    <row r="233" spans="1:24" ht="33" customHeight="1" x14ac:dyDescent="0.2">
      <c r="A233" s="277" t="s">
        <v>548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 t="s">
        <v>544</v>
      </c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</row>
    <row r="234" spans="1:24" ht="21.95" customHeight="1" x14ac:dyDescent="0.25">
      <c r="A234" s="1"/>
      <c r="B234" s="1"/>
      <c r="M234" s="1"/>
      <c r="N234" s="1"/>
    </row>
    <row r="235" spans="1:24" ht="35.25" customHeight="1" thickBot="1" x14ac:dyDescent="0.25">
      <c r="A235" s="10" t="s">
        <v>0</v>
      </c>
      <c r="B235" s="278" t="s">
        <v>91</v>
      </c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10" t="s">
        <v>0</v>
      </c>
      <c r="N235" s="278" t="s">
        <v>91</v>
      </c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</row>
    <row r="236" spans="1:24" ht="21.95" customHeight="1" thickTop="1" x14ac:dyDescent="0.25">
      <c r="A236" s="1"/>
      <c r="B236" s="11" t="s">
        <v>3</v>
      </c>
      <c r="C236" s="12" t="s">
        <v>4</v>
      </c>
      <c r="D236" s="13"/>
      <c r="E236" s="13"/>
      <c r="F236" s="13"/>
      <c r="G236" s="13"/>
      <c r="H236" s="14"/>
      <c r="I236" s="15" t="s">
        <v>5</v>
      </c>
      <c r="J236" s="12" t="s">
        <v>17</v>
      </c>
      <c r="K236" s="13"/>
      <c r="L236" s="14"/>
      <c r="M236" s="1"/>
      <c r="N236" s="11" t="s">
        <v>3</v>
      </c>
      <c r="O236" s="12" t="s">
        <v>4</v>
      </c>
      <c r="P236" s="13"/>
      <c r="Q236" s="13"/>
      <c r="R236" s="13"/>
      <c r="S236" s="13"/>
      <c r="T236" s="14"/>
      <c r="U236" s="15" t="s">
        <v>5</v>
      </c>
      <c r="V236" s="12" t="s">
        <v>17</v>
      </c>
      <c r="W236" s="13"/>
      <c r="X236" s="14"/>
    </row>
    <row r="237" spans="1:24" ht="32.25" customHeight="1" x14ac:dyDescent="0.2">
      <c r="A237" s="50"/>
      <c r="B237" s="143">
        <v>1</v>
      </c>
      <c r="C237" s="284" t="s">
        <v>549</v>
      </c>
      <c r="D237" s="285"/>
      <c r="E237" s="285"/>
      <c r="F237" s="285"/>
      <c r="G237" s="76"/>
      <c r="H237" s="79"/>
      <c r="I237" s="56">
        <v>150000</v>
      </c>
      <c r="J237" s="76" t="s">
        <v>204</v>
      </c>
      <c r="K237" s="76"/>
      <c r="L237" s="79"/>
      <c r="M237" s="50"/>
      <c r="N237" s="143">
        <v>1</v>
      </c>
      <c r="O237" s="287" t="s">
        <v>545</v>
      </c>
      <c r="P237" s="288"/>
      <c r="Q237" s="288"/>
      <c r="R237" s="288"/>
      <c r="S237" s="178">
        <v>150000</v>
      </c>
      <c r="T237" s="179" t="s">
        <v>547</v>
      </c>
      <c r="U237" s="56">
        <f>S237*2</f>
        <v>300000</v>
      </c>
      <c r="V237" s="76" t="s">
        <v>207</v>
      </c>
      <c r="W237" s="76"/>
      <c r="X237" s="79"/>
    </row>
    <row r="238" spans="1:24" ht="21.95" customHeight="1" x14ac:dyDescent="0.2">
      <c r="B238" s="96"/>
      <c r="C238" s="124"/>
      <c r="D238" s="124"/>
      <c r="E238" s="127"/>
      <c r="F238" s="125"/>
      <c r="G238" s="124"/>
      <c r="H238" s="124"/>
      <c r="I238" s="23"/>
      <c r="L238" s="17"/>
      <c r="N238" s="96"/>
      <c r="O238" s="124"/>
      <c r="P238" s="124"/>
      <c r="Q238" s="127"/>
      <c r="R238" s="125"/>
      <c r="S238" s="124"/>
      <c r="T238" s="124"/>
      <c r="U238" s="23"/>
      <c r="X238" s="17"/>
    </row>
    <row r="239" spans="1:24" ht="21.95" customHeight="1" x14ac:dyDescent="0.25">
      <c r="A239" s="1"/>
      <c r="B239" s="39"/>
      <c r="C239" s="1"/>
      <c r="D239" s="1"/>
      <c r="E239" s="1"/>
      <c r="F239" s="40" t="s">
        <v>5</v>
      </c>
      <c r="G239" s="40"/>
      <c r="H239" s="1"/>
      <c r="I239" s="41">
        <f>I237</f>
        <v>150000</v>
      </c>
      <c r="J239" s="1"/>
      <c r="K239" s="1"/>
      <c r="L239" s="42"/>
      <c r="M239" s="1"/>
      <c r="N239" s="39"/>
      <c r="O239" s="1"/>
      <c r="P239" s="1"/>
      <c r="Q239" s="1"/>
      <c r="R239" s="40" t="s">
        <v>5</v>
      </c>
      <c r="S239" s="40"/>
      <c r="T239" s="1"/>
      <c r="U239" s="41">
        <f>U237</f>
        <v>300000</v>
      </c>
      <c r="V239" s="1"/>
      <c r="W239" s="1"/>
      <c r="X239" s="42"/>
    </row>
    <row r="240" spans="1:24" ht="21.95" customHeight="1" thickBot="1" x14ac:dyDescent="0.3">
      <c r="A240" s="1"/>
      <c r="B240" s="43"/>
      <c r="C240" s="44"/>
      <c r="D240" s="44"/>
      <c r="E240" s="44"/>
      <c r="F240" s="45"/>
      <c r="G240" s="45"/>
      <c r="H240" s="44"/>
      <c r="I240" s="46"/>
      <c r="J240" s="44"/>
      <c r="K240" s="44"/>
      <c r="L240" s="47"/>
      <c r="M240" s="1"/>
      <c r="N240" s="43"/>
      <c r="O240" s="44"/>
      <c r="P240" s="44"/>
      <c r="Q240" s="44"/>
      <c r="R240" s="45"/>
      <c r="S240" s="45"/>
      <c r="T240" s="44"/>
      <c r="U240" s="46"/>
      <c r="V240" s="44"/>
      <c r="W240" s="44"/>
      <c r="X240" s="47"/>
    </row>
    <row r="241" spans="1:24" ht="21.95" customHeight="1" thickTop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48" customHeight="1" x14ac:dyDescent="0.2">
      <c r="A242" s="10" t="s">
        <v>2</v>
      </c>
      <c r="B242" s="279" t="s">
        <v>11</v>
      </c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10" t="s">
        <v>2</v>
      </c>
      <c r="N242" s="279" t="s">
        <v>11</v>
      </c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</row>
    <row r="243" spans="1:24" ht="21.9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.95" customHeight="1" x14ac:dyDescent="0.2">
      <c r="A244" s="280" t="s">
        <v>12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 t="s">
        <v>12</v>
      </c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</row>
    <row r="245" spans="1:24" ht="21.9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.9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.95" customHeight="1" x14ac:dyDescent="0.25">
      <c r="A247" s="1"/>
      <c r="B247" s="1"/>
      <c r="C247" s="1"/>
      <c r="D247" s="1"/>
      <c r="E247" s="1"/>
      <c r="F247" s="1"/>
      <c r="G247" s="1"/>
      <c r="H247" s="4" t="s">
        <v>550</v>
      </c>
      <c r="J247" s="286" t="s">
        <v>551</v>
      </c>
      <c r="K247" s="286"/>
      <c r="L247" s="286"/>
      <c r="M247" s="1"/>
      <c r="N247" s="1"/>
      <c r="O247" s="1"/>
      <c r="P247" s="1"/>
      <c r="Q247" s="1"/>
      <c r="R247" s="1"/>
      <c r="S247" s="1"/>
      <c r="T247" s="4" t="s">
        <v>546</v>
      </c>
      <c r="V247" s="286" t="s">
        <v>534</v>
      </c>
      <c r="W247" s="286"/>
      <c r="X247" s="286"/>
    </row>
    <row r="248" spans="1:24" ht="15" x14ac:dyDescent="0.25">
      <c r="A248" s="1"/>
      <c r="B248" s="1" t="s">
        <v>15</v>
      </c>
      <c r="C248" s="1"/>
      <c r="D248" s="1"/>
      <c r="E248" s="1"/>
      <c r="F248" s="1"/>
      <c r="G248" s="1"/>
      <c r="H248" s="4" t="s">
        <v>13</v>
      </c>
      <c r="M248" s="1"/>
      <c r="N248" s="1" t="s">
        <v>15</v>
      </c>
      <c r="O248" s="1"/>
      <c r="P248" s="1"/>
      <c r="Q248" s="1"/>
      <c r="R248" s="1"/>
      <c r="S248" s="1"/>
      <c r="T248" s="4" t="s">
        <v>13</v>
      </c>
    </row>
    <row r="249" spans="1:24" ht="15" x14ac:dyDescent="0.25">
      <c r="A249" s="1"/>
      <c r="B249" s="1" t="s">
        <v>18</v>
      </c>
      <c r="C249" s="1"/>
      <c r="D249" s="1"/>
      <c r="E249" s="1"/>
      <c r="F249" s="1"/>
      <c r="G249" s="1"/>
      <c r="H249" s="4" t="s">
        <v>14</v>
      </c>
      <c r="M249" s="1"/>
      <c r="N249" s="1" t="s">
        <v>18</v>
      </c>
      <c r="O249" s="1"/>
      <c r="P249" s="1"/>
      <c r="Q249" s="1"/>
      <c r="R249" s="1"/>
      <c r="S249" s="1"/>
      <c r="T249" s="4" t="s">
        <v>14</v>
      </c>
    </row>
    <row r="250" spans="1:24" ht="21.9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.75" hidden="1" customHeight="1" x14ac:dyDescent="0.25">
      <c r="A252" s="1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"/>
      <c r="M252" s="1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"/>
    </row>
    <row r="253" spans="1:24" ht="10.5" customHeight="1" x14ac:dyDescent="0.25">
      <c r="A253" s="1"/>
      <c r="K253" s="103"/>
      <c r="L253" s="1"/>
      <c r="M253" s="1"/>
      <c r="W253" s="103"/>
      <c r="X253" s="1"/>
    </row>
    <row r="254" spans="1:24" ht="21.95" customHeight="1" x14ac:dyDescent="0.25">
      <c r="A254" s="1"/>
      <c r="B254" s="95" t="s">
        <v>77</v>
      </c>
      <c r="H254" s="95" t="str">
        <f>D229</f>
        <v>Subaria</v>
      </c>
      <c r="I254" s="95"/>
      <c r="J254" s="92"/>
      <c r="K254" s="103"/>
      <c r="L254" s="1"/>
      <c r="M254" s="1"/>
      <c r="N254" s="95" t="s">
        <v>77</v>
      </c>
      <c r="T254" s="95"/>
      <c r="U254" s="95"/>
      <c r="V254" s="92"/>
      <c r="W254" s="103"/>
      <c r="X254" s="1"/>
    </row>
    <row r="255" spans="1:24" ht="21.95" customHeight="1" x14ac:dyDescent="0.25">
      <c r="A255" s="1"/>
      <c r="B255" s="99" t="s">
        <v>27</v>
      </c>
      <c r="C255" s="57"/>
      <c r="H255" s="99"/>
      <c r="K255" s="103"/>
      <c r="M255" s="1"/>
      <c r="N255" s="99" t="s">
        <v>27</v>
      </c>
      <c r="O255" s="57"/>
      <c r="T255" s="99"/>
      <c r="W255" s="103"/>
    </row>
    <row r="259" spans="1:12" ht="21.95" customHeight="1" x14ac:dyDescent="0.25">
      <c r="A259" s="3" t="s">
        <v>22</v>
      </c>
    </row>
    <row r="260" spans="1:12" ht="21.95" customHeight="1" x14ac:dyDescent="0.2">
      <c r="A260" s="122" t="s">
        <v>20</v>
      </c>
    </row>
    <row r="261" spans="1:12" ht="21.95" customHeight="1" x14ac:dyDescent="0.2">
      <c r="A261" s="122" t="s">
        <v>21</v>
      </c>
    </row>
    <row r="265" spans="1:12" ht="21.95" customHeight="1" x14ac:dyDescent="0.3">
      <c r="A265" s="276" t="s">
        <v>6</v>
      </c>
      <c r="B265" s="276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</row>
    <row r="266" spans="1:12" ht="21.95" customHeigh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</row>
    <row r="267" spans="1:12" ht="21.95" customHeight="1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</row>
    <row r="268" spans="1:12" ht="21.95" customHeight="1" x14ac:dyDescent="0.25">
      <c r="A268" s="1"/>
      <c r="B268" s="1"/>
    </row>
    <row r="269" spans="1:12" ht="21.95" customHeight="1" x14ac:dyDescent="0.25">
      <c r="A269" s="1" t="s">
        <v>7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21.9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21.95" customHeight="1" x14ac:dyDescent="0.25">
      <c r="A271" s="1" t="s">
        <v>8</v>
      </c>
      <c r="B271" s="1"/>
      <c r="C271" s="9" t="s">
        <v>1</v>
      </c>
      <c r="D271" s="40" t="str">
        <f>[1]Mangrove!$J$30</f>
        <v>Arif Sudarmanto, S.Si.,M.Si</v>
      </c>
      <c r="E271" s="50"/>
      <c r="F271" s="50"/>
      <c r="G271" s="50"/>
      <c r="H271" s="50"/>
      <c r="I271" s="1"/>
      <c r="J271" s="1"/>
      <c r="K271" s="1"/>
      <c r="L271" s="1"/>
    </row>
    <row r="272" spans="1:12" ht="21.95" customHeight="1" x14ac:dyDescent="0.25">
      <c r="A272" s="1" t="s">
        <v>9</v>
      </c>
      <c r="B272" s="1"/>
      <c r="C272" s="9" t="s">
        <v>1</v>
      </c>
      <c r="D272" s="7" t="s">
        <v>600</v>
      </c>
      <c r="E272" s="50"/>
      <c r="F272" s="50"/>
      <c r="G272" s="50"/>
      <c r="H272" s="50"/>
      <c r="I272" s="1"/>
      <c r="J272" s="1"/>
      <c r="K272" s="1"/>
      <c r="L272" s="1"/>
    </row>
    <row r="273" spans="1:12" ht="21.95" customHeight="1" x14ac:dyDescent="0.2">
      <c r="A273" s="50" t="s">
        <v>10</v>
      </c>
      <c r="B273" s="50"/>
      <c r="C273" s="91" t="s">
        <v>1</v>
      </c>
      <c r="D273" s="50" t="s">
        <v>601</v>
      </c>
      <c r="E273" s="50"/>
      <c r="F273" s="50"/>
      <c r="G273" s="50"/>
      <c r="H273" s="50"/>
      <c r="I273" s="50"/>
      <c r="J273" s="50"/>
      <c r="K273" s="50"/>
      <c r="L273" s="50"/>
    </row>
    <row r="274" spans="1:12" ht="21.9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30" customHeight="1" x14ac:dyDescent="0.2">
      <c r="A275" s="280" t="s">
        <v>592</v>
      </c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</row>
    <row r="276" spans="1:12" ht="21.9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21.95" customHeight="1" thickBot="1" x14ac:dyDescent="0.25">
      <c r="A277" s="10" t="s">
        <v>0</v>
      </c>
      <c r="B277" s="278" t="s">
        <v>91</v>
      </c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</row>
    <row r="278" spans="1:12" ht="21.95" customHeight="1" thickTop="1" x14ac:dyDescent="0.25">
      <c r="A278" s="1"/>
      <c r="B278" s="11" t="s">
        <v>3</v>
      </c>
      <c r="C278" s="180" t="s">
        <v>4</v>
      </c>
      <c r="D278" s="181"/>
      <c r="E278" s="181"/>
      <c r="F278" s="181"/>
      <c r="G278" s="181"/>
      <c r="H278" s="182"/>
      <c r="I278" s="11" t="s">
        <v>5</v>
      </c>
      <c r="J278" s="180" t="s">
        <v>17</v>
      </c>
      <c r="K278" s="181"/>
      <c r="L278" s="182"/>
    </row>
    <row r="279" spans="1:12" ht="21.95" customHeight="1" x14ac:dyDescent="0.2">
      <c r="A279" s="50"/>
      <c r="B279" s="143">
        <v>1</v>
      </c>
      <c r="C279" s="281" t="s">
        <v>524</v>
      </c>
      <c r="D279" s="282"/>
      <c r="E279" s="282"/>
      <c r="F279" s="282"/>
      <c r="G279" s="50"/>
      <c r="H279" s="55"/>
      <c r="I279" s="56">
        <v>250000</v>
      </c>
      <c r="J279" s="50"/>
      <c r="K279" s="50"/>
      <c r="L279" s="55"/>
    </row>
    <row r="280" spans="1:12" ht="21.95" customHeight="1" x14ac:dyDescent="0.25">
      <c r="A280" s="1"/>
      <c r="B280" s="96"/>
      <c r="C280" s="124"/>
      <c r="D280" s="124"/>
      <c r="E280" s="127"/>
      <c r="F280" s="125"/>
      <c r="G280" s="124"/>
      <c r="H280" s="124"/>
      <c r="I280" s="183"/>
      <c r="J280" s="1"/>
      <c r="K280" s="1"/>
      <c r="L280" s="42"/>
    </row>
    <row r="281" spans="1:12" ht="21.95" customHeight="1" x14ac:dyDescent="0.25">
      <c r="A281" s="1"/>
      <c r="B281" s="39"/>
      <c r="C281" s="1"/>
      <c r="D281" s="1"/>
      <c r="E281" s="1"/>
      <c r="F281" s="40" t="s">
        <v>5</v>
      </c>
      <c r="G281" s="40"/>
      <c r="H281" s="1"/>
      <c r="I281" s="41">
        <f>I279</f>
        <v>250000</v>
      </c>
      <c r="J281" s="1"/>
      <c r="K281" s="1"/>
      <c r="L281" s="42"/>
    </row>
    <row r="282" spans="1:12" ht="21.95" customHeight="1" thickBot="1" x14ac:dyDescent="0.3">
      <c r="A282" s="1"/>
      <c r="B282" s="43"/>
      <c r="C282" s="44"/>
      <c r="D282" s="44"/>
      <c r="E282" s="44"/>
      <c r="F282" s="45"/>
      <c r="G282" s="45"/>
      <c r="H282" s="44"/>
      <c r="I282" s="46"/>
      <c r="J282" s="44"/>
      <c r="K282" s="44"/>
      <c r="L282" s="47"/>
    </row>
    <row r="283" spans="1:12" ht="21.95" customHeight="1" thickTop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51" customHeight="1" x14ac:dyDescent="0.2">
      <c r="A284" s="10" t="s">
        <v>2</v>
      </c>
      <c r="B284" s="279" t="s">
        <v>11</v>
      </c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</row>
    <row r="285" spans="1:12" ht="21.9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21.95" customHeight="1" x14ac:dyDescent="0.2">
      <c r="A286" s="280" t="s">
        <v>12</v>
      </c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</row>
    <row r="287" spans="1:12" ht="21.9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21.9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21.95" customHeight="1" x14ac:dyDescent="0.25">
      <c r="A289" s="1"/>
      <c r="B289" s="1"/>
      <c r="C289" s="1"/>
      <c r="D289" s="1"/>
      <c r="E289" s="1"/>
      <c r="F289" s="1"/>
      <c r="G289" s="1"/>
      <c r="H289" s="1" t="s">
        <v>593</v>
      </c>
      <c r="I289" s="1"/>
      <c r="J289" s="190"/>
      <c r="K289" s="190"/>
      <c r="L289" s="190"/>
    </row>
    <row r="290" spans="1:12" ht="21.95" customHeight="1" x14ac:dyDescent="0.25">
      <c r="A290" s="1"/>
      <c r="B290" s="1" t="s">
        <v>15</v>
      </c>
      <c r="C290" s="1"/>
      <c r="D290" s="1"/>
      <c r="E290" s="1"/>
      <c r="F290" s="1"/>
      <c r="G290" s="1"/>
      <c r="H290" s="1" t="s">
        <v>13</v>
      </c>
      <c r="I290" s="1"/>
      <c r="J290" s="1"/>
      <c r="K290" s="1"/>
      <c r="L290" s="1"/>
    </row>
    <row r="291" spans="1:12" ht="21.95" customHeight="1" x14ac:dyDescent="0.25">
      <c r="A291" s="1"/>
      <c r="B291" s="1" t="s">
        <v>18</v>
      </c>
      <c r="C291" s="1"/>
      <c r="D291" s="1"/>
      <c r="E291" s="1"/>
      <c r="F291" s="1"/>
      <c r="G291" s="1"/>
      <c r="H291" s="1" t="s">
        <v>14</v>
      </c>
      <c r="I291" s="1"/>
      <c r="J291" s="1"/>
      <c r="K291" s="1"/>
      <c r="L291" s="1"/>
    </row>
    <row r="292" spans="1:12" ht="21.9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21.9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21.95" customHeight="1" x14ac:dyDescent="0.25">
      <c r="A295" s="1"/>
      <c r="B295" s="37" t="s">
        <v>77</v>
      </c>
      <c r="C295" s="1"/>
      <c r="D295" s="1"/>
      <c r="E295" s="1"/>
      <c r="F295" s="1"/>
      <c r="G295" s="1"/>
      <c r="H295" s="37" t="str">
        <f>D271</f>
        <v>Arif Sudarmanto, S.Si.,M.Si</v>
      </c>
      <c r="I295" s="37"/>
      <c r="J295" s="40"/>
      <c r="K295" s="1"/>
      <c r="L295" s="1"/>
    </row>
    <row r="296" spans="1:12" ht="21.95" customHeight="1" x14ac:dyDescent="0.25">
      <c r="A296" s="1"/>
      <c r="B296" s="48" t="s">
        <v>27</v>
      </c>
      <c r="C296" s="7"/>
      <c r="D296" s="1"/>
      <c r="E296" s="1"/>
      <c r="F296" s="1"/>
      <c r="G296" s="1"/>
      <c r="H296" s="211" t="s">
        <v>581</v>
      </c>
      <c r="I296" s="1"/>
      <c r="J296" s="1"/>
      <c r="K296" s="1"/>
      <c r="L296" s="1"/>
    </row>
    <row r="300" spans="1:12" ht="21.95" customHeight="1" x14ac:dyDescent="0.25">
      <c r="A300" s="3" t="s">
        <v>22</v>
      </c>
    </row>
    <row r="301" spans="1:12" ht="21.95" customHeight="1" x14ac:dyDescent="0.2">
      <c r="A301" s="122" t="s">
        <v>20</v>
      </c>
    </row>
    <row r="302" spans="1:12" ht="21.95" customHeight="1" x14ac:dyDescent="0.2">
      <c r="A302" s="122" t="s">
        <v>21</v>
      </c>
    </row>
    <row r="306" spans="1:12" ht="21.95" customHeight="1" x14ac:dyDescent="0.3">
      <c r="A306" s="276" t="s">
        <v>6</v>
      </c>
      <c r="B306" s="276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</row>
    <row r="307" spans="1:12" ht="21.95" customHeight="1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 spans="1:12" ht="21.95" customHeight="1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</row>
    <row r="309" spans="1:12" ht="21.95" customHeight="1" x14ac:dyDescent="0.25">
      <c r="A309" s="1"/>
      <c r="B309" s="1"/>
    </row>
    <row r="310" spans="1:12" ht="21.95" customHeight="1" x14ac:dyDescent="0.25">
      <c r="A310" s="1" t="s">
        <v>7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21.9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21.95" customHeight="1" x14ac:dyDescent="0.25">
      <c r="A312" s="1" t="s">
        <v>8</v>
      </c>
      <c r="B312" s="1"/>
      <c r="C312" s="9" t="s">
        <v>1</v>
      </c>
      <c r="D312" s="40" t="str">
        <f>[1]Mangrove!$J$92</f>
        <v>Pratiwi Intan Fibriyarti</v>
      </c>
      <c r="E312" s="50"/>
      <c r="F312" s="50"/>
      <c r="G312" s="50"/>
      <c r="H312" s="50"/>
      <c r="I312" s="1"/>
      <c r="J312" s="1"/>
      <c r="K312" s="1"/>
      <c r="L312" s="1"/>
    </row>
    <row r="313" spans="1:12" ht="21.95" customHeight="1" x14ac:dyDescent="0.25">
      <c r="A313" s="1" t="s">
        <v>9</v>
      </c>
      <c r="B313" s="1"/>
      <c r="C313" s="9" t="s">
        <v>1</v>
      </c>
      <c r="D313" s="7" t="s">
        <v>598</v>
      </c>
      <c r="E313" s="50"/>
      <c r="F313" s="50"/>
      <c r="G313" s="50"/>
      <c r="H313" s="50"/>
      <c r="I313" s="1"/>
      <c r="J313" s="1"/>
      <c r="K313" s="1"/>
      <c r="L313" s="1"/>
    </row>
    <row r="314" spans="1:12" ht="21.95" customHeight="1" x14ac:dyDescent="0.2">
      <c r="A314" s="50" t="s">
        <v>10</v>
      </c>
      <c r="B314" s="50"/>
      <c r="C314" s="91" t="s">
        <v>1</v>
      </c>
      <c r="D314" s="50" t="s">
        <v>599</v>
      </c>
      <c r="E314" s="50"/>
      <c r="F314" s="50"/>
      <c r="G314" s="50"/>
      <c r="H314" s="50"/>
      <c r="I314" s="50"/>
      <c r="J314" s="50"/>
      <c r="K314" s="50"/>
      <c r="L314" s="50"/>
    </row>
    <row r="315" spans="1:12" ht="21.9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30.75" customHeight="1" x14ac:dyDescent="0.2">
      <c r="A316" s="280" t="s">
        <v>592</v>
      </c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</row>
    <row r="317" spans="1:12" ht="21.9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37.5" customHeight="1" thickBot="1" x14ac:dyDescent="0.25">
      <c r="A318" s="10" t="s">
        <v>0</v>
      </c>
      <c r="B318" s="278" t="s">
        <v>91</v>
      </c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</row>
    <row r="319" spans="1:12" ht="21.95" customHeight="1" thickTop="1" x14ac:dyDescent="0.25">
      <c r="A319" s="1"/>
      <c r="B319" s="11" t="s">
        <v>3</v>
      </c>
      <c r="C319" s="180" t="s">
        <v>4</v>
      </c>
      <c r="D319" s="181"/>
      <c r="E319" s="181"/>
      <c r="F319" s="181"/>
      <c r="G319" s="181"/>
      <c r="H319" s="182"/>
      <c r="I319" s="11" t="s">
        <v>5</v>
      </c>
      <c r="J319" s="180" t="s">
        <v>17</v>
      </c>
      <c r="K319" s="181"/>
      <c r="L319" s="182"/>
    </row>
    <row r="320" spans="1:12" ht="21.95" customHeight="1" x14ac:dyDescent="0.2">
      <c r="A320" s="50"/>
      <c r="B320" s="143">
        <v>1</v>
      </c>
      <c r="C320" s="281" t="s">
        <v>524</v>
      </c>
      <c r="D320" s="282"/>
      <c r="E320" s="282"/>
      <c r="F320" s="282"/>
      <c r="G320" s="50"/>
      <c r="H320" s="55"/>
      <c r="I320" s="56">
        <v>250000</v>
      </c>
      <c r="J320" s="50"/>
      <c r="K320" s="50"/>
      <c r="L320" s="55"/>
    </row>
    <row r="321" spans="1:12" ht="21.95" customHeight="1" x14ac:dyDescent="0.25">
      <c r="A321" s="1"/>
      <c r="B321" s="96"/>
      <c r="C321" s="124"/>
      <c r="D321" s="124"/>
      <c r="E321" s="127"/>
      <c r="F321" s="125"/>
      <c r="G321" s="124"/>
      <c r="H321" s="124"/>
      <c r="I321" s="183"/>
      <c r="J321" s="1"/>
      <c r="K321" s="1"/>
      <c r="L321" s="42"/>
    </row>
    <row r="322" spans="1:12" ht="21.95" customHeight="1" x14ac:dyDescent="0.25">
      <c r="A322" s="1"/>
      <c r="B322" s="39"/>
      <c r="C322" s="1"/>
      <c r="D322" s="1"/>
      <c r="E322" s="1"/>
      <c r="F322" s="40" t="s">
        <v>5</v>
      </c>
      <c r="G322" s="40"/>
      <c r="H322" s="1"/>
      <c r="I322" s="41">
        <f>I320</f>
        <v>250000</v>
      </c>
      <c r="J322" s="1"/>
      <c r="K322" s="1"/>
      <c r="L322" s="42"/>
    </row>
    <row r="323" spans="1:12" ht="21.95" customHeight="1" thickBot="1" x14ac:dyDescent="0.3">
      <c r="A323" s="1"/>
      <c r="B323" s="43"/>
      <c r="C323" s="44"/>
      <c r="D323" s="44"/>
      <c r="E323" s="44"/>
      <c r="F323" s="45"/>
      <c r="G323" s="45"/>
      <c r="H323" s="44"/>
      <c r="I323" s="46"/>
      <c r="J323" s="44"/>
      <c r="K323" s="44"/>
      <c r="L323" s="47"/>
    </row>
    <row r="324" spans="1:12" ht="21.95" customHeight="1" thickTop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50.25" customHeight="1" x14ac:dyDescent="0.2">
      <c r="A325" s="10" t="s">
        <v>2</v>
      </c>
      <c r="B325" s="279" t="s">
        <v>11</v>
      </c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</row>
    <row r="326" spans="1:12" ht="21.9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21.95" customHeight="1" x14ac:dyDescent="0.2">
      <c r="A327" s="280" t="s">
        <v>12</v>
      </c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</row>
    <row r="328" spans="1:12" ht="21.9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21.9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21.95" customHeight="1" x14ac:dyDescent="0.25">
      <c r="A330" s="1"/>
      <c r="B330" s="1"/>
      <c r="C330" s="1"/>
      <c r="D330" s="1"/>
      <c r="E330" s="1"/>
      <c r="F330" s="1"/>
      <c r="G330" s="1"/>
      <c r="H330" s="1" t="s">
        <v>593</v>
      </c>
      <c r="I330" s="1"/>
      <c r="J330" s="190"/>
      <c r="K330" s="190"/>
      <c r="L330" s="190"/>
    </row>
    <row r="331" spans="1:12" ht="21.95" customHeight="1" x14ac:dyDescent="0.25">
      <c r="A331" s="1"/>
      <c r="B331" s="1" t="s">
        <v>15</v>
      </c>
      <c r="C331" s="1"/>
      <c r="D331" s="1"/>
      <c r="E331" s="1"/>
      <c r="F331" s="1"/>
      <c r="G331" s="1"/>
      <c r="H331" s="1" t="s">
        <v>13</v>
      </c>
      <c r="I331" s="1"/>
      <c r="J331" s="1"/>
      <c r="K331" s="1"/>
      <c r="L331" s="1"/>
    </row>
    <row r="332" spans="1:12" ht="21.95" customHeight="1" x14ac:dyDescent="0.25">
      <c r="A332" s="1"/>
      <c r="B332" s="1" t="s">
        <v>18</v>
      </c>
      <c r="C332" s="1"/>
      <c r="D332" s="1"/>
      <c r="E332" s="1"/>
      <c r="F332" s="1"/>
      <c r="G332" s="1"/>
      <c r="H332" s="1" t="s">
        <v>14</v>
      </c>
      <c r="I332" s="1"/>
      <c r="J332" s="1"/>
      <c r="K332" s="1"/>
      <c r="L332" s="1"/>
    </row>
    <row r="333" spans="1:12" ht="21.9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21.9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21.9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21.95" customHeight="1" x14ac:dyDescent="0.25">
      <c r="A336" s="1"/>
      <c r="B336" s="37" t="s">
        <v>77</v>
      </c>
      <c r="C336" s="1"/>
      <c r="D336" s="1"/>
      <c r="E336" s="1"/>
      <c r="F336" s="1"/>
      <c r="G336" s="1"/>
      <c r="H336" s="37" t="str">
        <f>D312</f>
        <v>Pratiwi Intan Fibriyarti</v>
      </c>
      <c r="I336" s="37"/>
      <c r="J336" s="40"/>
      <c r="K336" s="1"/>
      <c r="L336" s="1"/>
    </row>
    <row r="337" spans="1:12" ht="21.95" customHeight="1" x14ac:dyDescent="0.25">
      <c r="A337" s="1"/>
      <c r="B337" s="48" t="s">
        <v>27</v>
      </c>
      <c r="C337" s="7"/>
      <c r="D337" s="1"/>
      <c r="E337" s="1"/>
      <c r="F337" s="1"/>
      <c r="G337" s="1"/>
      <c r="H337" s="211" t="s">
        <v>581</v>
      </c>
      <c r="I337" s="1"/>
      <c r="J337" s="1"/>
      <c r="K337" s="1"/>
      <c r="L337" s="1"/>
    </row>
    <row r="340" spans="1:12" ht="21.95" customHeight="1" x14ac:dyDescent="0.25">
      <c r="A340" s="3" t="s">
        <v>22</v>
      </c>
    </row>
    <row r="341" spans="1:12" ht="21.95" customHeight="1" x14ac:dyDescent="0.2">
      <c r="A341" s="122" t="s">
        <v>20</v>
      </c>
    </row>
    <row r="342" spans="1:12" ht="21.95" customHeight="1" x14ac:dyDescent="0.2">
      <c r="A342" s="122" t="s">
        <v>21</v>
      </c>
    </row>
    <row r="346" spans="1:12" ht="21.95" customHeight="1" x14ac:dyDescent="0.3">
      <c r="A346" s="276" t="s">
        <v>6</v>
      </c>
      <c r="B346" s="276"/>
      <c r="C346" s="276"/>
      <c r="D346" s="276"/>
      <c r="E346" s="276"/>
      <c r="F346" s="276"/>
      <c r="G346" s="276"/>
      <c r="H346" s="276"/>
      <c r="I346" s="276"/>
      <c r="J346" s="276"/>
      <c r="K346" s="276"/>
      <c r="L346" s="276"/>
    </row>
    <row r="347" spans="1:12" ht="21.95" customHeight="1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</row>
    <row r="348" spans="1:12" ht="21.95" customHeight="1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</row>
    <row r="349" spans="1:12" ht="21.95" customHeight="1" x14ac:dyDescent="0.25">
      <c r="A349" s="1"/>
      <c r="B349" s="1"/>
    </row>
    <row r="350" spans="1:12" ht="21.95" customHeight="1" x14ac:dyDescent="0.25">
      <c r="A350" s="1" t="s">
        <v>7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21.9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21.95" customHeight="1" x14ac:dyDescent="0.25">
      <c r="A352" s="1" t="s">
        <v>8</v>
      </c>
      <c r="B352" s="1"/>
      <c r="C352" s="9" t="s">
        <v>1</v>
      </c>
      <c r="D352" s="40" t="str">
        <f>[1]Mangrove!$J$154</f>
        <v xml:space="preserve">Muchtar </v>
      </c>
      <c r="E352" s="50"/>
      <c r="F352" s="50"/>
      <c r="G352" s="50"/>
      <c r="H352" s="50"/>
      <c r="I352" s="1"/>
      <c r="J352" s="1"/>
      <c r="K352" s="1"/>
      <c r="L352" s="1"/>
    </row>
    <row r="353" spans="1:12" ht="21.95" customHeight="1" x14ac:dyDescent="0.25">
      <c r="A353" s="1" t="s">
        <v>9</v>
      </c>
      <c r="B353" s="1"/>
      <c r="C353" s="9" t="s">
        <v>1</v>
      </c>
      <c r="D353" s="7" t="s">
        <v>596</v>
      </c>
      <c r="E353" s="50"/>
      <c r="F353" s="50"/>
      <c r="G353" s="50"/>
      <c r="H353" s="50"/>
      <c r="I353" s="1"/>
      <c r="J353" s="1"/>
      <c r="K353" s="1"/>
      <c r="L353" s="1"/>
    </row>
    <row r="354" spans="1:12" ht="21.95" customHeight="1" x14ac:dyDescent="0.2">
      <c r="A354" s="50" t="s">
        <v>10</v>
      </c>
      <c r="B354" s="50"/>
      <c r="C354" s="91" t="s">
        <v>1</v>
      </c>
      <c r="D354" s="50" t="s">
        <v>597</v>
      </c>
      <c r="E354" s="50"/>
      <c r="F354" s="50"/>
      <c r="G354" s="50"/>
      <c r="H354" s="50"/>
      <c r="I354" s="50"/>
      <c r="J354" s="50"/>
      <c r="K354" s="50"/>
      <c r="L354" s="50"/>
    </row>
    <row r="355" spans="1:12" ht="21.9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35.25" customHeight="1" x14ac:dyDescent="0.2">
      <c r="A356" s="280" t="s">
        <v>592</v>
      </c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</row>
    <row r="357" spans="1:12" ht="21.9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33" customHeight="1" thickBot="1" x14ac:dyDescent="0.25">
      <c r="A358" s="10" t="s">
        <v>0</v>
      </c>
      <c r="B358" s="278" t="s">
        <v>91</v>
      </c>
      <c r="C358" s="278"/>
      <c r="D358" s="278"/>
      <c r="E358" s="278"/>
      <c r="F358" s="278"/>
      <c r="G358" s="278"/>
      <c r="H358" s="278"/>
      <c r="I358" s="278"/>
      <c r="J358" s="278"/>
      <c r="K358" s="278"/>
      <c r="L358" s="278"/>
    </row>
    <row r="359" spans="1:12" ht="21.95" customHeight="1" thickTop="1" x14ac:dyDescent="0.25">
      <c r="A359" s="1"/>
      <c r="B359" s="11" t="s">
        <v>3</v>
      </c>
      <c r="C359" s="180" t="s">
        <v>4</v>
      </c>
      <c r="D359" s="181"/>
      <c r="E359" s="181"/>
      <c r="F359" s="181"/>
      <c r="G359" s="181"/>
      <c r="H359" s="182"/>
      <c r="I359" s="11" t="s">
        <v>5</v>
      </c>
      <c r="J359" s="180" t="s">
        <v>17</v>
      </c>
      <c r="K359" s="181"/>
      <c r="L359" s="182"/>
    </row>
    <row r="360" spans="1:12" ht="21.95" customHeight="1" x14ac:dyDescent="0.2">
      <c r="A360" s="50"/>
      <c r="B360" s="143">
        <v>1</v>
      </c>
      <c r="C360" s="281" t="s">
        <v>524</v>
      </c>
      <c r="D360" s="282"/>
      <c r="E360" s="282"/>
      <c r="F360" s="282"/>
      <c r="G360" s="50"/>
      <c r="H360" s="55"/>
      <c r="I360" s="56">
        <v>250000</v>
      </c>
      <c r="J360" s="50"/>
      <c r="K360" s="50"/>
      <c r="L360" s="55"/>
    </row>
    <row r="361" spans="1:12" ht="21.95" customHeight="1" x14ac:dyDescent="0.25">
      <c r="A361" s="1"/>
      <c r="B361" s="96"/>
      <c r="C361" s="124"/>
      <c r="D361" s="124"/>
      <c r="E361" s="127"/>
      <c r="F361" s="125"/>
      <c r="G361" s="124"/>
      <c r="H361" s="124"/>
      <c r="I361" s="183"/>
      <c r="J361" s="1"/>
      <c r="K361" s="1"/>
      <c r="L361" s="42"/>
    </row>
    <row r="362" spans="1:12" ht="21.95" customHeight="1" x14ac:dyDescent="0.25">
      <c r="A362" s="1"/>
      <c r="B362" s="39"/>
      <c r="C362" s="1"/>
      <c r="D362" s="1"/>
      <c r="E362" s="1"/>
      <c r="F362" s="40" t="s">
        <v>5</v>
      </c>
      <c r="G362" s="40"/>
      <c r="H362" s="1"/>
      <c r="I362" s="41">
        <f>I360</f>
        <v>250000</v>
      </c>
      <c r="J362" s="1"/>
      <c r="K362" s="1"/>
      <c r="L362" s="42"/>
    </row>
    <row r="363" spans="1:12" ht="21.95" customHeight="1" thickBot="1" x14ac:dyDescent="0.3">
      <c r="A363" s="1"/>
      <c r="B363" s="43"/>
      <c r="C363" s="44"/>
      <c r="D363" s="44"/>
      <c r="E363" s="44"/>
      <c r="F363" s="45"/>
      <c r="G363" s="45"/>
      <c r="H363" s="44"/>
      <c r="I363" s="46"/>
      <c r="J363" s="44"/>
      <c r="K363" s="44"/>
      <c r="L363" s="47"/>
    </row>
    <row r="364" spans="1:12" ht="21.95" customHeight="1" thickTop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50.25" customHeight="1" x14ac:dyDescent="0.2">
      <c r="A365" s="10" t="s">
        <v>2</v>
      </c>
      <c r="B365" s="279" t="s">
        <v>11</v>
      </c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</row>
    <row r="366" spans="1:12" ht="21.9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21.95" customHeight="1" x14ac:dyDescent="0.2">
      <c r="A367" s="280" t="s">
        <v>12</v>
      </c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</row>
    <row r="368" spans="1:12" ht="21.9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21.9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21.95" customHeight="1" x14ac:dyDescent="0.25">
      <c r="A370" s="1"/>
      <c r="B370" s="1"/>
      <c r="C370" s="1"/>
      <c r="D370" s="1"/>
      <c r="E370" s="1"/>
      <c r="F370" s="1"/>
      <c r="G370" s="1"/>
      <c r="H370" s="1" t="s">
        <v>593</v>
      </c>
      <c r="I370" s="1"/>
      <c r="J370" s="190"/>
      <c r="K370" s="190"/>
      <c r="L370" s="190"/>
    </row>
    <row r="371" spans="1:12" ht="21.95" customHeight="1" x14ac:dyDescent="0.25">
      <c r="A371" s="1"/>
      <c r="B371" s="1" t="s">
        <v>15</v>
      </c>
      <c r="C371" s="1"/>
      <c r="D371" s="1"/>
      <c r="E371" s="1"/>
      <c r="F371" s="1"/>
      <c r="G371" s="1"/>
      <c r="H371" s="1" t="s">
        <v>13</v>
      </c>
      <c r="I371" s="1"/>
      <c r="J371" s="1"/>
      <c r="K371" s="1"/>
      <c r="L371" s="1"/>
    </row>
    <row r="372" spans="1:12" ht="21.95" customHeight="1" x14ac:dyDescent="0.25">
      <c r="A372" s="1"/>
      <c r="B372" s="1" t="s">
        <v>18</v>
      </c>
      <c r="C372" s="1"/>
      <c r="D372" s="1"/>
      <c r="E372" s="1"/>
      <c r="F372" s="1"/>
      <c r="G372" s="1"/>
      <c r="H372" s="1" t="s">
        <v>14</v>
      </c>
      <c r="I372" s="1"/>
      <c r="J372" s="1"/>
      <c r="K372" s="1"/>
      <c r="L372" s="1"/>
    </row>
    <row r="373" spans="1:12" ht="21.9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21.9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21.9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21.95" customHeight="1" x14ac:dyDescent="0.25">
      <c r="A376" s="1"/>
      <c r="B376" s="37" t="s">
        <v>77</v>
      </c>
      <c r="C376" s="1"/>
      <c r="D376" s="1"/>
      <c r="E376" s="1"/>
      <c r="F376" s="1"/>
      <c r="G376" s="1"/>
      <c r="H376" s="37" t="str">
        <f>D352</f>
        <v xml:space="preserve">Muchtar </v>
      </c>
      <c r="I376" s="37"/>
      <c r="J376" s="40"/>
      <c r="K376" s="1"/>
      <c r="L376" s="1"/>
    </row>
    <row r="377" spans="1:12" ht="21.95" customHeight="1" x14ac:dyDescent="0.25">
      <c r="A377" s="1"/>
      <c r="B377" s="48" t="s">
        <v>27</v>
      </c>
      <c r="C377" s="7"/>
      <c r="D377" s="1"/>
      <c r="E377" s="1"/>
      <c r="F377" s="1"/>
      <c r="G377" s="1"/>
      <c r="H377" s="211" t="s">
        <v>581</v>
      </c>
      <c r="I377" s="1"/>
      <c r="J377" s="1"/>
      <c r="K377" s="1"/>
      <c r="L377" s="1"/>
    </row>
    <row r="381" spans="1:12" ht="21.95" customHeight="1" x14ac:dyDescent="0.25">
      <c r="A381" s="3" t="s">
        <v>22</v>
      </c>
    </row>
    <row r="382" spans="1:12" ht="21.95" customHeight="1" x14ac:dyDescent="0.2">
      <c r="A382" s="122" t="s">
        <v>20</v>
      </c>
    </row>
    <row r="383" spans="1:12" ht="21.95" customHeight="1" x14ac:dyDescent="0.2">
      <c r="A383" s="122" t="s">
        <v>21</v>
      </c>
    </row>
    <row r="387" spans="1:12" ht="21.95" customHeight="1" x14ac:dyDescent="0.3">
      <c r="A387" s="276" t="s">
        <v>6</v>
      </c>
      <c r="B387" s="276"/>
      <c r="C387" s="276"/>
      <c r="D387" s="276"/>
      <c r="E387" s="276"/>
      <c r="F387" s="276"/>
      <c r="G387" s="276"/>
      <c r="H387" s="276"/>
      <c r="I387" s="276"/>
      <c r="J387" s="276"/>
      <c r="K387" s="276"/>
      <c r="L387" s="276"/>
    </row>
    <row r="388" spans="1:12" ht="21.95" customHeight="1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</row>
    <row r="389" spans="1:12" ht="21.95" customHeight="1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</row>
    <row r="390" spans="1:12" ht="21.95" customHeight="1" x14ac:dyDescent="0.25">
      <c r="A390" s="1"/>
      <c r="B390" s="1"/>
    </row>
    <row r="391" spans="1:12" ht="21.95" customHeight="1" x14ac:dyDescent="0.25">
      <c r="A391" s="118" t="s">
        <v>7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21.9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21.95" customHeight="1" x14ac:dyDescent="0.25">
      <c r="A393" s="1" t="s">
        <v>8</v>
      </c>
      <c r="B393" s="1"/>
      <c r="C393" s="9" t="s">
        <v>1</v>
      </c>
      <c r="D393" s="40" t="str">
        <f>[1]Mangrove!$J$216</f>
        <v>Sapta Aji Sanjaya</v>
      </c>
      <c r="E393" s="50"/>
      <c r="F393" s="50"/>
      <c r="G393" s="50"/>
      <c r="H393" s="50"/>
      <c r="I393" s="1"/>
      <c r="J393" s="1"/>
      <c r="K393" s="1"/>
      <c r="L393" s="1"/>
    </row>
    <row r="394" spans="1:12" ht="21.95" customHeight="1" x14ac:dyDescent="0.25">
      <c r="A394" s="1" t="s">
        <v>9</v>
      </c>
      <c r="B394" s="1"/>
      <c r="C394" s="9" t="s">
        <v>1</v>
      </c>
      <c r="D394" s="7" t="s">
        <v>594</v>
      </c>
      <c r="E394" s="50"/>
      <c r="F394" s="50"/>
      <c r="G394" s="50"/>
      <c r="H394" s="50"/>
      <c r="I394" s="1"/>
      <c r="J394" s="1"/>
      <c r="K394" s="1"/>
      <c r="L394" s="1"/>
    </row>
    <row r="395" spans="1:12" ht="21.95" customHeight="1" x14ac:dyDescent="0.2">
      <c r="A395" s="50" t="s">
        <v>10</v>
      </c>
      <c r="B395" s="50"/>
      <c r="C395" s="91" t="s">
        <v>1</v>
      </c>
      <c r="D395" s="50" t="s">
        <v>595</v>
      </c>
      <c r="E395" s="50"/>
      <c r="F395" s="50"/>
      <c r="G395" s="50"/>
      <c r="H395" s="50"/>
      <c r="I395" s="50"/>
      <c r="J395" s="50"/>
      <c r="K395" s="50"/>
      <c r="L395" s="50"/>
    </row>
    <row r="396" spans="1:12" ht="21.9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36" customHeight="1" x14ac:dyDescent="0.2">
      <c r="A397" s="280" t="s">
        <v>592</v>
      </c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</row>
    <row r="398" spans="1:12" ht="21.9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36.75" customHeight="1" thickBot="1" x14ac:dyDescent="0.25">
      <c r="A399" s="10" t="s">
        <v>0</v>
      </c>
      <c r="B399" s="278" t="s">
        <v>91</v>
      </c>
      <c r="C399" s="278"/>
      <c r="D399" s="278"/>
      <c r="E399" s="278"/>
      <c r="F399" s="278"/>
      <c r="G399" s="278"/>
      <c r="H399" s="278"/>
      <c r="I399" s="278"/>
      <c r="J399" s="278"/>
      <c r="K399" s="278"/>
      <c r="L399" s="278"/>
    </row>
    <row r="400" spans="1:12" ht="21.95" customHeight="1" thickTop="1" x14ac:dyDescent="0.25">
      <c r="A400" s="1"/>
      <c r="B400" s="11" t="s">
        <v>3</v>
      </c>
      <c r="C400" s="180" t="s">
        <v>4</v>
      </c>
      <c r="D400" s="181"/>
      <c r="E400" s="181"/>
      <c r="F400" s="181"/>
      <c r="G400" s="181"/>
      <c r="H400" s="182"/>
      <c r="I400" s="11" t="s">
        <v>5</v>
      </c>
      <c r="J400" s="180" t="s">
        <v>17</v>
      </c>
      <c r="K400" s="181"/>
      <c r="L400" s="182"/>
    </row>
    <row r="401" spans="1:12" ht="21.95" customHeight="1" x14ac:dyDescent="0.2">
      <c r="A401" s="50"/>
      <c r="B401" s="143">
        <v>1</v>
      </c>
      <c r="C401" s="281" t="s">
        <v>524</v>
      </c>
      <c r="D401" s="282"/>
      <c r="E401" s="282"/>
      <c r="F401" s="282"/>
      <c r="G401" s="50"/>
      <c r="H401" s="55"/>
      <c r="I401" s="56">
        <v>250000</v>
      </c>
      <c r="J401" s="50"/>
      <c r="K401" s="50"/>
      <c r="L401" s="55"/>
    </row>
    <row r="402" spans="1:12" ht="21.95" customHeight="1" x14ac:dyDescent="0.25">
      <c r="A402" s="1"/>
      <c r="B402" s="96"/>
      <c r="C402" s="124"/>
      <c r="D402" s="124"/>
      <c r="E402" s="127"/>
      <c r="F402" s="125"/>
      <c r="G402" s="124"/>
      <c r="H402" s="124"/>
      <c r="I402" s="183"/>
      <c r="J402" s="1"/>
      <c r="K402" s="1"/>
      <c r="L402" s="42"/>
    </row>
    <row r="403" spans="1:12" ht="21.95" customHeight="1" x14ac:dyDescent="0.25">
      <c r="A403" s="1"/>
      <c r="B403" s="39"/>
      <c r="C403" s="1"/>
      <c r="D403" s="1"/>
      <c r="E403" s="1"/>
      <c r="F403" s="40" t="s">
        <v>5</v>
      </c>
      <c r="G403" s="40"/>
      <c r="H403" s="1"/>
      <c r="I403" s="41">
        <f>I401</f>
        <v>250000</v>
      </c>
      <c r="J403" s="1"/>
      <c r="K403" s="1"/>
      <c r="L403" s="42"/>
    </row>
    <row r="404" spans="1:12" ht="21.95" customHeight="1" thickBot="1" x14ac:dyDescent="0.3">
      <c r="A404" s="1"/>
      <c r="B404" s="43"/>
      <c r="C404" s="44"/>
      <c r="D404" s="44"/>
      <c r="E404" s="44"/>
      <c r="F404" s="45"/>
      <c r="G404" s="45"/>
      <c r="H404" s="44"/>
      <c r="I404" s="46"/>
      <c r="J404" s="44"/>
      <c r="K404" s="44"/>
      <c r="L404" s="47"/>
    </row>
    <row r="405" spans="1:12" ht="21.95" customHeight="1" thickTop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46.5" customHeight="1" x14ac:dyDescent="0.2">
      <c r="A406" s="10" t="s">
        <v>2</v>
      </c>
      <c r="B406" s="279" t="s">
        <v>11</v>
      </c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</row>
    <row r="407" spans="1:12" ht="21.9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21.95" customHeight="1" x14ac:dyDescent="0.2">
      <c r="A408" s="280" t="s">
        <v>12</v>
      </c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</row>
    <row r="409" spans="1:12" ht="21.9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21.9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21.95" customHeight="1" x14ac:dyDescent="0.25">
      <c r="A411" s="1"/>
      <c r="B411" s="1"/>
      <c r="C411" s="1"/>
      <c r="D411" s="1"/>
      <c r="E411" s="1"/>
      <c r="F411" s="1"/>
      <c r="G411" s="1"/>
      <c r="H411" s="1" t="s">
        <v>593</v>
      </c>
      <c r="I411" s="1"/>
      <c r="J411" s="190"/>
      <c r="K411" s="190"/>
      <c r="L411" s="190"/>
    </row>
    <row r="412" spans="1:12" ht="21.95" customHeight="1" x14ac:dyDescent="0.25">
      <c r="A412" s="1"/>
      <c r="B412" s="1" t="s">
        <v>15</v>
      </c>
      <c r="C412" s="1"/>
      <c r="D412" s="1"/>
      <c r="E412" s="1"/>
      <c r="F412" s="1"/>
      <c r="G412" s="1"/>
      <c r="H412" s="1" t="s">
        <v>13</v>
      </c>
      <c r="I412" s="1"/>
      <c r="J412" s="1"/>
      <c r="K412" s="1"/>
      <c r="L412" s="1"/>
    </row>
    <row r="413" spans="1:12" ht="21.95" customHeight="1" x14ac:dyDescent="0.25">
      <c r="A413" s="1"/>
      <c r="B413" s="1" t="s">
        <v>18</v>
      </c>
      <c r="C413" s="1"/>
      <c r="D413" s="1"/>
      <c r="E413" s="1"/>
      <c r="F413" s="1"/>
      <c r="G413" s="1"/>
      <c r="H413" s="1" t="s">
        <v>14</v>
      </c>
      <c r="I413" s="1"/>
      <c r="J413" s="1"/>
      <c r="K413" s="1"/>
      <c r="L413" s="1"/>
    </row>
    <row r="414" spans="1:12" ht="21.9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21.9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21.9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21.95" customHeight="1" x14ac:dyDescent="0.25">
      <c r="A417" s="1"/>
      <c r="B417" s="37" t="s">
        <v>77</v>
      </c>
      <c r="C417" s="1"/>
      <c r="D417" s="1"/>
      <c r="E417" s="1"/>
      <c r="F417" s="1"/>
      <c r="G417" s="1"/>
      <c r="H417" s="37" t="str">
        <f>D393</f>
        <v>Sapta Aji Sanjaya</v>
      </c>
      <c r="I417" s="37"/>
      <c r="J417" s="40"/>
      <c r="K417" s="1"/>
      <c r="L417" s="1"/>
    </row>
    <row r="418" spans="1:12" ht="21.95" customHeight="1" x14ac:dyDescent="0.25">
      <c r="A418" s="1"/>
      <c r="B418" s="48" t="s">
        <v>27</v>
      </c>
      <c r="C418" s="7"/>
      <c r="D418" s="1"/>
      <c r="E418" s="1"/>
      <c r="F418" s="1"/>
      <c r="G418" s="1"/>
      <c r="H418" s="211" t="s">
        <v>581</v>
      </c>
      <c r="I418" s="1"/>
      <c r="J418" s="1"/>
      <c r="K418" s="1"/>
      <c r="L418" s="1"/>
    </row>
  </sheetData>
  <mergeCells count="73">
    <mergeCell ref="A408:L408"/>
    <mergeCell ref="A346:L346"/>
    <mergeCell ref="A356:L356"/>
    <mergeCell ref="B358:L358"/>
    <mergeCell ref="C360:F360"/>
    <mergeCell ref="B365:L365"/>
    <mergeCell ref="A367:L367"/>
    <mergeCell ref="A387:L387"/>
    <mergeCell ref="A397:L397"/>
    <mergeCell ref="B399:L399"/>
    <mergeCell ref="C401:F401"/>
    <mergeCell ref="B406:L406"/>
    <mergeCell ref="A327:L327"/>
    <mergeCell ref="A265:L265"/>
    <mergeCell ref="A275:L275"/>
    <mergeCell ref="B277:L277"/>
    <mergeCell ref="C279:F279"/>
    <mergeCell ref="B284:L284"/>
    <mergeCell ref="A286:L286"/>
    <mergeCell ref="A306:L306"/>
    <mergeCell ref="A316:L316"/>
    <mergeCell ref="B318:L318"/>
    <mergeCell ref="C320:F320"/>
    <mergeCell ref="B325:L325"/>
    <mergeCell ref="B242:L242"/>
    <mergeCell ref="N242:X242"/>
    <mergeCell ref="A244:L244"/>
    <mergeCell ref="M244:X244"/>
    <mergeCell ref="J247:L247"/>
    <mergeCell ref="V247:X247"/>
    <mergeCell ref="C237:F237"/>
    <mergeCell ref="O237:R237"/>
    <mergeCell ref="B192:L192"/>
    <mergeCell ref="C194:F194"/>
    <mergeCell ref="B199:L199"/>
    <mergeCell ref="A201:L201"/>
    <mergeCell ref="J204:L204"/>
    <mergeCell ref="A223:L223"/>
    <mergeCell ref="M223:X223"/>
    <mergeCell ref="A233:L233"/>
    <mergeCell ref="M233:X233"/>
    <mergeCell ref="B235:L235"/>
    <mergeCell ref="N235:X235"/>
    <mergeCell ref="A190:L190"/>
    <mergeCell ref="B115:L115"/>
    <mergeCell ref="A117:L117"/>
    <mergeCell ref="J120:L120"/>
    <mergeCell ref="A139:L139"/>
    <mergeCell ref="A149:L149"/>
    <mergeCell ref="B151:L151"/>
    <mergeCell ref="C153:F153"/>
    <mergeCell ref="B158:L158"/>
    <mergeCell ref="A160:L160"/>
    <mergeCell ref="J163:L163"/>
    <mergeCell ref="A180:L180"/>
    <mergeCell ref="C110:F110"/>
    <mergeCell ref="J33:L33"/>
    <mergeCell ref="A52:L52"/>
    <mergeCell ref="A62:L62"/>
    <mergeCell ref="B64:L64"/>
    <mergeCell ref="C66:F66"/>
    <mergeCell ref="B71:L71"/>
    <mergeCell ref="A73:L73"/>
    <mergeCell ref="J76:L76"/>
    <mergeCell ref="A96:L96"/>
    <mergeCell ref="A106:L106"/>
    <mergeCell ref="B108:L108"/>
    <mergeCell ref="A30:L30"/>
    <mergeCell ref="A9:L9"/>
    <mergeCell ref="A19:L19"/>
    <mergeCell ref="B21:L21"/>
    <mergeCell ref="C23:F23"/>
    <mergeCell ref="B28:L28"/>
  </mergeCells>
  <pageMargins left="0.5" right="0.2" top="0.75" bottom="1" header="0.5" footer="0.5"/>
  <pageSetup paperSize="5" scale="90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98"/>
  <sheetViews>
    <sheetView topLeftCell="A3" zoomScale="106" zoomScaleNormal="106" zoomScaleSheetLayoutView="100" workbookViewId="0">
      <selection activeCell="D13" sqref="D13:D15"/>
    </sheetView>
  </sheetViews>
  <sheetFormatPr defaultRowHeight="5.65" customHeight="1" x14ac:dyDescent="0.2"/>
  <cols>
    <col min="1" max="1" width="4" customWidth="1"/>
    <col min="2" max="2" width="7.85546875" customWidth="1"/>
    <col min="3" max="3" width="4.28515625" customWidth="1"/>
    <col min="4" max="4" width="27.85546875" customWidth="1"/>
    <col min="5" max="5" width="7.85546875" customWidth="1"/>
    <col min="6" max="6" width="5.140625" customWidth="1"/>
    <col min="7" max="7" width="0.42578125" customWidth="1"/>
    <col min="8" max="8" width="4.140625" customWidth="1"/>
    <col min="9" max="9" width="13.42578125" customWidth="1"/>
    <col min="10" max="10" width="6.5703125" customWidth="1"/>
    <col min="11" max="11" width="3.85546875" customWidth="1"/>
    <col min="12" max="12" width="4.28515625" customWidth="1"/>
    <col min="14" max="14" width="13.28515625" customWidth="1"/>
    <col min="15" max="15" width="3.7109375" customWidth="1"/>
    <col min="16" max="16" width="10" bestFit="1" customWidth="1"/>
    <col min="17" max="17" width="11" customWidth="1"/>
    <col min="23" max="23" width="12.5703125" bestFit="1" customWidth="1"/>
  </cols>
  <sheetData>
    <row r="1" spans="1:14" ht="15.75" x14ac:dyDescent="0.25">
      <c r="A1" s="84" t="s">
        <v>22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N1" s="25"/>
    </row>
    <row r="2" spans="1:14" ht="15.75" x14ac:dyDescent="0.25">
      <c r="A2" s="84" t="s">
        <v>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N2" s="25"/>
    </row>
    <row r="3" spans="1:14" ht="15.75" x14ac:dyDescent="0.25">
      <c r="A3" s="84" t="s">
        <v>21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N3" s="25"/>
    </row>
    <row r="4" spans="1:14" ht="13.5" customHeight="1" x14ac:dyDescent="0.2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N4" s="25"/>
    </row>
    <row r="5" spans="1:14" ht="15.75" customHeight="1" x14ac:dyDescent="0.2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N5" s="25"/>
    </row>
    <row r="6" spans="1:14" ht="14.25" customHeight="1" x14ac:dyDescent="0.2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N6" s="28"/>
    </row>
    <row r="7" spans="1:14" ht="18.75" x14ac:dyDescent="0.3">
      <c r="A7" s="292" t="s">
        <v>6</v>
      </c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N7" s="28"/>
    </row>
    <row r="8" spans="1:14" ht="13.5" customHeight="1" x14ac:dyDescent="0.3">
      <c r="A8" s="191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N8" s="28"/>
    </row>
    <row r="9" spans="1:14" ht="19.5" customHeight="1" x14ac:dyDescent="0.3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N9" s="28"/>
    </row>
    <row r="10" spans="1:14" ht="20.25" customHeight="1" x14ac:dyDescent="0.25">
      <c r="A10" s="109"/>
      <c r="B10" s="109"/>
      <c r="C10" s="107"/>
      <c r="D10" s="107"/>
      <c r="E10" s="107"/>
      <c r="F10" s="107"/>
      <c r="G10" s="107"/>
      <c r="H10" s="107"/>
      <c r="I10" s="107"/>
      <c r="J10" s="107"/>
      <c r="K10" s="107"/>
      <c r="L10" s="107"/>
    </row>
    <row r="11" spans="1:14" ht="17.25" customHeight="1" x14ac:dyDescent="0.25">
      <c r="A11" s="118" t="s">
        <v>7</v>
      </c>
      <c r="B11" s="118"/>
      <c r="C11" s="85"/>
      <c r="D11" s="107"/>
      <c r="E11" s="107"/>
      <c r="F11" s="107"/>
      <c r="G11" s="107"/>
      <c r="H11" s="107"/>
      <c r="I11" s="107"/>
      <c r="J11" s="107"/>
      <c r="K11" s="107"/>
      <c r="L11" s="107"/>
    </row>
    <row r="12" spans="1:14" ht="12.75" customHeight="1" x14ac:dyDescent="0.25">
      <c r="A12" s="118"/>
      <c r="B12" s="118"/>
      <c r="C12" s="85"/>
      <c r="D12" s="107"/>
      <c r="E12" s="107"/>
      <c r="F12" s="107"/>
      <c r="G12" s="107"/>
      <c r="H12" s="107"/>
      <c r="I12" s="107"/>
      <c r="J12" s="107"/>
      <c r="K12" s="107"/>
      <c r="L12" s="107"/>
    </row>
    <row r="13" spans="1:14" ht="15" x14ac:dyDescent="0.25">
      <c r="A13" s="118" t="s">
        <v>8</v>
      </c>
      <c r="B13" s="85"/>
      <c r="C13" s="192" t="s">
        <v>1</v>
      </c>
      <c r="D13" s="110" t="s">
        <v>575</v>
      </c>
      <c r="E13" s="107"/>
      <c r="F13" s="107"/>
      <c r="G13" s="107"/>
      <c r="H13" s="107"/>
      <c r="I13" s="111"/>
      <c r="J13" s="107"/>
      <c r="K13" s="107"/>
      <c r="L13" s="107"/>
    </row>
    <row r="14" spans="1:14" ht="18" customHeight="1" x14ac:dyDescent="0.25">
      <c r="A14" s="118" t="s">
        <v>9</v>
      </c>
      <c r="B14" s="85"/>
      <c r="C14" s="192" t="s">
        <v>1</v>
      </c>
      <c r="D14" s="112" t="s">
        <v>576</v>
      </c>
      <c r="E14" s="113"/>
      <c r="F14" s="113"/>
      <c r="G14" s="113"/>
      <c r="H14" s="113"/>
      <c r="I14" s="111"/>
      <c r="J14" s="107"/>
      <c r="K14" s="107"/>
      <c r="L14" s="107"/>
    </row>
    <row r="15" spans="1:14" ht="21.75" customHeight="1" x14ac:dyDescent="0.25">
      <c r="A15" s="118" t="s">
        <v>10</v>
      </c>
      <c r="B15" s="85"/>
      <c r="C15" s="192" t="s">
        <v>1</v>
      </c>
      <c r="D15" s="113" t="s">
        <v>585</v>
      </c>
      <c r="E15" s="113"/>
      <c r="F15" s="113"/>
      <c r="G15" s="113"/>
      <c r="H15" s="113"/>
      <c r="I15" s="107"/>
      <c r="J15" s="107"/>
      <c r="K15" s="107"/>
      <c r="L15" s="107"/>
    </row>
    <row r="16" spans="1:14" ht="20.25" customHeight="1" x14ac:dyDescent="0.25">
      <c r="A16" s="118"/>
      <c r="B16" s="118"/>
      <c r="C16" s="85"/>
      <c r="D16" s="109"/>
      <c r="E16" s="107"/>
      <c r="F16" s="107"/>
      <c r="G16" s="107"/>
      <c r="H16" s="107"/>
      <c r="I16" s="107"/>
      <c r="J16" s="107"/>
      <c r="K16" s="107"/>
      <c r="L16" s="107"/>
    </row>
    <row r="17" spans="1:27" ht="39" customHeight="1" x14ac:dyDescent="0.2">
      <c r="A17" s="277" t="s">
        <v>586</v>
      </c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</row>
    <row r="18" spans="1:27" ht="17.25" customHeight="1" x14ac:dyDescent="0.25">
      <c r="A18" s="1"/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27" s="98" customFormat="1" ht="36" customHeight="1" x14ac:dyDescent="0.2">
      <c r="A19" s="193" t="s">
        <v>0</v>
      </c>
      <c r="B19" s="293" t="s">
        <v>91</v>
      </c>
      <c r="C19" s="294"/>
      <c r="D19" s="294"/>
      <c r="E19" s="294"/>
      <c r="F19" s="294"/>
      <c r="G19" s="294"/>
      <c r="H19" s="294"/>
      <c r="I19" s="294"/>
      <c r="J19" s="294"/>
      <c r="K19" s="294"/>
      <c r="L19" s="294"/>
    </row>
    <row r="20" spans="1:27" ht="24" customHeight="1" x14ac:dyDescent="0.25">
      <c r="A20" s="118"/>
      <c r="B20" s="194" t="s">
        <v>3</v>
      </c>
      <c r="C20" s="184" t="s">
        <v>4</v>
      </c>
      <c r="D20" s="85"/>
      <c r="E20" s="85"/>
      <c r="F20" s="85"/>
      <c r="G20" s="85"/>
      <c r="H20" s="85"/>
      <c r="I20" s="184" t="s">
        <v>5</v>
      </c>
      <c r="J20" s="184" t="s">
        <v>17</v>
      </c>
      <c r="K20" s="85"/>
      <c r="L20" s="85"/>
      <c r="M20" s="98"/>
    </row>
    <row r="21" spans="1:27" ht="36" customHeight="1" x14ac:dyDescent="0.2">
      <c r="A21" s="186"/>
      <c r="B21" s="195">
        <v>1</v>
      </c>
      <c r="C21" s="294" t="s">
        <v>583</v>
      </c>
      <c r="D21" s="294"/>
      <c r="E21" s="295"/>
      <c r="F21" s="295"/>
      <c r="G21" s="196"/>
      <c r="H21" s="197"/>
      <c r="I21" s="198">
        <v>150000</v>
      </c>
      <c r="J21" s="197"/>
      <c r="K21" s="197"/>
      <c r="L21" s="197"/>
      <c r="M21" s="98"/>
    </row>
    <row r="22" spans="1:27" s="1" customFormat="1" ht="15.75" customHeight="1" x14ac:dyDescent="0.25">
      <c r="A22" s="186"/>
      <c r="B22" s="199"/>
      <c r="C22" s="197"/>
      <c r="D22" s="197"/>
      <c r="E22" s="197"/>
      <c r="F22" s="197"/>
      <c r="G22" s="200"/>
      <c r="H22" s="197"/>
      <c r="I22" s="198"/>
      <c r="J22" s="186"/>
      <c r="K22" s="186"/>
      <c r="L22" s="186"/>
      <c r="M22" s="98"/>
      <c r="N22"/>
      <c r="AA22"/>
    </row>
    <row r="23" spans="1:27" ht="15.75" customHeight="1" x14ac:dyDescent="0.2">
      <c r="A23" s="85"/>
      <c r="B23" s="185"/>
      <c r="C23" s="186"/>
      <c r="D23" s="186"/>
      <c r="E23" s="186"/>
      <c r="F23" s="186"/>
      <c r="G23" s="186"/>
      <c r="H23" s="186"/>
      <c r="I23" s="201"/>
      <c r="J23" s="85"/>
      <c r="K23" s="85"/>
      <c r="L23" s="85"/>
      <c r="M23" s="98"/>
    </row>
    <row r="24" spans="1:27" ht="12.75" x14ac:dyDescent="0.2">
      <c r="A24" s="85"/>
      <c r="B24" s="185"/>
      <c r="C24" s="85"/>
      <c r="D24" s="85"/>
      <c r="E24" s="85"/>
      <c r="F24" s="85"/>
      <c r="G24" s="85"/>
      <c r="H24" s="85"/>
      <c r="I24" s="201"/>
      <c r="J24" s="85"/>
      <c r="K24" s="85"/>
      <c r="L24" s="85"/>
      <c r="M24" s="98"/>
    </row>
    <row r="25" spans="1:27" ht="12.75" x14ac:dyDescent="0.2">
      <c r="A25" s="85"/>
      <c r="B25" s="185"/>
      <c r="C25" s="85"/>
      <c r="D25" s="85"/>
      <c r="E25" s="85"/>
      <c r="F25" s="85"/>
      <c r="G25" s="85"/>
      <c r="H25" s="85"/>
      <c r="I25" s="201"/>
      <c r="J25" s="85"/>
      <c r="K25" s="85"/>
      <c r="L25" s="85"/>
      <c r="M25" s="98"/>
    </row>
    <row r="26" spans="1:27" ht="19.5" customHeight="1" x14ac:dyDescent="0.25">
      <c r="A26" s="118"/>
      <c r="B26" s="202"/>
      <c r="C26" s="118"/>
      <c r="D26" s="118"/>
      <c r="E26" s="118"/>
      <c r="F26" s="194" t="s">
        <v>5</v>
      </c>
      <c r="G26" s="194"/>
      <c r="H26" s="118"/>
      <c r="I26" s="203">
        <v>150000</v>
      </c>
      <c r="J26" s="118"/>
      <c r="K26" s="118"/>
      <c r="L26" s="118"/>
      <c r="M26" s="98"/>
    </row>
    <row r="27" spans="1:27" ht="15" customHeight="1" x14ac:dyDescent="0.25">
      <c r="A27" s="118"/>
      <c r="B27" s="202"/>
      <c r="C27" s="118"/>
      <c r="D27" s="118"/>
      <c r="E27" s="118"/>
      <c r="F27" s="194"/>
      <c r="G27" s="194"/>
      <c r="H27" s="118"/>
      <c r="I27" s="204"/>
      <c r="J27" s="118"/>
      <c r="K27" s="118"/>
      <c r="L27" s="118"/>
      <c r="M27" s="98"/>
    </row>
    <row r="28" spans="1:27" ht="13.5" customHeight="1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98"/>
    </row>
    <row r="29" spans="1:27" ht="47.25" customHeight="1" x14ac:dyDescent="0.2">
      <c r="A29" s="193" t="s">
        <v>2</v>
      </c>
      <c r="B29" s="296" t="s">
        <v>11</v>
      </c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98"/>
    </row>
    <row r="30" spans="1:27" ht="25.5" customHeight="1" x14ac:dyDescent="0.2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98"/>
    </row>
    <row r="31" spans="1:27" ht="27.75" customHeight="1" x14ac:dyDescent="0.2">
      <c r="A31" s="293" t="s">
        <v>12</v>
      </c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98"/>
    </row>
    <row r="32" spans="1:27" ht="24" customHeight="1" x14ac:dyDescent="0.25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98"/>
    </row>
    <row r="33" spans="1:13" ht="10.5" customHeight="1" x14ac:dyDescent="0.25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98"/>
    </row>
    <row r="34" spans="1:13" ht="19.5" customHeight="1" x14ac:dyDescent="0.25">
      <c r="A34" s="118"/>
      <c r="B34" s="118"/>
      <c r="C34" s="118"/>
      <c r="D34" s="118"/>
      <c r="E34" s="118"/>
      <c r="F34" s="118"/>
      <c r="G34" s="118"/>
      <c r="H34" s="118" t="s">
        <v>206</v>
      </c>
      <c r="I34" s="118"/>
      <c r="J34" s="290" t="s">
        <v>582</v>
      </c>
      <c r="K34" s="291"/>
      <c r="L34" s="291"/>
      <c r="M34" s="98"/>
    </row>
    <row r="35" spans="1:13" ht="15" x14ac:dyDescent="0.25">
      <c r="A35" s="118"/>
      <c r="B35" s="118" t="s">
        <v>15</v>
      </c>
      <c r="C35" s="118"/>
      <c r="D35" s="118"/>
      <c r="E35" s="118"/>
      <c r="F35" s="118"/>
      <c r="G35" s="118"/>
      <c r="H35" s="118" t="s">
        <v>13</v>
      </c>
      <c r="I35" s="118"/>
      <c r="J35" s="118"/>
      <c r="K35" s="118"/>
      <c r="L35" s="118"/>
      <c r="M35" s="98"/>
    </row>
    <row r="36" spans="1:13" ht="15" x14ac:dyDescent="0.25">
      <c r="A36" s="118"/>
      <c r="B36" s="118" t="s">
        <v>18</v>
      </c>
      <c r="C36" s="118"/>
      <c r="D36" s="118"/>
      <c r="E36" s="118"/>
      <c r="F36" s="118"/>
      <c r="G36" s="118"/>
      <c r="H36" s="118" t="s">
        <v>14</v>
      </c>
      <c r="I36" s="118"/>
      <c r="J36" s="118"/>
      <c r="K36" s="118"/>
      <c r="L36" s="118"/>
      <c r="M36" s="98"/>
    </row>
    <row r="37" spans="1:13" ht="15" x14ac:dyDescent="0.25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98"/>
    </row>
    <row r="38" spans="1:13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98"/>
    </row>
    <row r="39" spans="1:13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98"/>
    </row>
    <row r="40" spans="1:13" ht="21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98"/>
    </row>
    <row r="41" spans="1:13" ht="15" x14ac:dyDescent="0.25">
      <c r="A41" s="1"/>
      <c r="B41" s="205" t="s">
        <v>77</v>
      </c>
      <c r="C41" s="103"/>
      <c r="D41" s="103"/>
      <c r="E41" s="103"/>
      <c r="F41" s="103"/>
      <c r="G41" s="103"/>
      <c r="H41" s="289" t="str">
        <f>D13</f>
        <v>Sittah</v>
      </c>
      <c r="I41" s="289"/>
      <c r="J41" s="102"/>
      <c r="K41" s="103"/>
      <c r="L41" s="1"/>
      <c r="M41" s="98"/>
    </row>
    <row r="42" spans="1:13" ht="15" x14ac:dyDescent="0.25">
      <c r="A42" s="1"/>
      <c r="B42" s="206" t="s">
        <v>27</v>
      </c>
      <c r="C42" s="106"/>
      <c r="D42" s="103"/>
      <c r="E42" s="103"/>
      <c r="F42" s="103"/>
      <c r="G42" s="103"/>
      <c r="H42" s="104"/>
      <c r="I42" s="103"/>
      <c r="J42" s="105"/>
      <c r="K42" s="105"/>
      <c r="M42" s="98"/>
    </row>
    <row r="43" spans="1:13" ht="15" x14ac:dyDescent="0.25">
      <c r="A43" s="109"/>
      <c r="B43" s="114"/>
      <c r="C43" s="112"/>
      <c r="D43" s="109"/>
      <c r="E43" s="109"/>
      <c r="F43" s="109"/>
      <c r="G43" s="109"/>
      <c r="H43" s="109"/>
      <c r="I43" s="109"/>
      <c r="J43" s="111"/>
      <c r="K43" s="111"/>
      <c r="L43" s="111"/>
      <c r="M43" s="98"/>
    </row>
    <row r="44" spans="1:13" ht="15" x14ac:dyDescent="0.25">
      <c r="A44" s="111"/>
      <c r="B44" s="111"/>
      <c r="C44" s="111"/>
      <c r="D44" s="115"/>
      <c r="E44" s="116"/>
      <c r="F44" s="111"/>
      <c r="G44" s="111"/>
      <c r="H44" s="109"/>
      <c r="I44" s="116"/>
      <c r="J44" s="111"/>
      <c r="K44" s="111"/>
      <c r="L44" s="111"/>
      <c r="M44" s="98"/>
    </row>
    <row r="45" spans="1:13" ht="12.75" x14ac:dyDescent="0.2">
      <c r="A45" s="111"/>
      <c r="B45" s="111"/>
      <c r="C45" s="111"/>
      <c r="D45" s="115"/>
      <c r="E45" s="116"/>
      <c r="F45" s="111"/>
      <c r="G45" s="111"/>
      <c r="H45" s="115"/>
      <c r="I45" s="116"/>
      <c r="J45" s="111"/>
      <c r="K45" s="111"/>
      <c r="L45" s="111"/>
    </row>
    <row r="46" spans="1:13" ht="12.75" x14ac:dyDescent="0.2">
      <c r="A46" s="71"/>
      <c r="D46" s="29"/>
      <c r="E46" s="34"/>
      <c r="H46" s="29"/>
      <c r="I46" s="34"/>
    </row>
    <row r="47" spans="1:13" ht="12.75" x14ac:dyDescent="0.2"/>
    <row r="48" spans="1:13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9.75" customHeight="1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4.25" customHeight="1" x14ac:dyDescent="0.2"/>
    <row r="62" ht="14.25" customHeight="1" x14ac:dyDescent="0.2"/>
    <row r="63" ht="51.75" customHeight="1" x14ac:dyDescent="0.2"/>
    <row r="64" ht="9.75" customHeight="1" x14ac:dyDescent="0.2"/>
    <row r="65" ht="36" customHeight="1" x14ac:dyDescent="0.2"/>
    <row r="66" ht="21" customHeight="1" x14ac:dyDescent="0.2"/>
    <row r="67" ht="18" customHeight="1" x14ac:dyDescent="0.2"/>
    <row r="68" ht="12.75" x14ac:dyDescent="0.2"/>
    <row r="69" ht="15.75" customHeight="1" x14ac:dyDescent="0.2"/>
    <row r="70" ht="9" customHeight="1" x14ac:dyDescent="0.2"/>
    <row r="71" ht="12.75" x14ac:dyDescent="0.2"/>
    <row r="72" ht="12.75" x14ac:dyDescent="0.2"/>
    <row r="73" ht="12.75" x14ac:dyDescent="0.2"/>
    <row r="74" ht="12.75" x14ac:dyDescent="0.2"/>
    <row r="75" ht="16.5" customHeight="1" x14ac:dyDescent="0.2"/>
    <row r="76" ht="12" customHeight="1" x14ac:dyDescent="0.2"/>
    <row r="77" ht="45" customHeight="1" x14ac:dyDescent="0.2"/>
    <row r="78" ht="12.75" x14ac:dyDescent="0.2"/>
    <row r="79" ht="29.25" customHeight="1" x14ac:dyDescent="0.2"/>
    <row r="80" ht="15" customHeight="1" x14ac:dyDescent="0.2"/>
    <row r="81" ht="12.75" x14ac:dyDescent="0.2"/>
    <row r="82" ht="15" customHeight="1" x14ac:dyDescent="0.2"/>
    <row r="83" ht="12.75" x14ac:dyDescent="0.2"/>
    <row r="84" ht="12.75" x14ac:dyDescent="0.2"/>
    <row r="85" ht="12" customHeight="1" x14ac:dyDescent="0.2"/>
    <row r="86" ht="12.75" customHeight="1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23.25" customHeight="1" x14ac:dyDescent="0.2"/>
    <row r="113" ht="46.5" customHeight="1" x14ac:dyDescent="0.2"/>
    <row r="114" ht="14.25" customHeight="1" x14ac:dyDescent="0.2"/>
    <row r="115" ht="37.5" customHeight="1" x14ac:dyDescent="0.2"/>
    <row r="116" ht="19.5" customHeight="1" x14ac:dyDescent="0.2"/>
    <row r="117" ht="24" customHeight="1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customHeight="1" x14ac:dyDescent="0.2"/>
    <row r="126" ht="20.25" customHeight="1" x14ac:dyDescent="0.2"/>
    <row r="127" ht="46.5" customHeight="1" x14ac:dyDescent="0.2"/>
    <row r="128" ht="18.75" customHeight="1" x14ac:dyDescent="0.2"/>
    <row r="129" ht="20.25" customHeight="1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spans="1:3" ht="12.75" x14ac:dyDescent="0.2"/>
    <row r="146" spans="1:3" ht="12.75" x14ac:dyDescent="0.2"/>
    <row r="147" spans="1:3" ht="12.75" x14ac:dyDescent="0.2"/>
    <row r="148" spans="1:3" ht="12.75" x14ac:dyDescent="0.2"/>
    <row r="149" spans="1:3" ht="12.75" x14ac:dyDescent="0.2"/>
    <row r="150" spans="1:3" ht="13.5" customHeight="1" x14ac:dyDescent="0.2"/>
    <row r="151" spans="1:3" ht="12.75" x14ac:dyDescent="0.2"/>
    <row r="152" spans="1:3" ht="12.75" x14ac:dyDescent="0.2"/>
    <row r="153" spans="1:3" ht="12.75" x14ac:dyDescent="0.2"/>
    <row r="154" spans="1:3" ht="12.75" x14ac:dyDescent="0.2">
      <c r="A154" s="51"/>
      <c r="B154" s="51"/>
    </row>
    <row r="155" spans="1:3" ht="12.75" x14ac:dyDescent="0.2"/>
    <row r="156" spans="1:3" ht="12.75" x14ac:dyDescent="0.2"/>
    <row r="157" spans="1:3" ht="14.25" customHeight="1" x14ac:dyDescent="0.2">
      <c r="C157" s="51"/>
    </row>
    <row r="158" spans="1:3" ht="17.25" customHeight="1" x14ac:dyDescent="0.2"/>
    <row r="159" spans="1:3" ht="15.75" customHeight="1" x14ac:dyDescent="0.2"/>
    <row r="160" spans="1:3" ht="12.75" x14ac:dyDescent="0.2"/>
    <row r="161" ht="15" customHeight="1" x14ac:dyDescent="0.2"/>
    <row r="162" ht="12.75" customHeight="1" x14ac:dyDescent="0.2"/>
    <row r="163" ht="11.25" customHeight="1" x14ac:dyDescent="0.2"/>
    <row r="164" ht="38.25" customHeight="1" x14ac:dyDescent="0.2"/>
    <row r="165" ht="11.25" customHeight="1" x14ac:dyDescent="0.2"/>
    <row r="166" ht="35.25" customHeight="1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25.5" customHeight="1" x14ac:dyDescent="0.2"/>
    <row r="173" ht="20.25" customHeight="1" x14ac:dyDescent="0.2"/>
    <row r="174" ht="15.75" customHeight="1" x14ac:dyDescent="0.2"/>
    <row r="175" ht="19.5" customHeight="1" x14ac:dyDescent="0.2"/>
    <row r="176" ht="9.75" customHeight="1" x14ac:dyDescent="0.2"/>
    <row r="177" spans="1:3" ht="16.5" customHeight="1" x14ac:dyDescent="0.2"/>
    <row r="178" spans="1:3" ht="54.75" customHeight="1" x14ac:dyDescent="0.2"/>
    <row r="179" spans="1:3" ht="12.75" x14ac:dyDescent="0.2"/>
    <row r="180" spans="1:3" ht="15" customHeight="1" x14ac:dyDescent="0.2"/>
    <row r="181" spans="1:3" ht="12.75" customHeight="1" x14ac:dyDescent="0.2"/>
    <row r="182" spans="1:3" ht="14.25" customHeight="1" x14ac:dyDescent="0.2"/>
    <row r="183" spans="1:3" ht="12.75" x14ac:dyDescent="0.2"/>
    <row r="184" spans="1:3" ht="12.75" x14ac:dyDescent="0.2"/>
    <row r="185" spans="1:3" ht="12.75" x14ac:dyDescent="0.2"/>
    <row r="186" spans="1:3" ht="18.75" customHeight="1" x14ac:dyDescent="0.2"/>
    <row r="187" spans="1:3" ht="12.75" x14ac:dyDescent="0.2"/>
    <row r="188" spans="1:3" ht="12.75" x14ac:dyDescent="0.2"/>
    <row r="189" spans="1:3" ht="12.75" x14ac:dyDescent="0.2"/>
    <row r="190" spans="1:3" ht="12.75" x14ac:dyDescent="0.2"/>
    <row r="191" spans="1:3" s="51" customFormat="1" ht="12.75" x14ac:dyDescent="0.2">
      <c r="A191"/>
      <c r="B191"/>
      <c r="C191"/>
    </row>
    <row r="192" spans="1:3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5" customHeight="1" x14ac:dyDescent="0.2"/>
    <row r="201" ht="12.75" x14ac:dyDescent="0.2"/>
    <row r="202" ht="12.75" x14ac:dyDescent="0.2"/>
    <row r="203" ht="12.75" x14ac:dyDescent="0.2"/>
    <row r="204" ht="16.5" customHeight="1" x14ac:dyDescent="0.2"/>
    <row r="205" ht="15.75" customHeight="1" x14ac:dyDescent="0.2"/>
    <row r="206" ht="18" customHeight="1" x14ac:dyDescent="0.2"/>
    <row r="207" ht="12.75" x14ac:dyDescent="0.2"/>
    <row r="208" ht="15" customHeight="1" x14ac:dyDescent="0.2"/>
    <row r="209" spans="1:3" ht="19.5" customHeight="1" x14ac:dyDescent="0.2"/>
    <row r="210" spans="1:3" ht="15.75" customHeight="1" x14ac:dyDescent="0.2">
      <c r="A210" s="32"/>
      <c r="B210" s="32"/>
    </row>
    <row r="211" spans="1:3" ht="24" customHeight="1" x14ac:dyDescent="0.2"/>
    <row r="212" spans="1:3" ht="17.25" customHeight="1" x14ac:dyDescent="0.2"/>
    <row r="213" spans="1:3" ht="45.75" customHeight="1" x14ac:dyDescent="0.2">
      <c r="C213" s="32"/>
    </row>
    <row r="214" spans="1:3" ht="18.75" customHeight="1" x14ac:dyDescent="0.2"/>
    <row r="215" spans="1:3" ht="35.25" customHeight="1" x14ac:dyDescent="0.2"/>
    <row r="216" spans="1:3" ht="12.75" x14ac:dyDescent="0.2"/>
    <row r="217" spans="1:3" ht="12.75" x14ac:dyDescent="0.2"/>
    <row r="218" spans="1:3" ht="12.75" x14ac:dyDescent="0.2"/>
    <row r="219" spans="1:3" ht="18" customHeight="1" x14ac:dyDescent="0.2"/>
    <row r="220" spans="1:3" ht="12.75" x14ac:dyDescent="0.2"/>
    <row r="221" spans="1:3" ht="15" customHeight="1" x14ac:dyDescent="0.2"/>
    <row r="222" spans="1:3" ht="26.25" hidden="1" customHeight="1" x14ac:dyDescent="0.2"/>
    <row r="223" spans="1:3" ht="12.75" customHeight="1" x14ac:dyDescent="0.2"/>
    <row r="224" spans="1:3" ht="22.5" customHeight="1" x14ac:dyDescent="0.2"/>
    <row r="225" ht="12.75" x14ac:dyDescent="0.2"/>
    <row r="226" ht="12.75" x14ac:dyDescent="0.2"/>
    <row r="227" ht="51.75" customHeight="1" x14ac:dyDescent="0.2"/>
    <row r="228" ht="12.75" x14ac:dyDescent="0.2"/>
    <row r="229" ht="32.25" customHeight="1" x14ac:dyDescent="0.2"/>
    <row r="230" ht="12.75" x14ac:dyDescent="0.2"/>
    <row r="231" ht="12.75" x14ac:dyDescent="0.2"/>
    <row r="232" ht="16.5" customHeight="1" x14ac:dyDescent="0.2"/>
    <row r="233" ht="15.75" customHeight="1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spans="1:3" ht="12.75" x14ac:dyDescent="0.2"/>
    <row r="242" spans="1:3" ht="12.75" x14ac:dyDescent="0.2"/>
    <row r="243" spans="1:3" ht="12.75" x14ac:dyDescent="0.2"/>
    <row r="244" spans="1:3" ht="12.75" x14ac:dyDescent="0.2"/>
    <row r="245" spans="1:3" ht="12.75" x14ac:dyDescent="0.2"/>
    <row r="246" spans="1:3" ht="12.75" x14ac:dyDescent="0.2"/>
    <row r="247" spans="1:3" s="32" customFormat="1" ht="14.25" customHeight="1" x14ac:dyDescent="0.2">
      <c r="A247"/>
      <c r="B247"/>
      <c r="C247"/>
    </row>
    <row r="248" spans="1:3" ht="12.75" x14ac:dyDescent="0.2"/>
    <row r="249" spans="1:3" ht="12.75" x14ac:dyDescent="0.2"/>
    <row r="250" spans="1:3" ht="12.75" x14ac:dyDescent="0.2"/>
    <row r="251" spans="1:3" ht="19.5" customHeight="1" x14ac:dyDescent="0.2"/>
    <row r="252" spans="1:3" ht="12.75" x14ac:dyDescent="0.2"/>
    <row r="253" spans="1:3" ht="15.75" customHeight="1" x14ac:dyDescent="0.2"/>
    <row r="254" spans="1:3" ht="12.75" customHeight="1" x14ac:dyDescent="0.2"/>
    <row r="255" spans="1:3" ht="39" customHeight="1" x14ac:dyDescent="0.2"/>
    <row r="256" spans="1:3" ht="15.75" customHeight="1" x14ac:dyDescent="0.2"/>
    <row r="257" spans="1:2" ht="12.75" customHeight="1" x14ac:dyDescent="0.2"/>
    <row r="258" spans="1:2" ht="12.75" x14ac:dyDescent="0.2"/>
    <row r="259" spans="1:2" ht="18.75" customHeight="1" x14ac:dyDescent="0.2"/>
    <row r="260" spans="1:2" ht="18.75" customHeight="1" x14ac:dyDescent="0.2"/>
    <row r="261" spans="1:2" ht="12.75" x14ac:dyDescent="0.2"/>
    <row r="262" spans="1:2" ht="39" customHeight="1" x14ac:dyDescent="0.2"/>
    <row r="263" spans="1:2" ht="12.75" x14ac:dyDescent="0.2"/>
    <row r="264" spans="1:2" ht="48.75" customHeight="1" x14ac:dyDescent="0.2"/>
    <row r="265" spans="1:2" ht="12.75" x14ac:dyDescent="0.2"/>
    <row r="266" spans="1:2" ht="15" customHeight="1" x14ac:dyDescent="0.2"/>
    <row r="267" spans="1:2" ht="15" customHeight="1" x14ac:dyDescent="0.2"/>
    <row r="268" spans="1:2" ht="50.25" customHeight="1" x14ac:dyDescent="0.2"/>
    <row r="269" spans="1:2" ht="16.5" customHeight="1" x14ac:dyDescent="0.2"/>
    <row r="270" spans="1:2" ht="15" customHeight="1" x14ac:dyDescent="0.2">
      <c r="A270" s="74"/>
      <c r="B270" s="74"/>
    </row>
    <row r="271" spans="1:2" ht="12.75" x14ac:dyDescent="0.2">
      <c r="A271" s="51"/>
      <c r="B271" s="51"/>
    </row>
    <row r="272" spans="1:2" ht="9.75" customHeight="1" x14ac:dyDescent="0.2"/>
    <row r="273" spans="3:3" ht="14.25" x14ac:dyDescent="0.2">
      <c r="C273" s="74"/>
    </row>
    <row r="274" spans="3:3" ht="16.5" customHeight="1" x14ac:dyDescent="0.2">
      <c r="C274" s="51"/>
    </row>
    <row r="275" spans="3:3" ht="12.75" x14ac:dyDescent="0.2"/>
    <row r="276" spans="3:3" ht="55.5" customHeight="1" x14ac:dyDescent="0.2"/>
    <row r="277" spans="3:3" ht="12.75" x14ac:dyDescent="0.2"/>
    <row r="278" spans="3:3" ht="15" customHeight="1" x14ac:dyDescent="0.2"/>
    <row r="279" spans="3:3" ht="12.75" x14ac:dyDescent="0.2"/>
    <row r="280" spans="3:3" ht="12.75" x14ac:dyDescent="0.2"/>
    <row r="281" spans="3:3" ht="12.75" x14ac:dyDescent="0.2"/>
    <row r="282" spans="3:3" ht="12.75" x14ac:dyDescent="0.2"/>
    <row r="283" spans="3:3" ht="12.75" x14ac:dyDescent="0.2"/>
    <row r="284" spans="3:3" ht="12.75" x14ac:dyDescent="0.2"/>
    <row r="285" spans="3:3" ht="12.75" x14ac:dyDescent="0.2"/>
    <row r="286" spans="3:3" ht="12.75" x14ac:dyDescent="0.2"/>
    <row r="287" spans="3:3" ht="12.75" x14ac:dyDescent="0.2"/>
    <row r="288" spans="3:3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1.25" customHeight="1" x14ac:dyDescent="0.2"/>
    <row r="295" ht="12.75" x14ac:dyDescent="0.2"/>
    <row r="296" ht="12.75" x14ac:dyDescent="0.2"/>
    <row r="297" ht="12.75" x14ac:dyDescent="0.2"/>
    <row r="298" ht="12.75" x14ac:dyDescent="0.2"/>
    <row r="299" ht="18.75" customHeight="1" x14ac:dyDescent="0.2"/>
    <row r="300" ht="15.75" customHeight="1" x14ac:dyDescent="0.2"/>
    <row r="301" ht="21" customHeight="1" x14ac:dyDescent="0.2"/>
    <row r="302" ht="33" customHeight="1" x14ac:dyDescent="0.2"/>
    <row r="303" ht="6" customHeight="1" x14ac:dyDescent="0.2"/>
    <row r="304" ht="33" hidden="1" customHeight="1" x14ac:dyDescent="0.2"/>
    <row r="305" spans="1:3" ht="19.5" customHeight="1" x14ac:dyDescent="0.2"/>
    <row r="306" spans="1:3" ht="15" customHeight="1" x14ac:dyDescent="0.2"/>
    <row r="307" spans="1:3" s="74" customFormat="1" ht="21" hidden="1" customHeight="1" x14ac:dyDescent="0.2">
      <c r="A307"/>
      <c r="B307"/>
      <c r="C307"/>
    </row>
    <row r="308" spans="1:3" s="51" customFormat="1" ht="21" customHeight="1" x14ac:dyDescent="0.2">
      <c r="A308"/>
      <c r="B308"/>
      <c r="C308"/>
    </row>
    <row r="309" spans="1:3" ht="12.75" x14ac:dyDescent="0.2"/>
    <row r="310" spans="1:3" ht="12.75" x14ac:dyDescent="0.2"/>
    <row r="311" spans="1:3" ht="12.75" x14ac:dyDescent="0.2"/>
    <row r="312" spans="1:3" ht="12.75" x14ac:dyDescent="0.2"/>
    <row r="313" spans="1:3" ht="12.75" x14ac:dyDescent="0.2"/>
    <row r="314" spans="1:3" ht="12.75" x14ac:dyDescent="0.2"/>
    <row r="315" spans="1:3" ht="53.25" customHeight="1" x14ac:dyDescent="0.2"/>
    <row r="316" spans="1:3" ht="18" customHeight="1" x14ac:dyDescent="0.2"/>
    <row r="317" spans="1:3" ht="37.5" customHeight="1" x14ac:dyDescent="0.2"/>
    <row r="318" spans="1:3" ht="24" customHeight="1" x14ac:dyDescent="0.2"/>
    <row r="319" spans="1:3" ht="12.75" x14ac:dyDescent="0.2"/>
    <row r="320" spans="1:3" ht="15" customHeight="1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20.25" customHeight="1" x14ac:dyDescent="0.2"/>
    <row r="327" ht="12.75" x14ac:dyDescent="0.2"/>
    <row r="328" ht="12.75" x14ac:dyDescent="0.2"/>
    <row r="329" ht="43.5" customHeight="1" x14ac:dyDescent="0.2"/>
    <row r="330" ht="12.75" x14ac:dyDescent="0.2"/>
    <row r="331" ht="15" customHeight="1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5.75" customHeight="1" x14ac:dyDescent="0.2"/>
    <row r="350" ht="12.75" x14ac:dyDescent="0.2"/>
    <row r="351" ht="34.5" customHeight="1" x14ac:dyDescent="0.2"/>
    <row r="352" ht="12.75" x14ac:dyDescent="0.2"/>
    <row r="353" ht="23.25" customHeight="1" x14ac:dyDescent="0.2"/>
    <row r="354" ht="22.5" customHeight="1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9.5" customHeight="1" x14ac:dyDescent="0.2"/>
    <row r="363" ht="12.75" x14ac:dyDescent="0.2"/>
    <row r="364" ht="50.25" customHeight="1" x14ac:dyDescent="0.2"/>
    <row r="365" ht="12.75" x14ac:dyDescent="0.2"/>
    <row r="366" ht="39" customHeight="1" x14ac:dyDescent="0.2"/>
    <row r="367" ht="12.75" x14ac:dyDescent="0.2"/>
    <row r="368" ht="12.75" x14ac:dyDescent="0.2"/>
    <row r="369" ht="12.75" x14ac:dyDescent="0.2"/>
    <row r="370" ht="12.75" x14ac:dyDescent="0.2"/>
    <row r="371" ht="9.75" customHeight="1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49.5" customHeight="1" x14ac:dyDescent="0.2"/>
    <row r="379" ht="12.75" x14ac:dyDescent="0.2"/>
    <row r="380" ht="25.5" customHeight="1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27.75" customHeight="1" x14ac:dyDescent="0.2"/>
    <row r="397" ht="12.75" x14ac:dyDescent="0.2"/>
    <row r="398" ht="17.25" customHeight="1" x14ac:dyDescent="0.2"/>
    <row r="399" ht="12.75" x14ac:dyDescent="0.2"/>
    <row r="400" ht="16.5" customHeight="1" x14ac:dyDescent="0.2"/>
    <row r="401" spans="1:3" ht="21" customHeight="1" x14ac:dyDescent="0.2"/>
    <row r="402" spans="1:3" ht="12.75" x14ac:dyDescent="0.2"/>
    <row r="403" spans="1:3" ht="12.75" x14ac:dyDescent="0.2"/>
    <row r="404" spans="1:3" ht="12.75" x14ac:dyDescent="0.2"/>
    <row r="405" spans="1:3" ht="23.25" customHeight="1" x14ac:dyDescent="0.2"/>
    <row r="406" spans="1:3" ht="12.75" x14ac:dyDescent="0.2"/>
    <row r="407" spans="1:3" ht="12.75" x14ac:dyDescent="0.2"/>
    <row r="408" spans="1:3" ht="14.25" customHeight="1" x14ac:dyDescent="0.2"/>
    <row r="409" spans="1:3" ht="13.5" customHeight="1" x14ac:dyDescent="0.2">
      <c r="A409" s="51"/>
      <c r="B409" s="51"/>
    </row>
    <row r="410" spans="1:3" ht="18" customHeight="1" x14ac:dyDescent="0.2">
      <c r="A410" s="51"/>
      <c r="B410" s="51"/>
    </row>
    <row r="411" spans="1:3" ht="39" customHeight="1" x14ac:dyDescent="0.2">
      <c r="A411" s="51"/>
      <c r="B411" s="51"/>
    </row>
    <row r="412" spans="1:3" ht="12" customHeight="1" x14ac:dyDescent="0.2">
      <c r="C412" s="51"/>
    </row>
    <row r="413" spans="1:3" ht="45.75" customHeight="1" x14ac:dyDescent="0.2">
      <c r="C413" s="51"/>
    </row>
    <row r="414" spans="1:3" ht="12.75" x14ac:dyDescent="0.2">
      <c r="C414" s="51"/>
    </row>
    <row r="415" spans="1:3" ht="12.75" x14ac:dyDescent="0.2"/>
    <row r="416" spans="1:3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9.75" customHeight="1" x14ac:dyDescent="0.2"/>
    <row r="425" ht="46.5" customHeight="1" x14ac:dyDescent="0.2"/>
    <row r="426" ht="12.75" x14ac:dyDescent="0.2"/>
    <row r="427" ht="23.25" customHeight="1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36" customHeight="1" x14ac:dyDescent="0.2"/>
    <row r="443" ht="13.5" customHeight="1" x14ac:dyDescent="0.2"/>
    <row r="444" ht="19.5" customHeight="1" x14ac:dyDescent="0.2"/>
    <row r="445" ht="27.75" customHeight="1" x14ac:dyDescent="0.2"/>
    <row r="446" ht="12.75" x14ac:dyDescent="0.2"/>
    <row r="447" ht="22.5" customHeight="1" x14ac:dyDescent="0.2"/>
    <row r="448" ht="21.75" customHeight="1" x14ac:dyDescent="0.2"/>
    <row r="449" spans="1:8" ht="12.75" x14ac:dyDescent="0.2">
      <c r="D449" s="51"/>
      <c r="E449" s="51"/>
      <c r="F449" s="51"/>
      <c r="G449" s="51"/>
      <c r="H449" s="51"/>
    </row>
    <row r="450" spans="1:8" ht="12.75" x14ac:dyDescent="0.2">
      <c r="D450" s="51"/>
      <c r="E450" s="51"/>
      <c r="F450" s="51"/>
      <c r="G450" s="51"/>
      <c r="H450" s="51"/>
    </row>
    <row r="451" spans="1:8" ht="12.75" x14ac:dyDescent="0.2">
      <c r="D451" s="51"/>
      <c r="E451" s="51"/>
      <c r="F451" s="51"/>
      <c r="G451" s="51"/>
      <c r="H451" s="51"/>
    </row>
    <row r="452" spans="1:8" ht="12.75" x14ac:dyDescent="0.2"/>
    <row r="453" spans="1:8" ht="12.75" x14ac:dyDescent="0.2"/>
    <row r="454" spans="1:8" ht="12.75" x14ac:dyDescent="0.2"/>
    <row r="455" spans="1:8" ht="12.75" customHeight="1" x14ac:dyDescent="0.2"/>
    <row r="456" spans="1:8" ht="17.25" customHeight="1" x14ac:dyDescent="0.2"/>
    <row r="457" spans="1:8" ht="58.5" customHeight="1" x14ac:dyDescent="0.2"/>
    <row r="458" spans="1:8" ht="8.25" customHeight="1" x14ac:dyDescent="0.2"/>
    <row r="459" spans="1:8" ht="37.5" customHeight="1" x14ac:dyDescent="0.2"/>
    <row r="460" spans="1:8" ht="12.75" x14ac:dyDescent="0.2"/>
    <row r="461" spans="1:8" ht="12.75" x14ac:dyDescent="0.2"/>
    <row r="462" spans="1:8" ht="12.75" x14ac:dyDescent="0.2"/>
    <row r="463" spans="1:8" s="51" customFormat="1" ht="12.75" x14ac:dyDescent="0.2">
      <c r="A463"/>
      <c r="B463"/>
      <c r="C463"/>
      <c r="D463"/>
      <c r="E463"/>
      <c r="F463"/>
      <c r="G463"/>
      <c r="H463"/>
    </row>
    <row r="464" spans="1:8" s="51" customFormat="1" ht="12.75" x14ac:dyDescent="0.2">
      <c r="A464"/>
      <c r="B464"/>
      <c r="C464"/>
      <c r="D464"/>
      <c r="E464"/>
      <c r="F464"/>
      <c r="G464"/>
      <c r="H464"/>
    </row>
    <row r="465" spans="1:8" s="51" customFormat="1" ht="10.5" customHeight="1" x14ac:dyDescent="0.2">
      <c r="A465"/>
      <c r="B465"/>
      <c r="C465"/>
      <c r="D465"/>
      <c r="E465"/>
      <c r="F465"/>
      <c r="G465"/>
      <c r="H465"/>
    </row>
    <row r="466" spans="1:8" ht="12.75" customHeight="1" x14ac:dyDescent="0.2"/>
    <row r="467" spans="1:8" ht="12.75" customHeight="1" x14ac:dyDescent="0.2"/>
    <row r="468" spans="1:8" ht="12.75" x14ac:dyDescent="0.2"/>
    <row r="469" spans="1:8" ht="12.75" x14ac:dyDescent="0.2"/>
    <row r="470" spans="1:8" ht="12.75" x14ac:dyDescent="0.2"/>
    <row r="471" spans="1:8" ht="49.5" customHeight="1" x14ac:dyDescent="0.2"/>
    <row r="472" spans="1:8" ht="12.75" x14ac:dyDescent="0.2"/>
    <row r="473" spans="1:8" ht="28.5" customHeight="1" x14ac:dyDescent="0.2"/>
    <row r="474" spans="1:8" ht="12.75" x14ac:dyDescent="0.2"/>
    <row r="475" spans="1:8" ht="17.25" customHeight="1" x14ac:dyDescent="0.2"/>
    <row r="476" spans="1:8" ht="12.75" customHeight="1" x14ac:dyDescent="0.2"/>
    <row r="477" spans="1:8" ht="12.75" x14ac:dyDescent="0.2"/>
    <row r="478" spans="1:8" ht="12.75" x14ac:dyDescent="0.2"/>
    <row r="479" spans="1:8" ht="12.75" x14ac:dyDescent="0.2"/>
    <row r="480" spans="1:8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8" customHeight="1" x14ac:dyDescent="0.2"/>
    <row r="489" ht="12.75" x14ac:dyDescent="0.2"/>
    <row r="490" ht="22.5" customHeight="1" x14ac:dyDescent="0.2"/>
    <row r="491" ht="12.75" x14ac:dyDescent="0.2"/>
    <row r="492" ht="12.75" x14ac:dyDescent="0.2"/>
    <row r="493" ht="27.75" customHeight="1" x14ac:dyDescent="0.2"/>
    <row r="494" ht="12.75" x14ac:dyDescent="0.2"/>
    <row r="495" ht="6" customHeight="1" x14ac:dyDescent="0.2"/>
    <row r="496" ht="12.75" hidden="1" x14ac:dyDescent="0.2"/>
    <row r="497" ht="24" hidden="1" customHeight="1" x14ac:dyDescent="0.2"/>
    <row r="498" ht="18" customHeight="1" x14ac:dyDescent="0.2"/>
    <row r="499" ht="17.25" customHeight="1" x14ac:dyDescent="0.2"/>
    <row r="500" ht="12.75" x14ac:dyDescent="0.2"/>
    <row r="501" ht="21.75" customHeight="1" x14ac:dyDescent="0.2"/>
    <row r="502" ht="43.5" customHeight="1" x14ac:dyDescent="0.2"/>
    <row r="503" ht="23.25" customHeight="1" x14ac:dyDescent="0.2"/>
    <row r="504" ht="46.5" customHeight="1" x14ac:dyDescent="0.2"/>
    <row r="505" ht="12.75" x14ac:dyDescent="0.2"/>
    <row r="506" ht="16.5" customHeight="1" x14ac:dyDescent="0.2"/>
    <row r="507" ht="12.75" x14ac:dyDescent="0.2"/>
    <row r="508" ht="15" customHeight="1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48.75" customHeight="1" x14ac:dyDescent="0.2"/>
    <row r="517" ht="28.5" customHeight="1" x14ac:dyDescent="0.2"/>
    <row r="518" ht="28.5" customHeight="1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30.75" customHeight="1" x14ac:dyDescent="0.2"/>
    <row r="537" ht="12.75" x14ac:dyDescent="0.2"/>
    <row r="538" ht="35.25" customHeight="1" x14ac:dyDescent="0.2"/>
    <row r="539" ht="12.75" x14ac:dyDescent="0.2"/>
    <row r="540" ht="12.75" x14ac:dyDescent="0.2"/>
    <row r="541" ht="13.5" customHeight="1" x14ac:dyDescent="0.2"/>
    <row r="542" ht="12.75" x14ac:dyDescent="0.2"/>
    <row r="543" ht="17.25" customHeight="1" x14ac:dyDescent="0.2"/>
    <row r="544" ht="21" hidden="1" customHeight="1" x14ac:dyDescent="0.2"/>
    <row r="545" ht="27" customHeight="1" x14ac:dyDescent="0.2"/>
    <row r="546" ht="21" customHeight="1" x14ac:dyDescent="0.2"/>
    <row r="547" ht="12.75" x14ac:dyDescent="0.2"/>
    <row r="548" ht="12.75" x14ac:dyDescent="0.2"/>
    <row r="549" ht="16.5" customHeight="1" x14ac:dyDescent="0.2"/>
    <row r="550" ht="12.75" x14ac:dyDescent="0.2"/>
    <row r="551" ht="19.5" customHeight="1" x14ac:dyDescent="0.2"/>
    <row r="552" ht="12.75" x14ac:dyDescent="0.2"/>
    <row r="553" ht="12.75" x14ac:dyDescent="0.2"/>
    <row r="554" ht="24.75" customHeight="1" x14ac:dyDescent="0.2"/>
    <row r="555" ht="38.25" customHeight="1" x14ac:dyDescent="0.2"/>
    <row r="556" ht="23.25" customHeight="1" x14ac:dyDescent="0.2"/>
    <row r="557" ht="37.5" customHeight="1" x14ac:dyDescent="0.2"/>
    <row r="558" ht="12.75" x14ac:dyDescent="0.2"/>
    <row r="559" ht="12.75" x14ac:dyDescent="0.2"/>
    <row r="560" ht="27" customHeight="1" x14ac:dyDescent="0.2"/>
    <row r="561" ht="21" customHeight="1" x14ac:dyDescent="0.2"/>
    <row r="562" ht="12.75" x14ac:dyDescent="0.2"/>
    <row r="563" ht="9" customHeight="1" x14ac:dyDescent="0.2"/>
    <row r="564" ht="12.75" x14ac:dyDescent="0.2"/>
    <row r="565" ht="6.75" customHeight="1" x14ac:dyDescent="0.2"/>
    <row r="566" ht="24" customHeight="1" x14ac:dyDescent="0.2"/>
    <row r="567" ht="12.75" x14ac:dyDescent="0.2"/>
    <row r="568" ht="12.75" x14ac:dyDescent="0.2"/>
    <row r="569" ht="46.5" customHeight="1" x14ac:dyDescent="0.2"/>
    <row r="570" ht="12.75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36.75" customHeight="1" x14ac:dyDescent="0.2"/>
    <row r="583" ht="15.75" customHeight="1" x14ac:dyDescent="0.2"/>
    <row r="584" ht="30" customHeight="1" x14ac:dyDescent="0.2"/>
    <row r="585" ht="15.75" customHeight="1" x14ac:dyDescent="0.2"/>
    <row r="586" ht="15.75" customHeight="1" x14ac:dyDescent="0.2"/>
    <row r="587" ht="17.25" customHeight="1" x14ac:dyDescent="0.2"/>
    <row r="588" ht="15.75" customHeight="1" x14ac:dyDescent="0.2"/>
    <row r="589" ht="21" customHeight="1" x14ac:dyDescent="0.2"/>
    <row r="590" ht="15.75" customHeight="1" x14ac:dyDescent="0.2"/>
    <row r="591" ht="21" customHeight="1" x14ac:dyDescent="0.2"/>
    <row r="592" ht="19.5" customHeight="1" x14ac:dyDescent="0.2"/>
    <row r="593" ht="8.25" customHeight="1" x14ac:dyDescent="0.2"/>
    <row r="594" ht="21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34.5" customHeight="1" x14ac:dyDescent="0.2"/>
    <row r="601" ht="14.25" customHeight="1" x14ac:dyDescent="0.2"/>
    <row r="602" ht="50.2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9" customHeight="1" x14ac:dyDescent="0.2"/>
    <row r="610" ht="12.75" customHeight="1" x14ac:dyDescent="0.2"/>
    <row r="611" ht="15.75" customHeight="1" x14ac:dyDescent="0.2"/>
    <row r="612" ht="15.75" customHeight="1" x14ac:dyDescent="0.2"/>
    <row r="613" ht="15.75" customHeight="1" x14ac:dyDescent="0.2"/>
    <row r="614" ht="51.75" customHeight="1" x14ac:dyDescent="0.2"/>
    <row r="615" ht="12.75" x14ac:dyDescent="0.2"/>
    <row r="616" ht="15" customHeight="1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8" customHeight="1" x14ac:dyDescent="0.2"/>
    <row r="628" ht="12.75" x14ac:dyDescent="0.2"/>
    <row r="629" ht="12.75" x14ac:dyDescent="0.2"/>
    <row r="630" ht="12.75" x14ac:dyDescent="0.2"/>
    <row r="631" ht="40.5" customHeight="1" x14ac:dyDescent="0.2"/>
    <row r="632" ht="12.75" x14ac:dyDescent="0.2"/>
    <row r="633" ht="31.5" customHeight="1" x14ac:dyDescent="0.2"/>
    <row r="634" ht="15.75" customHeight="1" x14ac:dyDescent="0.2"/>
    <row r="635" ht="24" customHeight="1" x14ac:dyDescent="0.2"/>
    <row r="636" ht="17.25" customHeight="1" x14ac:dyDescent="0.2"/>
    <row r="637" ht="12.75" x14ac:dyDescent="0.2"/>
    <row r="638" ht="25.5" customHeight="1" x14ac:dyDescent="0.2"/>
    <row r="639" ht="12.75" x14ac:dyDescent="0.2"/>
    <row r="640" ht="12.75" x14ac:dyDescent="0.2"/>
    <row r="641" ht="17.25" customHeight="1" x14ac:dyDescent="0.2"/>
    <row r="642" ht="12.75" x14ac:dyDescent="0.2"/>
    <row r="643" ht="12.75" x14ac:dyDescent="0.2"/>
    <row r="644" ht="13.5" customHeight="1" x14ac:dyDescent="0.2"/>
    <row r="645" ht="12.75" x14ac:dyDescent="0.2"/>
    <row r="646" ht="21" customHeight="1" x14ac:dyDescent="0.2"/>
    <row r="647" ht="18.75" customHeight="1" x14ac:dyDescent="0.2"/>
    <row r="648" ht="30.75" customHeight="1" x14ac:dyDescent="0.2"/>
    <row r="649" ht="20.25" customHeight="1" x14ac:dyDescent="0.2"/>
    <row r="650" ht="48" customHeight="1" x14ac:dyDescent="0.2"/>
    <row r="651" ht="14.25" customHeight="1" x14ac:dyDescent="0.2"/>
    <row r="652" ht="12" customHeight="1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46.5" customHeight="1" x14ac:dyDescent="0.2"/>
    <row r="663" ht="12.75" x14ac:dyDescent="0.2"/>
    <row r="664" ht="15" customHeight="1" x14ac:dyDescent="0.2"/>
    <row r="665" ht="12.75" x14ac:dyDescent="0.2"/>
    <row r="666" ht="12.75" x14ac:dyDescent="0.2"/>
    <row r="667" ht="12.75" x14ac:dyDescent="0.2"/>
    <row r="668" ht="12.75" x14ac:dyDescent="0.2"/>
    <row r="669" ht="3" customHeight="1" x14ac:dyDescent="0.2"/>
    <row r="670" ht="20.25" customHeight="1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40.5" customHeight="1" x14ac:dyDescent="0.2"/>
    <row r="678" ht="12.75" x14ac:dyDescent="0.2"/>
    <row r="679" ht="18" customHeight="1" x14ac:dyDescent="0.2"/>
    <row r="680" ht="12.75" x14ac:dyDescent="0.2"/>
    <row r="681" ht="16.5" customHeight="1" x14ac:dyDescent="0.2"/>
    <row r="682" ht="18.75" customHeight="1" x14ac:dyDescent="0.2"/>
    <row r="683" ht="18" customHeight="1" x14ac:dyDescent="0.2"/>
    <row r="684" ht="12.75" x14ac:dyDescent="0.2"/>
    <row r="685" ht="18" customHeight="1" x14ac:dyDescent="0.2"/>
    <row r="686" ht="12.75" x14ac:dyDescent="0.2"/>
    <row r="687" ht="17.25" customHeight="1" x14ac:dyDescent="0.2"/>
    <row r="688" ht="12.75" x14ac:dyDescent="0.2"/>
    <row r="689" ht="18" customHeight="1" x14ac:dyDescent="0.2"/>
    <row r="690" ht="16.5" customHeight="1" x14ac:dyDescent="0.2"/>
    <row r="691" ht="20.25" customHeight="1" x14ac:dyDescent="0.2"/>
    <row r="692" ht="15" customHeight="1" x14ac:dyDescent="0.2"/>
    <row r="693" ht="38.25" customHeight="1" x14ac:dyDescent="0.2"/>
    <row r="694" ht="12.75" x14ac:dyDescent="0.2"/>
    <row r="695" ht="37.5" customHeight="1" x14ac:dyDescent="0.2"/>
    <row r="696" ht="12.75" x14ac:dyDescent="0.2"/>
    <row r="697" ht="15" customHeight="1" x14ac:dyDescent="0.2"/>
    <row r="698" ht="15" customHeight="1" x14ac:dyDescent="0.2"/>
    <row r="699" ht="12.75" x14ac:dyDescent="0.2"/>
    <row r="700" ht="17.25" customHeight="1" x14ac:dyDescent="0.2"/>
    <row r="702" ht="12.75" x14ac:dyDescent="0.2"/>
    <row r="703" ht="12.75" x14ac:dyDescent="0.2"/>
    <row r="704" ht="12.75" x14ac:dyDescent="0.2"/>
    <row r="705" spans="1:2" ht="12.75" x14ac:dyDescent="0.2"/>
    <row r="706" spans="1:2" ht="12.75" x14ac:dyDescent="0.2"/>
    <row r="707" spans="1:2" ht="42.75" customHeight="1" x14ac:dyDescent="0.2"/>
    <row r="708" spans="1:2" ht="12.75" x14ac:dyDescent="0.2"/>
    <row r="709" spans="1:2" ht="24.75" customHeight="1" x14ac:dyDescent="0.2"/>
    <row r="710" spans="1:2" ht="12.75" x14ac:dyDescent="0.2"/>
    <row r="711" spans="1:2" ht="12.75" x14ac:dyDescent="0.2"/>
    <row r="712" spans="1:2" ht="12.75" x14ac:dyDescent="0.2"/>
    <row r="713" spans="1:2" ht="12.75" x14ac:dyDescent="0.2"/>
    <row r="714" spans="1:2" ht="12.75" x14ac:dyDescent="0.2"/>
    <row r="715" spans="1:2" ht="12.75" x14ac:dyDescent="0.2"/>
    <row r="716" spans="1:2" ht="12.75" x14ac:dyDescent="0.2"/>
    <row r="717" spans="1:2" ht="12.75" x14ac:dyDescent="0.2"/>
    <row r="718" spans="1:2" ht="12.75" x14ac:dyDescent="0.2">
      <c r="A718" s="51"/>
      <c r="B718" s="51"/>
    </row>
    <row r="719" spans="1:2" ht="18" customHeight="1" x14ac:dyDescent="0.2">
      <c r="A719" s="51"/>
      <c r="B719" s="51"/>
    </row>
    <row r="720" spans="1:2" ht="12.75" x14ac:dyDescent="0.2"/>
    <row r="721" spans="1:8" ht="36.75" customHeight="1" x14ac:dyDescent="0.2">
      <c r="C721" s="51"/>
      <c r="D721" s="51"/>
      <c r="E721" s="51"/>
      <c r="F721" s="51"/>
      <c r="G721" s="51"/>
      <c r="H721" s="51"/>
    </row>
    <row r="722" spans="1:8" ht="12.75" x14ac:dyDescent="0.2">
      <c r="C722" s="51"/>
      <c r="D722" s="51"/>
      <c r="E722" s="51"/>
      <c r="F722" s="51"/>
      <c r="G722" s="51"/>
      <c r="H722" s="51"/>
    </row>
    <row r="723" spans="1:8" ht="12.75" x14ac:dyDescent="0.2"/>
    <row r="724" spans="1:8" ht="12.75" x14ac:dyDescent="0.2"/>
    <row r="725" spans="1:8" ht="12.75" x14ac:dyDescent="0.2"/>
    <row r="726" spans="1:8" ht="12.75" x14ac:dyDescent="0.2"/>
    <row r="727" spans="1:8" ht="12.75" x14ac:dyDescent="0.2"/>
    <row r="728" spans="1:8" ht="12.75" x14ac:dyDescent="0.2"/>
    <row r="729" spans="1:8" ht="12.75" x14ac:dyDescent="0.2"/>
    <row r="730" spans="1:8" ht="12.75" x14ac:dyDescent="0.2"/>
    <row r="731" spans="1:8" ht="32.25" customHeight="1" x14ac:dyDescent="0.2"/>
    <row r="732" spans="1:8" ht="17.25" customHeight="1" x14ac:dyDescent="0.2"/>
    <row r="733" spans="1:8" ht="10.5" customHeight="1" x14ac:dyDescent="0.2"/>
    <row r="734" spans="1:8" ht="15" customHeight="1" x14ac:dyDescent="0.2"/>
    <row r="735" spans="1:8" s="51" customFormat="1" ht="15" customHeight="1" x14ac:dyDescent="0.2">
      <c r="A735"/>
      <c r="B735"/>
      <c r="C735"/>
      <c r="D735"/>
      <c r="E735"/>
      <c r="F735"/>
      <c r="G735"/>
      <c r="H735"/>
    </row>
    <row r="736" spans="1:8" s="51" customFormat="1" ht="15.75" customHeight="1" x14ac:dyDescent="0.2">
      <c r="A736"/>
      <c r="B736"/>
      <c r="C736"/>
      <c r="D736"/>
      <c r="E736"/>
      <c r="F736"/>
      <c r="G736"/>
      <c r="H736"/>
    </row>
    <row r="737" ht="25.5" customHeight="1" x14ac:dyDescent="0.2"/>
    <row r="738" ht="33.75" customHeight="1" x14ac:dyDescent="0.2"/>
    <row r="739" ht="12.75" x14ac:dyDescent="0.2"/>
    <row r="740" ht="42.75" customHeight="1" x14ac:dyDescent="0.2"/>
    <row r="741" ht="19.5" customHeight="1" x14ac:dyDescent="0.2"/>
    <row r="742" ht="19.5" customHeight="1" x14ac:dyDescent="0.2"/>
    <row r="743" ht="12.75" x14ac:dyDescent="0.2"/>
    <row r="744" ht="30.75" customHeight="1" x14ac:dyDescent="0.2"/>
    <row r="745" ht="15.75" customHeight="1" x14ac:dyDescent="0.2"/>
    <row r="746" ht="23.25" customHeight="1" x14ac:dyDescent="0.2"/>
    <row r="749" ht="12.75" x14ac:dyDescent="0.2"/>
    <row r="750" ht="12.75" x14ac:dyDescent="0.2"/>
    <row r="751" ht="12.75" x14ac:dyDescent="0.2"/>
    <row r="752" ht="46.5" customHeight="1" x14ac:dyDescent="0.2"/>
    <row r="753" spans="1:8" ht="12.75" x14ac:dyDescent="0.2"/>
    <row r="754" spans="1:8" ht="15" customHeight="1" x14ac:dyDescent="0.2"/>
    <row r="755" spans="1:8" ht="12.75" x14ac:dyDescent="0.2"/>
    <row r="756" spans="1:8" ht="12.75" x14ac:dyDescent="0.2"/>
    <row r="757" spans="1:8" ht="12.75" x14ac:dyDescent="0.2">
      <c r="A757" s="98"/>
      <c r="B757" s="98"/>
    </row>
    <row r="758" spans="1:8" ht="12.75" x14ac:dyDescent="0.2"/>
    <row r="759" spans="1:8" ht="12.75" x14ac:dyDescent="0.2"/>
    <row r="760" spans="1:8" ht="12.75" x14ac:dyDescent="0.2">
      <c r="C760" s="98"/>
      <c r="D760" s="98"/>
      <c r="E760" s="98"/>
      <c r="F760" s="98"/>
      <c r="G760" s="98"/>
      <c r="H760" s="98"/>
    </row>
    <row r="761" spans="1:8" ht="12.75" x14ac:dyDescent="0.2"/>
    <row r="762" spans="1:8" ht="12.75" x14ac:dyDescent="0.2"/>
    <row r="763" spans="1:8" ht="12.75" x14ac:dyDescent="0.2"/>
    <row r="764" spans="1:8" ht="12.75" x14ac:dyDescent="0.2"/>
    <row r="765" spans="1:8" ht="12.75" x14ac:dyDescent="0.2"/>
    <row r="766" spans="1:8" ht="30.75" customHeight="1" x14ac:dyDescent="0.2"/>
    <row r="767" spans="1:8" ht="12.75" x14ac:dyDescent="0.2"/>
    <row r="768" spans="1:8" ht="12.75" x14ac:dyDescent="0.2"/>
    <row r="769" spans="1:8" ht="12.75" x14ac:dyDescent="0.2"/>
    <row r="770" spans="1:8" ht="12.75" x14ac:dyDescent="0.2"/>
    <row r="771" spans="1:8" ht="12.75" customHeight="1" x14ac:dyDescent="0.2"/>
    <row r="772" spans="1:8" ht="12.75" x14ac:dyDescent="0.2"/>
    <row r="773" spans="1:8" ht="30" customHeight="1" x14ac:dyDescent="0.2"/>
    <row r="774" spans="1:8" s="98" customFormat="1" ht="12.75" x14ac:dyDescent="0.2">
      <c r="A774"/>
      <c r="B774"/>
      <c r="C774"/>
      <c r="D774"/>
      <c r="E774"/>
      <c r="F774"/>
      <c r="G774"/>
      <c r="H774"/>
    </row>
    <row r="775" spans="1:8" ht="24" customHeight="1" x14ac:dyDescent="0.2"/>
    <row r="776" spans="1:8" ht="12.75" x14ac:dyDescent="0.2"/>
    <row r="777" spans="1:8" ht="12.75" x14ac:dyDescent="0.2"/>
    <row r="778" spans="1:8" ht="12.75" x14ac:dyDescent="0.2"/>
    <row r="779" spans="1:8" ht="20.25" customHeight="1" x14ac:dyDescent="0.2"/>
    <row r="780" spans="1:8" ht="15.75" customHeight="1" x14ac:dyDescent="0.2"/>
    <row r="781" spans="1:8" ht="13.5" customHeight="1" x14ac:dyDescent="0.2"/>
    <row r="782" spans="1:8" ht="12.75" x14ac:dyDescent="0.2"/>
    <row r="783" spans="1:8" ht="13.5" customHeight="1" x14ac:dyDescent="0.2"/>
    <row r="784" spans="1:8" ht="24.75" customHeight="1" x14ac:dyDescent="0.2"/>
    <row r="785" ht="36" customHeight="1" x14ac:dyDescent="0.2"/>
    <row r="786" ht="15" customHeight="1" x14ac:dyDescent="0.2"/>
    <row r="787" ht="43.5" customHeight="1" x14ac:dyDescent="0.2"/>
    <row r="788" ht="12.75" x14ac:dyDescent="0.2"/>
    <row r="789" ht="12.75" x14ac:dyDescent="0.2"/>
    <row r="790" ht="12.75" x14ac:dyDescent="0.2"/>
    <row r="791" ht="12.75" x14ac:dyDescent="0.2"/>
    <row r="792" ht="23.25" customHeight="1" x14ac:dyDescent="0.2"/>
    <row r="794" ht="15" customHeight="1" x14ac:dyDescent="0.2"/>
    <row r="795" ht="12.75" x14ac:dyDescent="0.2"/>
    <row r="796" ht="16.5" customHeight="1" x14ac:dyDescent="0.2"/>
    <row r="797" ht="12.75" x14ac:dyDescent="0.2"/>
    <row r="798" ht="12.75" x14ac:dyDescent="0.2"/>
    <row r="799" ht="46.5" customHeight="1" x14ac:dyDescent="0.2"/>
    <row r="800" ht="12.75" x14ac:dyDescent="0.2"/>
    <row r="801" ht="21" customHeight="1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9.5" customHeight="1" x14ac:dyDescent="0.2"/>
    <row r="829" ht="12.75" x14ac:dyDescent="0.2"/>
    <row r="830" ht="42" customHeight="1" x14ac:dyDescent="0.2"/>
    <row r="831" ht="18.75" customHeight="1" x14ac:dyDescent="0.2"/>
    <row r="832" ht="31.5" customHeight="1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40.5" customHeight="1" x14ac:dyDescent="0.2"/>
    <row r="841" ht="13.5" customHeight="1" x14ac:dyDescent="0.2"/>
    <row r="842" ht="38.25" customHeight="1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9.75" customHeight="1" x14ac:dyDescent="0.2"/>
    <row r="850" ht="19.5" customHeight="1" x14ac:dyDescent="0.2"/>
    <row r="851" ht="12.75" x14ac:dyDescent="0.2"/>
    <row r="852" ht="12.75" x14ac:dyDescent="0.2"/>
    <row r="853" ht="52.5" customHeight="1" x14ac:dyDescent="0.2"/>
    <row r="854" ht="12.75" x14ac:dyDescent="0.2"/>
    <row r="855" ht="15" customHeight="1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37.5" customHeight="1" x14ac:dyDescent="0.2"/>
    <row r="873" ht="12.75" x14ac:dyDescent="0.2"/>
    <row r="874" ht="42.75" customHeight="1" x14ac:dyDescent="0.2"/>
    <row r="875" ht="12.75" x14ac:dyDescent="0.2"/>
    <row r="876" ht="15.75" customHeight="1" x14ac:dyDescent="0.2"/>
    <row r="877" ht="20.25" customHeight="1" x14ac:dyDescent="0.2"/>
    <row r="878" ht="20.25" customHeight="1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23.25" customHeight="1" x14ac:dyDescent="0.2"/>
    <row r="886" ht="12.75" customHeight="1" x14ac:dyDescent="0.2"/>
    <row r="887" ht="27" customHeight="1" x14ac:dyDescent="0.2"/>
    <row r="888" ht="14.25" customHeight="1" x14ac:dyDescent="0.2"/>
    <row r="889" ht="12.75" x14ac:dyDescent="0.2"/>
    <row r="890" ht="12.75" x14ac:dyDescent="0.2"/>
    <row r="891" ht="12.75" x14ac:dyDescent="0.2"/>
    <row r="892" ht="44.25" customHeight="1" x14ac:dyDescent="0.2"/>
    <row r="893" ht="12.75" x14ac:dyDescent="0.2"/>
    <row r="894" ht="59.25" customHeight="1" x14ac:dyDescent="0.2"/>
    <row r="895" ht="16.5" customHeight="1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25.5" customHeight="1" x14ac:dyDescent="0.2"/>
    <row r="902" ht="26.25" customHeight="1" x14ac:dyDescent="0.2"/>
    <row r="903" ht="6.75" customHeight="1" x14ac:dyDescent="0.2"/>
    <row r="904" ht="6.75" customHeight="1" x14ac:dyDescent="0.2"/>
    <row r="905" ht="48" customHeight="1" x14ac:dyDescent="0.2"/>
    <row r="906" ht="12.75" x14ac:dyDescent="0.2"/>
    <row r="907" ht="15" customHeight="1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45.75" customHeight="1" x14ac:dyDescent="0.2"/>
    <row r="922" ht="12.75" x14ac:dyDescent="0.2"/>
    <row r="923" ht="22.5" customHeight="1" x14ac:dyDescent="0.2"/>
    <row r="924" ht="18" customHeight="1" x14ac:dyDescent="0.2"/>
    <row r="925" ht="27" customHeight="1" x14ac:dyDescent="0.2"/>
    <row r="926" ht="21.75" customHeight="1" x14ac:dyDescent="0.2"/>
    <row r="927" ht="19.5" customHeight="1" x14ac:dyDescent="0.2"/>
    <row r="928" ht="12.75" x14ac:dyDescent="0.2"/>
    <row r="929" ht="12.75" x14ac:dyDescent="0.2"/>
    <row r="930" ht="8.25" customHeight="1" x14ac:dyDescent="0.2"/>
    <row r="931" ht="12.75" x14ac:dyDescent="0.2"/>
    <row r="932" ht="12.75" x14ac:dyDescent="0.2"/>
    <row r="933" ht="17.25" customHeight="1" x14ac:dyDescent="0.2"/>
    <row r="934" ht="12" customHeight="1" x14ac:dyDescent="0.2"/>
    <row r="935" ht="22.5" customHeight="1" x14ac:dyDescent="0.2"/>
    <row r="936" ht="21" customHeight="1" x14ac:dyDescent="0.2"/>
    <row r="937" ht="14.25" customHeight="1" x14ac:dyDescent="0.2"/>
    <row r="938" ht="12.75" x14ac:dyDescent="0.2"/>
    <row r="939" ht="31.5" customHeight="1" x14ac:dyDescent="0.2"/>
    <row r="940" ht="12.75" x14ac:dyDescent="0.2"/>
    <row r="941" ht="39" customHeight="1" x14ac:dyDescent="0.2"/>
    <row r="942" ht="12.75" x14ac:dyDescent="0.2"/>
    <row r="943" ht="12.75" x14ac:dyDescent="0.2"/>
    <row r="944" ht="10.5" customHeight="1" x14ac:dyDescent="0.2"/>
    <row r="945" ht="10.5" customHeight="1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53.25" customHeight="1" x14ac:dyDescent="0.2"/>
    <row r="953" ht="12.75" x14ac:dyDescent="0.2"/>
    <row r="954" ht="40.5" customHeight="1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4.25" customHeight="1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36" customHeight="1" x14ac:dyDescent="0.2"/>
    <row r="970" ht="12.75" x14ac:dyDescent="0.2"/>
    <row r="971" ht="47.25" customHeight="1" x14ac:dyDescent="0.2"/>
    <row r="972" ht="12.75" x14ac:dyDescent="0.2"/>
    <row r="973" ht="29.25" customHeight="1" x14ac:dyDescent="0.2"/>
    <row r="974" ht="20.25" customHeight="1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2" ht="54" customHeight="1" x14ac:dyDescent="0.2"/>
    <row r="983" ht="16.5" customHeight="1" x14ac:dyDescent="0.2"/>
    <row r="984" ht="21.75" customHeight="1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30" customHeight="1" x14ac:dyDescent="0.2"/>
    <row r="1000" ht="12.75" x14ac:dyDescent="0.2"/>
    <row r="1001" ht="15.75" customHeight="1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48.75" customHeight="1" x14ac:dyDescent="0.2"/>
    <row r="1013" ht="12.75" x14ac:dyDescent="0.2"/>
    <row r="1014" ht="15" customHeight="1" x14ac:dyDescent="0.2"/>
    <row r="1015" ht="12.75" x14ac:dyDescent="0.2"/>
    <row r="1016" ht="7.5" customHeight="1" x14ac:dyDescent="0.2"/>
    <row r="1017" ht="12.75" x14ac:dyDescent="0.2"/>
    <row r="1018" ht="16.5" customHeight="1" x14ac:dyDescent="0.2"/>
    <row r="1019" ht="12.75" x14ac:dyDescent="0.2"/>
    <row r="1020" ht="19.5" customHeight="1" x14ac:dyDescent="0.2"/>
    <row r="1021" ht="12.75" x14ac:dyDescent="0.2"/>
    <row r="1022" ht="20.25" customHeight="1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31" ht="54.75" customHeight="1" x14ac:dyDescent="0.2"/>
    <row r="1033" ht="17.25" customHeight="1" x14ac:dyDescent="0.2"/>
    <row r="1034" ht="12.75" x14ac:dyDescent="0.2"/>
    <row r="1035" ht="12.75" x14ac:dyDescent="0.2"/>
    <row r="1036" ht="12" customHeight="1" x14ac:dyDescent="0.2"/>
    <row r="1037" ht="12.75" x14ac:dyDescent="0.2"/>
    <row r="1038" ht="12.75" x14ac:dyDescent="0.2"/>
    <row r="1039" ht="12.75" x14ac:dyDescent="0.2"/>
    <row r="1040" ht="12.75" x14ac:dyDescent="0.2"/>
    <row r="1041" ht="7.5" customHeight="1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38.25" customHeight="1" x14ac:dyDescent="0.2"/>
    <row r="1055" ht="12.75" x14ac:dyDescent="0.2"/>
    <row r="1056" ht="32.25" customHeight="1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9.5" customHeight="1" x14ac:dyDescent="0.2"/>
    <row r="1066" ht="12.75" x14ac:dyDescent="0.2"/>
    <row r="1067" ht="54.75" customHeight="1" x14ac:dyDescent="0.2"/>
    <row r="1068" ht="12.75" x14ac:dyDescent="0.2"/>
    <row r="1069" ht="25.5" customHeight="1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8" ht="26.25" customHeight="1" x14ac:dyDescent="0.2"/>
    <row r="1079" ht="18.75" customHeight="1" x14ac:dyDescent="0.2"/>
    <row r="1080" ht="20.25" customHeight="1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0.5" customHeight="1" x14ac:dyDescent="0.2"/>
    <row r="1089" ht="10.5" customHeight="1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30.75" customHeight="1" x14ac:dyDescent="0.2"/>
    <row r="1101" ht="12.75" x14ac:dyDescent="0.2"/>
    <row r="1102" ht="33" customHeight="1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customHeight="1" x14ac:dyDescent="0.2"/>
    <row r="1112" ht="12.75" customHeight="1" x14ac:dyDescent="0.2"/>
    <row r="1113" ht="47.25" customHeight="1" x14ac:dyDescent="0.2"/>
    <row r="1114" ht="12.75" x14ac:dyDescent="0.2"/>
    <row r="1115" ht="24.75" customHeight="1" x14ac:dyDescent="0.2"/>
    <row r="1116" ht="21.75" customHeight="1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3.75" customHeight="1" x14ac:dyDescent="0.2"/>
    <row r="1123" ht="12.75" hidden="1" x14ac:dyDescent="0.2"/>
    <row r="1124" ht="19.5" customHeight="1" x14ac:dyDescent="0.2"/>
    <row r="1125" ht="15" customHeight="1" x14ac:dyDescent="0.2"/>
    <row r="1126" ht="19.5" customHeight="1" x14ac:dyDescent="0.2"/>
    <row r="1127" ht="19.5" customHeight="1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6.5" customHeight="1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31.5" customHeight="1" x14ac:dyDescent="0.2"/>
    <row r="1151" ht="12.75" x14ac:dyDescent="0.2"/>
    <row r="1152" ht="31.5" customHeight="1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33.75" customHeight="1" x14ac:dyDescent="0.2"/>
    <row r="1159" ht="12.75" x14ac:dyDescent="0.2"/>
    <row r="1160" ht="17.25" customHeight="1" x14ac:dyDescent="0.2"/>
    <row r="1161" ht="12.75" x14ac:dyDescent="0.2"/>
    <row r="1162" ht="27" customHeight="1" x14ac:dyDescent="0.2"/>
    <row r="1163" ht="57" customHeight="1" x14ac:dyDescent="0.2"/>
    <row r="1164" ht="12.75" x14ac:dyDescent="0.2"/>
    <row r="1165" ht="15" customHeight="1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5.75" customHeight="1" x14ac:dyDescent="0.2"/>
    <row r="1172" ht="17.25" customHeight="1" x14ac:dyDescent="0.2"/>
    <row r="1173" ht="23.25" customHeight="1" x14ac:dyDescent="0.2"/>
    <row r="1174" ht="8.2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30" customHeight="1" x14ac:dyDescent="0.2"/>
    <row r="1202" ht="12.75" x14ac:dyDescent="0.2"/>
    <row r="1203" ht="31.5" customHeight="1" x14ac:dyDescent="0.2"/>
    <row r="1204" ht="12.75" x14ac:dyDescent="0.2"/>
    <row r="1205" ht="45" customHeight="1" x14ac:dyDescent="0.2"/>
    <row r="1206" ht="12.75" x14ac:dyDescent="0.2"/>
    <row r="1207" ht="38.25" customHeight="1" x14ac:dyDescent="0.2"/>
    <row r="1208" ht="12.75" x14ac:dyDescent="0.2"/>
    <row r="1209" ht="18.75" customHeight="1" x14ac:dyDescent="0.2"/>
    <row r="1210" ht="18.75" customHeight="1" x14ac:dyDescent="0.2"/>
    <row r="1211" ht="12.75" x14ac:dyDescent="0.2"/>
    <row r="1212" ht="12.75" x14ac:dyDescent="0.2"/>
    <row r="1213" ht="12.75" x14ac:dyDescent="0.2"/>
    <row r="1214" ht="51.75" customHeight="1" x14ac:dyDescent="0.2"/>
    <row r="1215" ht="12.75" x14ac:dyDescent="0.2"/>
    <row r="1216" ht="15" customHeight="1" x14ac:dyDescent="0.2"/>
    <row r="1217" ht="12.75" x14ac:dyDescent="0.2"/>
    <row r="1218" ht="17.25" customHeight="1" x14ac:dyDescent="0.2"/>
    <row r="1219" ht="18" customHeight="1" x14ac:dyDescent="0.2"/>
    <row r="1220" ht="18" customHeight="1" x14ac:dyDescent="0.2"/>
    <row r="1221" ht="17.25" customHeight="1" x14ac:dyDescent="0.2"/>
    <row r="1225" ht="26.25" customHeight="1" x14ac:dyDescent="0.2"/>
    <row r="1226" ht="12.75" x14ac:dyDescent="0.2"/>
    <row r="1227" ht="12.75" x14ac:dyDescent="0.2"/>
    <row r="1228" ht="10.5" customHeight="1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38.25" customHeight="1" x14ac:dyDescent="0.2"/>
    <row r="1254" ht="12.75" x14ac:dyDescent="0.2"/>
    <row r="1255" ht="39.75" customHeight="1" x14ac:dyDescent="0.2"/>
    <row r="1256" ht="12.75" x14ac:dyDescent="0.2"/>
    <row r="1257" ht="24.75" customHeight="1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8.25" customHeight="1" x14ac:dyDescent="0.2"/>
    <row r="1266" ht="51" customHeight="1" x14ac:dyDescent="0.2"/>
    <row r="1267" ht="15" customHeight="1" x14ac:dyDescent="0.2"/>
    <row r="1268" ht="24.75" customHeight="1" x14ac:dyDescent="0.2"/>
    <row r="1269" ht="12" customHeight="1" x14ac:dyDescent="0.2"/>
    <row r="1273" ht="12.75" x14ac:dyDescent="0.2"/>
    <row r="1274" ht="12.75" x14ac:dyDescent="0.2"/>
    <row r="1275" ht="12.75" x14ac:dyDescent="0.2"/>
    <row r="1276" ht="8.25" customHeight="1" x14ac:dyDescent="0.2"/>
    <row r="1277" ht="9.75" customHeight="1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spans="1:2" ht="12.75" x14ac:dyDescent="0.2"/>
    <row r="1298" spans="1:2" ht="12.75" x14ac:dyDescent="0.2"/>
    <row r="1299" spans="1:2" ht="12.75" x14ac:dyDescent="0.2"/>
    <row r="1300" spans="1:2" ht="36.75" customHeight="1" x14ac:dyDescent="0.2"/>
    <row r="1301" spans="1:2" ht="12.75" x14ac:dyDescent="0.2"/>
    <row r="1302" spans="1:2" ht="39.75" customHeight="1" x14ac:dyDescent="0.2"/>
    <row r="1303" spans="1:2" ht="12.75" x14ac:dyDescent="0.2">
      <c r="A1303" s="51"/>
      <c r="B1303" s="51"/>
    </row>
    <row r="1304" spans="1:2" ht="23.25" customHeight="1" x14ac:dyDescent="0.2"/>
    <row r="1305" spans="1:2" ht="21.75" customHeight="1" x14ac:dyDescent="0.2"/>
    <row r="1306" spans="1:2" ht="12.75" x14ac:dyDescent="0.2"/>
    <row r="1307" spans="1:2" ht="12.75" x14ac:dyDescent="0.2"/>
    <row r="1308" spans="1:2" ht="12.75" x14ac:dyDescent="0.2"/>
    <row r="1309" spans="1:2" ht="12.75" x14ac:dyDescent="0.2"/>
    <row r="1310" spans="1:2" ht="12.75" x14ac:dyDescent="0.2"/>
    <row r="1311" spans="1:2" ht="12.75" x14ac:dyDescent="0.2"/>
    <row r="1312" spans="1:2" ht="12.75" x14ac:dyDescent="0.2"/>
    <row r="1313" ht="47.25" customHeight="1" x14ac:dyDescent="0.2"/>
    <row r="1314" ht="12.75" customHeight="1" x14ac:dyDescent="0.2"/>
    <row r="1315" ht="24.75" customHeight="1" x14ac:dyDescent="0.2"/>
    <row r="1316" ht="24" customHeight="1" x14ac:dyDescent="0.2"/>
    <row r="1321" ht="12.75" x14ac:dyDescent="0.2"/>
    <row r="1322" ht="12" customHeight="1" x14ac:dyDescent="0.2"/>
    <row r="1323" ht="12.75" x14ac:dyDescent="0.2"/>
    <row r="1324" ht="10.5" customHeight="1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customHeight="1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33.75" customHeight="1" x14ac:dyDescent="0.2"/>
    <row r="1350" ht="12.75" x14ac:dyDescent="0.2"/>
    <row r="1351" ht="40.5" customHeight="1" x14ac:dyDescent="0.2"/>
    <row r="1352" ht="21" customHeight="1" x14ac:dyDescent="0.2"/>
    <row r="1353" ht="30.75" customHeight="1" x14ac:dyDescent="0.2"/>
    <row r="1354" ht="21.75" customHeight="1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51" customHeight="1" x14ac:dyDescent="0.2"/>
    <row r="1363" ht="12.75" customHeight="1" x14ac:dyDescent="0.2"/>
    <row r="1364" ht="24.75" customHeight="1" x14ac:dyDescent="0.2"/>
    <row r="1365" ht="13.5" customHeight="1" x14ac:dyDescent="0.2"/>
    <row r="1366" ht="10.5" customHeight="1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40.5" customHeight="1" x14ac:dyDescent="0.2"/>
    <row r="1397" ht="15" customHeight="1" x14ac:dyDescent="0.2"/>
    <row r="1398" ht="43.5" customHeight="1" x14ac:dyDescent="0.2"/>
    <row r="1399" ht="12.75" x14ac:dyDescent="0.2"/>
    <row r="1400" ht="22.5" customHeight="1" x14ac:dyDescent="0.2"/>
    <row r="1401" ht="17.25" customHeight="1" x14ac:dyDescent="0.2"/>
    <row r="1402" ht="12.75" customHeight="1" x14ac:dyDescent="0.2"/>
    <row r="1403" ht="6.75" customHeight="1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50.25" customHeight="1" x14ac:dyDescent="0.2"/>
    <row r="1410" ht="12.75" x14ac:dyDescent="0.2"/>
    <row r="1411" ht="18.75" customHeight="1" x14ac:dyDescent="0.2"/>
    <row r="1413" ht="22.5" customHeight="1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0.5" customHeight="1" x14ac:dyDescent="0.2"/>
    <row r="1421" ht="12" customHeight="1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40.5" customHeight="1" x14ac:dyDescent="0.2"/>
    <row r="1446" ht="12.75" x14ac:dyDescent="0.2"/>
    <row r="1447" ht="42.75" customHeight="1" x14ac:dyDescent="0.2"/>
    <row r="1448" ht="12.75" x14ac:dyDescent="0.2"/>
    <row r="1449" ht="24.75" customHeight="1" x14ac:dyDescent="0.2"/>
    <row r="1450" ht="12" customHeight="1" x14ac:dyDescent="0.2"/>
    <row r="1451" ht="12.75" x14ac:dyDescent="0.2"/>
    <row r="1452" ht="12.75" x14ac:dyDescent="0.2"/>
    <row r="1453" ht="8.25" customHeight="1" x14ac:dyDescent="0.2"/>
    <row r="1454" ht="12.75" x14ac:dyDescent="0.2"/>
    <row r="1455" ht="12.75" x14ac:dyDescent="0.2"/>
    <row r="1456" ht="12.75" x14ac:dyDescent="0.2"/>
    <row r="1458" ht="51" customHeight="1" x14ac:dyDescent="0.2"/>
    <row r="1460" ht="18" customHeight="1" x14ac:dyDescent="0.2"/>
    <row r="1461" ht="14.25" customHeight="1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6" customHeight="1" x14ac:dyDescent="0.2"/>
    <row r="1469" ht="12.75" x14ac:dyDescent="0.2"/>
    <row r="1470" ht="12.75" x14ac:dyDescent="0.2"/>
    <row r="1471" ht="12.75" x14ac:dyDescent="0.2"/>
    <row r="1472" ht="12.75" x14ac:dyDescent="0.2"/>
    <row r="1473" spans="15:20" ht="12.75" x14ac:dyDescent="0.2"/>
    <row r="1474" spans="15:20" ht="12.75" x14ac:dyDescent="0.2"/>
    <row r="1475" spans="15:20" ht="12.75" x14ac:dyDescent="0.2"/>
    <row r="1476" spans="15:20" ht="12.75" x14ac:dyDescent="0.2"/>
    <row r="1477" spans="15:20" ht="12.75" x14ac:dyDescent="0.2"/>
    <row r="1478" spans="15:20" ht="12.75" x14ac:dyDescent="0.2"/>
    <row r="1479" spans="15:20" ht="12.75" x14ac:dyDescent="0.2"/>
    <row r="1480" spans="15:20" ht="12.75" x14ac:dyDescent="0.2"/>
    <row r="1481" spans="15:20" ht="12.75" x14ac:dyDescent="0.2"/>
    <row r="1482" spans="15:20" ht="12.75" x14ac:dyDescent="0.2"/>
    <row r="1483" spans="15:20" ht="12.75" x14ac:dyDescent="0.2"/>
    <row r="1484" spans="15:20" ht="12.75" x14ac:dyDescent="0.2"/>
    <row r="1485" spans="15:20" ht="12.75" x14ac:dyDescent="0.2">
      <c r="O1485" s="51"/>
      <c r="P1485" s="51"/>
      <c r="Q1485" s="51"/>
      <c r="R1485" s="51"/>
      <c r="S1485" s="51"/>
      <c r="T1485" s="51"/>
    </row>
    <row r="1486" spans="15:20" ht="12.75" x14ac:dyDescent="0.2"/>
    <row r="1487" spans="15:20" ht="12.75" x14ac:dyDescent="0.2"/>
    <row r="1488" spans="15:20" ht="12.75" x14ac:dyDescent="0.2"/>
    <row r="1489" spans="1:20" ht="12.75" x14ac:dyDescent="0.2"/>
    <row r="1490" spans="1:20" ht="12.75" x14ac:dyDescent="0.2"/>
    <row r="1491" spans="1:20" ht="12.75" x14ac:dyDescent="0.2"/>
    <row r="1492" spans="1:20" ht="12.75" x14ac:dyDescent="0.2"/>
    <row r="1493" spans="1:20" ht="12.75" x14ac:dyDescent="0.2"/>
    <row r="1494" spans="1:20" ht="40.5" customHeight="1" x14ac:dyDescent="0.2"/>
    <row r="1495" spans="1:20" ht="12.75" x14ac:dyDescent="0.2"/>
    <row r="1496" spans="1:20" ht="42" customHeight="1" x14ac:dyDescent="0.2"/>
    <row r="1497" spans="1:20" ht="22.5" customHeight="1" x14ac:dyDescent="0.2"/>
    <row r="1498" spans="1:20" ht="27" customHeight="1" x14ac:dyDescent="0.2"/>
    <row r="1499" spans="1:20" s="51" customFormat="1" ht="16.5" customHeight="1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1:20" ht="12.75" x14ac:dyDescent="0.2"/>
    <row r="1501" spans="1:20" ht="12.75" x14ac:dyDescent="0.2"/>
    <row r="1502" spans="1:20" ht="12.75" x14ac:dyDescent="0.2"/>
    <row r="1503" spans="1:20" ht="12.75" x14ac:dyDescent="0.2"/>
    <row r="1504" spans="1:20" ht="12.75" x14ac:dyDescent="0.2"/>
    <row r="1507" ht="51" customHeight="1" x14ac:dyDescent="0.2"/>
    <row r="1508" ht="10.5" customHeight="1" x14ac:dyDescent="0.2"/>
    <row r="1509" ht="19.5" customHeight="1" x14ac:dyDescent="0.2"/>
    <row r="1510" ht="10.5" customHeight="1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9.75" customHeight="1" x14ac:dyDescent="0.2"/>
    <row r="1517" ht="12.75" x14ac:dyDescent="0.2"/>
    <row r="1518" ht="8.25" customHeight="1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38.25" customHeight="1" x14ac:dyDescent="0.2"/>
    <row r="1543" ht="12.75" x14ac:dyDescent="0.2"/>
    <row r="1544" ht="39" customHeight="1" x14ac:dyDescent="0.2"/>
    <row r="1545" ht="15.75" customHeight="1" x14ac:dyDescent="0.2"/>
    <row r="1546" ht="21.75" customHeight="1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5" ht="45.75" customHeight="1" x14ac:dyDescent="0.2"/>
    <row r="1556" ht="11.25" customHeight="1" x14ac:dyDescent="0.2"/>
    <row r="1557" ht="21.75" customHeight="1" x14ac:dyDescent="0.2"/>
    <row r="1558" ht="12.75" customHeight="1" x14ac:dyDescent="0.2"/>
    <row r="1559" ht="7.5" customHeight="1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8.25" customHeight="1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36" customHeight="1" x14ac:dyDescent="0.2"/>
    <row r="1590" ht="12.75" x14ac:dyDescent="0.2"/>
    <row r="1591" ht="44.25" customHeight="1" x14ac:dyDescent="0.2"/>
    <row r="1592" ht="12.75" x14ac:dyDescent="0.2"/>
    <row r="1593" ht="14.25" customHeight="1" x14ac:dyDescent="0.2"/>
    <row r="1594" ht="20.25" customHeight="1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2" ht="45" customHeight="1" x14ac:dyDescent="0.2"/>
    <row r="1603" ht="10.5" customHeight="1" x14ac:dyDescent="0.2"/>
    <row r="1604" ht="25.5" customHeight="1" x14ac:dyDescent="0.2"/>
    <row r="1605" ht="14.25" customHeight="1" x14ac:dyDescent="0.2"/>
    <row r="1606" ht="9.75" customHeight="1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6" customHeight="1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" customHeight="1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42.75" customHeight="1" x14ac:dyDescent="0.2"/>
    <row r="1638" ht="12.75" x14ac:dyDescent="0.2"/>
    <row r="1639" ht="31.5" customHeight="1" x14ac:dyDescent="0.2"/>
    <row r="1640" ht="12.75" x14ac:dyDescent="0.2"/>
    <row r="1641" ht="24" customHeight="1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50" ht="46.5" customHeight="1" x14ac:dyDescent="0.2"/>
    <row r="1651" ht="11.25" customHeight="1" x14ac:dyDescent="0.2"/>
    <row r="1652" ht="20.25" customHeight="1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7.5" customHeight="1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" customHeight="1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38.25" customHeight="1" x14ac:dyDescent="0.2"/>
    <row r="1684" ht="12.75" x14ac:dyDescent="0.2"/>
    <row r="1685" ht="36" customHeight="1" x14ac:dyDescent="0.2"/>
    <row r="1686" ht="12.75" x14ac:dyDescent="0.2"/>
    <row r="1687" ht="21.75" customHeight="1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6" ht="49.5" customHeight="1" x14ac:dyDescent="0.2"/>
    <row r="1697" ht="14.25" customHeight="1" x14ac:dyDescent="0.2"/>
    <row r="1698" ht="20.25" customHeight="1" x14ac:dyDescent="0.2"/>
    <row r="1699" ht="14.25" customHeight="1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6.75" customHeight="1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0.5" customHeight="1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37.5" customHeight="1" x14ac:dyDescent="0.2"/>
    <row r="1730" ht="12.75" x14ac:dyDescent="0.2"/>
    <row r="1731" ht="39" customHeight="1" x14ac:dyDescent="0.2"/>
    <row r="1732" ht="12.75" x14ac:dyDescent="0.2"/>
    <row r="1733" ht="21" customHeight="1" x14ac:dyDescent="0.2"/>
    <row r="1734" ht="21" customHeight="1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2" ht="52.5" customHeight="1" x14ac:dyDescent="0.2"/>
    <row r="1743" ht="12" customHeight="1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0.5" customHeight="1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" customHeight="1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33" customHeight="1" x14ac:dyDescent="0.2"/>
    <row r="1778" ht="12.75" x14ac:dyDescent="0.2"/>
    <row r="1779" ht="37.5" customHeight="1" x14ac:dyDescent="0.2"/>
    <row r="1780" ht="12.75" x14ac:dyDescent="0.2"/>
    <row r="1781" ht="22.5" customHeight="1" x14ac:dyDescent="0.2"/>
    <row r="1782" ht="22.5" customHeight="1" x14ac:dyDescent="0.2"/>
    <row r="1783" ht="12.75" x14ac:dyDescent="0.2"/>
    <row r="1784" ht="12.75" x14ac:dyDescent="0.2"/>
    <row r="1785" ht="12.75" x14ac:dyDescent="0.2"/>
    <row r="1786" ht="12.75" x14ac:dyDescent="0.2"/>
    <row r="1790" ht="51" customHeight="1" x14ac:dyDescent="0.2"/>
    <row r="1791" ht="9" customHeight="1" x14ac:dyDescent="0.2"/>
    <row r="1792" ht="20.25" customHeight="1" x14ac:dyDescent="0.2"/>
    <row r="1793" ht="10.5" customHeight="1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7.5" customHeight="1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7.25" customHeight="1" x14ac:dyDescent="0.2"/>
    <row r="1823" ht="17.25" customHeight="1" x14ac:dyDescent="0.2"/>
    <row r="1824" ht="17.25" customHeight="1" x14ac:dyDescent="0.2"/>
    <row r="1825" ht="12.75" x14ac:dyDescent="0.2"/>
    <row r="1826" ht="38.25" customHeight="1" x14ac:dyDescent="0.2"/>
    <row r="1827" ht="12.75" x14ac:dyDescent="0.2"/>
    <row r="1828" ht="39.75" customHeight="1" x14ac:dyDescent="0.2"/>
    <row r="1829" ht="12.75" x14ac:dyDescent="0.2"/>
    <row r="1830" ht="24.75" customHeight="1" x14ac:dyDescent="0.2"/>
    <row r="1831" ht="20.25" customHeight="1" x14ac:dyDescent="0.2"/>
    <row r="1832" ht="12.75" x14ac:dyDescent="0.2"/>
    <row r="1837" ht="12.75" x14ac:dyDescent="0.2"/>
    <row r="1838" ht="12.75" x14ac:dyDescent="0.2"/>
    <row r="1839" ht="49.5" customHeight="1" x14ac:dyDescent="0.2"/>
    <row r="1840" ht="12.75" x14ac:dyDescent="0.2"/>
    <row r="1841" ht="22.5" customHeight="1" x14ac:dyDescent="0.2"/>
    <row r="1842" ht="9.75" customHeight="1" x14ac:dyDescent="0.2"/>
    <row r="1843" ht="12.75" customHeight="1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36" customHeight="1" x14ac:dyDescent="0.2"/>
    <row r="1874" ht="12.75" x14ac:dyDescent="0.2"/>
    <row r="1875" ht="38.25" customHeight="1" x14ac:dyDescent="0.2"/>
    <row r="1876" ht="12.75" x14ac:dyDescent="0.2"/>
    <row r="1877" ht="16.5" customHeight="1" x14ac:dyDescent="0.2"/>
    <row r="1878" ht="16.5" customHeight="1" x14ac:dyDescent="0.2"/>
    <row r="1879" ht="12.75" x14ac:dyDescent="0.2"/>
    <row r="1885" ht="12.75" x14ac:dyDescent="0.2"/>
    <row r="1886" ht="48" customHeight="1" x14ac:dyDescent="0.2"/>
    <row r="1887" ht="12.75" x14ac:dyDescent="0.2"/>
    <row r="1888" ht="18" customHeight="1" x14ac:dyDescent="0.2"/>
    <row r="1889" ht="12.75" x14ac:dyDescent="0.2"/>
    <row r="1890" ht="8.25" customHeight="1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0.5" customHeight="1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34.5" customHeight="1" x14ac:dyDescent="0.2"/>
    <row r="1921" spans="16:16" ht="9" customHeight="1" x14ac:dyDescent="0.2"/>
    <row r="1922" spans="16:16" ht="34.5" customHeight="1" x14ac:dyDescent="0.2"/>
    <row r="1923" spans="16:16" ht="12.75" x14ac:dyDescent="0.2"/>
    <row r="1924" spans="16:16" ht="20.25" customHeight="1" x14ac:dyDescent="0.2"/>
    <row r="1925" spans="16:16" ht="20.25" customHeight="1" x14ac:dyDescent="0.2"/>
    <row r="1926" spans="16:16" ht="12.75" x14ac:dyDescent="0.2"/>
    <row r="1927" spans="16:16" ht="12.75" x14ac:dyDescent="0.2"/>
    <row r="1928" spans="16:16" ht="5.65" customHeight="1" x14ac:dyDescent="0.2">
      <c r="P1928" s="37"/>
    </row>
    <row r="1929" spans="16:16" ht="5.65" customHeight="1" x14ac:dyDescent="0.25">
      <c r="P1929" s="1"/>
    </row>
    <row r="1930" spans="16:16" ht="5.65" customHeight="1" x14ac:dyDescent="0.25">
      <c r="P1930" s="1"/>
    </row>
    <row r="1932" spans="16:16" ht="14.25" x14ac:dyDescent="0.2">
      <c r="P1932" s="37"/>
    </row>
    <row r="1933" spans="16:16" ht="46.5" customHeight="1" x14ac:dyDescent="0.25">
      <c r="P1933" s="1"/>
    </row>
    <row r="1934" spans="16:16" ht="15" x14ac:dyDescent="0.25">
      <c r="P1934" s="1"/>
    </row>
    <row r="1935" spans="16:16" ht="21" customHeight="1" x14ac:dyDescent="0.2"/>
    <row r="1936" spans="16:1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9.75" customHeight="1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spans="14:14" ht="12.75" x14ac:dyDescent="0.2"/>
    <row r="1954" spans="14:14" ht="12.75" x14ac:dyDescent="0.2"/>
    <row r="1955" spans="14:14" ht="12.75" x14ac:dyDescent="0.2"/>
    <row r="1956" spans="14:14" ht="12.75" x14ac:dyDescent="0.2"/>
    <row r="1957" spans="14:14" ht="12.75" x14ac:dyDescent="0.2"/>
    <row r="1958" spans="14:14" ht="12.75" x14ac:dyDescent="0.2"/>
    <row r="1959" spans="14:14" ht="12.75" x14ac:dyDescent="0.2"/>
    <row r="1960" spans="14:14" ht="12.75" x14ac:dyDescent="0.2"/>
    <row r="1961" spans="14:14" ht="17.25" customHeight="1" x14ac:dyDescent="0.2"/>
    <row r="1962" spans="14:14" ht="12.75" x14ac:dyDescent="0.2"/>
    <row r="1963" spans="14:14" ht="12.75" x14ac:dyDescent="0.2"/>
    <row r="1964" spans="14:14" ht="12.75" x14ac:dyDescent="0.2"/>
    <row r="1965" spans="14:14" ht="12.75" x14ac:dyDescent="0.2"/>
    <row r="1966" spans="14:14" ht="14.25" x14ac:dyDescent="0.2">
      <c r="N1966" s="37"/>
    </row>
    <row r="1967" spans="14:14" ht="38.25" customHeight="1" x14ac:dyDescent="0.25">
      <c r="N1967" s="1"/>
    </row>
    <row r="1968" spans="14:14" ht="15" x14ac:dyDescent="0.25">
      <c r="N1968" s="1"/>
    </row>
    <row r="1969" ht="39.75" customHeight="1" x14ac:dyDescent="0.2"/>
    <row r="1970" ht="17.25" customHeight="1" x14ac:dyDescent="0.2"/>
    <row r="1971" ht="21.75" customHeight="1" x14ac:dyDescent="0.2"/>
    <row r="1972" ht="12.75" x14ac:dyDescent="0.2"/>
    <row r="1973" ht="12.75" x14ac:dyDescent="0.2"/>
    <row r="1974" ht="8.25" customHeight="1" x14ac:dyDescent="0.2"/>
    <row r="1978" ht="12.75" x14ac:dyDescent="0.2"/>
    <row r="1979" ht="12.75" x14ac:dyDescent="0.2"/>
    <row r="1980" ht="51" customHeight="1" x14ac:dyDescent="0.2"/>
    <row r="1981" ht="12.75" x14ac:dyDescent="0.2"/>
    <row r="1982" ht="24" customHeight="1" x14ac:dyDescent="0.2"/>
    <row r="1983" ht="12.75" x14ac:dyDescent="0.2"/>
    <row r="1984" ht="9.75" customHeight="1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6" customHeight="1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spans="14:14" ht="12.75" x14ac:dyDescent="0.2"/>
    <row r="2002" spans="14:14" ht="12.75" x14ac:dyDescent="0.2"/>
    <row r="2003" spans="14:14" ht="12.75" x14ac:dyDescent="0.2"/>
    <row r="2004" spans="14:14" ht="12.75" x14ac:dyDescent="0.2"/>
    <row r="2005" spans="14:14" ht="12.75" x14ac:dyDescent="0.2"/>
    <row r="2006" spans="14:14" ht="12.75" x14ac:dyDescent="0.2"/>
    <row r="2007" spans="14:14" ht="12.75" x14ac:dyDescent="0.2"/>
    <row r="2008" spans="14:14" ht="12.75" x14ac:dyDescent="0.2"/>
    <row r="2009" spans="14:14" ht="12.75" x14ac:dyDescent="0.2"/>
    <row r="2010" spans="14:14" ht="12.75" x14ac:dyDescent="0.2"/>
    <row r="2011" spans="14:14" ht="12.75" x14ac:dyDescent="0.2"/>
    <row r="2012" spans="14:14" ht="14.25" x14ac:dyDescent="0.2">
      <c r="N2012" s="37"/>
    </row>
    <row r="2013" spans="14:14" ht="45.75" customHeight="1" x14ac:dyDescent="0.25">
      <c r="N2013" s="1"/>
    </row>
    <row r="2014" spans="14:14" ht="15" x14ac:dyDescent="0.25">
      <c r="N2014" s="1"/>
    </row>
    <row r="2015" spans="14:14" ht="36.75" customHeight="1" x14ac:dyDescent="0.2"/>
    <row r="2016" spans="14:14" ht="23.25" customHeight="1" x14ac:dyDescent="0.2"/>
    <row r="2017" ht="21.75" customHeight="1" x14ac:dyDescent="0.2"/>
    <row r="2018" ht="21.75" customHeight="1" x14ac:dyDescent="0.2"/>
    <row r="2019" ht="12.75" x14ac:dyDescent="0.2"/>
    <row r="2020" ht="12.75" x14ac:dyDescent="0.2"/>
    <row r="2026" ht="51" customHeight="1" x14ac:dyDescent="0.2"/>
    <row r="2027" ht="12.75" x14ac:dyDescent="0.2"/>
    <row r="2028" ht="23.25" customHeight="1" x14ac:dyDescent="0.2"/>
    <row r="2029" ht="12.75" x14ac:dyDescent="0.2"/>
    <row r="2030" ht="8.25" customHeight="1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6" customHeight="1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spans="17:17" ht="12.75" x14ac:dyDescent="0.2"/>
    <row r="2050" spans="17:17" ht="12.75" x14ac:dyDescent="0.2"/>
    <row r="2051" spans="17:17" ht="14.25" x14ac:dyDescent="0.2">
      <c r="Q2051" s="37"/>
    </row>
    <row r="2052" spans="17:17" ht="15" x14ac:dyDescent="0.25">
      <c r="Q2052" s="1"/>
    </row>
    <row r="2053" spans="17:17" ht="15" x14ac:dyDescent="0.25">
      <c r="Q2053" s="1"/>
    </row>
    <row r="2054" spans="17:17" ht="12.75" x14ac:dyDescent="0.2"/>
    <row r="2055" spans="17:17" ht="12.75" x14ac:dyDescent="0.2"/>
    <row r="2056" spans="17:17" ht="12.75" x14ac:dyDescent="0.2"/>
    <row r="2057" spans="17:17" ht="12.75" x14ac:dyDescent="0.2"/>
    <row r="2058" spans="17:17" ht="12.75" x14ac:dyDescent="0.2"/>
    <row r="2059" spans="17:17" ht="12.75" x14ac:dyDescent="0.2"/>
    <row r="2060" spans="17:17" ht="33.75" customHeight="1" x14ac:dyDescent="0.2"/>
    <row r="2061" spans="17:17" ht="12.75" x14ac:dyDescent="0.2"/>
    <row r="2062" spans="17:17" ht="45" customHeight="1" x14ac:dyDescent="0.2"/>
    <row r="2063" spans="17:17" ht="12.75" x14ac:dyDescent="0.2"/>
    <row r="2064" spans="17:17" ht="21" customHeight="1" x14ac:dyDescent="0.2"/>
    <row r="2065" ht="18.75" customHeight="1" x14ac:dyDescent="0.2"/>
    <row r="2066" ht="19.5" customHeight="1" x14ac:dyDescent="0.2"/>
    <row r="2067" ht="12.75" x14ac:dyDescent="0.2"/>
    <row r="2068" ht="12.75" x14ac:dyDescent="0.2"/>
    <row r="2073" ht="52.5" customHeight="1" x14ac:dyDescent="0.2"/>
    <row r="2074" ht="12.75" x14ac:dyDescent="0.2"/>
    <row r="2075" ht="25.5" customHeight="1" x14ac:dyDescent="0.2"/>
    <row r="2076" ht="12.75" x14ac:dyDescent="0.2"/>
    <row r="2077" ht="9.75" customHeight="1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9" customHeight="1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40.5" customHeight="1" x14ac:dyDescent="0.2"/>
    <row r="2107" ht="12.75" x14ac:dyDescent="0.2"/>
    <row r="2108" ht="38.25" customHeight="1" x14ac:dyDescent="0.2"/>
    <row r="2109" ht="12.75" x14ac:dyDescent="0.2"/>
    <row r="2110" ht="20.25" customHeight="1" x14ac:dyDescent="0.2"/>
    <row r="2111" ht="20.25" customHeight="1" x14ac:dyDescent="0.2"/>
    <row r="2112" ht="20.25" customHeight="1" x14ac:dyDescent="0.2"/>
    <row r="2113" ht="5.25" customHeight="1" x14ac:dyDescent="0.2"/>
    <row r="2114" ht="12.75" x14ac:dyDescent="0.2"/>
    <row r="2115" ht="12.75" x14ac:dyDescent="0.2"/>
    <row r="2119" ht="50.25" customHeight="1" x14ac:dyDescent="0.2"/>
    <row r="2120" ht="12" customHeight="1" x14ac:dyDescent="0.2"/>
    <row r="2121" ht="21" customHeight="1" x14ac:dyDescent="0.2"/>
    <row r="2122" ht="12.75" x14ac:dyDescent="0.2"/>
    <row r="2123" ht="7.5" customHeight="1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33" customHeight="1" x14ac:dyDescent="0.2"/>
    <row r="2154" ht="12.75" x14ac:dyDescent="0.2"/>
    <row r="2155" ht="35.25" customHeight="1" x14ac:dyDescent="0.2"/>
    <row r="2156" ht="24" customHeight="1" x14ac:dyDescent="0.2"/>
    <row r="2157" ht="19.5" customHeight="1" x14ac:dyDescent="0.2"/>
    <row r="2158" ht="19.5" customHeight="1" x14ac:dyDescent="0.2"/>
    <row r="2159" ht="19.5" customHeight="1" x14ac:dyDescent="0.2"/>
    <row r="2160" ht="12.75" x14ac:dyDescent="0.2"/>
    <row r="2161" ht="12.75" x14ac:dyDescent="0.2"/>
    <row r="2162" ht="12.75" x14ac:dyDescent="0.2"/>
    <row r="2166" ht="46.5" customHeight="1" x14ac:dyDescent="0.2"/>
    <row r="2168" ht="18" customHeight="1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48" ht="38.25" customHeight="1" x14ac:dyDescent="0.2"/>
    <row r="2250" ht="38.25" customHeight="1" x14ac:dyDescent="0.2"/>
    <row r="2252" ht="18.75" customHeight="1" x14ac:dyDescent="0.2"/>
    <row r="2253" ht="18.75" customHeight="1" x14ac:dyDescent="0.2"/>
    <row r="2261" ht="54.75" customHeight="1" x14ac:dyDescent="0.2"/>
    <row r="2263" ht="19.5" customHeight="1" x14ac:dyDescent="0.2"/>
    <row r="2286" ht="12" customHeight="1" x14ac:dyDescent="0.2"/>
    <row r="2294" ht="43.5" customHeight="1" x14ac:dyDescent="0.2"/>
    <row r="2296" ht="39.75" customHeight="1" x14ac:dyDescent="0.2"/>
    <row r="2297" ht="21" customHeight="1" x14ac:dyDescent="0.2"/>
    <row r="2298" ht="20.25" customHeight="1" x14ac:dyDescent="0.2"/>
    <row r="2299" ht="20.25" customHeight="1" x14ac:dyDescent="0.2"/>
    <row r="2307" ht="50.25" customHeight="1" x14ac:dyDescent="0.2"/>
    <row r="2308" ht="12" customHeight="1" x14ac:dyDescent="0.2"/>
    <row r="2342" ht="42" customHeight="1" x14ac:dyDescent="0.2"/>
    <row r="2344" ht="39.75" customHeight="1" x14ac:dyDescent="0.2"/>
    <row r="2346" ht="22.5" customHeight="1" x14ac:dyDescent="0.2"/>
    <row r="2347" ht="22.5" customHeight="1" x14ac:dyDescent="0.2"/>
    <row r="2355" ht="49.5" customHeight="1" x14ac:dyDescent="0.2"/>
    <row r="2357" ht="21" customHeight="1" x14ac:dyDescent="0.2"/>
    <row r="2359" ht="8.25" customHeight="1" x14ac:dyDescent="0.2"/>
    <row r="2389" ht="36" customHeight="1" x14ac:dyDescent="0.2"/>
    <row r="2391" ht="35.25" customHeight="1" x14ac:dyDescent="0.2"/>
    <row r="2393" ht="18" customHeight="1" x14ac:dyDescent="0.2"/>
    <row r="2394" ht="18" customHeight="1" x14ac:dyDescent="0.2"/>
    <row r="2402" ht="48" customHeight="1" x14ac:dyDescent="0.2"/>
    <row r="2404" ht="20.25" customHeight="1" x14ac:dyDescent="0.2"/>
    <row r="2436" ht="37.5" customHeight="1" x14ac:dyDescent="0.2"/>
    <row r="2438" ht="36.75" customHeight="1" x14ac:dyDescent="0.2"/>
    <row r="2440" ht="18.75" customHeight="1" x14ac:dyDescent="0.2"/>
    <row r="2441" ht="18.75" customHeight="1" x14ac:dyDescent="0.2"/>
    <row r="2449" ht="46.5" customHeight="1" x14ac:dyDescent="0.2"/>
    <row r="2451" ht="22.5" customHeight="1" x14ac:dyDescent="0.2"/>
    <row r="2453" ht="12.75" customHeight="1" x14ac:dyDescent="0.2"/>
    <row r="2458" ht="13.5" customHeight="1" x14ac:dyDescent="0.2"/>
    <row r="2460" ht="9.75" customHeight="1" x14ac:dyDescent="0.2"/>
    <row r="2485" ht="39.75" customHeight="1" x14ac:dyDescent="0.2"/>
    <row r="2487" ht="38.25" customHeight="1" x14ac:dyDescent="0.2"/>
    <row r="2498" ht="46.5" customHeight="1" x14ac:dyDescent="0.2"/>
  </sheetData>
  <mergeCells count="9">
    <mergeCell ref="H41:I41"/>
    <mergeCell ref="J34:L34"/>
    <mergeCell ref="A7:L7"/>
    <mergeCell ref="A17:L17"/>
    <mergeCell ref="B19:L19"/>
    <mergeCell ref="E21:F21"/>
    <mergeCell ref="B29:L29"/>
    <mergeCell ref="A31:L31"/>
    <mergeCell ref="C21:D21"/>
  </mergeCells>
  <pageMargins left="0.5" right="0.2" top="0.75" bottom="1" header="0.5" footer="0.5"/>
  <pageSetup paperSize="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700D-F94B-4AC0-9181-276FE5E87E3F}">
  <dimension ref="A3:X296"/>
  <sheetViews>
    <sheetView topLeftCell="A265" zoomScaleNormal="100" zoomScaleSheetLayoutView="100" workbookViewId="0">
      <selection activeCell="D273" sqref="D273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15.42578125" style="4" customWidth="1"/>
    <col min="6" max="6" width="13" style="4" customWidth="1"/>
    <col min="7" max="7" width="2.85546875" style="4" customWidth="1"/>
    <col min="8" max="8" width="7.5703125" style="4" customWidth="1"/>
    <col min="9" max="9" width="18.140625" style="4" customWidth="1"/>
    <col min="10" max="10" width="6.28515625" style="4" customWidth="1"/>
    <col min="11" max="11" width="5.28515625" style="4" customWidth="1"/>
    <col min="12" max="12" width="2.140625" style="4" customWidth="1"/>
    <col min="13" max="13" width="4.140625" style="4" customWidth="1"/>
    <col min="14" max="14" width="4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0" width="9.140625" style="4"/>
    <col min="21" max="21" width="13.5703125" style="4" customWidth="1"/>
    <col min="22" max="22" width="9.140625" style="4"/>
    <col min="23" max="23" width="12.5703125" style="4" bestFit="1" customWidth="1"/>
    <col min="24" max="16384" width="9.140625" style="4"/>
  </cols>
  <sheetData>
    <row r="3" spans="1:12" ht="21.95" customHeight="1" x14ac:dyDescent="0.25">
      <c r="A3" s="3" t="s">
        <v>22</v>
      </c>
    </row>
    <row r="4" spans="1:12" ht="21.95" customHeight="1" x14ac:dyDescent="0.2">
      <c r="A4" s="122" t="s">
        <v>20</v>
      </c>
    </row>
    <row r="5" spans="1:12" ht="21.95" customHeight="1" x14ac:dyDescent="0.2">
      <c r="A5" s="122" t="s">
        <v>21</v>
      </c>
    </row>
    <row r="9" spans="1:12" ht="21.9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21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21.9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21.95" customHeight="1" x14ac:dyDescent="0.25">
      <c r="A12" s="1"/>
      <c r="B12" s="1"/>
    </row>
    <row r="13" spans="1:12" ht="21.95" customHeight="1" x14ac:dyDescent="0.25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s="76" customFormat="1" ht="21.9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.95" customHeight="1" x14ac:dyDescent="0.25">
      <c r="A15" s="1" t="s">
        <v>8</v>
      </c>
      <c r="B15" s="1"/>
      <c r="C15" s="9" t="s">
        <v>1</v>
      </c>
      <c r="D15" s="40" t="s">
        <v>557</v>
      </c>
      <c r="E15" s="50"/>
      <c r="F15" s="50"/>
      <c r="G15" s="50"/>
      <c r="H15" s="50"/>
      <c r="I15" s="1"/>
      <c r="J15" s="1"/>
      <c r="K15" s="1"/>
      <c r="L15" s="1"/>
    </row>
    <row r="16" spans="1:12" ht="21.95" customHeight="1" x14ac:dyDescent="0.25">
      <c r="A16" s="1" t="s">
        <v>9</v>
      </c>
      <c r="B16" s="1"/>
      <c r="C16" s="9" t="s">
        <v>1</v>
      </c>
      <c r="D16" s="7" t="s">
        <v>558</v>
      </c>
      <c r="E16" s="50"/>
      <c r="F16" s="50"/>
      <c r="G16" s="50"/>
      <c r="H16" s="50"/>
      <c r="I16" s="1"/>
      <c r="J16" s="1"/>
      <c r="K16" s="1"/>
      <c r="L16" s="1"/>
    </row>
    <row r="17" spans="1:12" ht="21.95" customHeight="1" x14ac:dyDescent="0.2">
      <c r="A17" s="50" t="s">
        <v>10</v>
      </c>
      <c r="B17" s="50"/>
      <c r="C17" s="91" t="s">
        <v>1</v>
      </c>
      <c r="D17" s="50" t="s">
        <v>525</v>
      </c>
      <c r="E17" s="50"/>
      <c r="F17" s="50"/>
      <c r="G17" s="50"/>
      <c r="H17" s="50"/>
      <c r="I17" s="50"/>
      <c r="J17" s="50"/>
      <c r="K17" s="50"/>
      <c r="L17" s="50"/>
    </row>
    <row r="18" spans="1:12" ht="21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s="148" customFormat="1" ht="32.25" customHeight="1" x14ac:dyDescent="0.2">
      <c r="A19" s="280" t="s">
        <v>559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</row>
    <row r="20" spans="1:12" ht="21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43.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21.95" customHeight="1" thickTop="1" x14ac:dyDescent="0.25">
      <c r="A22" s="1"/>
      <c r="B22" s="11" t="s">
        <v>3</v>
      </c>
      <c r="C22" s="180" t="s">
        <v>4</v>
      </c>
      <c r="D22" s="181"/>
      <c r="E22" s="181"/>
      <c r="F22" s="181"/>
      <c r="G22" s="181"/>
      <c r="H22" s="182"/>
      <c r="I22" s="11" t="s">
        <v>5</v>
      </c>
      <c r="J22" s="180" t="s">
        <v>17</v>
      </c>
      <c r="K22" s="181"/>
      <c r="L22" s="182"/>
    </row>
    <row r="23" spans="1:12" ht="21.95" customHeight="1" x14ac:dyDescent="0.2">
      <c r="A23" s="50"/>
      <c r="B23" s="143">
        <v>1</v>
      </c>
      <c r="C23" s="281" t="s">
        <v>545</v>
      </c>
      <c r="D23" s="282"/>
      <c r="E23" s="282"/>
      <c r="F23" s="282"/>
      <c r="G23" s="50"/>
      <c r="H23" s="55"/>
      <c r="I23" s="56">
        <v>300000</v>
      </c>
      <c r="J23" s="50"/>
      <c r="K23" s="50"/>
      <c r="L23" s="55"/>
    </row>
    <row r="24" spans="1:12" ht="21.95" customHeight="1" x14ac:dyDescent="0.25">
      <c r="A24" s="1"/>
      <c r="B24" s="96"/>
      <c r="C24" s="124"/>
      <c r="D24" s="124"/>
      <c r="E24" s="127"/>
      <c r="F24" s="125"/>
      <c r="G24" s="124"/>
      <c r="H24" s="124"/>
      <c r="I24" s="183"/>
      <c r="J24" s="1"/>
      <c r="K24" s="1"/>
      <c r="L24" s="42"/>
    </row>
    <row r="25" spans="1:12" ht="21.9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f>I23</f>
        <v>300000</v>
      </c>
      <c r="J25" s="1"/>
      <c r="K25" s="1"/>
      <c r="L25" s="42"/>
    </row>
    <row r="26" spans="1:12" ht="21.9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</row>
    <row r="27" spans="1:12" ht="21.9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6.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</row>
    <row r="29" spans="1:12" ht="21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1.95" customHeight="1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</row>
    <row r="31" spans="1:12" ht="21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1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1.95" customHeight="1" x14ac:dyDescent="0.25">
      <c r="A33" s="1"/>
      <c r="B33" s="1"/>
      <c r="C33" s="1"/>
      <c r="D33" s="1"/>
      <c r="E33" s="1"/>
      <c r="F33" s="1"/>
      <c r="G33" s="1"/>
      <c r="H33" s="1" t="s">
        <v>546</v>
      </c>
      <c r="I33" s="1"/>
      <c r="J33" s="283" t="s">
        <v>565</v>
      </c>
      <c r="K33" s="283"/>
      <c r="L33" s="283"/>
    </row>
    <row r="34" spans="1:12" ht="15" customHeight="1" x14ac:dyDescent="0.25">
      <c r="A34" s="1"/>
      <c r="B34" s="1" t="s">
        <v>15</v>
      </c>
      <c r="C34" s="1"/>
      <c r="D34" s="1"/>
      <c r="E34" s="1"/>
      <c r="F34" s="1"/>
      <c r="G34" s="1"/>
      <c r="H34" s="1" t="s">
        <v>13</v>
      </c>
      <c r="I34" s="1"/>
      <c r="J34" s="1"/>
      <c r="K34" s="1"/>
      <c r="L34" s="1"/>
    </row>
    <row r="35" spans="1:12" ht="16.5" customHeight="1" x14ac:dyDescent="0.25">
      <c r="A35" s="1"/>
      <c r="B35" s="1" t="s">
        <v>18</v>
      </c>
      <c r="C35" s="1"/>
      <c r="D35" s="1"/>
      <c r="E35" s="1"/>
      <c r="F35" s="1"/>
      <c r="G35" s="1"/>
      <c r="H35" s="1" t="s">
        <v>14</v>
      </c>
      <c r="I35" s="1"/>
      <c r="J35" s="1"/>
      <c r="K35" s="1"/>
      <c r="L35" s="1"/>
    </row>
    <row r="36" spans="1:12" ht="2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1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1.7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1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1.95" customHeight="1" x14ac:dyDescent="0.25">
      <c r="A40" s="1"/>
      <c r="B40" s="37" t="s">
        <v>77</v>
      </c>
      <c r="C40" s="1"/>
      <c r="D40" s="1"/>
      <c r="E40" s="1"/>
      <c r="F40" s="1"/>
      <c r="G40" s="1"/>
      <c r="H40" s="37" t="str">
        <f>D15</f>
        <v>JULIYARDI, ST</v>
      </c>
      <c r="I40" s="37"/>
      <c r="J40" s="40"/>
      <c r="K40" s="1"/>
      <c r="L40" s="1"/>
    </row>
    <row r="41" spans="1:12" ht="21.95" customHeight="1" x14ac:dyDescent="0.25">
      <c r="A41" s="1"/>
      <c r="B41" s="48" t="s">
        <v>27</v>
      </c>
      <c r="C41" s="7"/>
      <c r="D41" s="1"/>
      <c r="E41" s="1"/>
      <c r="F41" s="1"/>
      <c r="G41" s="1"/>
      <c r="H41" s="48" t="s">
        <v>560</v>
      </c>
      <c r="I41" s="1"/>
      <c r="J41" s="1"/>
      <c r="K41" s="1"/>
      <c r="L41" s="1"/>
    </row>
    <row r="46" spans="1:12" ht="21.95" customHeight="1" x14ac:dyDescent="0.25">
      <c r="A46" s="3" t="s">
        <v>22</v>
      </c>
    </row>
    <row r="47" spans="1:12" ht="21.95" customHeight="1" x14ac:dyDescent="0.2">
      <c r="A47" s="122" t="s">
        <v>20</v>
      </c>
    </row>
    <row r="48" spans="1:12" ht="21.95" customHeight="1" x14ac:dyDescent="0.2">
      <c r="A48" s="122" t="s">
        <v>21</v>
      </c>
    </row>
    <row r="52" spans="1:12" ht="21.95" customHeight="1" x14ac:dyDescent="0.3">
      <c r="A52" s="276" t="s">
        <v>6</v>
      </c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6"/>
    </row>
    <row r="53" spans="1:12" ht="21.95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21.95" customHeigh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21.95" customHeight="1" x14ac:dyDescent="0.25">
      <c r="A55" s="1"/>
      <c r="B55" s="1"/>
    </row>
    <row r="56" spans="1:12" ht="21.95" customHeight="1" x14ac:dyDescent="0.25">
      <c r="A56" s="1" t="s">
        <v>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1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1.95" customHeight="1" x14ac:dyDescent="0.25">
      <c r="A58" s="1" t="s">
        <v>8</v>
      </c>
      <c r="B58" s="1"/>
      <c r="C58" s="9" t="s">
        <v>1</v>
      </c>
      <c r="D58" s="40" t="s">
        <v>557</v>
      </c>
      <c r="E58" s="50"/>
      <c r="F58" s="50"/>
      <c r="G58" s="50"/>
      <c r="H58" s="50"/>
      <c r="I58" s="1"/>
      <c r="J58" s="1"/>
      <c r="K58" s="1"/>
      <c r="L58" s="1"/>
    </row>
    <row r="59" spans="1:12" ht="21.95" customHeight="1" x14ac:dyDescent="0.25">
      <c r="A59" s="1" t="s">
        <v>9</v>
      </c>
      <c r="B59" s="1"/>
      <c r="C59" s="9" t="s">
        <v>1</v>
      </c>
      <c r="D59" s="7" t="s">
        <v>558</v>
      </c>
      <c r="E59" s="50"/>
      <c r="F59" s="50"/>
      <c r="G59" s="50"/>
      <c r="H59" s="50"/>
      <c r="I59" s="1"/>
      <c r="J59" s="1"/>
      <c r="K59" s="1"/>
      <c r="L59" s="1"/>
    </row>
    <row r="60" spans="1:12" ht="21.95" customHeight="1" x14ac:dyDescent="0.2">
      <c r="A60" s="50" t="s">
        <v>10</v>
      </c>
      <c r="B60" s="50"/>
      <c r="C60" s="91" t="s">
        <v>1</v>
      </c>
      <c r="D60" s="50" t="s">
        <v>525</v>
      </c>
      <c r="E60" s="50"/>
      <c r="F60" s="50"/>
      <c r="G60" s="50"/>
      <c r="H60" s="50"/>
      <c r="I60" s="50"/>
      <c r="J60" s="50"/>
      <c r="K60" s="50"/>
      <c r="L60" s="50"/>
    </row>
    <row r="61" spans="1:12" ht="21.9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7.75" customHeight="1" x14ac:dyDescent="0.2">
      <c r="A62" s="280" t="s">
        <v>561</v>
      </c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</row>
    <row r="63" spans="1:12" ht="21.9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42" customHeight="1" thickBot="1" x14ac:dyDescent="0.25">
      <c r="A64" s="10" t="s">
        <v>0</v>
      </c>
      <c r="B64" s="278" t="s">
        <v>91</v>
      </c>
      <c r="C64" s="278"/>
      <c r="D64" s="278"/>
      <c r="E64" s="278"/>
      <c r="F64" s="278"/>
      <c r="G64" s="278"/>
      <c r="H64" s="278"/>
      <c r="I64" s="278"/>
      <c r="J64" s="278"/>
      <c r="K64" s="278"/>
      <c r="L64" s="278"/>
    </row>
    <row r="65" spans="1:12" ht="21.95" customHeight="1" thickTop="1" x14ac:dyDescent="0.25">
      <c r="A65" s="1"/>
      <c r="B65" s="11" t="s">
        <v>3</v>
      </c>
      <c r="C65" s="180" t="s">
        <v>4</v>
      </c>
      <c r="D65" s="181"/>
      <c r="E65" s="181"/>
      <c r="F65" s="181"/>
      <c r="G65" s="181"/>
      <c r="H65" s="182"/>
      <c r="I65" s="11" t="s">
        <v>5</v>
      </c>
      <c r="J65" s="180" t="s">
        <v>17</v>
      </c>
      <c r="K65" s="181"/>
      <c r="L65" s="182"/>
    </row>
    <row r="66" spans="1:12" ht="21.95" customHeight="1" x14ac:dyDescent="0.2">
      <c r="A66" s="50"/>
      <c r="B66" s="143">
        <v>1</v>
      </c>
      <c r="C66" s="281" t="s">
        <v>545</v>
      </c>
      <c r="D66" s="282"/>
      <c r="E66" s="282"/>
      <c r="F66" s="282"/>
      <c r="G66" s="50"/>
      <c r="H66" s="55"/>
      <c r="I66" s="56">
        <v>300000</v>
      </c>
      <c r="J66" s="50"/>
      <c r="K66" s="50"/>
      <c r="L66" s="55"/>
    </row>
    <row r="67" spans="1:12" ht="21.95" customHeight="1" x14ac:dyDescent="0.25">
      <c r="A67" s="1"/>
      <c r="B67" s="96"/>
      <c r="C67" s="124"/>
      <c r="D67" s="124"/>
      <c r="E67" s="127"/>
      <c r="F67" s="125"/>
      <c r="G67" s="124"/>
      <c r="H67" s="124"/>
      <c r="I67" s="183"/>
      <c r="J67" s="1"/>
      <c r="K67" s="1"/>
      <c r="L67" s="42"/>
    </row>
    <row r="68" spans="1:12" ht="21.95" customHeight="1" x14ac:dyDescent="0.25">
      <c r="A68" s="1"/>
      <c r="B68" s="39"/>
      <c r="C68" s="1"/>
      <c r="D68" s="1"/>
      <c r="E68" s="1"/>
      <c r="F68" s="40" t="s">
        <v>5</v>
      </c>
      <c r="G68" s="40"/>
      <c r="H68" s="1"/>
      <c r="I68" s="41">
        <f>I66</f>
        <v>300000</v>
      </c>
      <c r="J68" s="1"/>
      <c r="K68" s="1"/>
      <c r="L68" s="42"/>
    </row>
    <row r="69" spans="1:12" ht="21.95" customHeight="1" thickBot="1" x14ac:dyDescent="0.3">
      <c r="A69" s="1"/>
      <c r="B69" s="43"/>
      <c r="C69" s="44"/>
      <c r="D69" s="44"/>
      <c r="E69" s="44"/>
      <c r="F69" s="45"/>
      <c r="G69" s="45"/>
      <c r="H69" s="44"/>
      <c r="I69" s="46"/>
      <c r="J69" s="44"/>
      <c r="K69" s="44"/>
      <c r="L69" s="47"/>
    </row>
    <row r="70" spans="1:12" ht="21.95" customHeight="1" thickTop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48.75" customHeight="1" x14ac:dyDescent="0.2">
      <c r="A71" s="10" t="s">
        <v>2</v>
      </c>
      <c r="B71" s="279" t="s">
        <v>11</v>
      </c>
      <c r="C71" s="279"/>
      <c r="D71" s="279"/>
      <c r="E71" s="279"/>
      <c r="F71" s="279"/>
      <c r="G71" s="279"/>
      <c r="H71" s="279"/>
      <c r="I71" s="279"/>
      <c r="J71" s="279"/>
      <c r="K71" s="279"/>
      <c r="L71" s="279"/>
    </row>
    <row r="72" spans="1:12" ht="21.9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1.95" customHeight="1" x14ac:dyDescent="0.2">
      <c r="A73" s="280" t="s">
        <v>12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</row>
    <row r="74" spans="1:12" ht="21.9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1.9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1.95" customHeight="1" x14ac:dyDescent="0.25">
      <c r="A76" s="1"/>
      <c r="B76" s="1"/>
      <c r="C76" s="1"/>
      <c r="D76" s="1"/>
      <c r="E76" s="1"/>
      <c r="F76" s="1"/>
      <c r="G76" s="1"/>
      <c r="H76" s="1" t="s">
        <v>546</v>
      </c>
      <c r="I76" s="1"/>
      <c r="J76" s="283" t="s">
        <v>556</v>
      </c>
      <c r="K76" s="283"/>
      <c r="L76" s="283"/>
    </row>
    <row r="77" spans="1:12" ht="15" x14ac:dyDescent="0.25">
      <c r="A77" s="1"/>
      <c r="B77" s="1" t="s">
        <v>15</v>
      </c>
      <c r="C77" s="1"/>
      <c r="D77" s="1"/>
      <c r="E77" s="1"/>
      <c r="F77" s="1"/>
      <c r="G77" s="1"/>
      <c r="H77" s="1" t="s">
        <v>13</v>
      </c>
      <c r="I77" s="1"/>
      <c r="J77" s="1"/>
      <c r="K77" s="1"/>
      <c r="L77" s="1"/>
    </row>
    <row r="78" spans="1:12" ht="15" x14ac:dyDescent="0.25">
      <c r="A78" s="1"/>
      <c r="B78" s="1" t="s">
        <v>18</v>
      </c>
      <c r="C78" s="1"/>
      <c r="D78" s="1"/>
      <c r="E78" s="1"/>
      <c r="F78" s="1"/>
      <c r="G78" s="1"/>
      <c r="H78" s="1" t="s">
        <v>14</v>
      </c>
      <c r="I78" s="1"/>
      <c r="J78" s="1"/>
      <c r="K78" s="1"/>
      <c r="L78" s="1"/>
    </row>
    <row r="79" spans="1:12" ht="21.9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8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1.75" hidden="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1.9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1.95" customHeight="1" x14ac:dyDescent="0.25">
      <c r="A83" s="1"/>
      <c r="B83" s="37" t="s">
        <v>77</v>
      </c>
      <c r="C83" s="1"/>
      <c r="D83" s="1"/>
      <c r="E83" s="1"/>
      <c r="F83" s="1"/>
      <c r="G83" s="1"/>
      <c r="H83" s="37" t="str">
        <f>D58</f>
        <v>JULIYARDI, ST</v>
      </c>
      <c r="I83" s="37"/>
      <c r="J83" s="40"/>
      <c r="K83" s="1"/>
      <c r="L83" s="1"/>
    </row>
    <row r="84" spans="1:12" ht="21.95" customHeight="1" x14ac:dyDescent="0.25">
      <c r="A84" s="1"/>
      <c r="B84" s="48" t="s">
        <v>27</v>
      </c>
      <c r="C84" s="7"/>
      <c r="D84" s="1"/>
      <c r="E84" s="1"/>
      <c r="F84" s="1"/>
      <c r="G84" s="1"/>
      <c r="H84" s="48" t="s">
        <v>560</v>
      </c>
      <c r="I84" s="1"/>
      <c r="J84" s="1"/>
      <c r="K84" s="1"/>
      <c r="L84" s="1"/>
    </row>
    <row r="90" spans="1:12" ht="21.95" customHeight="1" x14ac:dyDescent="0.25">
      <c r="A90" s="3" t="s">
        <v>22</v>
      </c>
    </row>
    <row r="91" spans="1:12" ht="21.95" customHeight="1" x14ac:dyDescent="0.2">
      <c r="A91" s="122" t="s">
        <v>20</v>
      </c>
    </row>
    <row r="92" spans="1:12" ht="21.95" customHeight="1" x14ac:dyDescent="0.2">
      <c r="A92" s="122" t="s">
        <v>21</v>
      </c>
    </row>
    <row r="96" spans="1:12" ht="21.95" customHeight="1" x14ac:dyDescent="0.3">
      <c r="A96" s="276" t="s">
        <v>6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</row>
    <row r="97" spans="1:12" ht="21.95" customHeigh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</row>
    <row r="98" spans="1:12" ht="21.95" customHeigh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1:12" ht="21.95" customHeight="1" x14ac:dyDescent="0.25">
      <c r="A99" s="1"/>
      <c r="B99" s="1"/>
    </row>
    <row r="100" spans="1:12" ht="21.95" customHeight="1" x14ac:dyDescent="0.25">
      <c r="A100" s="1" t="s">
        <v>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21.9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21.95" customHeight="1" x14ac:dyDescent="0.25">
      <c r="A102" s="1" t="s">
        <v>8</v>
      </c>
      <c r="B102" s="1"/>
      <c r="C102" s="9" t="s">
        <v>1</v>
      </c>
      <c r="D102" s="40" t="s">
        <v>562</v>
      </c>
      <c r="E102" s="50"/>
      <c r="F102" s="50"/>
      <c r="G102" s="50"/>
      <c r="H102" s="50"/>
      <c r="I102" s="1"/>
      <c r="J102" s="1"/>
      <c r="K102" s="1"/>
      <c r="L102" s="1"/>
    </row>
    <row r="103" spans="1:12" ht="21.95" customHeight="1" x14ac:dyDescent="0.25">
      <c r="A103" s="1" t="s">
        <v>9</v>
      </c>
      <c r="B103" s="1"/>
      <c r="C103" s="9" t="s">
        <v>1</v>
      </c>
      <c r="D103" s="7" t="s">
        <v>563</v>
      </c>
      <c r="E103" s="50"/>
      <c r="F103" s="50"/>
      <c r="G103" s="50"/>
      <c r="H103" s="50"/>
      <c r="I103" s="1"/>
      <c r="J103" s="1"/>
      <c r="K103" s="1"/>
      <c r="L103" s="1"/>
    </row>
    <row r="104" spans="1:12" ht="21.95" customHeight="1" x14ac:dyDescent="0.2">
      <c r="A104" s="50" t="s">
        <v>10</v>
      </c>
      <c r="B104" s="50"/>
      <c r="C104" s="91" t="s">
        <v>1</v>
      </c>
      <c r="D104" s="50" t="s">
        <v>525</v>
      </c>
      <c r="E104" s="50"/>
      <c r="F104" s="50"/>
      <c r="G104" s="50"/>
      <c r="H104" s="50"/>
      <c r="I104" s="50"/>
      <c r="J104" s="50"/>
      <c r="K104" s="50"/>
      <c r="L104" s="50"/>
    </row>
    <row r="105" spans="1:12" ht="21.9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33" customHeight="1" x14ac:dyDescent="0.2">
      <c r="A106" s="280" t="s">
        <v>559</v>
      </c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</row>
    <row r="107" spans="1:12" ht="21.9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34.5" customHeight="1" thickBot="1" x14ac:dyDescent="0.25">
      <c r="A108" s="10" t="s">
        <v>0</v>
      </c>
      <c r="B108" s="278" t="s">
        <v>91</v>
      </c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</row>
    <row r="109" spans="1:12" ht="21.95" customHeight="1" thickTop="1" x14ac:dyDescent="0.25">
      <c r="A109" s="1"/>
      <c r="B109" s="11" t="s">
        <v>3</v>
      </c>
      <c r="C109" s="180" t="s">
        <v>4</v>
      </c>
      <c r="D109" s="181"/>
      <c r="E109" s="181"/>
      <c r="F109" s="181"/>
      <c r="G109" s="181"/>
      <c r="H109" s="182"/>
      <c r="I109" s="11" t="s">
        <v>5</v>
      </c>
      <c r="J109" s="180" t="s">
        <v>17</v>
      </c>
      <c r="K109" s="181"/>
      <c r="L109" s="182"/>
    </row>
    <row r="110" spans="1:12" ht="21.95" customHeight="1" x14ac:dyDescent="0.2">
      <c r="A110" s="50"/>
      <c r="B110" s="143">
        <v>1</v>
      </c>
      <c r="C110" s="281" t="s">
        <v>545</v>
      </c>
      <c r="D110" s="282"/>
      <c r="E110" s="282"/>
      <c r="F110" s="282"/>
      <c r="G110" s="50"/>
      <c r="H110" s="55"/>
      <c r="I110" s="56">
        <v>300000</v>
      </c>
      <c r="J110" s="50"/>
      <c r="K110" s="50"/>
      <c r="L110" s="55"/>
    </row>
    <row r="111" spans="1:12" ht="21.95" customHeight="1" x14ac:dyDescent="0.25">
      <c r="A111" s="1"/>
      <c r="B111" s="96"/>
      <c r="C111" s="124"/>
      <c r="D111" s="124"/>
      <c r="E111" s="127"/>
      <c r="F111" s="125"/>
      <c r="G111" s="124"/>
      <c r="H111" s="124"/>
      <c r="I111" s="183"/>
      <c r="J111" s="1"/>
      <c r="K111" s="1"/>
      <c r="L111" s="42"/>
    </row>
    <row r="112" spans="1:12" ht="21.95" customHeight="1" x14ac:dyDescent="0.25">
      <c r="A112" s="1"/>
      <c r="B112" s="39"/>
      <c r="C112" s="1"/>
      <c r="D112" s="1"/>
      <c r="E112" s="1"/>
      <c r="F112" s="40" t="s">
        <v>5</v>
      </c>
      <c r="G112" s="40"/>
      <c r="H112" s="1"/>
      <c r="I112" s="41">
        <f>I110</f>
        <v>300000</v>
      </c>
      <c r="J112" s="1"/>
      <c r="K112" s="1"/>
      <c r="L112" s="42"/>
    </row>
    <row r="113" spans="1:12" ht="21.95" customHeight="1" thickBot="1" x14ac:dyDescent="0.3">
      <c r="A113" s="1"/>
      <c r="B113" s="43"/>
      <c r="C113" s="44"/>
      <c r="D113" s="44"/>
      <c r="E113" s="44"/>
      <c r="F113" s="45"/>
      <c r="G113" s="45"/>
      <c r="H113" s="44"/>
      <c r="I113" s="46"/>
      <c r="J113" s="44"/>
      <c r="K113" s="44"/>
      <c r="L113" s="47"/>
    </row>
    <row r="114" spans="1:12" ht="21.95" customHeight="1" thickTop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66.75" customHeight="1" x14ac:dyDescent="0.2">
      <c r="A115" s="10" t="s">
        <v>2</v>
      </c>
      <c r="B115" s="279" t="s">
        <v>11</v>
      </c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</row>
    <row r="116" spans="1:12" ht="21.9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21.95" customHeight="1" x14ac:dyDescent="0.2">
      <c r="A117" s="280" t="s">
        <v>12</v>
      </c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</row>
    <row r="118" spans="1:12" ht="21.9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21.9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1.95" customHeight="1" x14ac:dyDescent="0.25">
      <c r="A120" s="1"/>
      <c r="B120" s="1"/>
      <c r="C120" s="1"/>
      <c r="D120" s="1"/>
      <c r="E120" s="1"/>
      <c r="F120" s="1"/>
      <c r="G120" s="1"/>
      <c r="H120" s="1" t="s">
        <v>546</v>
      </c>
      <c r="I120" s="1"/>
      <c r="J120" s="283" t="s">
        <v>565</v>
      </c>
      <c r="K120" s="283"/>
      <c r="L120" s="283"/>
    </row>
    <row r="121" spans="1:12" ht="15" x14ac:dyDescent="0.25">
      <c r="A121" s="1"/>
      <c r="B121" s="1" t="s">
        <v>15</v>
      </c>
      <c r="C121" s="1"/>
      <c r="D121" s="1"/>
      <c r="E121" s="1"/>
      <c r="F121" s="1"/>
      <c r="G121" s="1"/>
      <c r="H121" s="1" t="s">
        <v>13</v>
      </c>
      <c r="I121" s="1"/>
      <c r="J121" s="1"/>
      <c r="K121" s="1"/>
      <c r="L121" s="1"/>
    </row>
    <row r="122" spans="1:12" ht="15.75" customHeight="1" x14ac:dyDescent="0.25">
      <c r="A122" s="1"/>
      <c r="B122" s="1" t="s">
        <v>18</v>
      </c>
      <c r="C122" s="1"/>
      <c r="D122" s="1"/>
      <c r="E122" s="1"/>
      <c r="F122" s="1"/>
      <c r="G122" s="1"/>
      <c r="H122" s="1" t="s">
        <v>14</v>
      </c>
      <c r="I122" s="1"/>
      <c r="J122" s="1"/>
      <c r="K122" s="1"/>
      <c r="L122" s="1"/>
    </row>
    <row r="123" spans="1:12" ht="21.9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21.75" hidden="1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21.9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21.95" customHeight="1" x14ac:dyDescent="0.25">
      <c r="A127" s="1"/>
      <c r="B127" s="37" t="s">
        <v>77</v>
      </c>
      <c r="C127" s="1"/>
      <c r="D127" s="1"/>
      <c r="E127" s="1"/>
      <c r="F127" s="1"/>
      <c r="G127" s="1"/>
      <c r="H127" s="37" t="str">
        <f>D102</f>
        <v>LIDYA SARI SIMANJUNTAK, SKM</v>
      </c>
      <c r="I127" s="37"/>
      <c r="J127" s="40"/>
      <c r="K127" s="1"/>
      <c r="L127" s="1"/>
    </row>
    <row r="128" spans="1:12" ht="21.95" customHeight="1" x14ac:dyDescent="0.25">
      <c r="A128" s="1"/>
      <c r="B128" s="48" t="s">
        <v>27</v>
      </c>
      <c r="C128" s="7"/>
      <c r="D128" s="1"/>
      <c r="E128" s="1"/>
      <c r="F128" s="1"/>
      <c r="G128" s="1"/>
      <c r="H128" s="48" t="s">
        <v>564</v>
      </c>
      <c r="I128" s="1"/>
      <c r="J128" s="1"/>
      <c r="K128" s="1"/>
      <c r="L128" s="1"/>
    </row>
    <row r="133" spans="1:12" ht="21.95" customHeight="1" x14ac:dyDescent="0.25">
      <c r="A133" s="3" t="s">
        <v>22</v>
      </c>
    </row>
    <row r="134" spans="1:12" ht="21.95" customHeight="1" x14ac:dyDescent="0.2">
      <c r="A134" s="122" t="s">
        <v>20</v>
      </c>
    </row>
    <row r="135" spans="1:12" ht="21.95" customHeight="1" x14ac:dyDescent="0.2">
      <c r="A135" s="122" t="s">
        <v>21</v>
      </c>
    </row>
    <row r="139" spans="1:12" ht="21.95" customHeight="1" x14ac:dyDescent="0.3">
      <c r="A139" s="276" t="s">
        <v>6</v>
      </c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</row>
    <row r="140" spans="1:12" ht="21.95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1:12" ht="21.9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21.95" customHeight="1" x14ac:dyDescent="0.25">
      <c r="A142" s="1"/>
      <c r="B142" s="1"/>
    </row>
    <row r="143" spans="1:12" ht="21.95" customHeight="1" x14ac:dyDescent="0.25">
      <c r="A143" s="1" t="s">
        <v>7</v>
      </c>
      <c r="B143" s="1"/>
    </row>
    <row r="144" spans="1:12" ht="21.95" customHeight="1" x14ac:dyDescent="0.25">
      <c r="A144" s="1"/>
      <c r="B144" s="1"/>
    </row>
    <row r="145" spans="1:12" ht="21.95" customHeight="1" x14ac:dyDescent="0.25">
      <c r="A145" s="1" t="s">
        <v>8</v>
      </c>
      <c r="C145" s="9" t="s">
        <v>1</v>
      </c>
      <c r="D145" s="92" t="s">
        <v>537</v>
      </c>
      <c r="E145" s="76"/>
      <c r="F145" s="76"/>
      <c r="G145" s="76"/>
      <c r="H145" s="76"/>
    </row>
    <row r="146" spans="1:12" ht="21.95" customHeight="1" x14ac:dyDescent="0.25">
      <c r="A146" s="1" t="s">
        <v>9</v>
      </c>
      <c r="C146" s="9" t="s">
        <v>1</v>
      </c>
      <c r="D146" s="57"/>
      <c r="E146" s="76"/>
      <c r="F146" s="76"/>
      <c r="G146" s="76"/>
      <c r="H146" s="76"/>
    </row>
    <row r="147" spans="1:12" ht="21.95" customHeight="1" x14ac:dyDescent="0.2">
      <c r="A147" s="50" t="s">
        <v>10</v>
      </c>
      <c r="B147" s="76"/>
      <c r="C147" s="91" t="s">
        <v>1</v>
      </c>
      <c r="D147" s="50" t="s">
        <v>538</v>
      </c>
      <c r="E147" s="76"/>
      <c r="F147" s="76"/>
      <c r="G147" s="76"/>
      <c r="H147" s="76"/>
      <c r="I147" s="76"/>
      <c r="J147" s="76"/>
      <c r="K147" s="76"/>
      <c r="L147" s="76"/>
    </row>
    <row r="148" spans="1:12" ht="21.95" customHeight="1" x14ac:dyDescent="0.25">
      <c r="A148" s="1"/>
      <c r="B148" s="1"/>
      <c r="D148" s="1"/>
    </row>
    <row r="149" spans="1:12" ht="32.25" customHeight="1" x14ac:dyDescent="0.2">
      <c r="A149" s="277" t="s">
        <v>526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</row>
    <row r="150" spans="1:12" ht="21.95" customHeight="1" x14ac:dyDescent="0.25">
      <c r="A150" s="1"/>
      <c r="B150" s="1"/>
    </row>
    <row r="151" spans="1:12" ht="35.25" customHeight="1" thickBot="1" x14ac:dyDescent="0.25">
      <c r="A151" s="10" t="s">
        <v>0</v>
      </c>
      <c r="B151" s="278" t="s">
        <v>91</v>
      </c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</row>
    <row r="152" spans="1:12" ht="21.95" customHeight="1" thickTop="1" x14ac:dyDescent="0.25">
      <c r="A152" s="1"/>
      <c r="B152" s="11" t="s">
        <v>3</v>
      </c>
      <c r="C152" s="12" t="s">
        <v>4</v>
      </c>
      <c r="D152" s="13"/>
      <c r="E152" s="13"/>
      <c r="F152" s="13"/>
      <c r="G152" s="13"/>
      <c r="H152" s="14"/>
      <c r="I152" s="15" t="s">
        <v>5</v>
      </c>
      <c r="J152" s="12" t="s">
        <v>17</v>
      </c>
      <c r="K152" s="13"/>
      <c r="L152" s="14"/>
    </row>
    <row r="153" spans="1:12" ht="21.95" customHeight="1" x14ac:dyDescent="0.2">
      <c r="A153" s="50"/>
      <c r="B153" s="143">
        <v>1</v>
      </c>
      <c r="C153" s="284" t="s">
        <v>527</v>
      </c>
      <c r="D153" s="285"/>
      <c r="E153" s="285"/>
      <c r="F153" s="285"/>
      <c r="G153" s="76"/>
      <c r="H153" s="79"/>
      <c r="I153" s="56">
        <v>150000</v>
      </c>
      <c r="J153" s="76"/>
      <c r="K153" s="76"/>
      <c r="L153" s="79"/>
    </row>
    <row r="154" spans="1:12" ht="21.95" customHeight="1" x14ac:dyDescent="0.2">
      <c r="B154" s="96"/>
      <c r="C154" s="124"/>
      <c r="D154" s="124"/>
      <c r="E154" s="127"/>
      <c r="F154" s="125"/>
      <c r="G154" s="124"/>
      <c r="H154" s="124"/>
      <c r="I154" s="23"/>
      <c r="L154" s="17"/>
    </row>
    <row r="155" spans="1:12" ht="21.95" customHeight="1" x14ac:dyDescent="0.25">
      <c r="A155" s="1"/>
      <c r="B155" s="39"/>
      <c r="C155" s="1"/>
      <c r="D155" s="1"/>
      <c r="E155" s="1"/>
      <c r="F155" s="40" t="s">
        <v>5</v>
      </c>
      <c r="G155" s="40"/>
      <c r="H155" s="1"/>
      <c r="I155" s="41">
        <f>I153</f>
        <v>150000</v>
      </c>
      <c r="J155" s="1"/>
      <c r="K155" s="1"/>
      <c r="L155" s="42"/>
    </row>
    <row r="156" spans="1:12" ht="21.95" customHeight="1" thickBot="1" x14ac:dyDescent="0.3">
      <c r="A156" s="1"/>
      <c r="B156" s="43"/>
      <c r="C156" s="44"/>
      <c r="D156" s="44"/>
      <c r="E156" s="44"/>
      <c r="F156" s="45"/>
      <c r="G156" s="45"/>
      <c r="H156" s="44"/>
      <c r="I156" s="46"/>
      <c r="J156" s="44"/>
      <c r="K156" s="44"/>
      <c r="L156" s="47"/>
    </row>
    <row r="157" spans="1:12" ht="21.95" customHeight="1" thickTop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47.25" customHeight="1" x14ac:dyDescent="0.2">
      <c r="A158" s="10" t="s">
        <v>2</v>
      </c>
      <c r="B158" s="279" t="s">
        <v>11</v>
      </c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</row>
    <row r="159" spans="1:12" ht="21.9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21.95" customHeight="1" x14ac:dyDescent="0.2">
      <c r="A160" s="280" t="s">
        <v>12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</row>
    <row r="161" spans="1:12" ht="21.9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21.9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7.25" customHeight="1" x14ac:dyDescent="0.25">
      <c r="A163" s="1"/>
      <c r="B163" s="1"/>
      <c r="C163" s="1"/>
      <c r="D163" s="1"/>
      <c r="E163" s="1"/>
      <c r="F163" s="1"/>
      <c r="G163" s="1"/>
      <c r="H163" s="4" t="s">
        <v>533</v>
      </c>
      <c r="J163" s="286" t="s">
        <v>534</v>
      </c>
      <c r="K163" s="286"/>
      <c r="L163" s="286"/>
    </row>
    <row r="164" spans="1:12" ht="15.75" customHeight="1" x14ac:dyDescent="0.25">
      <c r="A164" s="1"/>
      <c r="B164" s="1" t="s">
        <v>15</v>
      </c>
      <c r="C164" s="1"/>
      <c r="D164" s="1"/>
      <c r="E164" s="1"/>
      <c r="F164" s="1"/>
      <c r="G164" s="1"/>
      <c r="H164" s="4" t="s">
        <v>13</v>
      </c>
    </row>
    <row r="165" spans="1:12" ht="18.75" customHeight="1" x14ac:dyDescent="0.25">
      <c r="A165" s="1"/>
      <c r="B165" s="1" t="s">
        <v>18</v>
      </c>
      <c r="C165" s="1"/>
      <c r="D165" s="1"/>
      <c r="E165" s="1"/>
      <c r="F165" s="1"/>
      <c r="G165" s="1"/>
      <c r="H165" s="4" t="s">
        <v>14</v>
      </c>
    </row>
    <row r="166" spans="1:12" ht="21.9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21.75" hidden="1" customHeight="1" x14ac:dyDescent="0.25">
      <c r="A168" s="1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"/>
    </row>
    <row r="169" spans="1:12" ht="21.95" customHeight="1" x14ac:dyDescent="0.25">
      <c r="A169" s="1"/>
      <c r="K169" s="103"/>
      <c r="L169" s="1"/>
    </row>
    <row r="170" spans="1:12" ht="21.95" customHeight="1" x14ac:dyDescent="0.25">
      <c r="A170" s="1"/>
      <c r="B170" s="95" t="s">
        <v>77</v>
      </c>
      <c r="H170" s="95" t="str">
        <f>D145</f>
        <v xml:space="preserve">RIKI </v>
      </c>
      <c r="I170" s="95"/>
      <c r="J170" s="92"/>
      <c r="K170" s="103"/>
      <c r="L170" s="1"/>
    </row>
    <row r="171" spans="1:12" ht="21.95" customHeight="1" x14ac:dyDescent="0.25">
      <c r="A171" s="1"/>
      <c r="B171" s="99" t="s">
        <v>27</v>
      </c>
      <c r="C171" s="57"/>
      <c r="H171" s="99"/>
      <c r="K171" s="103"/>
    </row>
    <row r="174" spans="1:12" ht="21.95" customHeight="1" x14ac:dyDescent="0.25">
      <c r="A174" s="3" t="s">
        <v>22</v>
      </c>
    </row>
    <row r="175" spans="1:12" ht="21.95" customHeight="1" x14ac:dyDescent="0.2">
      <c r="A175" s="122" t="s">
        <v>20</v>
      </c>
    </row>
    <row r="176" spans="1:12" ht="21.95" customHeight="1" x14ac:dyDescent="0.2">
      <c r="A176" s="122" t="s">
        <v>21</v>
      </c>
    </row>
    <row r="180" spans="1:12" ht="21.95" customHeight="1" x14ac:dyDescent="0.3">
      <c r="A180" s="276" t="s">
        <v>6</v>
      </c>
      <c r="B180" s="276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</row>
    <row r="181" spans="1:12" ht="21.95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</row>
    <row r="182" spans="1:12" ht="21.95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</row>
    <row r="183" spans="1:12" ht="21.95" customHeight="1" x14ac:dyDescent="0.25">
      <c r="A183" s="1"/>
      <c r="B183" s="1"/>
    </row>
    <row r="184" spans="1:12" ht="21.95" customHeight="1" x14ac:dyDescent="0.25">
      <c r="A184" s="1" t="s">
        <v>7</v>
      </c>
      <c r="B184" s="1"/>
    </row>
    <row r="185" spans="1:12" ht="21.95" customHeight="1" x14ac:dyDescent="0.25">
      <c r="A185" s="1"/>
      <c r="B185" s="1"/>
    </row>
    <row r="186" spans="1:12" ht="21.95" customHeight="1" x14ac:dyDescent="0.25">
      <c r="A186" s="1" t="s">
        <v>8</v>
      </c>
      <c r="C186" s="9" t="s">
        <v>1</v>
      </c>
      <c r="D186" s="92" t="s">
        <v>539</v>
      </c>
      <c r="E186" s="76"/>
      <c r="F186" s="76"/>
      <c r="G186" s="76"/>
      <c r="H186" s="76"/>
    </row>
    <row r="187" spans="1:12" ht="21.95" customHeight="1" x14ac:dyDescent="0.25">
      <c r="A187" s="1" t="s">
        <v>9</v>
      </c>
      <c r="C187" s="9" t="s">
        <v>1</v>
      </c>
      <c r="D187" s="57"/>
      <c r="E187" s="76"/>
      <c r="F187" s="76"/>
      <c r="G187" s="76"/>
      <c r="H187" s="76"/>
    </row>
    <row r="188" spans="1:12" ht="21.95" customHeight="1" x14ac:dyDescent="0.2">
      <c r="A188" s="50" t="s">
        <v>10</v>
      </c>
      <c r="B188" s="76"/>
      <c r="C188" s="91" t="s">
        <v>1</v>
      </c>
      <c r="D188" s="50"/>
      <c r="E188" s="76"/>
      <c r="F188" s="76"/>
      <c r="G188" s="76"/>
      <c r="H188" s="76"/>
      <c r="I188" s="76"/>
      <c r="J188" s="76"/>
      <c r="K188" s="76"/>
      <c r="L188" s="76"/>
    </row>
    <row r="189" spans="1:12" ht="21.95" customHeight="1" x14ac:dyDescent="0.25">
      <c r="A189" s="1"/>
      <c r="B189" s="1"/>
      <c r="D189" s="1"/>
    </row>
    <row r="190" spans="1:12" ht="29.25" customHeight="1" x14ac:dyDescent="0.2">
      <c r="A190" s="277" t="s">
        <v>526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</row>
    <row r="191" spans="1:12" ht="21.95" customHeight="1" x14ac:dyDescent="0.25">
      <c r="A191" s="1"/>
      <c r="B191" s="1"/>
    </row>
    <row r="192" spans="1:12" ht="38.25" customHeight="1" thickBot="1" x14ac:dyDescent="0.25">
      <c r="A192" s="10" t="s">
        <v>0</v>
      </c>
      <c r="B192" s="278" t="s">
        <v>91</v>
      </c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</row>
    <row r="193" spans="1:12" ht="21.95" customHeight="1" thickTop="1" x14ac:dyDescent="0.25">
      <c r="A193" s="1"/>
      <c r="B193" s="11" t="s">
        <v>3</v>
      </c>
      <c r="C193" s="12" t="s">
        <v>4</v>
      </c>
      <c r="D193" s="13"/>
      <c r="E193" s="13"/>
      <c r="F193" s="13"/>
      <c r="G193" s="13"/>
      <c r="H193" s="14"/>
      <c r="I193" s="15" t="s">
        <v>5</v>
      </c>
      <c r="J193" s="12" t="s">
        <v>17</v>
      </c>
      <c r="K193" s="13"/>
      <c r="L193" s="14"/>
    </row>
    <row r="194" spans="1:12" ht="21.95" customHeight="1" x14ac:dyDescent="0.2">
      <c r="A194" s="50"/>
      <c r="B194" s="143">
        <v>1</v>
      </c>
      <c r="C194" s="284" t="s">
        <v>527</v>
      </c>
      <c r="D194" s="285"/>
      <c r="E194" s="285"/>
      <c r="F194" s="285"/>
      <c r="G194" s="76"/>
      <c r="H194" s="79"/>
      <c r="I194" s="56">
        <v>150000</v>
      </c>
      <c r="J194" s="76"/>
      <c r="K194" s="76"/>
      <c r="L194" s="79"/>
    </row>
    <row r="195" spans="1:12" ht="21.95" customHeight="1" x14ac:dyDescent="0.2">
      <c r="B195" s="96"/>
      <c r="C195" s="124"/>
      <c r="D195" s="124"/>
      <c r="E195" s="127"/>
      <c r="F195" s="125"/>
      <c r="G195" s="124"/>
      <c r="H195" s="124"/>
      <c r="I195" s="23"/>
      <c r="L195" s="17"/>
    </row>
    <row r="196" spans="1:12" ht="21.95" customHeight="1" x14ac:dyDescent="0.25">
      <c r="A196" s="1"/>
      <c r="B196" s="39"/>
      <c r="C196" s="1"/>
      <c r="D196" s="1"/>
      <c r="E196" s="1"/>
      <c r="F196" s="40" t="s">
        <v>5</v>
      </c>
      <c r="G196" s="40"/>
      <c r="H196" s="1"/>
      <c r="I196" s="41">
        <f>I194</f>
        <v>150000</v>
      </c>
      <c r="J196" s="1"/>
      <c r="K196" s="1"/>
      <c r="L196" s="42"/>
    </row>
    <row r="197" spans="1:12" ht="21.95" customHeight="1" thickBot="1" x14ac:dyDescent="0.3">
      <c r="A197" s="1"/>
      <c r="B197" s="43"/>
      <c r="C197" s="44"/>
      <c r="D197" s="44"/>
      <c r="E197" s="44"/>
      <c r="F197" s="45"/>
      <c r="G197" s="45"/>
      <c r="H197" s="44"/>
      <c r="I197" s="46"/>
      <c r="J197" s="44"/>
      <c r="K197" s="44"/>
      <c r="L197" s="47"/>
    </row>
    <row r="198" spans="1:12" ht="21.95" customHeight="1" thickTop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56.25" customHeight="1" x14ac:dyDescent="0.2">
      <c r="A199" s="10" t="s">
        <v>2</v>
      </c>
      <c r="B199" s="279" t="s">
        <v>11</v>
      </c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</row>
    <row r="200" spans="1:12" ht="21.9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21.95" customHeight="1" x14ac:dyDescent="0.2">
      <c r="A201" s="280" t="s">
        <v>12</v>
      </c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</row>
    <row r="202" spans="1:12" ht="21.9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21.9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21.95" customHeight="1" x14ac:dyDescent="0.25">
      <c r="A204" s="1"/>
      <c r="B204" s="1"/>
      <c r="C204" s="1"/>
      <c r="D204" s="1"/>
      <c r="E204" s="1"/>
      <c r="F204" s="1"/>
      <c r="G204" s="1"/>
      <c r="H204" s="4" t="s">
        <v>533</v>
      </c>
      <c r="J204" s="286" t="s">
        <v>534</v>
      </c>
      <c r="K204" s="286"/>
      <c r="L204" s="286"/>
    </row>
    <row r="205" spans="1:12" ht="15" x14ac:dyDescent="0.25">
      <c r="A205" s="1"/>
      <c r="B205" s="1" t="s">
        <v>15</v>
      </c>
      <c r="C205" s="1"/>
      <c r="D205" s="1"/>
      <c r="E205" s="1"/>
      <c r="F205" s="1"/>
      <c r="G205" s="1"/>
      <c r="H205" s="4" t="s">
        <v>13</v>
      </c>
    </row>
    <row r="206" spans="1:12" ht="15" x14ac:dyDescent="0.25">
      <c r="A206" s="1"/>
      <c r="B206" s="1" t="s">
        <v>18</v>
      </c>
      <c r="C206" s="1"/>
      <c r="D206" s="1"/>
      <c r="E206" s="1"/>
      <c r="F206" s="1"/>
      <c r="G206" s="1"/>
      <c r="H206" s="4" t="s">
        <v>14</v>
      </c>
    </row>
    <row r="207" spans="1:12" ht="21.9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8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24" ht="21.75" hidden="1" customHeight="1" x14ac:dyDescent="0.25">
      <c r="A209" s="1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"/>
    </row>
    <row r="210" spans="1:24" ht="21.95" customHeight="1" x14ac:dyDescent="0.25">
      <c r="A210" s="1"/>
      <c r="K210" s="103"/>
      <c r="L210" s="1"/>
    </row>
    <row r="211" spans="1:24" ht="21.95" customHeight="1" x14ac:dyDescent="0.25">
      <c r="A211" s="1"/>
      <c r="B211" s="95" t="s">
        <v>77</v>
      </c>
      <c r="H211" s="95" t="str">
        <f>D186</f>
        <v>Karlinda</v>
      </c>
      <c r="I211" s="95"/>
      <c r="J211" s="92"/>
      <c r="K211" s="103"/>
      <c r="L211" s="1"/>
    </row>
    <row r="212" spans="1:24" ht="21.95" customHeight="1" x14ac:dyDescent="0.25">
      <c r="A212" s="1"/>
      <c r="B212" s="99" t="s">
        <v>27</v>
      </c>
      <c r="C212" s="57"/>
      <c r="H212" s="99"/>
      <c r="K212" s="103"/>
    </row>
    <row r="217" spans="1:24" ht="21.95" customHeight="1" x14ac:dyDescent="0.25">
      <c r="A217" s="3" t="s">
        <v>22</v>
      </c>
      <c r="M217" s="3" t="s">
        <v>22</v>
      </c>
    </row>
    <row r="218" spans="1:24" ht="21.95" customHeight="1" x14ac:dyDescent="0.2">
      <c r="A218" s="122" t="s">
        <v>20</v>
      </c>
      <c r="M218" s="122" t="s">
        <v>20</v>
      </c>
    </row>
    <row r="219" spans="1:24" ht="21.95" customHeight="1" x14ac:dyDescent="0.2">
      <c r="A219" s="122" t="s">
        <v>21</v>
      </c>
      <c r="M219" s="122" t="s">
        <v>21</v>
      </c>
    </row>
    <row r="223" spans="1:24" ht="21.95" customHeight="1" x14ac:dyDescent="0.3">
      <c r="A223" s="276" t="s">
        <v>6</v>
      </c>
      <c r="B223" s="276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 t="s">
        <v>6</v>
      </c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</row>
    <row r="224" spans="1:24" ht="21.95" customHeigh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21.95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21.95" customHeight="1" x14ac:dyDescent="0.25">
      <c r="A226" s="1"/>
      <c r="B226" s="1"/>
      <c r="M226" s="1"/>
      <c r="N226" s="1"/>
    </row>
    <row r="227" spans="1:24" ht="21.95" customHeight="1" x14ac:dyDescent="0.25">
      <c r="A227" s="1" t="s">
        <v>7</v>
      </c>
      <c r="B227" s="1"/>
      <c r="M227" s="1" t="s">
        <v>7</v>
      </c>
      <c r="N227" s="1"/>
    </row>
    <row r="228" spans="1:24" ht="21.95" customHeight="1" x14ac:dyDescent="0.25">
      <c r="A228" s="1"/>
      <c r="B228" s="1"/>
      <c r="M228" s="1"/>
      <c r="N228" s="1"/>
    </row>
    <row r="229" spans="1:24" ht="21.95" customHeight="1" x14ac:dyDescent="0.25">
      <c r="A229" s="1" t="s">
        <v>8</v>
      </c>
      <c r="C229" s="9" t="s">
        <v>1</v>
      </c>
      <c r="D229" s="92" t="s">
        <v>553</v>
      </c>
      <c r="E229" s="76"/>
      <c r="F229" s="76"/>
      <c r="G229" s="76"/>
      <c r="H229" s="76"/>
      <c r="M229" s="1" t="s">
        <v>8</v>
      </c>
      <c r="O229" s="9" t="s">
        <v>1</v>
      </c>
      <c r="P229" s="92"/>
      <c r="Q229" s="76"/>
      <c r="R229" s="76"/>
      <c r="S229" s="76"/>
      <c r="T229" s="76"/>
    </row>
    <row r="230" spans="1:24" ht="21.95" customHeight="1" x14ac:dyDescent="0.25">
      <c r="A230" s="1" t="s">
        <v>9</v>
      </c>
      <c r="C230" s="9" t="s">
        <v>1</v>
      </c>
      <c r="D230" s="57" t="s">
        <v>74</v>
      </c>
      <c r="E230" s="76"/>
      <c r="F230" s="76"/>
      <c r="G230" s="76"/>
      <c r="H230" s="76"/>
      <c r="M230" s="1" t="s">
        <v>9</v>
      </c>
      <c r="O230" s="9" t="s">
        <v>1</v>
      </c>
      <c r="P230" s="57"/>
      <c r="Q230" s="76"/>
      <c r="R230" s="76"/>
      <c r="S230" s="76"/>
      <c r="T230" s="76"/>
    </row>
    <row r="231" spans="1:24" ht="21.95" customHeight="1" x14ac:dyDescent="0.2">
      <c r="A231" s="50" t="s">
        <v>10</v>
      </c>
      <c r="B231" s="76"/>
      <c r="C231" s="91" t="s">
        <v>1</v>
      </c>
      <c r="D231" s="50" t="s">
        <v>552</v>
      </c>
      <c r="E231" s="76"/>
      <c r="F231" s="76"/>
      <c r="G231" s="76"/>
      <c r="H231" s="76"/>
      <c r="I231" s="76"/>
      <c r="J231" s="76"/>
      <c r="K231" s="76"/>
      <c r="L231" s="76"/>
      <c r="M231" s="50" t="s">
        <v>10</v>
      </c>
      <c r="N231" s="76"/>
      <c r="O231" s="91" t="s">
        <v>1</v>
      </c>
      <c r="P231" s="50"/>
      <c r="Q231" s="76"/>
      <c r="R231" s="76"/>
      <c r="S231" s="76"/>
      <c r="T231" s="76"/>
      <c r="U231" s="76"/>
      <c r="V231" s="76"/>
      <c r="W231" s="76"/>
      <c r="X231" s="76"/>
    </row>
    <row r="232" spans="1:24" ht="21.95" customHeight="1" x14ac:dyDescent="0.25">
      <c r="A232" s="1"/>
      <c r="B232" s="1"/>
      <c r="D232" s="1"/>
      <c r="M232" s="1"/>
      <c r="N232" s="1"/>
      <c r="P232" s="1"/>
    </row>
    <row r="233" spans="1:24" ht="33" customHeight="1" x14ac:dyDescent="0.2">
      <c r="A233" s="277" t="s">
        <v>548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 t="s">
        <v>544</v>
      </c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</row>
    <row r="234" spans="1:24" ht="21.95" customHeight="1" x14ac:dyDescent="0.25">
      <c r="A234" s="1"/>
      <c r="B234" s="1"/>
      <c r="M234" s="1"/>
      <c r="N234" s="1"/>
    </row>
    <row r="235" spans="1:24" ht="35.25" customHeight="1" thickBot="1" x14ac:dyDescent="0.25">
      <c r="A235" s="10" t="s">
        <v>0</v>
      </c>
      <c r="B235" s="278" t="s">
        <v>91</v>
      </c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10" t="s">
        <v>0</v>
      </c>
      <c r="N235" s="278" t="s">
        <v>91</v>
      </c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</row>
    <row r="236" spans="1:24" ht="21.95" customHeight="1" thickTop="1" x14ac:dyDescent="0.25">
      <c r="A236" s="1"/>
      <c r="B236" s="11" t="s">
        <v>3</v>
      </c>
      <c r="C236" s="12" t="s">
        <v>4</v>
      </c>
      <c r="D236" s="13"/>
      <c r="E236" s="13"/>
      <c r="F236" s="13"/>
      <c r="G236" s="13"/>
      <c r="H236" s="14"/>
      <c r="I236" s="15" t="s">
        <v>5</v>
      </c>
      <c r="J236" s="12" t="s">
        <v>17</v>
      </c>
      <c r="K236" s="13"/>
      <c r="L236" s="14"/>
      <c r="M236" s="1"/>
      <c r="N236" s="11" t="s">
        <v>3</v>
      </c>
      <c r="O236" s="12" t="s">
        <v>4</v>
      </c>
      <c r="P236" s="13"/>
      <c r="Q236" s="13"/>
      <c r="R236" s="13"/>
      <c r="S236" s="13"/>
      <c r="T236" s="14"/>
      <c r="U236" s="15" t="s">
        <v>5</v>
      </c>
      <c r="V236" s="12" t="s">
        <v>17</v>
      </c>
      <c r="W236" s="13"/>
      <c r="X236" s="14"/>
    </row>
    <row r="237" spans="1:24" ht="32.25" customHeight="1" x14ac:dyDescent="0.2">
      <c r="A237" s="50"/>
      <c r="B237" s="143">
        <v>1</v>
      </c>
      <c r="C237" s="284" t="s">
        <v>549</v>
      </c>
      <c r="D237" s="285"/>
      <c r="E237" s="285"/>
      <c r="F237" s="285"/>
      <c r="G237" s="76"/>
      <c r="H237" s="79"/>
      <c r="I237" s="56">
        <v>150000</v>
      </c>
      <c r="J237" s="76" t="s">
        <v>204</v>
      </c>
      <c r="K237" s="76"/>
      <c r="L237" s="79"/>
      <c r="M237" s="50"/>
      <c r="N237" s="143">
        <v>1</v>
      </c>
      <c r="O237" s="287" t="s">
        <v>545</v>
      </c>
      <c r="P237" s="288"/>
      <c r="Q237" s="288"/>
      <c r="R237" s="288"/>
      <c r="S237" s="178">
        <v>150000</v>
      </c>
      <c r="T237" s="179" t="s">
        <v>547</v>
      </c>
      <c r="U237" s="56">
        <f>S237*2</f>
        <v>300000</v>
      </c>
      <c r="V237" s="76" t="s">
        <v>207</v>
      </c>
      <c r="W237" s="76"/>
      <c r="X237" s="79"/>
    </row>
    <row r="238" spans="1:24" ht="21.95" customHeight="1" x14ac:dyDescent="0.2">
      <c r="B238" s="96"/>
      <c r="C238" s="124"/>
      <c r="D238" s="124"/>
      <c r="E238" s="127"/>
      <c r="F238" s="125"/>
      <c r="G238" s="124"/>
      <c r="H238" s="124"/>
      <c r="I238" s="23"/>
      <c r="L238" s="17"/>
      <c r="N238" s="96"/>
      <c r="O238" s="124"/>
      <c r="P238" s="124"/>
      <c r="Q238" s="127"/>
      <c r="R238" s="125"/>
      <c r="S238" s="124"/>
      <c r="T238" s="124"/>
      <c r="U238" s="23"/>
      <c r="X238" s="17"/>
    </row>
    <row r="239" spans="1:24" ht="21.95" customHeight="1" x14ac:dyDescent="0.25">
      <c r="A239" s="1"/>
      <c r="B239" s="39"/>
      <c r="C239" s="1"/>
      <c r="D239" s="1"/>
      <c r="E239" s="1"/>
      <c r="F239" s="40" t="s">
        <v>5</v>
      </c>
      <c r="G239" s="40"/>
      <c r="H239" s="1"/>
      <c r="I239" s="41">
        <f>I237</f>
        <v>150000</v>
      </c>
      <c r="J239" s="1"/>
      <c r="K239" s="1"/>
      <c r="L239" s="42"/>
      <c r="M239" s="1"/>
      <c r="N239" s="39"/>
      <c r="O239" s="1"/>
      <c r="P239" s="1"/>
      <c r="Q239" s="1"/>
      <c r="R239" s="40" t="s">
        <v>5</v>
      </c>
      <c r="S239" s="40"/>
      <c r="T239" s="1"/>
      <c r="U239" s="41">
        <f>U237</f>
        <v>300000</v>
      </c>
      <c r="V239" s="1"/>
      <c r="W239" s="1"/>
      <c r="X239" s="42"/>
    </row>
    <row r="240" spans="1:24" ht="21.95" customHeight="1" thickBot="1" x14ac:dyDescent="0.3">
      <c r="A240" s="1"/>
      <c r="B240" s="43"/>
      <c r="C240" s="44"/>
      <c r="D240" s="44"/>
      <c r="E240" s="44"/>
      <c r="F240" s="45"/>
      <c r="G240" s="45"/>
      <c r="H240" s="44"/>
      <c r="I240" s="46"/>
      <c r="J240" s="44"/>
      <c r="K240" s="44"/>
      <c r="L240" s="47"/>
      <c r="M240" s="1"/>
      <c r="N240" s="43"/>
      <c r="O240" s="44"/>
      <c r="P240" s="44"/>
      <c r="Q240" s="44"/>
      <c r="R240" s="45"/>
      <c r="S240" s="45"/>
      <c r="T240" s="44"/>
      <c r="U240" s="46"/>
      <c r="V240" s="44"/>
      <c r="W240" s="44"/>
      <c r="X240" s="47"/>
    </row>
    <row r="241" spans="1:24" ht="21.95" customHeight="1" thickTop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48" customHeight="1" x14ac:dyDescent="0.2">
      <c r="A242" s="10" t="s">
        <v>2</v>
      </c>
      <c r="B242" s="279" t="s">
        <v>11</v>
      </c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10" t="s">
        <v>2</v>
      </c>
      <c r="N242" s="279" t="s">
        <v>11</v>
      </c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</row>
    <row r="243" spans="1:24" ht="21.9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.95" customHeight="1" x14ac:dyDescent="0.2">
      <c r="A244" s="280" t="s">
        <v>12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 t="s">
        <v>12</v>
      </c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</row>
    <row r="245" spans="1:24" ht="21.9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.9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.95" customHeight="1" x14ac:dyDescent="0.25">
      <c r="A247" s="1"/>
      <c r="B247" s="1"/>
      <c r="C247" s="1"/>
      <c r="D247" s="1"/>
      <c r="E247" s="1"/>
      <c r="F247" s="1"/>
      <c r="G247" s="1"/>
      <c r="H247" s="4" t="s">
        <v>550</v>
      </c>
      <c r="J247" s="286" t="s">
        <v>551</v>
      </c>
      <c r="K247" s="286"/>
      <c r="L247" s="286"/>
      <c r="M247" s="1"/>
      <c r="N247" s="1"/>
      <c r="O247" s="1"/>
      <c r="P247" s="1"/>
      <c r="Q247" s="1"/>
      <c r="R247" s="1"/>
      <c r="S247" s="1"/>
      <c r="T247" s="4" t="s">
        <v>546</v>
      </c>
      <c r="V247" s="286" t="s">
        <v>534</v>
      </c>
      <c r="W247" s="286"/>
      <c r="X247" s="286"/>
    </row>
    <row r="248" spans="1:24" ht="15" x14ac:dyDescent="0.25">
      <c r="A248" s="1"/>
      <c r="B248" s="1" t="s">
        <v>15</v>
      </c>
      <c r="C248" s="1"/>
      <c r="D248" s="1"/>
      <c r="E248" s="1"/>
      <c r="F248" s="1"/>
      <c r="G248" s="1"/>
      <c r="H248" s="4" t="s">
        <v>13</v>
      </c>
      <c r="M248" s="1"/>
      <c r="N248" s="1" t="s">
        <v>15</v>
      </c>
      <c r="O248" s="1"/>
      <c r="P248" s="1"/>
      <c r="Q248" s="1"/>
      <c r="R248" s="1"/>
      <c r="S248" s="1"/>
      <c r="T248" s="4" t="s">
        <v>13</v>
      </c>
    </row>
    <row r="249" spans="1:24" ht="15" x14ac:dyDescent="0.25">
      <c r="A249" s="1"/>
      <c r="B249" s="1" t="s">
        <v>18</v>
      </c>
      <c r="C249" s="1"/>
      <c r="D249" s="1"/>
      <c r="E249" s="1"/>
      <c r="F249" s="1"/>
      <c r="G249" s="1"/>
      <c r="H249" s="4" t="s">
        <v>14</v>
      </c>
      <c r="M249" s="1"/>
      <c r="N249" s="1" t="s">
        <v>18</v>
      </c>
      <c r="O249" s="1"/>
      <c r="P249" s="1"/>
      <c r="Q249" s="1"/>
      <c r="R249" s="1"/>
      <c r="S249" s="1"/>
      <c r="T249" s="4" t="s">
        <v>14</v>
      </c>
    </row>
    <row r="250" spans="1:24" ht="21.9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.75" hidden="1" customHeight="1" x14ac:dyDescent="0.25">
      <c r="A252" s="1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"/>
      <c r="M252" s="1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"/>
    </row>
    <row r="253" spans="1:24" ht="10.5" customHeight="1" x14ac:dyDescent="0.25">
      <c r="A253" s="1"/>
      <c r="K253" s="103"/>
      <c r="L253" s="1"/>
      <c r="M253" s="1"/>
      <c r="W253" s="103"/>
      <c r="X253" s="1"/>
    </row>
    <row r="254" spans="1:24" ht="21.95" customHeight="1" x14ac:dyDescent="0.25">
      <c r="A254" s="1"/>
      <c r="B254" s="95" t="s">
        <v>77</v>
      </c>
      <c r="H254" s="95" t="str">
        <f>D229</f>
        <v>Subaria</v>
      </c>
      <c r="I254" s="95"/>
      <c r="J254" s="92"/>
      <c r="K254" s="103"/>
      <c r="L254" s="1"/>
      <c r="M254" s="1"/>
      <c r="N254" s="95" t="s">
        <v>77</v>
      </c>
      <c r="T254" s="95"/>
      <c r="U254" s="95"/>
      <c r="V254" s="92"/>
      <c r="W254" s="103"/>
      <c r="X254" s="1"/>
    </row>
    <row r="255" spans="1:24" ht="21.95" customHeight="1" x14ac:dyDescent="0.25">
      <c r="A255" s="1"/>
      <c r="B255" s="99" t="s">
        <v>27</v>
      </c>
      <c r="C255" s="57"/>
      <c r="H255" s="99"/>
      <c r="K255" s="103"/>
      <c r="M255" s="1"/>
      <c r="N255" s="99" t="s">
        <v>27</v>
      </c>
      <c r="O255" s="57"/>
      <c r="T255" s="99"/>
      <c r="W255" s="103"/>
    </row>
    <row r="259" spans="1:12" ht="21.95" customHeight="1" x14ac:dyDescent="0.25">
      <c r="A259" s="3" t="s">
        <v>22</v>
      </c>
    </row>
    <row r="260" spans="1:12" ht="21.95" customHeight="1" x14ac:dyDescent="0.2">
      <c r="A260" s="122" t="s">
        <v>20</v>
      </c>
    </row>
    <row r="261" spans="1:12" ht="21.95" customHeight="1" x14ac:dyDescent="0.2">
      <c r="A261" s="122" t="s">
        <v>21</v>
      </c>
    </row>
    <row r="265" spans="1:12" ht="21.95" customHeight="1" x14ac:dyDescent="0.3">
      <c r="A265" s="276" t="s">
        <v>6</v>
      </c>
      <c r="B265" s="276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</row>
    <row r="266" spans="1:12" ht="21.95" customHeigh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</row>
    <row r="267" spans="1:12" ht="21.95" customHeight="1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</row>
    <row r="268" spans="1:12" ht="21.95" customHeight="1" x14ac:dyDescent="0.25">
      <c r="A268" s="1"/>
      <c r="B268" s="1"/>
    </row>
    <row r="269" spans="1:12" ht="21.95" customHeight="1" x14ac:dyDescent="0.25">
      <c r="A269" s="1" t="s">
        <v>7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21.9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21.95" customHeight="1" x14ac:dyDescent="0.25">
      <c r="A271" s="1" t="s">
        <v>8</v>
      </c>
      <c r="B271" s="1"/>
      <c r="C271" s="9" t="s">
        <v>1</v>
      </c>
      <c r="D271" s="40" t="s">
        <v>577</v>
      </c>
      <c r="E271" s="50"/>
      <c r="F271" s="50"/>
      <c r="G271" s="50"/>
      <c r="H271" s="50"/>
      <c r="I271" s="1"/>
      <c r="J271" s="1"/>
      <c r="K271" s="1"/>
      <c r="L271" s="1"/>
    </row>
    <row r="272" spans="1:12" ht="21.95" customHeight="1" x14ac:dyDescent="0.25">
      <c r="A272" s="1" t="s">
        <v>9</v>
      </c>
      <c r="B272" s="1"/>
      <c r="C272" s="9" t="s">
        <v>1</v>
      </c>
      <c r="D272" s="7" t="s">
        <v>578</v>
      </c>
      <c r="E272" s="50"/>
      <c r="F272" s="50"/>
      <c r="G272" s="50"/>
      <c r="H272" s="50"/>
      <c r="I272" s="1"/>
      <c r="J272" s="1"/>
      <c r="K272" s="1"/>
      <c r="L272" s="1"/>
    </row>
    <row r="273" spans="1:12" ht="21.95" customHeight="1" x14ac:dyDescent="0.2">
      <c r="A273" s="50" t="s">
        <v>10</v>
      </c>
      <c r="B273" s="50"/>
      <c r="C273" s="91" t="s">
        <v>1</v>
      </c>
      <c r="D273" s="50" t="s">
        <v>525</v>
      </c>
      <c r="E273" s="50"/>
      <c r="F273" s="50"/>
      <c r="G273" s="50"/>
      <c r="H273" s="50"/>
      <c r="I273" s="50"/>
      <c r="J273" s="50"/>
      <c r="K273" s="50"/>
      <c r="L273" s="50"/>
    </row>
    <row r="274" spans="1:12" ht="21.9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30" customHeight="1" x14ac:dyDescent="0.2">
      <c r="A275" s="280" t="s">
        <v>579</v>
      </c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</row>
    <row r="276" spans="1:12" ht="21.9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21.95" customHeight="1" thickBot="1" x14ac:dyDescent="0.25">
      <c r="A277" s="10" t="s">
        <v>0</v>
      </c>
      <c r="B277" s="278" t="s">
        <v>91</v>
      </c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</row>
    <row r="278" spans="1:12" ht="21.95" customHeight="1" thickTop="1" x14ac:dyDescent="0.25">
      <c r="A278" s="1"/>
      <c r="B278" s="11" t="s">
        <v>3</v>
      </c>
      <c r="C278" s="180" t="s">
        <v>4</v>
      </c>
      <c r="D278" s="181"/>
      <c r="E278" s="181"/>
      <c r="F278" s="181"/>
      <c r="G278" s="181"/>
      <c r="H278" s="182"/>
      <c r="I278" s="11" t="s">
        <v>5</v>
      </c>
      <c r="J278" s="180" t="s">
        <v>17</v>
      </c>
      <c r="K278" s="181"/>
      <c r="L278" s="182"/>
    </row>
    <row r="279" spans="1:12" ht="21.95" customHeight="1" x14ac:dyDescent="0.2">
      <c r="A279" s="50"/>
      <c r="B279" s="143">
        <v>1</v>
      </c>
      <c r="C279" s="281" t="s">
        <v>545</v>
      </c>
      <c r="D279" s="282"/>
      <c r="E279" s="282"/>
      <c r="F279" s="282"/>
      <c r="G279" s="50"/>
      <c r="H279" s="55"/>
      <c r="I279" s="56">
        <v>150000</v>
      </c>
      <c r="J279" s="50"/>
      <c r="K279" s="50"/>
      <c r="L279" s="55"/>
    </row>
    <row r="280" spans="1:12" ht="21.95" customHeight="1" x14ac:dyDescent="0.25">
      <c r="A280" s="1"/>
      <c r="B280" s="96"/>
      <c r="C280" s="124"/>
      <c r="D280" s="124"/>
      <c r="E280" s="127"/>
      <c r="F280" s="125"/>
      <c r="G280" s="124"/>
      <c r="H280" s="124"/>
      <c r="I280" s="183"/>
      <c r="J280" s="1"/>
      <c r="K280" s="1"/>
      <c r="L280" s="42"/>
    </row>
    <row r="281" spans="1:12" ht="21.95" customHeight="1" x14ac:dyDescent="0.25">
      <c r="A281" s="1"/>
      <c r="B281" s="39"/>
      <c r="C281" s="1"/>
      <c r="D281" s="1"/>
      <c r="E281" s="1"/>
      <c r="F281" s="40" t="s">
        <v>5</v>
      </c>
      <c r="G281" s="40"/>
      <c r="H281" s="1"/>
      <c r="I281" s="41">
        <f>I279</f>
        <v>150000</v>
      </c>
      <c r="J281" s="1"/>
      <c r="K281" s="1"/>
      <c r="L281" s="42"/>
    </row>
    <row r="282" spans="1:12" ht="21.95" customHeight="1" thickBot="1" x14ac:dyDescent="0.3">
      <c r="A282" s="1"/>
      <c r="B282" s="43"/>
      <c r="C282" s="44"/>
      <c r="D282" s="44"/>
      <c r="E282" s="44"/>
      <c r="F282" s="45"/>
      <c r="G282" s="45"/>
      <c r="H282" s="44"/>
      <c r="I282" s="46"/>
      <c r="J282" s="44"/>
      <c r="K282" s="44"/>
      <c r="L282" s="47"/>
    </row>
    <row r="283" spans="1:12" ht="21.95" customHeight="1" thickTop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51" customHeight="1" x14ac:dyDescent="0.2">
      <c r="A284" s="10" t="s">
        <v>2</v>
      </c>
      <c r="B284" s="279" t="s">
        <v>11</v>
      </c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</row>
    <row r="285" spans="1:12" ht="21.9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21.95" customHeight="1" x14ac:dyDescent="0.2">
      <c r="A286" s="280" t="s">
        <v>12</v>
      </c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</row>
    <row r="287" spans="1:12" ht="21.9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21.9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21.95" customHeight="1" x14ac:dyDescent="0.25">
      <c r="A289" s="1"/>
      <c r="B289" s="1"/>
      <c r="C289" s="1"/>
      <c r="D289" s="1"/>
      <c r="E289" s="1"/>
      <c r="F289" s="1"/>
      <c r="G289" s="1"/>
      <c r="H289" s="1" t="s">
        <v>580</v>
      </c>
      <c r="I289" s="1"/>
      <c r="J289" s="190"/>
      <c r="K289" s="190"/>
      <c r="L289" s="190"/>
    </row>
    <row r="290" spans="1:12" ht="21.95" customHeight="1" x14ac:dyDescent="0.25">
      <c r="A290" s="1"/>
      <c r="B290" s="1" t="s">
        <v>15</v>
      </c>
      <c r="C290" s="1"/>
      <c r="D290" s="1"/>
      <c r="E290" s="1"/>
      <c r="F290" s="1"/>
      <c r="G290" s="1"/>
      <c r="H290" s="1" t="s">
        <v>13</v>
      </c>
      <c r="I290" s="1"/>
      <c r="J290" s="1"/>
      <c r="K290" s="1"/>
      <c r="L290" s="1"/>
    </row>
    <row r="291" spans="1:12" ht="21.95" customHeight="1" x14ac:dyDescent="0.25">
      <c r="A291" s="1"/>
      <c r="B291" s="1" t="s">
        <v>18</v>
      </c>
      <c r="C291" s="1"/>
      <c r="D291" s="1"/>
      <c r="E291" s="1"/>
      <c r="F291" s="1"/>
      <c r="G291" s="1"/>
      <c r="H291" s="1" t="s">
        <v>14</v>
      </c>
      <c r="I291" s="1"/>
      <c r="J291" s="1"/>
      <c r="K291" s="1"/>
      <c r="L291" s="1"/>
    </row>
    <row r="292" spans="1:12" ht="21.9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21.9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21.95" customHeight="1" x14ac:dyDescent="0.25">
      <c r="A295" s="1"/>
      <c r="B295" s="37" t="s">
        <v>77</v>
      </c>
      <c r="C295" s="1"/>
      <c r="D295" s="1"/>
      <c r="E295" s="1"/>
      <c r="F295" s="1"/>
      <c r="G295" s="1"/>
      <c r="H295" s="37" t="str">
        <f>D271</f>
        <v>Tito Dwi Christianto, STP</v>
      </c>
      <c r="I295" s="37"/>
      <c r="J295" s="40"/>
      <c r="K295" s="1"/>
      <c r="L295" s="1"/>
    </row>
    <row r="296" spans="1:12" ht="21.95" customHeight="1" x14ac:dyDescent="0.25">
      <c r="A296" s="1"/>
      <c r="B296" s="48" t="s">
        <v>27</v>
      </c>
      <c r="C296" s="7"/>
      <c r="D296" s="1"/>
      <c r="E296" s="1"/>
      <c r="F296" s="1"/>
      <c r="G296" s="1"/>
      <c r="H296" s="48" t="s">
        <v>581</v>
      </c>
      <c r="I296" s="1"/>
      <c r="J296" s="1"/>
      <c r="K296" s="1"/>
      <c r="L296" s="1"/>
    </row>
  </sheetData>
  <mergeCells count="55">
    <mergeCell ref="A286:L286"/>
    <mergeCell ref="A265:L265"/>
    <mergeCell ref="A275:L275"/>
    <mergeCell ref="B277:L277"/>
    <mergeCell ref="C279:F279"/>
    <mergeCell ref="B284:L284"/>
    <mergeCell ref="A30:L30"/>
    <mergeCell ref="A9:L9"/>
    <mergeCell ref="A19:L19"/>
    <mergeCell ref="B21:L21"/>
    <mergeCell ref="C23:F23"/>
    <mergeCell ref="B28:L28"/>
    <mergeCell ref="C110:F110"/>
    <mergeCell ref="J33:L33"/>
    <mergeCell ref="A52:L52"/>
    <mergeCell ref="A62:L62"/>
    <mergeCell ref="B64:L64"/>
    <mergeCell ref="C66:F66"/>
    <mergeCell ref="B71:L71"/>
    <mergeCell ref="A73:L73"/>
    <mergeCell ref="J76:L76"/>
    <mergeCell ref="A96:L96"/>
    <mergeCell ref="A106:L106"/>
    <mergeCell ref="B108:L108"/>
    <mergeCell ref="A190:L190"/>
    <mergeCell ref="B115:L115"/>
    <mergeCell ref="A117:L117"/>
    <mergeCell ref="J120:L120"/>
    <mergeCell ref="A139:L139"/>
    <mergeCell ref="A149:L149"/>
    <mergeCell ref="B151:L151"/>
    <mergeCell ref="C153:F153"/>
    <mergeCell ref="B158:L158"/>
    <mergeCell ref="A160:L160"/>
    <mergeCell ref="J163:L163"/>
    <mergeCell ref="A180:L180"/>
    <mergeCell ref="C237:F237"/>
    <mergeCell ref="O237:R237"/>
    <mergeCell ref="B192:L192"/>
    <mergeCell ref="C194:F194"/>
    <mergeCell ref="B199:L199"/>
    <mergeCell ref="A201:L201"/>
    <mergeCell ref="J204:L204"/>
    <mergeCell ref="A223:L223"/>
    <mergeCell ref="M223:X223"/>
    <mergeCell ref="A233:L233"/>
    <mergeCell ref="M233:X233"/>
    <mergeCell ref="B235:L235"/>
    <mergeCell ref="N235:X235"/>
    <mergeCell ref="B242:L242"/>
    <mergeCell ref="N242:X242"/>
    <mergeCell ref="A244:L244"/>
    <mergeCell ref="M244:X244"/>
    <mergeCell ref="J247:L247"/>
    <mergeCell ref="V247:X247"/>
  </mergeCells>
  <pageMargins left="0.5" right="0.2" top="0.75" bottom="1" header="0.5" footer="0.5"/>
  <pageSetup paperSize="5" scale="90" orientation="portrait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97"/>
  <sheetViews>
    <sheetView topLeftCell="A4" zoomScale="80" zoomScaleNormal="80" workbookViewId="0">
      <selection activeCell="B10" sqref="B10:B11"/>
    </sheetView>
  </sheetViews>
  <sheetFormatPr defaultColWidth="9.140625" defaultRowHeight="15" customHeight="1" x14ac:dyDescent="0.25"/>
  <cols>
    <col min="1" max="1" width="1.42578125" style="1" customWidth="1"/>
    <col min="2" max="2" width="32.5703125" style="1" customWidth="1"/>
    <col min="3" max="3" width="5.140625" style="1" customWidth="1"/>
    <col min="4" max="4" width="32" style="1" customWidth="1"/>
    <col min="5" max="5" width="6.28515625" style="1" customWidth="1"/>
    <col min="6" max="6" width="35.7109375" style="1" customWidth="1"/>
    <col min="7" max="7" width="2.7109375" style="1" customWidth="1"/>
    <col min="8" max="8" width="31.140625" style="1" customWidth="1"/>
    <col min="9" max="9" width="29" style="1" customWidth="1"/>
    <col min="10" max="16384" width="9.140625" style="1"/>
  </cols>
  <sheetData>
    <row r="1" spans="2:24" ht="21.75" customHeight="1" x14ac:dyDescent="0.25">
      <c r="B1" s="270" t="s">
        <v>636</v>
      </c>
    </row>
    <row r="2" spans="2:24" s="2" customFormat="1" ht="15" customHeight="1" x14ac:dyDescent="0.25">
      <c r="B2" s="271" t="s">
        <v>637</v>
      </c>
      <c r="J2" s="37"/>
      <c r="K2" s="1"/>
    </row>
    <row r="3" spans="2:24" ht="15.75" x14ac:dyDescent="0.25">
      <c r="B3" s="271" t="s">
        <v>81</v>
      </c>
      <c r="J3" s="48"/>
    </row>
    <row r="4" spans="2:24" ht="26.25" customHeight="1" x14ac:dyDescent="0.25">
      <c r="B4" s="50"/>
      <c r="J4" s="48"/>
    </row>
    <row r="5" spans="2:24" s="89" customFormat="1" ht="39" customHeight="1" x14ac:dyDescent="0.2">
      <c r="B5" s="89" t="s">
        <v>130</v>
      </c>
      <c r="D5" s="89" t="s">
        <v>131</v>
      </c>
      <c r="F5" s="89" t="s">
        <v>132</v>
      </c>
      <c r="H5" s="89" t="s">
        <v>133</v>
      </c>
    </row>
    <row r="6" spans="2:24" ht="15" customHeight="1" x14ac:dyDescent="0.25">
      <c r="B6" s="37" t="s">
        <v>19</v>
      </c>
      <c r="D6" s="37" t="s">
        <v>226</v>
      </c>
      <c r="F6" s="37" t="s">
        <v>43</v>
      </c>
      <c r="H6" s="37" t="s">
        <v>92</v>
      </c>
      <c r="U6" s="63"/>
    </row>
    <row r="7" spans="2:24" ht="15" customHeight="1" x14ac:dyDescent="0.25">
      <c r="B7" s="1" t="s">
        <v>24</v>
      </c>
      <c r="D7" s="48" t="s">
        <v>29</v>
      </c>
      <c r="F7" s="1" t="s">
        <v>44</v>
      </c>
      <c r="H7" s="1" t="s">
        <v>93</v>
      </c>
      <c r="J7" s="37"/>
      <c r="U7" s="50"/>
    </row>
    <row r="8" spans="2:24" ht="16.5" customHeight="1" x14ac:dyDescent="0.25">
      <c r="B8" s="62" t="s">
        <v>80</v>
      </c>
      <c r="C8" s="66"/>
      <c r="D8" s="62" t="s">
        <v>116</v>
      </c>
      <c r="E8" s="66"/>
      <c r="F8" s="66" t="s">
        <v>119</v>
      </c>
      <c r="H8" s="1" t="s">
        <v>203</v>
      </c>
      <c r="U8" s="50"/>
    </row>
    <row r="9" spans="2:24" ht="16.5" customHeight="1" x14ac:dyDescent="0.25">
      <c r="H9" s="25"/>
    </row>
    <row r="10" spans="2:24" ht="15" customHeight="1" x14ac:dyDescent="0.25">
      <c r="B10" s="37" t="s">
        <v>107</v>
      </c>
      <c r="D10" s="37" t="s">
        <v>75</v>
      </c>
      <c r="F10" s="37" t="s">
        <v>54</v>
      </c>
      <c r="H10" s="215" t="s">
        <v>88</v>
      </c>
      <c r="O10" s="67"/>
    </row>
    <row r="11" spans="2:24" ht="15" customHeight="1" x14ac:dyDescent="0.25">
      <c r="B11" s="1" t="s">
        <v>72</v>
      </c>
      <c r="D11" s="48" t="s">
        <v>23</v>
      </c>
      <c r="F11" s="1" t="s">
        <v>55</v>
      </c>
      <c r="H11" s="216" t="s">
        <v>89</v>
      </c>
      <c r="J11" s="37"/>
      <c r="O11" s="68"/>
    </row>
    <row r="12" spans="2:24" ht="15" customHeight="1" x14ac:dyDescent="0.25">
      <c r="B12" s="66" t="s">
        <v>28</v>
      </c>
      <c r="C12" s="66"/>
      <c r="D12" s="66" t="s">
        <v>28</v>
      </c>
      <c r="E12" s="66"/>
      <c r="F12" s="66" t="s">
        <v>28</v>
      </c>
      <c r="H12" s="216" t="s">
        <v>28</v>
      </c>
      <c r="O12" s="50"/>
    </row>
    <row r="13" spans="2:24" ht="15" customHeight="1" x14ac:dyDescent="0.25">
      <c r="H13" s="25"/>
      <c r="O13" s="50"/>
    </row>
    <row r="14" spans="2:24" ht="15" customHeight="1" x14ac:dyDescent="0.25">
      <c r="B14" s="37" t="s">
        <v>38</v>
      </c>
      <c r="D14" s="37" t="s">
        <v>56</v>
      </c>
      <c r="F14" s="37" t="s">
        <v>602</v>
      </c>
      <c r="H14" s="37" t="s">
        <v>555</v>
      </c>
      <c r="J14" s="37"/>
    </row>
    <row r="15" spans="2:24" ht="15" customHeight="1" x14ac:dyDescent="0.25">
      <c r="B15" s="1" t="s">
        <v>39</v>
      </c>
      <c r="D15" s="1" t="s">
        <v>57</v>
      </c>
      <c r="F15" s="1" t="s">
        <v>105</v>
      </c>
      <c r="G15" s="2"/>
      <c r="H15" s="1" t="s">
        <v>46</v>
      </c>
    </row>
    <row r="16" spans="2:24" ht="15" customHeight="1" x14ac:dyDescent="0.25">
      <c r="B16" s="66" t="s">
        <v>28</v>
      </c>
      <c r="C16" s="66"/>
      <c r="D16" s="66" t="s">
        <v>28</v>
      </c>
      <c r="E16" s="66"/>
      <c r="F16" s="66" t="s">
        <v>28</v>
      </c>
      <c r="H16" s="1" t="s">
        <v>275</v>
      </c>
      <c r="O16" s="61"/>
      <c r="T16" s="61"/>
      <c r="X16" s="69"/>
    </row>
    <row r="17" spans="2:24" ht="15" customHeight="1" x14ac:dyDescent="0.25">
      <c r="O17" s="62"/>
      <c r="T17" s="66"/>
      <c r="X17" s="70"/>
    </row>
    <row r="18" spans="2:24" ht="15" customHeight="1" x14ac:dyDescent="0.25">
      <c r="B18" s="37" t="s">
        <v>40</v>
      </c>
      <c r="D18" s="37" t="s">
        <v>71</v>
      </c>
      <c r="F18" s="37" t="s">
        <v>51</v>
      </c>
      <c r="H18" s="37" t="s">
        <v>96</v>
      </c>
      <c r="O18" s="62"/>
      <c r="T18" s="66"/>
      <c r="X18" s="70"/>
    </row>
    <row r="19" spans="2:24" ht="15" customHeight="1" x14ac:dyDescent="0.25">
      <c r="B19" s="1" t="s">
        <v>35</v>
      </c>
      <c r="D19" s="1" t="s">
        <v>70</v>
      </c>
      <c r="F19" s="1" t="s">
        <v>52</v>
      </c>
      <c r="H19" s="1" t="s">
        <v>100</v>
      </c>
    </row>
    <row r="20" spans="2:24" ht="15" customHeight="1" x14ac:dyDescent="0.25">
      <c r="B20" s="66" t="s">
        <v>28</v>
      </c>
      <c r="D20" s="66" t="s">
        <v>28</v>
      </c>
      <c r="F20" s="66" t="s">
        <v>28</v>
      </c>
      <c r="H20" s="1" t="s">
        <v>203</v>
      </c>
    </row>
    <row r="21" spans="2:24" ht="15" customHeight="1" x14ac:dyDescent="0.25">
      <c r="B21" s="66"/>
      <c r="T21" s="61"/>
      <c r="X21" s="61"/>
    </row>
    <row r="22" spans="2:24" ht="15" customHeight="1" x14ac:dyDescent="0.25">
      <c r="B22" s="37" t="s">
        <v>73</v>
      </c>
      <c r="D22" s="37" t="s">
        <v>33</v>
      </c>
      <c r="F22" s="37" t="s">
        <v>47</v>
      </c>
      <c r="H22" s="37" t="s">
        <v>554</v>
      </c>
      <c r="T22" s="62"/>
      <c r="X22" s="66"/>
    </row>
    <row r="23" spans="2:24" ht="20.25" customHeight="1" x14ac:dyDescent="0.25">
      <c r="B23" s="1" t="s">
        <v>53</v>
      </c>
      <c r="C23" s="49"/>
      <c r="D23" s="1" t="s">
        <v>30</v>
      </c>
      <c r="F23" s="1" t="s">
        <v>48</v>
      </c>
      <c r="H23" s="1" t="s">
        <v>79</v>
      </c>
      <c r="J23" s="37"/>
      <c r="T23" s="66"/>
      <c r="X23" s="66"/>
    </row>
    <row r="24" spans="2:24" ht="21" customHeight="1" x14ac:dyDescent="0.25">
      <c r="B24" s="66" t="s">
        <v>28</v>
      </c>
      <c r="C24" s="5"/>
      <c r="D24" s="66" t="s">
        <v>28</v>
      </c>
      <c r="F24" s="66" t="s">
        <v>28</v>
      </c>
      <c r="H24" s="1" t="s">
        <v>203</v>
      </c>
    </row>
    <row r="25" spans="2:24" ht="15" customHeight="1" x14ac:dyDescent="0.25">
      <c r="C25" s="5"/>
    </row>
    <row r="26" spans="2:24" ht="15" customHeight="1" x14ac:dyDescent="0.25">
      <c r="B26" s="37" t="s">
        <v>62</v>
      </c>
      <c r="C26" s="5"/>
      <c r="D26" s="37" t="s">
        <v>101</v>
      </c>
      <c r="F26" s="37" t="s">
        <v>49</v>
      </c>
      <c r="H26" s="26" t="s">
        <v>205</v>
      </c>
    </row>
    <row r="27" spans="2:24" ht="15" customHeight="1" x14ac:dyDescent="0.25">
      <c r="B27" s="1" t="s">
        <v>63</v>
      </c>
      <c r="C27" s="5"/>
      <c r="D27" s="1" t="s">
        <v>102</v>
      </c>
      <c r="F27" s="1" t="s">
        <v>50</v>
      </c>
      <c r="H27" s="25" t="s">
        <v>74</v>
      </c>
      <c r="J27" s="37"/>
    </row>
    <row r="28" spans="2:24" ht="15" customHeight="1" x14ac:dyDescent="0.25">
      <c r="B28" s="66" t="s">
        <v>28</v>
      </c>
      <c r="C28" s="5"/>
      <c r="D28" s="66" t="s">
        <v>28</v>
      </c>
      <c r="F28" s="66" t="s">
        <v>28</v>
      </c>
      <c r="H28" s="25" t="s">
        <v>113</v>
      </c>
    </row>
    <row r="29" spans="2:24" ht="15" customHeight="1" x14ac:dyDescent="0.25">
      <c r="C29" s="5"/>
    </row>
    <row r="30" spans="2:24" ht="15" customHeight="1" x14ac:dyDescent="0.25">
      <c r="B30" s="37" t="s">
        <v>67</v>
      </c>
      <c r="C30" s="5"/>
      <c r="D30" s="37" t="s">
        <v>92</v>
      </c>
      <c r="F30" s="37" t="s">
        <v>85</v>
      </c>
    </row>
    <row r="31" spans="2:24" ht="15" customHeight="1" x14ac:dyDescent="0.25">
      <c r="B31" s="1" t="s">
        <v>68</v>
      </c>
      <c r="C31" s="5"/>
      <c r="D31" s="1" t="s">
        <v>93</v>
      </c>
      <c r="F31" s="7" t="s">
        <v>87</v>
      </c>
      <c r="H31" s="37"/>
      <c r="J31" s="37"/>
    </row>
    <row r="32" spans="2:24" ht="15" customHeight="1" x14ac:dyDescent="0.25">
      <c r="B32" s="66" t="s">
        <v>28</v>
      </c>
      <c r="C32" s="5"/>
      <c r="D32" s="66" t="s">
        <v>28</v>
      </c>
      <c r="F32" s="66" t="s">
        <v>28</v>
      </c>
      <c r="P32" s="61"/>
      <c r="Q32" s="66"/>
      <c r="R32" s="66"/>
      <c r="S32" s="66"/>
      <c r="T32" s="61"/>
      <c r="U32" s="66"/>
      <c r="V32" s="66"/>
    </row>
    <row r="33" spans="2:22" ht="15" customHeight="1" x14ac:dyDescent="0.25">
      <c r="C33" s="5"/>
      <c r="P33" s="66"/>
      <c r="Q33" s="66"/>
      <c r="R33" s="66"/>
      <c r="S33" s="66"/>
      <c r="T33" s="66"/>
      <c r="U33" s="66"/>
      <c r="V33" s="66"/>
    </row>
    <row r="34" spans="2:22" ht="15" customHeight="1" x14ac:dyDescent="0.25">
      <c r="B34" s="37" t="s">
        <v>121</v>
      </c>
      <c r="C34" s="5"/>
      <c r="D34" s="37" t="s">
        <v>82</v>
      </c>
      <c r="F34" s="37" t="s">
        <v>65</v>
      </c>
      <c r="P34" s="66"/>
      <c r="Q34" s="66"/>
      <c r="R34" s="66"/>
      <c r="S34" s="66"/>
      <c r="T34" s="66"/>
      <c r="U34" s="66"/>
      <c r="V34" s="66"/>
    </row>
    <row r="35" spans="2:22" ht="15" customHeight="1" x14ac:dyDescent="0.25">
      <c r="B35" s="1" t="s">
        <v>74</v>
      </c>
      <c r="C35" s="5"/>
      <c r="D35" s="7" t="s">
        <v>84</v>
      </c>
      <c r="F35" s="1" t="s">
        <v>66</v>
      </c>
      <c r="J35" s="37"/>
    </row>
    <row r="36" spans="2:22" ht="15" customHeight="1" x14ac:dyDescent="0.25">
      <c r="B36" s="66" t="s">
        <v>122</v>
      </c>
      <c r="C36" s="5"/>
      <c r="D36" s="66" t="s">
        <v>28</v>
      </c>
      <c r="F36" s="66" t="s">
        <v>28</v>
      </c>
      <c r="J36" s="7"/>
    </row>
    <row r="38" spans="2:22" ht="15" customHeight="1" x14ac:dyDescent="0.25">
      <c r="B38" s="37" t="s">
        <v>123</v>
      </c>
      <c r="D38" s="37" t="s">
        <v>97</v>
      </c>
      <c r="F38" s="37" t="s">
        <v>69</v>
      </c>
    </row>
    <row r="39" spans="2:22" ht="15" customHeight="1" x14ac:dyDescent="0.25">
      <c r="B39" s="1" t="s">
        <v>74</v>
      </c>
      <c r="D39" s="1" t="s">
        <v>98</v>
      </c>
      <c r="F39" s="1" t="s">
        <v>115</v>
      </c>
      <c r="H39" s="37"/>
      <c r="J39" s="37"/>
    </row>
    <row r="40" spans="2:22" ht="15" customHeight="1" x14ac:dyDescent="0.25">
      <c r="B40" s="66" t="s">
        <v>122</v>
      </c>
      <c r="D40" s="66" t="s">
        <v>28</v>
      </c>
      <c r="F40" s="66" t="s">
        <v>28</v>
      </c>
    </row>
    <row r="42" spans="2:22" ht="15" customHeight="1" x14ac:dyDescent="0.25">
      <c r="B42" s="37" t="s">
        <v>124</v>
      </c>
      <c r="D42" s="37" t="s">
        <v>41</v>
      </c>
      <c r="F42" s="37" t="s">
        <v>83</v>
      </c>
    </row>
    <row r="43" spans="2:22" ht="15" customHeight="1" x14ac:dyDescent="0.25">
      <c r="B43" s="1" t="s">
        <v>74</v>
      </c>
      <c r="D43" s="1" t="s">
        <v>42</v>
      </c>
      <c r="F43" s="1" t="s">
        <v>99</v>
      </c>
      <c r="H43" s="37"/>
      <c r="J43" s="37"/>
    </row>
    <row r="44" spans="2:22" ht="15" customHeight="1" x14ac:dyDescent="0.25">
      <c r="B44" s="66" t="s">
        <v>122</v>
      </c>
      <c r="D44" s="66" t="s">
        <v>28</v>
      </c>
      <c r="F44" s="66" t="s">
        <v>28</v>
      </c>
      <c r="J44" s="7"/>
    </row>
    <row r="46" spans="2:22" ht="15" customHeight="1" x14ac:dyDescent="0.25">
      <c r="B46" s="37" t="s">
        <v>112</v>
      </c>
      <c r="D46" s="37" t="s">
        <v>110</v>
      </c>
      <c r="F46" s="37" t="s">
        <v>103</v>
      </c>
    </row>
    <row r="47" spans="2:22" ht="15" customHeight="1" x14ac:dyDescent="0.25">
      <c r="B47" s="1" t="s">
        <v>74</v>
      </c>
      <c r="D47" s="1" t="s">
        <v>74</v>
      </c>
      <c r="F47" s="1" t="s">
        <v>104</v>
      </c>
      <c r="H47" s="37"/>
      <c r="J47" s="37"/>
    </row>
    <row r="48" spans="2:22" ht="15" customHeight="1" x14ac:dyDescent="0.25">
      <c r="B48" s="66" t="s">
        <v>111</v>
      </c>
      <c r="D48" s="1" t="s">
        <v>111</v>
      </c>
      <c r="F48" s="66" t="s">
        <v>28</v>
      </c>
    </row>
    <row r="50" spans="2:18" ht="15" customHeight="1" x14ac:dyDescent="0.25">
      <c r="B50" s="65" t="s">
        <v>134</v>
      </c>
      <c r="F50" s="37" t="s">
        <v>94</v>
      </c>
    </row>
    <row r="51" spans="2:18" ht="15" customHeight="1" x14ac:dyDescent="0.25">
      <c r="B51" s="1" t="s">
        <v>74</v>
      </c>
      <c r="F51" s="1" t="s">
        <v>95</v>
      </c>
    </row>
    <row r="52" spans="2:18" ht="15" customHeight="1" x14ac:dyDescent="0.25">
      <c r="B52" s="1" t="s">
        <v>135</v>
      </c>
      <c r="F52" s="66" t="s">
        <v>28</v>
      </c>
      <c r="R52" s="65"/>
    </row>
    <row r="53" spans="2:18" ht="15" customHeight="1" x14ac:dyDescent="0.25">
      <c r="R53" s="50"/>
    </row>
    <row r="54" spans="2:18" ht="15" customHeight="1" x14ac:dyDescent="0.25">
      <c r="F54" s="37" t="s">
        <v>106</v>
      </c>
      <c r="R54" s="50"/>
    </row>
    <row r="55" spans="2:18" ht="15" customHeight="1" x14ac:dyDescent="0.25">
      <c r="B55" s="37"/>
      <c r="F55" s="48" t="s">
        <v>34</v>
      </c>
    </row>
    <row r="56" spans="2:18" ht="15" customHeight="1" x14ac:dyDescent="0.25">
      <c r="F56" s="66" t="s">
        <v>28</v>
      </c>
    </row>
    <row r="57" spans="2:18" ht="15" customHeight="1" x14ac:dyDescent="0.25">
      <c r="I57" s="37"/>
      <c r="K57" s="37"/>
    </row>
    <row r="58" spans="2:18" ht="15" customHeight="1" x14ac:dyDescent="0.25">
      <c r="F58" s="37" t="s">
        <v>109</v>
      </c>
    </row>
    <row r="59" spans="2:18" ht="15" customHeight="1" x14ac:dyDescent="0.25">
      <c r="B59" s="37"/>
      <c r="F59" s="1" t="s">
        <v>45</v>
      </c>
    </row>
    <row r="60" spans="2:18" ht="15" customHeight="1" x14ac:dyDescent="0.25">
      <c r="F60" s="66" t="s">
        <v>28</v>
      </c>
    </row>
    <row r="62" spans="2:18" ht="15" customHeight="1" x14ac:dyDescent="0.25">
      <c r="F62" s="37" t="s">
        <v>198</v>
      </c>
      <c r="I62" s="37"/>
      <c r="K62" s="37"/>
    </row>
    <row r="63" spans="2:18" ht="15" customHeight="1" x14ac:dyDescent="0.25">
      <c r="F63" s="1" t="s">
        <v>32</v>
      </c>
    </row>
    <row r="64" spans="2:18" ht="15" customHeight="1" x14ac:dyDescent="0.25">
      <c r="B64" s="37"/>
      <c r="E64" s="37"/>
      <c r="F64" s="66" t="s">
        <v>28</v>
      </c>
    </row>
    <row r="66" spans="2:9" ht="15" customHeight="1" x14ac:dyDescent="0.25">
      <c r="F66" s="37" t="s">
        <v>603</v>
      </c>
      <c r="I66" s="37"/>
    </row>
    <row r="67" spans="2:9" ht="15" customHeight="1" x14ac:dyDescent="0.25">
      <c r="F67" s="1" t="s">
        <v>31</v>
      </c>
    </row>
    <row r="68" spans="2:9" ht="15" customHeight="1" x14ac:dyDescent="0.25">
      <c r="B68" s="37"/>
      <c r="F68" s="66" t="s">
        <v>28</v>
      </c>
    </row>
    <row r="69" spans="2:9" ht="15" customHeight="1" x14ac:dyDescent="0.25">
      <c r="E69" s="5"/>
    </row>
    <row r="70" spans="2:9" ht="15" customHeight="1" x14ac:dyDescent="0.25">
      <c r="C70" s="5"/>
      <c r="F70" s="37" t="s">
        <v>125</v>
      </c>
      <c r="I70" s="37"/>
    </row>
    <row r="71" spans="2:9" ht="15" customHeight="1" x14ac:dyDescent="0.25">
      <c r="B71" s="5"/>
      <c r="C71" s="5"/>
      <c r="F71" s="1" t="s">
        <v>129</v>
      </c>
    </row>
    <row r="72" spans="2:9" ht="15" customHeight="1" x14ac:dyDescent="0.25">
      <c r="B72" s="5"/>
      <c r="C72" s="5"/>
      <c r="F72" s="66" t="s">
        <v>126</v>
      </c>
    </row>
    <row r="73" spans="2:9" ht="15" customHeight="1" x14ac:dyDescent="0.25">
      <c r="B73" s="37" t="s">
        <v>25</v>
      </c>
      <c r="C73" s="5"/>
      <c r="E73" s="5"/>
    </row>
    <row r="74" spans="2:9" ht="15" customHeight="1" x14ac:dyDescent="0.25">
      <c r="B74" s="48" t="s">
        <v>26</v>
      </c>
      <c r="C74" s="5"/>
      <c r="I74" s="37"/>
    </row>
    <row r="75" spans="2:9" ht="15" customHeight="1" x14ac:dyDescent="0.25">
      <c r="B75" s="1" t="s">
        <v>114</v>
      </c>
      <c r="C75" s="5"/>
      <c r="E75" s="5"/>
      <c r="F75" s="37" t="s">
        <v>127</v>
      </c>
    </row>
    <row r="76" spans="2:9" x14ac:dyDescent="0.25">
      <c r="F76" s="1" t="s">
        <v>129</v>
      </c>
    </row>
    <row r="77" spans="2:9" ht="15" customHeight="1" x14ac:dyDescent="0.25">
      <c r="B77" s="37" t="s">
        <v>76</v>
      </c>
      <c r="C77" s="5"/>
      <c r="F77" s="66" t="s">
        <v>128</v>
      </c>
    </row>
    <row r="78" spans="2:9" ht="15" customHeight="1" x14ac:dyDescent="0.25">
      <c r="B78" s="1" t="s">
        <v>37</v>
      </c>
      <c r="C78" s="5"/>
      <c r="I78" s="37"/>
    </row>
    <row r="79" spans="2:9" ht="15.75" customHeight="1" x14ac:dyDescent="0.25">
      <c r="B79" s="1" t="s">
        <v>118</v>
      </c>
      <c r="C79" s="5"/>
    </row>
    <row r="80" spans="2:9" ht="16.5" customHeight="1" x14ac:dyDescent="0.25">
      <c r="B80" s="5"/>
      <c r="C80" s="5"/>
    </row>
    <row r="81" spans="2:4" ht="16.5" customHeight="1" x14ac:dyDescent="0.25">
      <c r="B81" s="37" t="s">
        <v>86</v>
      </c>
      <c r="C81" s="5"/>
    </row>
    <row r="82" spans="2:4" ht="16.5" customHeight="1" x14ac:dyDescent="0.25">
      <c r="B82" s="1" t="s">
        <v>90</v>
      </c>
      <c r="C82" s="5"/>
    </row>
    <row r="83" spans="2:4" ht="15" customHeight="1" x14ac:dyDescent="0.25">
      <c r="B83" s="1" t="s">
        <v>118</v>
      </c>
      <c r="C83" s="5"/>
    </row>
    <row r="84" spans="2:4" ht="15" customHeight="1" x14ac:dyDescent="0.25">
      <c r="B84" s="5"/>
      <c r="C84" s="5"/>
    </row>
    <row r="85" spans="2:4" ht="14.25" customHeight="1" x14ac:dyDescent="0.25">
      <c r="B85" s="37" t="s">
        <v>60</v>
      </c>
      <c r="C85" s="5"/>
    </row>
    <row r="86" spans="2:4" ht="14.25" customHeight="1" x14ac:dyDescent="0.25">
      <c r="B86" s="1" t="s">
        <v>61</v>
      </c>
      <c r="C86" s="5"/>
    </row>
    <row r="87" spans="2:4" ht="14.25" customHeight="1" x14ac:dyDescent="0.25">
      <c r="B87" s="1" t="s">
        <v>118</v>
      </c>
      <c r="C87" s="5"/>
    </row>
    <row r="88" spans="2:4" ht="15" customHeight="1" x14ac:dyDescent="0.25">
      <c r="B88" s="5"/>
      <c r="C88" s="5"/>
    </row>
    <row r="89" spans="2:4" ht="15" customHeight="1" x14ac:dyDescent="0.25">
      <c r="B89" s="37" t="s">
        <v>58</v>
      </c>
      <c r="C89" s="5"/>
    </row>
    <row r="90" spans="2:4" ht="15" customHeight="1" x14ac:dyDescent="0.25">
      <c r="B90" s="1" t="s">
        <v>59</v>
      </c>
      <c r="C90" s="5"/>
    </row>
    <row r="91" spans="2:4" ht="15" customHeight="1" x14ac:dyDescent="0.25">
      <c r="B91" s="1" t="s">
        <v>28</v>
      </c>
    </row>
    <row r="94" spans="2:4" ht="15" customHeight="1" x14ac:dyDescent="0.25">
      <c r="B94" s="37" t="s">
        <v>139</v>
      </c>
      <c r="D94" s="37" t="s">
        <v>143</v>
      </c>
    </row>
    <row r="95" spans="2:4" ht="15" customHeight="1" x14ac:dyDescent="0.25">
      <c r="B95" s="48" t="s">
        <v>140</v>
      </c>
      <c r="D95" s="48" t="s">
        <v>144</v>
      </c>
    </row>
    <row r="96" spans="2:4" ht="15" customHeight="1" x14ac:dyDescent="0.25">
      <c r="B96" s="1" t="s">
        <v>141</v>
      </c>
      <c r="D96" s="1" t="s">
        <v>141</v>
      </c>
    </row>
    <row r="98" spans="2:4" ht="15" customHeight="1" x14ac:dyDescent="0.25">
      <c r="B98" s="37" t="s">
        <v>149</v>
      </c>
      <c r="D98" s="37" t="s">
        <v>147</v>
      </c>
    </row>
    <row r="99" spans="2:4" ht="15" customHeight="1" x14ac:dyDescent="0.25">
      <c r="B99" s="48" t="s">
        <v>150</v>
      </c>
      <c r="D99" s="48" t="s">
        <v>148</v>
      </c>
    </row>
    <row r="100" spans="2:4" ht="15" customHeight="1" x14ac:dyDescent="0.25">
      <c r="B100" s="1" t="s">
        <v>141</v>
      </c>
      <c r="D100" s="1" t="s">
        <v>141</v>
      </c>
    </row>
    <row r="102" spans="2:4" ht="15" customHeight="1" x14ac:dyDescent="0.25">
      <c r="B102" s="37" t="s">
        <v>167</v>
      </c>
      <c r="D102" s="37" t="s">
        <v>151</v>
      </c>
    </row>
    <row r="103" spans="2:4" ht="15" customHeight="1" x14ac:dyDescent="0.25">
      <c r="B103" s="48" t="s">
        <v>168</v>
      </c>
      <c r="D103" s="48" t="s">
        <v>152</v>
      </c>
    </row>
    <row r="104" spans="2:4" ht="15" customHeight="1" x14ac:dyDescent="0.25">
      <c r="B104" s="1" t="s">
        <v>141</v>
      </c>
      <c r="D104" s="1" t="s">
        <v>141</v>
      </c>
    </row>
    <row r="105" spans="2:4" ht="14.25" customHeight="1" x14ac:dyDescent="0.25"/>
    <row r="106" spans="2:4" ht="15" customHeight="1" x14ac:dyDescent="0.25">
      <c r="B106" s="37" t="s">
        <v>169</v>
      </c>
      <c r="D106" s="37" t="s">
        <v>156</v>
      </c>
    </row>
    <row r="107" spans="2:4" ht="15" customHeight="1" x14ac:dyDescent="0.25">
      <c r="B107" s="48" t="s">
        <v>170</v>
      </c>
      <c r="D107" s="48" t="s">
        <v>157</v>
      </c>
    </row>
    <row r="108" spans="2:4" ht="15" customHeight="1" x14ac:dyDescent="0.25">
      <c r="B108" s="1" t="s">
        <v>141</v>
      </c>
      <c r="D108" s="1" t="s">
        <v>141</v>
      </c>
    </row>
    <row r="110" spans="2:4" ht="9.75" customHeight="1" x14ac:dyDescent="0.25"/>
    <row r="111" spans="2:4" ht="15" customHeight="1" x14ac:dyDescent="0.25">
      <c r="B111" s="37" t="s">
        <v>171</v>
      </c>
      <c r="D111" s="37" t="s">
        <v>159</v>
      </c>
    </row>
    <row r="112" spans="2:4" x14ac:dyDescent="0.25">
      <c r="B112" s="48" t="s">
        <v>172</v>
      </c>
      <c r="D112" s="48" t="s">
        <v>160</v>
      </c>
    </row>
    <row r="113" spans="2:4" ht="15" customHeight="1" x14ac:dyDescent="0.25">
      <c r="B113" s="1" t="s">
        <v>141</v>
      </c>
      <c r="D113" s="1" t="s">
        <v>141</v>
      </c>
    </row>
    <row r="115" spans="2:4" x14ac:dyDescent="0.25">
      <c r="B115" s="37" t="s">
        <v>175</v>
      </c>
      <c r="D115" s="37" t="s">
        <v>161</v>
      </c>
    </row>
    <row r="116" spans="2:4" ht="15" customHeight="1" x14ac:dyDescent="0.25">
      <c r="B116" s="48" t="s">
        <v>176</v>
      </c>
      <c r="D116" s="48" t="s">
        <v>162</v>
      </c>
    </row>
    <row r="117" spans="2:4" x14ac:dyDescent="0.25">
      <c r="B117" s="1" t="s">
        <v>141</v>
      </c>
      <c r="D117" s="1" t="s">
        <v>141</v>
      </c>
    </row>
    <row r="119" spans="2:4" ht="15" customHeight="1" x14ac:dyDescent="0.25">
      <c r="B119" s="37" t="s">
        <v>177</v>
      </c>
      <c r="D119" s="37" t="s">
        <v>179</v>
      </c>
    </row>
    <row r="120" spans="2:4" x14ac:dyDescent="0.25">
      <c r="B120" s="48" t="s">
        <v>178</v>
      </c>
      <c r="D120" s="48" t="s">
        <v>180</v>
      </c>
    </row>
    <row r="121" spans="2:4" x14ac:dyDescent="0.25">
      <c r="B121" s="1" t="s">
        <v>141</v>
      </c>
      <c r="D121" s="1" t="s">
        <v>141</v>
      </c>
    </row>
    <row r="123" spans="2:4" x14ac:dyDescent="0.25">
      <c r="B123" s="37" t="s">
        <v>183</v>
      </c>
      <c r="D123" s="37" t="s">
        <v>181</v>
      </c>
    </row>
    <row r="124" spans="2:4" ht="15" customHeight="1" x14ac:dyDescent="0.25">
      <c r="B124" s="48" t="s">
        <v>184</v>
      </c>
      <c r="D124" s="48" t="s">
        <v>182</v>
      </c>
    </row>
    <row r="125" spans="2:4" ht="12.75" customHeight="1" x14ac:dyDescent="0.25">
      <c r="B125" s="1" t="s">
        <v>141</v>
      </c>
      <c r="D125" s="1" t="s">
        <v>141</v>
      </c>
    </row>
    <row r="127" spans="2:4" ht="15" customHeight="1" x14ac:dyDescent="0.25">
      <c r="B127" s="37" t="s">
        <v>185</v>
      </c>
      <c r="D127" s="37" t="s">
        <v>187</v>
      </c>
    </row>
    <row r="128" spans="2:4" ht="15" customHeight="1" x14ac:dyDescent="0.25">
      <c r="B128" s="48" t="s">
        <v>186</v>
      </c>
      <c r="D128" s="48" t="s">
        <v>188</v>
      </c>
    </row>
    <row r="129" spans="2:4" ht="15" customHeight="1" x14ac:dyDescent="0.25">
      <c r="B129" s="1" t="s">
        <v>141</v>
      </c>
      <c r="D129" s="1" t="s">
        <v>141</v>
      </c>
    </row>
    <row r="130" spans="2:4" ht="15" customHeight="1" x14ac:dyDescent="0.25">
      <c r="B130" s="5"/>
      <c r="C130" s="5"/>
    </row>
    <row r="131" spans="2:4" ht="15" customHeight="1" x14ac:dyDescent="0.25">
      <c r="B131" s="37" t="s">
        <v>190</v>
      </c>
      <c r="C131" s="5"/>
      <c r="D131" s="37" t="s">
        <v>192</v>
      </c>
    </row>
    <row r="132" spans="2:4" ht="15" customHeight="1" x14ac:dyDescent="0.25">
      <c r="B132" s="48" t="s">
        <v>191</v>
      </c>
      <c r="C132" s="5"/>
      <c r="D132" s="48" t="s">
        <v>193</v>
      </c>
    </row>
    <row r="133" spans="2:4" ht="15" customHeight="1" x14ac:dyDescent="0.25">
      <c r="B133" s="1" t="s">
        <v>141</v>
      </c>
      <c r="C133" s="5"/>
      <c r="D133" s="1" t="s">
        <v>141</v>
      </c>
    </row>
    <row r="134" spans="2:4" ht="15" customHeight="1" x14ac:dyDescent="0.25">
      <c r="B134" s="5"/>
      <c r="C134" s="5"/>
    </row>
    <row r="135" spans="2:4" ht="15" customHeight="1" x14ac:dyDescent="0.25">
      <c r="B135" s="37" t="s">
        <v>196</v>
      </c>
      <c r="C135" s="5"/>
      <c r="D135" s="37" t="s">
        <v>194</v>
      </c>
    </row>
    <row r="136" spans="2:4" ht="15" customHeight="1" x14ac:dyDescent="0.25">
      <c r="B136" s="48" t="s">
        <v>197</v>
      </c>
      <c r="D136" s="48" t="s">
        <v>195</v>
      </c>
    </row>
    <row r="137" spans="2:4" ht="15" customHeight="1" x14ac:dyDescent="0.25">
      <c r="B137" s="1" t="s">
        <v>141</v>
      </c>
      <c r="C137" s="5"/>
      <c r="D137" s="1" t="s">
        <v>141</v>
      </c>
    </row>
    <row r="138" spans="2:4" ht="9.75" customHeight="1" x14ac:dyDescent="0.25"/>
    <row r="139" spans="2:4" ht="15" customHeight="1" x14ac:dyDescent="0.25">
      <c r="B139" s="5"/>
      <c r="C139" s="5"/>
    </row>
    <row r="140" spans="2:4" ht="15" customHeight="1" x14ac:dyDescent="0.25">
      <c r="D140" s="37" t="s">
        <v>154</v>
      </c>
    </row>
    <row r="141" spans="2:4" ht="15" customHeight="1" x14ac:dyDescent="0.25">
      <c r="B141" s="5"/>
      <c r="C141" s="5"/>
      <c r="D141" s="48" t="s">
        <v>155</v>
      </c>
    </row>
    <row r="142" spans="2:4" ht="15" customHeight="1" x14ac:dyDescent="0.25">
      <c r="B142" s="5"/>
      <c r="C142" s="5"/>
    </row>
    <row r="143" spans="2:4" ht="15" customHeight="1" x14ac:dyDescent="0.25">
      <c r="B143" s="5"/>
      <c r="C143" s="5"/>
    </row>
    <row r="144" spans="2:4" ht="15" customHeight="1" x14ac:dyDescent="0.25">
      <c r="B144" s="5"/>
      <c r="C144" s="6"/>
    </row>
    <row r="145" spans="2:3" ht="15" customHeight="1" x14ac:dyDescent="0.25">
      <c r="B145" s="5"/>
      <c r="C145" s="5"/>
    </row>
    <row r="146" spans="2:3" ht="8.25" customHeight="1" x14ac:dyDescent="0.25">
      <c r="B146" s="5"/>
      <c r="C146" s="5"/>
    </row>
    <row r="147" spans="2:3" ht="15" customHeight="1" x14ac:dyDescent="0.25">
      <c r="B147" s="5"/>
      <c r="C147" s="5"/>
    </row>
    <row r="148" spans="2:3" ht="9.75" customHeight="1" x14ac:dyDescent="0.25">
      <c r="B148" s="5"/>
      <c r="C148" s="5"/>
    </row>
    <row r="149" spans="2:3" ht="15" customHeight="1" x14ac:dyDescent="0.25">
      <c r="B149" s="5"/>
      <c r="C149" s="5"/>
    </row>
    <row r="150" spans="2:3" ht="27" customHeight="1" x14ac:dyDescent="0.25">
      <c r="B150" s="5"/>
      <c r="C150" s="5"/>
    </row>
    <row r="151" spans="2:3" ht="8.25" customHeight="1" x14ac:dyDescent="0.25">
      <c r="B151" s="5"/>
      <c r="C151" s="5"/>
    </row>
    <row r="152" spans="2:3" ht="15" customHeight="1" x14ac:dyDescent="0.25">
      <c r="B152" s="5"/>
      <c r="C152" s="5"/>
    </row>
    <row r="153" spans="2:3" ht="15" customHeight="1" x14ac:dyDescent="0.25">
      <c r="B153" s="5"/>
      <c r="C153" s="5"/>
    </row>
    <row r="154" spans="2:3" ht="15" customHeight="1" x14ac:dyDescent="0.25">
      <c r="B154" s="5"/>
      <c r="C154" s="5"/>
    </row>
    <row r="155" spans="2:3" ht="15" customHeight="1" x14ac:dyDescent="0.25">
      <c r="B155" s="5"/>
      <c r="C155" s="5"/>
    </row>
    <row r="267" spans="3:4" ht="15" customHeight="1" x14ac:dyDescent="0.25">
      <c r="C267" s="5"/>
      <c r="D267" s="5"/>
    </row>
    <row r="268" spans="3:4" ht="15" customHeight="1" x14ac:dyDescent="0.25">
      <c r="C268" s="5"/>
      <c r="D268" s="5"/>
    </row>
    <row r="269" spans="3:4" ht="15" customHeight="1" x14ac:dyDescent="0.25">
      <c r="C269" s="5"/>
      <c r="D269" s="5"/>
    </row>
    <row r="270" spans="3:4" ht="15" customHeight="1" x14ac:dyDescent="0.25">
      <c r="C270" s="5"/>
      <c r="D270" s="5"/>
    </row>
    <row r="271" spans="3:4" ht="15" customHeight="1" x14ac:dyDescent="0.25">
      <c r="C271" s="5"/>
      <c r="D271" s="5"/>
    </row>
    <row r="273" spans="3:4" ht="15" customHeight="1" x14ac:dyDescent="0.25">
      <c r="C273" s="5"/>
      <c r="D273" s="5"/>
    </row>
    <row r="275" spans="3:4" ht="15" customHeight="1" x14ac:dyDescent="0.25">
      <c r="C275" s="5"/>
      <c r="D275" s="5"/>
    </row>
    <row r="277" spans="3:4" ht="15" customHeight="1" x14ac:dyDescent="0.25">
      <c r="C277" s="5"/>
      <c r="D277" s="5"/>
    </row>
    <row r="278" spans="3:4" ht="15" customHeight="1" x14ac:dyDescent="0.25">
      <c r="C278" s="5"/>
      <c r="D278" s="5"/>
    </row>
    <row r="279" spans="3:4" ht="15" customHeight="1" x14ac:dyDescent="0.25">
      <c r="C279" s="5"/>
      <c r="D279" s="5"/>
    </row>
    <row r="280" spans="3:4" ht="15" customHeight="1" x14ac:dyDescent="0.25">
      <c r="C280" s="5"/>
      <c r="D280" s="6"/>
    </row>
    <row r="300" spans="3:3" ht="15" customHeight="1" x14ac:dyDescent="0.25">
      <c r="C300" s="8"/>
    </row>
    <row r="301" spans="3:3" ht="15" customHeight="1" x14ac:dyDescent="0.25">
      <c r="C301" s="8"/>
    </row>
    <row r="302" spans="3:3" ht="15" customHeight="1" x14ac:dyDescent="0.25">
      <c r="C302" s="8"/>
    </row>
    <row r="303" spans="3:3" ht="15" customHeight="1" x14ac:dyDescent="0.25">
      <c r="C303" s="8"/>
    </row>
    <row r="305" spans="3:3" ht="15" customHeight="1" x14ac:dyDescent="0.25">
      <c r="C305" s="8"/>
    </row>
    <row r="306" spans="3:3" ht="15" customHeight="1" x14ac:dyDescent="0.25">
      <c r="C306" s="8"/>
    </row>
    <row r="307" spans="3:3" ht="15" customHeight="1" x14ac:dyDescent="0.25">
      <c r="C307" s="8"/>
    </row>
    <row r="308" spans="3:3" ht="15" customHeight="1" x14ac:dyDescent="0.25">
      <c r="C308" s="8"/>
    </row>
    <row r="309" spans="3:3" ht="15" customHeight="1" x14ac:dyDescent="0.25">
      <c r="C309" s="8"/>
    </row>
    <row r="445" spans="1:2" ht="15" customHeight="1" x14ac:dyDescent="0.25">
      <c r="A445" s="5"/>
      <c r="B445" s="5"/>
    </row>
    <row r="446" spans="1:2" ht="15" customHeight="1" x14ac:dyDescent="0.25">
      <c r="A446" s="5"/>
      <c r="B446" s="5"/>
    </row>
    <row r="447" spans="1:2" ht="15" customHeight="1" x14ac:dyDescent="0.25">
      <c r="A447" s="5"/>
      <c r="B447" s="5"/>
    </row>
    <row r="448" spans="1:2" ht="15" customHeight="1" x14ac:dyDescent="0.25">
      <c r="A448" s="5"/>
      <c r="B448" s="5"/>
    </row>
    <row r="449" spans="1:2" ht="15" customHeight="1" x14ac:dyDescent="0.25">
      <c r="A449" s="5"/>
      <c r="B449" s="5"/>
    </row>
    <row r="451" spans="1:2" ht="15" customHeight="1" x14ac:dyDescent="0.25">
      <c r="A451" s="5"/>
      <c r="B451" s="5"/>
    </row>
    <row r="453" spans="1:2" ht="15" customHeight="1" x14ac:dyDescent="0.25">
      <c r="A453" s="5"/>
      <c r="B453" s="5"/>
    </row>
    <row r="455" spans="1:2" ht="15" customHeight="1" x14ac:dyDescent="0.25">
      <c r="A455" s="5"/>
      <c r="B455" s="5"/>
    </row>
    <row r="456" spans="1:2" ht="15" customHeight="1" x14ac:dyDescent="0.25">
      <c r="A456" s="5"/>
      <c r="B456" s="5"/>
    </row>
    <row r="457" spans="1:2" ht="15" customHeight="1" x14ac:dyDescent="0.25">
      <c r="A457" s="5"/>
      <c r="B457" s="5"/>
    </row>
    <row r="458" spans="1:2" ht="15" customHeight="1" x14ac:dyDescent="0.25">
      <c r="A458" s="5"/>
      <c r="B458" s="6"/>
    </row>
    <row r="502" spans="2:3" ht="15" customHeight="1" x14ac:dyDescent="0.25">
      <c r="B502" s="5"/>
      <c r="C502" s="5"/>
    </row>
    <row r="503" spans="2:3" ht="15" customHeight="1" x14ac:dyDescent="0.25">
      <c r="B503" s="5"/>
      <c r="C503" s="5"/>
    </row>
    <row r="504" spans="2:3" ht="15" customHeight="1" x14ac:dyDescent="0.25">
      <c r="B504" s="5"/>
      <c r="C504" s="5"/>
    </row>
    <row r="505" spans="2:3" ht="15" customHeight="1" x14ac:dyDescent="0.25">
      <c r="B505" s="5"/>
      <c r="C505" s="5"/>
    </row>
    <row r="506" spans="2:3" ht="15" customHeight="1" x14ac:dyDescent="0.25">
      <c r="B506" s="5"/>
      <c r="C506" s="5"/>
    </row>
    <row r="507" spans="2:3" ht="15" customHeight="1" x14ac:dyDescent="0.25">
      <c r="B507" s="5"/>
      <c r="C507" s="5"/>
    </row>
    <row r="508" spans="2:3" ht="15" customHeight="1" x14ac:dyDescent="0.25">
      <c r="B508" s="5"/>
      <c r="C508" s="5"/>
    </row>
    <row r="510" spans="2:3" ht="15" customHeight="1" x14ac:dyDescent="0.25">
      <c r="B510" s="5"/>
      <c r="C510" s="5"/>
    </row>
    <row r="511" spans="2:3" ht="15" customHeight="1" x14ac:dyDescent="0.25">
      <c r="B511" s="5"/>
      <c r="C511" s="5"/>
    </row>
    <row r="512" spans="2:3" ht="15" customHeight="1" x14ac:dyDescent="0.25">
      <c r="B512" s="5"/>
      <c r="C512" s="5"/>
    </row>
    <row r="513" spans="2:3" ht="15" customHeight="1" x14ac:dyDescent="0.25">
      <c r="B513" s="5"/>
      <c r="C513" s="6"/>
    </row>
    <row r="514" spans="2:3" ht="15" customHeight="1" x14ac:dyDescent="0.25">
      <c r="B514" s="5"/>
      <c r="C514" s="5"/>
    </row>
    <row r="579" spans="2:2" ht="15" customHeight="1" x14ac:dyDescent="0.25">
      <c r="B579" s="5"/>
    </row>
    <row r="580" spans="2:2" ht="15" customHeight="1" x14ac:dyDescent="0.25">
      <c r="B580" s="5"/>
    </row>
    <row r="581" spans="2:2" ht="15" customHeight="1" x14ac:dyDescent="0.25">
      <c r="B581" s="5"/>
    </row>
    <row r="582" spans="2:2" ht="15" customHeight="1" x14ac:dyDescent="0.25">
      <c r="B582" s="5"/>
    </row>
    <row r="584" spans="2:2" ht="15" customHeight="1" x14ac:dyDescent="0.25">
      <c r="B584" s="5"/>
    </row>
    <row r="586" spans="2:2" ht="15" customHeight="1" x14ac:dyDescent="0.25">
      <c r="B586" s="5"/>
    </row>
    <row r="588" spans="2:2" ht="15" customHeight="1" x14ac:dyDescent="0.25">
      <c r="B588" s="5"/>
    </row>
    <row r="589" spans="2:2" ht="15" customHeight="1" x14ac:dyDescent="0.25">
      <c r="B589" s="5"/>
    </row>
    <row r="613" ht="12.75" customHeight="1" x14ac:dyDescent="0.25"/>
    <row r="809" spans="2:3" ht="15" customHeight="1" x14ac:dyDescent="0.25">
      <c r="B809" s="5"/>
      <c r="C809" s="5"/>
    </row>
    <row r="810" spans="2:3" ht="15" customHeight="1" x14ac:dyDescent="0.25">
      <c r="B810" s="5"/>
      <c r="C810" s="5"/>
    </row>
    <row r="812" spans="2:3" ht="15" customHeight="1" x14ac:dyDescent="0.25">
      <c r="B812" s="5"/>
      <c r="C812" s="5"/>
    </row>
    <row r="813" spans="2:3" ht="15" customHeight="1" x14ac:dyDescent="0.25">
      <c r="B813" s="5"/>
      <c r="C813" s="5"/>
    </row>
    <row r="814" spans="2:3" ht="15" customHeight="1" x14ac:dyDescent="0.25">
      <c r="B814" s="5"/>
      <c r="C814" s="5"/>
    </row>
    <row r="815" spans="2:3" ht="15" customHeight="1" x14ac:dyDescent="0.25">
      <c r="B815" s="5"/>
      <c r="C815" s="5"/>
    </row>
    <row r="816" spans="2:3" ht="15" customHeight="1" x14ac:dyDescent="0.25">
      <c r="B816" s="5"/>
      <c r="C816" s="5"/>
    </row>
    <row r="818" spans="2:3" ht="15" customHeight="1" x14ac:dyDescent="0.25">
      <c r="B818" s="5"/>
      <c r="C818" s="5"/>
    </row>
    <row r="819" spans="2:3" ht="15" customHeight="1" x14ac:dyDescent="0.25">
      <c r="B819" s="5"/>
      <c r="C819" s="5"/>
    </row>
    <row r="820" spans="2:3" ht="15" customHeight="1" x14ac:dyDescent="0.25">
      <c r="B820" s="5"/>
      <c r="C820" s="5"/>
    </row>
    <row r="821" spans="2:3" ht="15" customHeight="1" x14ac:dyDescent="0.25">
      <c r="B821" s="5"/>
      <c r="C821" s="6"/>
    </row>
    <row r="885" spans="2:3" ht="15" customHeight="1" x14ac:dyDescent="0.25">
      <c r="B885" s="5"/>
      <c r="C885" s="5"/>
    </row>
    <row r="886" spans="2:3" ht="15" customHeight="1" x14ac:dyDescent="0.25">
      <c r="B886" s="5"/>
      <c r="C886" s="5"/>
    </row>
    <row r="888" spans="2:3" ht="15" customHeight="1" x14ac:dyDescent="0.25">
      <c r="B888" s="5"/>
      <c r="C888" s="5"/>
    </row>
    <row r="889" spans="2:3" ht="15" customHeight="1" x14ac:dyDescent="0.25">
      <c r="B889" s="5"/>
      <c r="C889" s="5"/>
    </row>
    <row r="890" spans="2:3" ht="15" customHeight="1" x14ac:dyDescent="0.25">
      <c r="B890" s="5"/>
      <c r="C890" s="5"/>
    </row>
    <row r="891" spans="2:3" ht="15" customHeight="1" x14ac:dyDescent="0.25">
      <c r="B891" s="5"/>
      <c r="C891" s="5"/>
    </row>
    <row r="892" spans="2:3" ht="15" customHeight="1" x14ac:dyDescent="0.25">
      <c r="B892" s="5"/>
      <c r="C892" s="5"/>
    </row>
    <row r="894" spans="2:3" ht="15" customHeight="1" x14ac:dyDescent="0.25">
      <c r="B894" s="5"/>
      <c r="C894" s="5"/>
    </row>
    <row r="895" spans="2:3" ht="15" customHeight="1" x14ac:dyDescent="0.25">
      <c r="B895" s="5"/>
      <c r="C895" s="5"/>
    </row>
    <row r="896" spans="2:3" ht="15" customHeight="1" x14ac:dyDescent="0.25">
      <c r="B896" s="5"/>
      <c r="C896" s="5"/>
    </row>
    <row r="897" spans="2:3" ht="15" customHeight="1" x14ac:dyDescent="0.25">
      <c r="B897" s="5"/>
      <c r="C897" s="6"/>
    </row>
  </sheetData>
  <pageMargins left="0.5" right="0.25" top="0.75" bottom="1" header="0.5" footer="0.5"/>
  <pageSetup paperSize="5" orientation="portrait" horizontalDpi="4294967293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28"/>
  <sheetViews>
    <sheetView topLeftCell="A253" zoomScale="112" zoomScaleNormal="112" zoomScaleSheetLayoutView="100" workbookViewId="0">
      <selection activeCell="A248" sqref="A248:L290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3.28515625" style="4" customWidth="1"/>
    <col min="9" max="9" width="13.2851562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9.140625" style="4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3.5" customHeight="1" x14ac:dyDescent="0.2"/>
    <row r="2" spans="1:12" ht="15.75" customHeight="1" x14ac:dyDescent="0.25">
      <c r="A2" s="3" t="s">
        <v>22</v>
      </c>
    </row>
    <row r="3" spans="1:12" ht="14.25" customHeight="1" x14ac:dyDescent="0.25">
      <c r="A3" s="3" t="s">
        <v>20</v>
      </c>
    </row>
    <row r="4" spans="1:12" ht="15.75" x14ac:dyDescent="0.25">
      <c r="A4" s="3" t="s">
        <v>21</v>
      </c>
    </row>
    <row r="5" spans="1:12" ht="9" customHeight="1" x14ac:dyDescent="0.2"/>
    <row r="6" spans="1:12" ht="27.75" customHeight="1" x14ac:dyDescent="0.2"/>
    <row r="7" spans="1:12" ht="7.5" customHeight="1" x14ac:dyDescent="0.2"/>
    <row r="8" spans="1:12" ht="17.25" customHeight="1" x14ac:dyDescent="0.3">
      <c r="A8" s="276" t="s">
        <v>6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</row>
    <row r="9" spans="1:12" ht="12.7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18.75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5" x14ac:dyDescent="0.25">
      <c r="A11" s="1"/>
      <c r="B11" s="1"/>
    </row>
    <row r="12" spans="1:12" ht="15" x14ac:dyDescent="0.25">
      <c r="A12" s="1" t="s">
        <v>7</v>
      </c>
      <c r="B12" s="1"/>
    </row>
    <row r="13" spans="1:12" ht="14.25" customHeight="1" x14ac:dyDescent="0.25">
      <c r="A13" s="1"/>
      <c r="B13" s="1"/>
    </row>
    <row r="14" spans="1:12" ht="16.5" customHeight="1" x14ac:dyDescent="0.25">
      <c r="A14" s="1" t="s">
        <v>8</v>
      </c>
      <c r="C14" s="9" t="s">
        <v>1</v>
      </c>
      <c r="D14" s="40" t="s">
        <v>211</v>
      </c>
    </row>
    <row r="15" spans="1:12" ht="13.5" customHeight="1" x14ac:dyDescent="0.25">
      <c r="A15" s="1" t="s">
        <v>9</v>
      </c>
      <c r="C15" s="9" t="s">
        <v>1</v>
      </c>
      <c r="D15" s="10" t="s">
        <v>212</v>
      </c>
      <c r="E15" s="50"/>
      <c r="F15" s="50"/>
      <c r="G15" s="50"/>
      <c r="H15" s="50"/>
    </row>
    <row r="16" spans="1:12" ht="15" customHeight="1" x14ac:dyDescent="0.25">
      <c r="A16" s="1" t="s">
        <v>10</v>
      </c>
      <c r="C16" s="9" t="s">
        <v>1</v>
      </c>
      <c r="D16" s="297" t="s">
        <v>213</v>
      </c>
      <c r="E16" s="297"/>
      <c r="F16" s="297"/>
      <c r="G16" s="297"/>
      <c r="H16" s="297"/>
    </row>
    <row r="17" spans="1:15" ht="15" customHeight="1" x14ac:dyDescent="0.25">
      <c r="A17" s="1"/>
      <c r="B17" s="1"/>
      <c r="D17" s="1"/>
    </row>
    <row r="18" spans="1:15" ht="36.75" customHeight="1" x14ac:dyDescent="0.2">
      <c r="A18" s="280" t="s">
        <v>209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</row>
    <row r="19" spans="1:15" s="1" customFormat="1" ht="22.5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O19" s="4"/>
    </row>
    <row r="20" spans="1:15" ht="31.5" customHeight="1" thickBot="1" x14ac:dyDescent="0.25">
      <c r="A20" s="10" t="s">
        <v>0</v>
      </c>
      <c r="B20" s="280" t="s">
        <v>91</v>
      </c>
      <c r="C20" s="277"/>
      <c r="D20" s="277"/>
      <c r="E20" s="277"/>
      <c r="F20" s="277"/>
      <c r="G20" s="277"/>
      <c r="H20" s="277"/>
      <c r="I20" s="277"/>
      <c r="J20" s="277"/>
      <c r="K20" s="277"/>
      <c r="L20" s="277"/>
    </row>
    <row r="21" spans="1:15" ht="15.75" thickTop="1" x14ac:dyDescent="0.25">
      <c r="A21" s="1"/>
      <c r="B21" s="11" t="s">
        <v>3</v>
      </c>
      <c r="C21" s="12" t="s">
        <v>4</v>
      </c>
      <c r="D21" s="13"/>
      <c r="E21" s="13"/>
      <c r="F21" s="13"/>
      <c r="G21" s="13"/>
      <c r="H21" s="14"/>
      <c r="I21" s="15" t="s">
        <v>5</v>
      </c>
      <c r="J21" s="12" t="s">
        <v>17</v>
      </c>
      <c r="K21" s="13"/>
      <c r="L21" s="14"/>
    </row>
    <row r="22" spans="1:15" ht="27.75" customHeight="1" x14ac:dyDescent="0.2">
      <c r="A22" s="50"/>
      <c r="B22" s="100">
        <v>1</v>
      </c>
      <c r="C22" s="287" t="s">
        <v>210</v>
      </c>
      <c r="D22" s="288"/>
      <c r="E22" s="121">
        <v>100000</v>
      </c>
      <c r="F22" s="121" t="s">
        <v>214</v>
      </c>
      <c r="G22" s="76"/>
      <c r="H22" s="79"/>
      <c r="I22" s="56">
        <f>E22*2</f>
        <v>200000</v>
      </c>
      <c r="J22" s="76" t="s">
        <v>207</v>
      </c>
      <c r="K22" s="76"/>
      <c r="L22" s="79"/>
    </row>
    <row r="23" spans="1:15" ht="12.75" customHeight="1" x14ac:dyDescent="0.2">
      <c r="A23" s="50"/>
      <c r="B23" s="96"/>
      <c r="C23" s="76"/>
      <c r="D23" s="76"/>
      <c r="E23" s="76"/>
      <c r="F23" s="76"/>
      <c r="G23" s="78"/>
      <c r="H23" s="79"/>
      <c r="I23" s="56"/>
      <c r="J23" s="50"/>
      <c r="K23" s="50"/>
      <c r="L23" s="55"/>
    </row>
    <row r="24" spans="1:15" ht="15" customHeight="1" x14ac:dyDescent="0.2">
      <c r="B24" s="16"/>
      <c r="C24" s="97"/>
      <c r="D24" s="50"/>
      <c r="E24" s="50"/>
      <c r="F24" s="50"/>
      <c r="G24" s="50"/>
      <c r="H24" s="55"/>
      <c r="I24" s="19"/>
      <c r="L24" s="17"/>
    </row>
    <row r="25" spans="1:15" ht="15" customHeight="1" x14ac:dyDescent="0.2">
      <c r="B25" s="16"/>
      <c r="H25" s="17"/>
      <c r="I25" s="19"/>
      <c r="L25" s="17"/>
    </row>
    <row r="26" spans="1:15" ht="13.5" customHeight="1" x14ac:dyDescent="0.2">
      <c r="B26" s="16"/>
      <c r="H26" s="17"/>
      <c r="I26" s="19"/>
      <c r="L26" s="17"/>
    </row>
    <row r="27" spans="1:15" ht="15" customHeight="1" x14ac:dyDescent="0.2">
      <c r="B27" s="20"/>
      <c r="C27" s="21"/>
      <c r="D27" s="21"/>
      <c r="E27" s="21"/>
      <c r="F27" s="21"/>
      <c r="G27" s="21"/>
      <c r="H27" s="22"/>
      <c r="I27" s="23"/>
      <c r="J27" s="21"/>
      <c r="K27" s="21"/>
      <c r="L27" s="22"/>
    </row>
    <row r="28" spans="1:15" ht="19.5" customHeight="1" x14ac:dyDescent="0.25">
      <c r="A28" s="1"/>
      <c r="B28" s="39"/>
      <c r="C28" s="1"/>
      <c r="D28" s="1"/>
      <c r="E28" s="1"/>
      <c r="F28" s="40" t="s">
        <v>5</v>
      </c>
      <c r="G28" s="40"/>
      <c r="H28" s="1"/>
      <c r="I28" s="41">
        <f>SUM(I22:I23)</f>
        <v>200000</v>
      </c>
      <c r="J28" s="1"/>
      <c r="K28" s="1"/>
      <c r="L28" s="42"/>
    </row>
    <row r="29" spans="1:15" ht="6.75" customHeight="1" thickBot="1" x14ac:dyDescent="0.3">
      <c r="A29" s="1"/>
      <c r="B29" s="43"/>
      <c r="C29" s="44"/>
      <c r="D29" s="44"/>
      <c r="E29" s="44"/>
      <c r="F29" s="45"/>
      <c r="G29" s="45"/>
      <c r="H29" s="44"/>
      <c r="I29" s="46"/>
      <c r="J29" s="44"/>
      <c r="K29" s="44"/>
      <c r="L29" s="47"/>
    </row>
    <row r="30" spans="1:15" ht="23.25" customHeight="1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5" ht="43.5" customHeight="1" x14ac:dyDescent="0.2">
      <c r="A31" s="10" t="s">
        <v>2</v>
      </c>
      <c r="B31" s="279" t="s">
        <v>11</v>
      </c>
      <c r="C31" s="279"/>
      <c r="D31" s="279"/>
      <c r="E31" s="279"/>
      <c r="F31" s="279"/>
      <c r="G31" s="279"/>
      <c r="H31" s="279"/>
      <c r="I31" s="279"/>
      <c r="J31" s="279"/>
      <c r="K31" s="279"/>
      <c r="L31" s="279"/>
    </row>
    <row r="32" spans="1:15" ht="19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1" customHeight="1" x14ac:dyDescent="0.2">
      <c r="A33" s="280" t="s">
        <v>12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</row>
    <row r="34" spans="1:12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x14ac:dyDescent="0.25">
      <c r="A36" s="1"/>
      <c r="B36" s="1"/>
      <c r="C36" s="1"/>
      <c r="D36" s="1"/>
      <c r="E36" s="1"/>
      <c r="F36" s="1"/>
      <c r="G36" s="1"/>
      <c r="H36" s="1" t="s">
        <v>199</v>
      </c>
      <c r="I36" s="1"/>
      <c r="J36" s="283" t="s">
        <v>208</v>
      </c>
      <c r="K36" s="298"/>
      <c r="L36" s="298"/>
    </row>
    <row r="37" spans="1:12" ht="18" customHeight="1" x14ac:dyDescent="0.25">
      <c r="A37" s="1"/>
      <c r="B37" s="1" t="s">
        <v>15</v>
      </c>
      <c r="C37" s="1"/>
      <c r="D37" s="1"/>
      <c r="E37" s="1"/>
      <c r="F37" s="1"/>
      <c r="G37" s="1"/>
      <c r="H37" s="1" t="s">
        <v>13</v>
      </c>
      <c r="I37" s="1"/>
      <c r="J37" s="1"/>
      <c r="K37" s="1"/>
      <c r="L37" s="1"/>
    </row>
    <row r="38" spans="1:12" ht="15" customHeight="1" x14ac:dyDescent="0.25">
      <c r="A38" s="1"/>
      <c r="B38" s="1" t="s">
        <v>18</v>
      </c>
      <c r="C38" s="1"/>
      <c r="D38" s="1"/>
      <c r="E38" s="1"/>
      <c r="F38" s="1"/>
      <c r="G38" s="1"/>
      <c r="H38" s="1" t="s">
        <v>14</v>
      </c>
      <c r="I38" s="1"/>
      <c r="J38" s="1"/>
      <c r="K38" s="1"/>
      <c r="L38" s="1"/>
    </row>
    <row r="39" spans="1:12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" x14ac:dyDescent="0.25">
      <c r="A43" s="1"/>
      <c r="B43" s="101" t="s">
        <v>77</v>
      </c>
      <c r="C43" s="103"/>
      <c r="D43" s="103"/>
      <c r="E43" s="1"/>
      <c r="F43" s="1"/>
      <c r="G43" s="1"/>
      <c r="H43" s="101" t="str">
        <f>D14</f>
        <v>Sri Meilani,AMKL</v>
      </c>
      <c r="I43" s="101"/>
      <c r="J43" s="102"/>
      <c r="K43" s="103"/>
      <c r="L43" s="1"/>
    </row>
    <row r="44" spans="1:12" ht="15" x14ac:dyDescent="0.25">
      <c r="A44" s="1"/>
      <c r="B44" s="104" t="s">
        <v>27</v>
      </c>
      <c r="C44" s="106"/>
      <c r="D44" s="103"/>
      <c r="E44" s="1"/>
      <c r="F44" s="1"/>
      <c r="G44" s="1"/>
      <c r="H44" s="104" t="s">
        <v>215</v>
      </c>
      <c r="I44" s="103"/>
      <c r="J44" s="103"/>
      <c r="K44" s="103"/>
    </row>
    <row r="45" spans="1:12" ht="12.75" x14ac:dyDescent="0.2"/>
    <row r="46" spans="1:12" ht="12.75" x14ac:dyDescent="0.2"/>
    <row r="47" spans="1:12" ht="12.75" x14ac:dyDescent="0.2"/>
    <row r="48" spans="1:12" ht="12.75" x14ac:dyDescent="0.2"/>
    <row r="49" spans="1:12" ht="12.75" x14ac:dyDescent="0.2"/>
    <row r="50" spans="1:12" ht="12.75" x14ac:dyDescent="0.2"/>
    <row r="51" spans="1:12" ht="12.75" x14ac:dyDescent="0.2"/>
    <row r="52" spans="1:12" ht="18.75" customHeight="1" x14ac:dyDescent="0.25">
      <c r="A52" s="3" t="s">
        <v>22</v>
      </c>
    </row>
    <row r="53" spans="1:12" ht="15.75" x14ac:dyDescent="0.25">
      <c r="A53" s="3" t="s">
        <v>20</v>
      </c>
    </row>
    <row r="54" spans="1:12" ht="15.75" x14ac:dyDescent="0.25">
      <c r="A54" s="3" t="s">
        <v>21</v>
      </c>
    </row>
    <row r="55" spans="1:12" ht="12.75" x14ac:dyDescent="0.2"/>
    <row r="56" spans="1:12" ht="12.75" x14ac:dyDescent="0.2"/>
    <row r="57" spans="1:12" ht="12.75" x14ac:dyDescent="0.2"/>
    <row r="58" spans="1:12" ht="18.75" x14ac:dyDescent="0.3">
      <c r="A58" s="276" t="s">
        <v>6</v>
      </c>
      <c r="B58" s="276"/>
      <c r="C58" s="276"/>
      <c r="D58" s="276"/>
      <c r="E58" s="276"/>
      <c r="F58" s="276"/>
      <c r="G58" s="276"/>
      <c r="H58" s="276"/>
      <c r="I58" s="276"/>
      <c r="J58" s="276"/>
      <c r="K58" s="276"/>
      <c r="L58" s="276"/>
    </row>
    <row r="59" spans="1:12" ht="14.25" customHeight="1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 ht="14.25" customHeight="1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1:12" ht="15" customHeight="1" x14ac:dyDescent="0.25">
      <c r="A61" s="1"/>
      <c r="B61" s="1"/>
    </row>
    <row r="62" spans="1:12" ht="15" customHeight="1" x14ac:dyDescent="0.25">
      <c r="A62" s="1" t="s">
        <v>7</v>
      </c>
      <c r="B62" s="1"/>
    </row>
    <row r="63" spans="1:12" ht="18.75" customHeight="1" x14ac:dyDescent="0.25">
      <c r="A63" s="1"/>
      <c r="B63" s="1"/>
    </row>
    <row r="64" spans="1:12" ht="15" customHeight="1" x14ac:dyDescent="0.25">
      <c r="A64" s="1" t="s">
        <v>8</v>
      </c>
      <c r="C64" s="9" t="s">
        <v>1</v>
      </c>
      <c r="D64" s="40" t="s">
        <v>216</v>
      </c>
    </row>
    <row r="65" spans="1:12" ht="15" customHeight="1" x14ac:dyDescent="0.25">
      <c r="A65" s="1" t="s">
        <v>9</v>
      </c>
      <c r="C65" s="9" t="s">
        <v>1</v>
      </c>
      <c r="D65" s="48" t="s">
        <v>74</v>
      </c>
      <c r="E65" s="50"/>
      <c r="F65" s="50"/>
      <c r="G65" s="50"/>
      <c r="H65" s="50"/>
    </row>
    <row r="66" spans="1:12" ht="15" customHeight="1" x14ac:dyDescent="0.25">
      <c r="A66" s="1" t="s">
        <v>10</v>
      </c>
      <c r="C66" s="9" t="s">
        <v>1</v>
      </c>
      <c r="D66" s="297" t="s">
        <v>217</v>
      </c>
      <c r="E66" s="297"/>
      <c r="F66" s="297"/>
      <c r="G66" s="297"/>
      <c r="H66" s="297"/>
    </row>
    <row r="67" spans="1:12" ht="27.75" customHeight="1" x14ac:dyDescent="0.25">
      <c r="A67" s="1"/>
      <c r="B67" s="1"/>
      <c r="D67" s="1"/>
    </row>
    <row r="68" spans="1:12" ht="30.75" customHeight="1" x14ac:dyDescent="0.2">
      <c r="A68" s="280" t="s">
        <v>209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</row>
    <row r="69" spans="1:12" ht="15" x14ac:dyDescent="0.25">
      <c r="A69" s="1"/>
      <c r="B69" s="1"/>
    </row>
    <row r="70" spans="1:12" ht="30.75" customHeight="1" thickBot="1" x14ac:dyDescent="0.25">
      <c r="A70" s="10" t="s">
        <v>0</v>
      </c>
      <c r="B70" s="280" t="s">
        <v>91</v>
      </c>
      <c r="C70" s="277"/>
      <c r="D70" s="277"/>
      <c r="E70" s="277"/>
      <c r="F70" s="277"/>
      <c r="G70" s="277"/>
      <c r="H70" s="277"/>
      <c r="I70" s="277"/>
      <c r="J70" s="277"/>
      <c r="K70" s="277"/>
      <c r="L70" s="277"/>
    </row>
    <row r="71" spans="1:12" ht="15.75" thickTop="1" x14ac:dyDescent="0.25">
      <c r="A71" s="1"/>
      <c r="B71" s="11" t="s">
        <v>3</v>
      </c>
      <c r="C71" s="12" t="s">
        <v>4</v>
      </c>
      <c r="D71" s="13"/>
      <c r="E71" s="13"/>
      <c r="F71" s="13"/>
      <c r="G71" s="13"/>
      <c r="H71" s="14"/>
      <c r="I71" s="15" t="s">
        <v>5</v>
      </c>
      <c r="J71" s="12" t="s">
        <v>17</v>
      </c>
      <c r="K71" s="13"/>
      <c r="L71" s="14"/>
    </row>
    <row r="72" spans="1:12" ht="47.25" customHeight="1" x14ac:dyDescent="0.2">
      <c r="A72" s="50"/>
      <c r="B72" s="100">
        <v>1</v>
      </c>
      <c r="C72" s="287" t="s">
        <v>210</v>
      </c>
      <c r="D72" s="288"/>
      <c r="E72" s="121">
        <v>100000</v>
      </c>
      <c r="F72" s="121" t="s">
        <v>214</v>
      </c>
      <c r="G72" s="76"/>
      <c r="H72" s="79"/>
      <c r="I72" s="56">
        <f>E72*2</f>
        <v>200000</v>
      </c>
      <c r="J72" s="76" t="s">
        <v>207</v>
      </c>
      <c r="K72" s="76"/>
      <c r="L72" s="79"/>
    </row>
    <row r="73" spans="1:12" ht="16.5" customHeight="1" x14ac:dyDescent="0.2">
      <c r="A73" s="50"/>
      <c r="B73" s="96"/>
      <c r="C73" s="76"/>
      <c r="D73" s="76"/>
      <c r="E73" s="76"/>
      <c r="F73" s="76"/>
      <c r="G73" s="78"/>
      <c r="H73" s="79"/>
      <c r="I73" s="56"/>
      <c r="J73" s="50"/>
      <c r="K73" s="50"/>
      <c r="L73" s="55"/>
    </row>
    <row r="74" spans="1:12" ht="18.75" customHeight="1" x14ac:dyDescent="0.2">
      <c r="B74" s="16"/>
      <c r="C74" s="97"/>
      <c r="D74" s="50"/>
      <c r="E74" s="50"/>
      <c r="F74" s="50"/>
      <c r="G74" s="50"/>
      <c r="H74" s="55"/>
      <c r="I74" s="19"/>
      <c r="L74" s="17"/>
    </row>
    <row r="75" spans="1:12" ht="17.25" customHeight="1" x14ac:dyDescent="0.2">
      <c r="B75" s="16"/>
      <c r="H75" s="17"/>
      <c r="I75" s="19"/>
      <c r="L75" s="17"/>
    </row>
    <row r="76" spans="1:12" ht="12.75" hidden="1" x14ac:dyDescent="0.2">
      <c r="B76" s="16"/>
      <c r="H76" s="17"/>
      <c r="I76" s="19"/>
      <c r="L76" s="17"/>
    </row>
    <row r="77" spans="1:12" ht="12.75" hidden="1" x14ac:dyDescent="0.2">
      <c r="B77" s="20"/>
      <c r="C77" s="21"/>
      <c r="D77" s="21"/>
      <c r="E77" s="21"/>
      <c r="F77" s="21"/>
      <c r="G77" s="21"/>
      <c r="H77" s="22"/>
      <c r="I77" s="23"/>
      <c r="J77" s="21"/>
      <c r="K77" s="21"/>
      <c r="L77" s="22"/>
    </row>
    <row r="78" spans="1:12" ht="21" customHeight="1" x14ac:dyDescent="0.25">
      <c r="A78" s="1"/>
      <c r="B78" s="39"/>
      <c r="C78" s="1"/>
      <c r="D78" s="1"/>
      <c r="E78" s="1"/>
      <c r="F78" s="40" t="s">
        <v>5</v>
      </c>
      <c r="G78" s="40"/>
      <c r="H78" s="1"/>
      <c r="I78" s="41">
        <f>SUM(I72:I73)</f>
        <v>200000</v>
      </c>
      <c r="J78" s="1"/>
      <c r="K78" s="1"/>
      <c r="L78" s="42"/>
    </row>
    <row r="79" spans="1:12" ht="15" customHeight="1" thickBot="1" x14ac:dyDescent="0.3">
      <c r="A79" s="1"/>
      <c r="B79" s="43"/>
      <c r="C79" s="44"/>
      <c r="D79" s="44"/>
      <c r="E79" s="44"/>
      <c r="F79" s="45"/>
      <c r="G79" s="45"/>
      <c r="H79" s="44"/>
      <c r="I79" s="46"/>
      <c r="J79" s="44"/>
      <c r="K79" s="44"/>
      <c r="L79" s="47"/>
    </row>
    <row r="80" spans="1:12" ht="19.5" customHeight="1" thickTop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46.5" customHeight="1" x14ac:dyDescent="0.2">
      <c r="A81" s="10" t="s">
        <v>2</v>
      </c>
      <c r="B81" s="279" t="s">
        <v>11</v>
      </c>
      <c r="C81" s="279"/>
      <c r="D81" s="279"/>
      <c r="E81" s="279"/>
      <c r="F81" s="279"/>
      <c r="G81" s="279"/>
      <c r="H81" s="279"/>
      <c r="I81" s="279"/>
      <c r="J81" s="279"/>
      <c r="K81" s="279"/>
      <c r="L81" s="279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">
      <c r="A83" s="280" t="s">
        <v>12</v>
      </c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</row>
    <row r="84" spans="1:1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 t="s">
        <v>199</v>
      </c>
      <c r="I86" s="1"/>
      <c r="J86" s="283" t="s">
        <v>208</v>
      </c>
      <c r="K86" s="298"/>
      <c r="L86" s="298"/>
    </row>
    <row r="87" spans="1:12" ht="15" x14ac:dyDescent="0.25">
      <c r="A87" s="1"/>
      <c r="B87" s="1" t="s">
        <v>15</v>
      </c>
      <c r="C87" s="1"/>
      <c r="D87" s="1"/>
      <c r="E87" s="1"/>
      <c r="F87" s="1"/>
      <c r="G87" s="1"/>
      <c r="H87" s="1" t="s">
        <v>13</v>
      </c>
      <c r="I87" s="1"/>
      <c r="J87" s="1"/>
      <c r="K87" s="1"/>
      <c r="L87" s="1"/>
    </row>
    <row r="88" spans="1:12" ht="15" x14ac:dyDescent="0.25">
      <c r="A88" s="1"/>
      <c r="B88" s="1" t="s">
        <v>18</v>
      </c>
      <c r="C88" s="1"/>
      <c r="D88" s="1"/>
      <c r="E88" s="1"/>
      <c r="F88" s="1"/>
      <c r="G88" s="1"/>
      <c r="H88" s="1" t="s">
        <v>14</v>
      </c>
      <c r="I88" s="1"/>
      <c r="J88" s="1"/>
      <c r="K88" s="1"/>
      <c r="L88" s="1"/>
    </row>
    <row r="89" spans="1:12" ht="46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01" t="s">
        <v>77</v>
      </c>
      <c r="C93" s="103"/>
      <c r="D93" s="103"/>
      <c r="E93" s="1"/>
      <c r="F93" s="1"/>
      <c r="G93" s="1"/>
      <c r="H93" s="101" t="str">
        <f>D64</f>
        <v>Yurika</v>
      </c>
      <c r="I93" s="101"/>
      <c r="J93" s="102"/>
      <c r="K93" s="103"/>
      <c r="L93" s="1"/>
    </row>
    <row r="94" spans="1:12" ht="15" x14ac:dyDescent="0.25">
      <c r="A94" s="1"/>
      <c r="B94" s="104" t="s">
        <v>27</v>
      </c>
      <c r="C94" s="106"/>
      <c r="D94" s="103"/>
      <c r="E94" s="1"/>
      <c r="F94" s="1"/>
      <c r="G94" s="1"/>
      <c r="H94" s="104"/>
      <c r="I94" s="103"/>
      <c r="J94" s="103"/>
      <c r="K94" s="103"/>
    </row>
    <row r="95" spans="1:12" ht="12.75" x14ac:dyDescent="0.2"/>
    <row r="96" spans="1:12" ht="12.75" x14ac:dyDescent="0.2"/>
    <row r="97" spans="1:12" ht="12.75" x14ac:dyDescent="0.2"/>
    <row r="98" spans="1:12" ht="12.75" x14ac:dyDescent="0.2"/>
    <row r="99" spans="1:12" ht="12.75" x14ac:dyDescent="0.2"/>
    <row r="100" spans="1:12" ht="12.75" x14ac:dyDescent="0.2"/>
    <row r="101" spans="1:12" ht="12.75" x14ac:dyDescent="0.2"/>
    <row r="102" spans="1:12" ht="15.75" x14ac:dyDescent="0.25">
      <c r="A102" s="3" t="s">
        <v>22</v>
      </c>
    </row>
    <row r="103" spans="1:12" ht="15.75" x14ac:dyDescent="0.25">
      <c r="A103" s="3" t="s">
        <v>20</v>
      </c>
    </row>
    <row r="104" spans="1:12" ht="15.75" x14ac:dyDescent="0.25">
      <c r="A104" s="3" t="s">
        <v>21</v>
      </c>
    </row>
    <row r="105" spans="1:12" ht="12.75" x14ac:dyDescent="0.2"/>
    <row r="106" spans="1:12" ht="12.75" x14ac:dyDescent="0.2"/>
    <row r="107" spans="1:12" ht="12.75" x14ac:dyDescent="0.2"/>
    <row r="108" spans="1:12" ht="18.75" x14ac:dyDescent="0.3">
      <c r="A108" s="276" t="s">
        <v>6</v>
      </c>
      <c r="B108" s="276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</row>
    <row r="109" spans="1:12" ht="18.75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</row>
    <row r="110" spans="1:12" ht="18" customHeight="1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</row>
    <row r="111" spans="1:12" ht="10.5" customHeight="1" x14ac:dyDescent="0.25">
      <c r="A111" s="1"/>
      <c r="B111" s="1"/>
    </row>
    <row r="112" spans="1:12" ht="18.75" customHeight="1" x14ac:dyDescent="0.25">
      <c r="A112" s="1" t="s">
        <v>7</v>
      </c>
      <c r="B112" s="1"/>
    </row>
    <row r="113" spans="1:12" ht="14.25" customHeight="1" x14ac:dyDescent="0.25">
      <c r="A113" s="1"/>
      <c r="B113" s="1"/>
    </row>
    <row r="114" spans="1:12" ht="21" customHeight="1" x14ac:dyDescent="0.25">
      <c r="A114" s="1" t="s">
        <v>8</v>
      </c>
      <c r="C114" s="9" t="s">
        <v>1</v>
      </c>
      <c r="D114" s="40" t="s">
        <v>218</v>
      </c>
    </row>
    <row r="115" spans="1:12" ht="15" customHeight="1" x14ac:dyDescent="0.25">
      <c r="A115" s="1" t="s">
        <v>9</v>
      </c>
      <c r="C115" s="9" t="s">
        <v>1</v>
      </c>
      <c r="D115" s="48" t="s">
        <v>74</v>
      </c>
      <c r="E115" s="50"/>
      <c r="F115" s="50"/>
      <c r="G115" s="50"/>
      <c r="H115" s="50"/>
    </row>
    <row r="116" spans="1:12" ht="14.25" customHeight="1" x14ac:dyDescent="0.25">
      <c r="A116" s="1" t="s">
        <v>10</v>
      </c>
      <c r="C116" s="9" t="s">
        <v>1</v>
      </c>
      <c r="D116" s="297" t="s">
        <v>219</v>
      </c>
      <c r="E116" s="297"/>
      <c r="F116" s="297"/>
      <c r="G116" s="297"/>
      <c r="H116" s="297"/>
    </row>
    <row r="117" spans="1:12" ht="14.25" customHeight="1" x14ac:dyDescent="0.25">
      <c r="A117" s="1"/>
      <c r="B117" s="1"/>
      <c r="D117" s="1"/>
    </row>
    <row r="118" spans="1:12" ht="36.75" customHeight="1" x14ac:dyDescent="0.2">
      <c r="A118" s="280" t="s">
        <v>220</v>
      </c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</row>
    <row r="119" spans="1:12" ht="17.25" customHeight="1" x14ac:dyDescent="0.25">
      <c r="A119" s="1"/>
      <c r="B119" s="1"/>
    </row>
    <row r="120" spans="1:12" ht="28.5" customHeight="1" thickBot="1" x14ac:dyDescent="0.25">
      <c r="A120" s="10" t="s">
        <v>0</v>
      </c>
      <c r="B120" s="280" t="s">
        <v>91</v>
      </c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</row>
    <row r="121" spans="1:12" ht="13.5" customHeight="1" thickTop="1" x14ac:dyDescent="0.25">
      <c r="A121" s="1"/>
      <c r="B121" s="11" t="s">
        <v>3</v>
      </c>
      <c r="C121" s="12" t="s">
        <v>4</v>
      </c>
      <c r="D121" s="13"/>
      <c r="E121" s="13"/>
      <c r="F121" s="13"/>
      <c r="G121" s="13"/>
      <c r="H121" s="14"/>
      <c r="I121" s="15" t="s">
        <v>5</v>
      </c>
      <c r="J121" s="12" t="s">
        <v>17</v>
      </c>
      <c r="K121" s="13"/>
      <c r="L121" s="14"/>
    </row>
    <row r="122" spans="1:12" ht="33.75" customHeight="1" x14ac:dyDescent="0.2">
      <c r="A122" s="50"/>
      <c r="B122" s="100">
        <v>1</v>
      </c>
      <c r="C122" s="287" t="s">
        <v>210</v>
      </c>
      <c r="D122" s="288"/>
      <c r="E122" s="121">
        <v>100000</v>
      </c>
      <c r="F122" s="121" t="s">
        <v>214</v>
      </c>
      <c r="G122" s="76"/>
      <c r="H122" s="79"/>
      <c r="I122" s="56">
        <f>E122*2</f>
        <v>200000</v>
      </c>
      <c r="J122" s="76" t="s">
        <v>207</v>
      </c>
      <c r="K122" s="76"/>
      <c r="L122" s="79"/>
    </row>
    <row r="123" spans="1:12" ht="19.5" customHeight="1" x14ac:dyDescent="0.2">
      <c r="A123" s="50"/>
      <c r="B123" s="96"/>
      <c r="C123" s="76"/>
      <c r="D123" s="76"/>
      <c r="E123" s="76"/>
      <c r="F123" s="76"/>
      <c r="G123" s="78"/>
      <c r="H123" s="79"/>
      <c r="I123" s="56"/>
      <c r="J123" s="50"/>
      <c r="K123" s="50"/>
      <c r="L123" s="55"/>
    </row>
    <row r="124" spans="1:12" ht="24.75" customHeight="1" x14ac:dyDescent="0.2">
      <c r="B124" s="16"/>
      <c r="C124" s="97"/>
      <c r="D124" s="50"/>
      <c r="E124" s="50"/>
      <c r="F124" s="50"/>
      <c r="G124" s="50"/>
      <c r="H124" s="55"/>
      <c r="I124" s="19"/>
      <c r="L124" s="17"/>
    </row>
    <row r="125" spans="1:12" ht="19.5" customHeight="1" x14ac:dyDescent="0.2">
      <c r="B125" s="16"/>
      <c r="H125" s="17"/>
      <c r="I125" s="19"/>
      <c r="L125" s="17"/>
    </row>
    <row r="126" spans="1:12" ht="18.75" customHeight="1" x14ac:dyDescent="0.2">
      <c r="B126" s="16"/>
      <c r="H126" s="17"/>
      <c r="I126" s="19"/>
      <c r="L126" s="17"/>
    </row>
    <row r="127" spans="1:12" ht="21" customHeight="1" x14ac:dyDescent="0.2">
      <c r="B127" s="20"/>
      <c r="C127" s="21"/>
      <c r="D127" s="21"/>
      <c r="E127" s="21"/>
      <c r="F127" s="21"/>
      <c r="G127" s="21"/>
      <c r="H127" s="22"/>
      <c r="I127" s="23"/>
      <c r="J127" s="21"/>
      <c r="K127" s="21"/>
      <c r="L127" s="22"/>
    </row>
    <row r="128" spans="1:12" ht="14.25" customHeight="1" x14ac:dyDescent="0.25">
      <c r="A128" s="1"/>
      <c r="B128" s="39"/>
      <c r="C128" s="1"/>
      <c r="D128" s="1"/>
      <c r="E128" s="1"/>
      <c r="F128" s="40" t="s">
        <v>5</v>
      </c>
      <c r="G128" s="40"/>
      <c r="H128" s="1"/>
      <c r="I128" s="41">
        <f>SUM(I122:I123)</f>
        <v>200000</v>
      </c>
      <c r="J128" s="1"/>
      <c r="K128" s="1"/>
      <c r="L128" s="42"/>
    </row>
    <row r="129" spans="1:12" ht="15.75" thickBot="1" x14ac:dyDescent="0.3">
      <c r="A129" s="1"/>
      <c r="B129" s="43"/>
      <c r="C129" s="44"/>
      <c r="D129" s="44"/>
      <c r="E129" s="44"/>
      <c r="F129" s="45"/>
      <c r="G129" s="45"/>
      <c r="H129" s="44"/>
      <c r="I129" s="46"/>
      <c r="J129" s="44"/>
      <c r="K129" s="44"/>
      <c r="L129" s="47"/>
    </row>
    <row r="130" spans="1:12" ht="23.25" customHeight="1" thickTop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47.25" customHeight="1" x14ac:dyDescent="0.2">
      <c r="A131" s="10" t="s">
        <v>2</v>
      </c>
      <c r="B131" s="279" t="s">
        <v>11</v>
      </c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</row>
    <row r="132" spans="1:12" ht="21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45.75" customHeight="1" x14ac:dyDescent="0.2">
      <c r="A133" s="280" t="s">
        <v>12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</row>
    <row r="134" spans="1:12" ht="1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" x14ac:dyDescent="0.25">
      <c r="A136" s="1"/>
      <c r="B136" s="1"/>
      <c r="C136" s="1"/>
      <c r="D136" s="1"/>
      <c r="E136" s="1"/>
      <c r="F136" s="1"/>
      <c r="G136" s="1"/>
      <c r="H136" s="1" t="s">
        <v>199</v>
      </c>
      <c r="I136" s="1"/>
      <c r="J136" s="283" t="s">
        <v>208</v>
      </c>
      <c r="K136" s="298"/>
      <c r="L136" s="298"/>
    </row>
    <row r="137" spans="1:12" ht="15" x14ac:dyDescent="0.25">
      <c r="A137" s="1"/>
      <c r="B137" s="1" t="s">
        <v>15</v>
      </c>
      <c r="C137" s="1"/>
      <c r="D137" s="1"/>
      <c r="E137" s="1"/>
      <c r="F137" s="1"/>
      <c r="G137" s="1"/>
      <c r="H137" s="1" t="s">
        <v>13</v>
      </c>
      <c r="I137" s="1"/>
      <c r="J137" s="1"/>
      <c r="K137" s="1"/>
      <c r="L137" s="1"/>
    </row>
    <row r="138" spans="1:12" ht="15" x14ac:dyDescent="0.25">
      <c r="A138" s="1"/>
      <c r="B138" s="1" t="s">
        <v>18</v>
      </c>
      <c r="C138" s="1"/>
      <c r="D138" s="1"/>
      <c r="E138" s="1"/>
      <c r="F138" s="1"/>
      <c r="G138" s="1"/>
      <c r="H138" s="1" t="s">
        <v>14</v>
      </c>
      <c r="I138" s="1"/>
      <c r="J138" s="1"/>
      <c r="K138" s="1"/>
      <c r="L138" s="1"/>
    </row>
    <row r="139" spans="1:12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" customHeight="1" x14ac:dyDescent="0.25">
      <c r="A143" s="1"/>
      <c r="B143" s="101" t="s">
        <v>77</v>
      </c>
      <c r="C143" s="103"/>
      <c r="D143" s="103"/>
      <c r="E143" s="1"/>
      <c r="F143" s="1"/>
      <c r="G143" s="1"/>
      <c r="H143" s="101" t="str">
        <f>D114</f>
        <v>Robiah</v>
      </c>
      <c r="I143" s="101"/>
      <c r="J143" s="102"/>
      <c r="K143" s="103"/>
      <c r="L143" s="1"/>
    </row>
    <row r="144" spans="1:12" ht="15" x14ac:dyDescent="0.25">
      <c r="A144" s="1"/>
      <c r="B144" s="104" t="s">
        <v>27</v>
      </c>
      <c r="C144" s="106"/>
      <c r="D144" s="103"/>
      <c r="E144" s="1"/>
      <c r="F144" s="1"/>
      <c r="G144" s="1"/>
      <c r="H144" s="104"/>
      <c r="I144" s="103"/>
      <c r="J144" s="103"/>
      <c r="K144" s="103"/>
    </row>
    <row r="145" spans="1:12" ht="12.75" x14ac:dyDescent="0.2"/>
    <row r="146" spans="1:12" ht="12.75" x14ac:dyDescent="0.2"/>
    <row r="147" spans="1:12" ht="12.75" x14ac:dyDescent="0.2"/>
    <row r="148" spans="1:12" ht="24" customHeight="1" x14ac:dyDescent="0.25">
      <c r="A148" s="3" t="s">
        <v>22</v>
      </c>
    </row>
    <row r="149" spans="1:12" ht="15.75" x14ac:dyDescent="0.25">
      <c r="A149" s="3" t="s">
        <v>20</v>
      </c>
    </row>
    <row r="150" spans="1:12" ht="15.75" x14ac:dyDescent="0.25">
      <c r="A150" s="3" t="s">
        <v>21</v>
      </c>
    </row>
    <row r="151" spans="1:12" ht="12.75" x14ac:dyDescent="0.2"/>
    <row r="152" spans="1:12" ht="12.75" x14ac:dyDescent="0.2"/>
    <row r="153" spans="1:12" ht="12.75" x14ac:dyDescent="0.2"/>
    <row r="154" spans="1:12" ht="18.75" x14ac:dyDescent="0.3">
      <c r="A154" s="276" t="s">
        <v>6</v>
      </c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6"/>
    </row>
    <row r="155" spans="1:12" ht="14.25" customHeight="1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</row>
    <row r="156" spans="1:12" ht="17.25" customHeight="1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</row>
    <row r="157" spans="1:12" ht="20.25" customHeight="1" x14ac:dyDescent="0.25">
      <c r="A157" s="1"/>
      <c r="B157" s="1"/>
    </row>
    <row r="158" spans="1:12" ht="21" customHeight="1" x14ac:dyDescent="0.25">
      <c r="A158" s="1" t="s">
        <v>7</v>
      </c>
      <c r="B158" s="1"/>
    </row>
    <row r="159" spans="1:12" ht="15.75" customHeight="1" x14ac:dyDescent="0.25">
      <c r="A159" s="1"/>
      <c r="B159" s="1"/>
    </row>
    <row r="160" spans="1:12" ht="20.25" customHeight="1" x14ac:dyDescent="0.25">
      <c r="A160" s="1" t="s">
        <v>8</v>
      </c>
      <c r="C160" s="9" t="s">
        <v>1</v>
      </c>
      <c r="D160" s="40" t="s">
        <v>221</v>
      </c>
    </row>
    <row r="161" spans="1:12" ht="18.75" customHeight="1" x14ac:dyDescent="0.25">
      <c r="A161" s="1" t="s">
        <v>9</v>
      </c>
      <c r="C161" s="9" t="s">
        <v>1</v>
      </c>
      <c r="D161" s="10" t="s">
        <v>222</v>
      </c>
      <c r="E161" s="50"/>
      <c r="F161" s="50"/>
      <c r="G161" s="50"/>
      <c r="H161" s="50"/>
    </row>
    <row r="162" spans="1:12" s="76" customFormat="1" ht="23.25" customHeight="1" x14ac:dyDescent="0.25">
      <c r="A162" s="1" t="s">
        <v>10</v>
      </c>
      <c r="B162" s="4"/>
      <c r="C162" s="9" t="s">
        <v>1</v>
      </c>
      <c r="D162" s="297" t="s">
        <v>223</v>
      </c>
      <c r="E162" s="297"/>
      <c r="F162" s="297"/>
      <c r="G162" s="297"/>
      <c r="H162" s="297"/>
      <c r="I162" s="4"/>
      <c r="J162" s="4"/>
      <c r="K162" s="4"/>
      <c r="L162" s="4"/>
    </row>
    <row r="163" spans="1:12" ht="11.25" customHeight="1" x14ac:dyDescent="0.25">
      <c r="A163" s="1"/>
      <c r="B163" s="1"/>
      <c r="D163" s="1"/>
    </row>
    <row r="164" spans="1:12" ht="42" customHeight="1" x14ac:dyDescent="0.2">
      <c r="A164" s="280" t="s">
        <v>220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</row>
    <row r="165" spans="1:12" ht="15" x14ac:dyDescent="0.25">
      <c r="A165" s="1"/>
      <c r="B165" s="1"/>
    </row>
    <row r="166" spans="1:12" ht="30" customHeight="1" thickBot="1" x14ac:dyDescent="0.25">
      <c r="A166" s="10" t="s">
        <v>0</v>
      </c>
      <c r="B166" s="280" t="s">
        <v>91</v>
      </c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</row>
    <row r="167" spans="1:12" ht="15.75" thickTop="1" x14ac:dyDescent="0.25">
      <c r="A167" s="1"/>
      <c r="B167" s="11" t="s">
        <v>3</v>
      </c>
      <c r="C167" s="12" t="s">
        <v>4</v>
      </c>
      <c r="D167" s="13"/>
      <c r="E167" s="13"/>
      <c r="F167" s="13"/>
      <c r="G167" s="13"/>
      <c r="H167" s="14"/>
      <c r="I167" s="15" t="s">
        <v>5</v>
      </c>
      <c r="J167" s="12" t="s">
        <v>17</v>
      </c>
      <c r="K167" s="13"/>
      <c r="L167" s="14"/>
    </row>
    <row r="168" spans="1:12" ht="47.25" customHeight="1" x14ac:dyDescent="0.2">
      <c r="A168" s="50"/>
      <c r="B168" s="100">
        <v>1</v>
      </c>
      <c r="C168" s="287" t="s">
        <v>210</v>
      </c>
      <c r="D168" s="288"/>
      <c r="E168" s="121">
        <v>100000</v>
      </c>
      <c r="F168" s="121" t="s">
        <v>214</v>
      </c>
      <c r="G168" s="76"/>
      <c r="H168" s="79"/>
      <c r="I168" s="56">
        <f>E168*2</f>
        <v>200000</v>
      </c>
      <c r="J168" s="76" t="s">
        <v>207</v>
      </c>
      <c r="K168" s="76"/>
      <c r="L168" s="79"/>
    </row>
    <row r="169" spans="1:12" ht="16.5" customHeight="1" x14ac:dyDescent="0.2">
      <c r="A169" s="50"/>
      <c r="B169" s="96"/>
      <c r="C169" s="76"/>
      <c r="D169" s="76"/>
      <c r="E169" s="76"/>
      <c r="F169" s="76"/>
      <c r="G169" s="78"/>
      <c r="H169" s="79"/>
      <c r="I169" s="56"/>
      <c r="J169" s="50"/>
      <c r="K169" s="50"/>
      <c r="L169" s="55"/>
    </row>
    <row r="170" spans="1:12" ht="15.75" customHeight="1" x14ac:dyDescent="0.2">
      <c r="B170" s="16"/>
      <c r="C170" s="97"/>
      <c r="D170" s="50"/>
      <c r="E170" s="50"/>
      <c r="F170" s="50"/>
      <c r="G170" s="50"/>
      <c r="H170" s="55"/>
      <c r="I170" s="19"/>
      <c r="L170" s="17"/>
    </row>
    <row r="171" spans="1:12" ht="18.75" customHeight="1" x14ac:dyDescent="0.2">
      <c r="B171" s="16"/>
      <c r="H171" s="17"/>
      <c r="I171" s="19"/>
      <c r="L171" s="17"/>
    </row>
    <row r="172" spans="1:12" ht="14.25" customHeight="1" x14ac:dyDescent="0.2">
      <c r="B172" s="16"/>
      <c r="H172" s="17"/>
      <c r="I172" s="19"/>
      <c r="L172" s="17"/>
    </row>
    <row r="173" spans="1:12" ht="26.25" customHeight="1" x14ac:dyDescent="0.2">
      <c r="B173" s="20"/>
      <c r="C173" s="21"/>
      <c r="D173" s="21"/>
      <c r="E173" s="21"/>
      <c r="F173" s="21"/>
      <c r="G173" s="21"/>
      <c r="H173" s="22"/>
      <c r="I173" s="23"/>
      <c r="J173" s="21"/>
      <c r="K173" s="21"/>
      <c r="L173" s="22"/>
    </row>
    <row r="174" spans="1:12" ht="23.25" customHeight="1" x14ac:dyDescent="0.25">
      <c r="A174" s="1"/>
      <c r="B174" s="39"/>
      <c r="C174" s="1"/>
      <c r="D174" s="1"/>
      <c r="E174" s="1"/>
      <c r="F174" s="40" t="s">
        <v>5</v>
      </c>
      <c r="G174" s="40"/>
      <c r="H174" s="1"/>
      <c r="I174" s="41">
        <f>SUM(I168:I169)</f>
        <v>200000</v>
      </c>
      <c r="J174" s="1"/>
      <c r="K174" s="1"/>
      <c r="L174" s="42"/>
    </row>
    <row r="175" spans="1:12" ht="10.5" customHeight="1" thickBot="1" x14ac:dyDescent="0.3">
      <c r="A175" s="1"/>
      <c r="B175" s="43"/>
      <c r="C175" s="44"/>
      <c r="D175" s="44"/>
      <c r="E175" s="44"/>
      <c r="F175" s="45"/>
      <c r="G175" s="45"/>
      <c r="H175" s="44"/>
      <c r="I175" s="46"/>
      <c r="J175" s="44"/>
      <c r="K175" s="44"/>
      <c r="L175" s="47"/>
    </row>
    <row r="176" spans="1:12" ht="22.5" customHeight="1" thickTop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47.25" customHeight="1" x14ac:dyDescent="0.2">
      <c r="A177" s="10" t="s">
        <v>2</v>
      </c>
      <c r="B177" s="279" t="s">
        <v>11</v>
      </c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</row>
    <row r="178" spans="1:12" ht="18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4.25" customHeight="1" x14ac:dyDescent="0.2">
      <c r="A179" s="280" t="s">
        <v>12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</row>
    <row r="180" spans="1:12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 hidden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" x14ac:dyDescent="0.25">
      <c r="A182" s="1"/>
      <c r="B182" s="1"/>
      <c r="C182" s="1"/>
      <c r="D182" s="1"/>
      <c r="E182" s="1"/>
      <c r="F182" s="1"/>
      <c r="G182" s="1"/>
      <c r="H182" s="1" t="s">
        <v>199</v>
      </c>
      <c r="I182" s="1"/>
      <c r="J182" s="283" t="s">
        <v>208</v>
      </c>
      <c r="K182" s="298"/>
      <c r="L182" s="298"/>
    </row>
    <row r="183" spans="1:12" ht="15" customHeight="1" x14ac:dyDescent="0.25">
      <c r="A183" s="1"/>
      <c r="B183" s="1" t="s">
        <v>15</v>
      </c>
      <c r="C183" s="1"/>
      <c r="D183" s="1"/>
      <c r="E183" s="1"/>
      <c r="F183" s="1"/>
      <c r="G183" s="1"/>
      <c r="H183" s="1" t="s">
        <v>13</v>
      </c>
      <c r="I183" s="1"/>
      <c r="J183" s="1"/>
      <c r="K183" s="1"/>
      <c r="L183" s="1"/>
    </row>
    <row r="184" spans="1:12" ht="16.5" customHeight="1" x14ac:dyDescent="0.25">
      <c r="A184" s="1"/>
      <c r="B184" s="1" t="s">
        <v>18</v>
      </c>
      <c r="C184" s="1"/>
      <c r="D184" s="1"/>
      <c r="E184" s="1"/>
      <c r="F184" s="1"/>
      <c r="G184" s="1"/>
      <c r="H184" s="1" t="s">
        <v>14</v>
      </c>
      <c r="I184" s="1"/>
      <c r="J184" s="1"/>
      <c r="K184" s="1"/>
      <c r="L184" s="1"/>
    </row>
    <row r="185" spans="1:12" ht="1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24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s="76" customFormat="1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" customHeight="1" x14ac:dyDescent="0.25">
      <c r="A189" s="1"/>
      <c r="B189" s="101" t="s">
        <v>77</v>
      </c>
      <c r="C189" s="103"/>
      <c r="D189" s="103"/>
      <c r="E189" s="1"/>
      <c r="F189" s="1"/>
      <c r="G189" s="1"/>
      <c r="H189" s="101" t="str">
        <f>D160</f>
        <v>Lis Yuniarti,AMKL</v>
      </c>
      <c r="I189" s="101"/>
      <c r="J189" s="102"/>
      <c r="K189" s="103"/>
      <c r="L189" s="1"/>
    </row>
    <row r="190" spans="1:12" ht="15" x14ac:dyDescent="0.25">
      <c r="A190" s="1"/>
      <c r="B190" s="104" t="s">
        <v>27</v>
      </c>
      <c r="C190" s="106"/>
      <c r="D190" s="103"/>
      <c r="E190" s="1"/>
      <c r="F190" s="1"/>
      <c r="G190" s="1"/>
      <c r="H190" s="104" t="s">
        <v>224</v>
      </c>
      <c r="I190" s="103"/>
      <c r="J190" s="103"/>
      <c r="K190" s="103"/>
    </row>
    <row r="191" spans="1:12" ht="12.75" x14ac:dyDescent="0.2"/>
    <row r="192" spans="1:12" ht="12.75" x14ac:dyDescent="0.2"/>
    <row r="193" spans="1:12" ht="12.75" x14ac:dyDescent="0.2"/>
    <row r="194" spans="1:12" ht="12.75" x14ac:dyDescent="0.2"/>
    <row r="195" spans="1:12" ht="12.75" x14ac:dyDescent="0.2"/>
    <row r="196" spans="1:12" ht="12.75" x14ac:dyDescent="0.2"/>
    <row r="197" spans="1:12" ht="15" customHeight="1" x14ac:dyDescent="0.2"/>
    <row r="198" spans="1:12" ht="15.75" x14ac:dyDescent="0.25">
      <c r="A198" s="3" t="s">
        <v>22</v>
      </c>
    </row>
    <row r="199" spans="1:12" ht="15.75" x14ac:dyDescent="0.25">
      <c r="A199" s="3" t="s">
        <v>20</v>
      </c>
    </row>
    <row r="200" spans="1:12" ht="15.75" x14ac:dyDescent="0.25">
      <c r="A200" s="3" t="s">
        <v>21</v>
      </c>
    </row>
    <row r="201" spans="1:12" ht="16.5" customHeight="1" x14ac:dyDescent="0.2"/>
    <row r="202" spans="1:12" ht="15.75" customHeight="1" x14ac:dyDescent="0.2"/>
    <row r="203" spans="1:12" ht="14.25" customHeight="1" x14ac:dyDescent="0.2"/>
    <row r="204" spans="1:12" ht="18.75" x14ac:dyDescent="0.3">
      <c r="A204" s="276" t="s">
        <v>6</v>
      </c>
      <c r="B204" s="276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</row>
    <row r="205" spans="1:12" ht="18.75" customHeigh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</row>
    <row r="206" spans="1:12" ht="19.5" customHeigh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</row>
    <row r="207" spans="1:12" ht="15.75" customHeight="1" x14ac:dyDescent="0.25">
      <c r="A207" s="1"/>
      <c r="B207" s="1"/>
    </row>
    <row r="208" spans="1:12" ht="20.25" customHeight="1" x14ac:dyDescent="0.25">
      <c r="A208" s="1" t="s">
        <v>7</v>
      </c>
      <c r="B208" s="1"/>
    </row>
    <row r="209" spans="1:12" ht="17.25" customHeight="1" x14ac:dyDescent="0.25">
      <c r="A209" s="1"/>
      <c r="B209" s="1"/>
    </row>
    <row r="210" spans="1:12" ht="18" customHeight="1" x14ac:dyDescent="0.25">
      <c r="A210" s="1" t="s">
        <v>8</v>
      </c>
      <c r="C210" s="9" t="s">
        <v>1</v>
      </c>
      <c r="D210" s="40" t="s">
        <v>221</v>
      </c>
    </row>
    <row r="211" spans="1:12" ht="22.5" customHeight="1" x14ac:dyDescent="0.25">
      <c r="A211" s="1" t="s">
        <v>9</v>
      </c>
      <c r="C211" s="9" t="s">
        <v>1</v>
      </c>
      <c r="D211" s="10" t="s">
        <v>222</v>
      </c>
      <c r="E211" s="50"/>
      <c r="F211" s="50"/>
      <c r="G211" s="50"/>
      <c r="H211" s="50"/>
    </row>
    <row r="212" spans="1:12" ht="14.25" customHeight="1" x14ac:dyDescent="0.25">
      <c r="A212" s="1" t="s">
        <v>10</v>
      </c>
      <c r="C212" s="9" t="s">
        <v>1</v>
      </c>
      <c r="D212" s="297" t="s">
        <v>223</v>
      </c>
      <c r="E212" s="297"/>
      <c r="F212" s="297"/>
      <c r="G212" s="297"/>
      <c r="H212" s="297"/>
    </row>
    <row r="213" spans="1:12" ht="18.75" customHeight="1" x14ac:dyDescent="0.25">
      <c r="A213" s="1"/>
      <c r="B213" s="1"/>
      <c r="D213" s="1"/>
    </row>
    <row r="214" spans="1:12" ht="45" customHeight="1" x14ac:dyDescent="0.2">
      <c r="A214" s="280" t="s">
        <v>225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</row>
    <row r="215" spans="1:12" s="76" customFormat="1" ht="17.25" customHeight="1" x14ac:dyDescent="0.25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36.75" customHeight="1" thickBot="1" x14ac:dyDescent="0.25">
      <c r="A216" s="10" t="s">
        <v>0</v>
      </c>
      <c r="B216" s="280" t="s">
        <v>91</v>
      </c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</row>
    <row r="217" spans="1:12" ht="17.25" customHeight="1" thickTop="1" x14ac:dyDescent="0.25">
      <c r="A217" s="1"/>
      <c r="B217" s="11" t="s">
        <v>3</v>
      </c>
      <c r="C217" s="12" t="s">
        <v>4</v>
      </c>
      <c r="D217" s="13"/>
      <c r="E217" s="13"/>
      <c r="F217" s="13"/>
      <c r="G217" s="13"/>
      <c r="H217" s="14"/>
      <c r="I217" s="15" t="s">
        <v>5</v>
      </c>
      <c r="J217" s="12" t="s">
        <v>17</v>
      </c>
      <c r="K217" s="13"/>
      <c r="L217" s="14"/>
    </row>
    <row r="218" spans="1:12" ht="36.75" customHeight="1" x14ac:dyDescent="0.2">
      <c r="A218" s="50"/>
      <c r="B218" s="100">
        <v>1</v>
      </c>
      <c r="C218" s="287" t="s">
        <v>210</v>
      </c>
      <c r="D218" s="288"/>
      <c r="E218" s="121">
        <v>100000</v>
      </c>
      <c r="F218" s="121" t="s">
        <v>214</v>
      </c>
      <c r="G218" s="76"/>
      <c r="H218" s="79"/>
      <c r="I218" s="56">
        <f>E218*1</f>
        <v>100000</v>
      </c>
      <c r="J218" s="76" t="s">
        <v>204</v>
      </c>
      <c r="K218" s="76"/>
      <c r="L218" s="79"/>
    </row>
    <row r="219" spans="1:12" ht="17.25" customHeight="1" x14ac:dyDescent="0.2">
      <c r="A219" s="50"/>
      <c r="B219" s="96"/>
      <c r="C219" s="76"/>
      <c r="D219" s="76"/>
      <c r="E219" s="76"/>
      <c r="F219" s="76"/>
      <c r="G219" s="78"/>
      <c r="H219" s="79"/>
      <c r="I219" s="56"/>
      <c r="J219" s="50"/>
      <c r="K219" s="50"/>
      <c r="L219" s="55"/>
    </row>
    <row r="220" spans="1:12" ht="17.25" customHeight="1" x14ac:dyDescent="0.2">
      <c r="B220" s="16"/>
      <c r="C220" s="97"/>
      <c r="D220" s="50"/>
      <c r="E220" s="50"/>
      <c r="F220" s="50"/>
      <c r="G220" s="50"/>
      <c r="H220" s="55"/>
      <c r="I220" s="19"/>
      <c r="L220" s="17"/>
    </row>
    <row r="221" spans="1:12" ht="19.5" customHeight="1" x14ac:dyDescent="0.2">
      <c r="B221" s="16"/>
      <c r="H221" s="17"/>
      <c r="I221" s="19"/>
      <c r="L221" s="17"/>
    </row>
    <row r="222" spans="1:12" ht="12.75" x14ac:dyDescent="0.2">
      <c r="B222" s="16"/>
      <c r="H222" s="17"/>
      <c r="I222" s="19"/>
      <c r="L222" s="17"/>
    </row>
    <row r="223" spans="1:12" ht="35.25" customHeight="1" x14ac:dyDescent="0.2">
      <c r="B223" s="20"/>
      <c r="C223" s="21"/>
      <c r="D223" s="21"/>
      <c r="E223" s="21"/>
      <c r="F223" s="21"/>
      <c r="G223" s="21"/>
      <c r="H223" s="22"/>
      <c r="I223" s="23"/>
      <c r="J223" s="21"/>
      <c r="K223" s="21"/>
      <c r="L223" s="22"/>
    </row>
    <row r="224" spans="1:12" ht="18" customHeight="1" x14ac:dyDescent="0.25">
      <c r="A224" s="1"/>
      <c r="B224" s="39"/>
      <c r="C224" s="1"/>
      <c r="D224" s="1"/>
      <c r="E224" s="1"/>
      <c r="F224" s="40" t="s">
        <v>5</v>
      </c>
      <c r="G224" s="40"/>
      <c r="H224" s="1"/>
      <c r="I224" s="41">
        <f>SUM(I218:I219)</f>
        <v>100000</v>
      </c>
      <c r="J224" s="1"/>
      <c r="K224" s="1"/>
      <c r="L224" s="42"/>
    </row>
    <row r="225" spans="1:12" ht="13.5" customHeight="1" thickBot="1" x14ac:dyDescent="0.3">
      <c r="A225" s="1"/>
      <c r="B225" s="43"/>
      <c r="C225" s="44"/>
      <c r="D225" s="44"/>
      <c r="E225" s="44"/>
      <c r="F225" s="45"/>
      <c r="G225" s="45"/>
      <c r="H225" s="44"/>
      <c r="I225" s="46"/>
      <c r="J225" s="44"/>
      <c r="K225" s="44"/>
      <c r="L225" s="47"/>
    </row>
    <row r="226" spans="1:12" ht="16.5" customHeight="1" thickTop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52.5" customHeight="1" x14ac:dyDescent="0.2">
      <c r="A227" s="10" t="s">
        <v>2</v>
      </c>
      <c r="B227" s="279" t="s">
        <v>11</v>
      </c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</row>
    <row r="228" spans="1:12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6.5" customHeight="1" x14ac:dyDescent="0.2">
      <c r="A229" s="280" t="s">
        <v>12</v>
      </c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</row>
    <row r="230" spans="1:1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" x14ac:dyDescent="0.25">
      <c r="A232" s="1"/>
      <c r="B232" s="1"/>
      <c r="C232" s="1"/>
      <c r="D232" s="1"/>
      <c r="E232" s="1"/>
      <c r="F232" s="1"/>
      <c r="G232" s="1"/>
      <c r="H232" s="1" t="s">
        <v>199</v>
      </c>
      <c r="I232" s="1"/>
      <c r="J232" s="283" t="s">
        <v>208</v>
      </c>
      <c r="K232" s="298"/>
      <c r="L232" s="298"/>
    </row>
    <row r="233" spans="1:12" ht="15" customHeight="1" x14ac:dyDescent="0.25">
      <c r="A233" s="1"/>
      <c r="B233" s="1" t="s">
        <v>15</v>
      </c>
      <c r="C233" s="1"/>
      <c r="D233" s="1"/>
      <c r="E233" s="1"/>
      <c r="F233" s="1"/>
      <c r="G233" s="1"/>
      <c r="H233" s="1" t="s">
        <v>13</v>
      </c>
      <c r="I233" s="1"/>
      <c r="J233" s="1"/>
      <c r="K233" s="1"/>
      <c r="L233" s="1"/>
    </row>
    <row r="234" spans="1:12" ht="20.25" customHeight="1" x14ac:dyDescent="0.25">
      <c r="A234" s="1"/>
      <c r="B234" s="1" t="s">
        <v>18</v>
      </c>
      <c r="C234" s="1"/>
      <c r="D234" s="1"/>
      <c r="E234" s="1"/>
      <c r="F234" s="1"/>
      <c r="G234" s="1"/>
      <c r="H234" s="1" t="s">
        <v>14</v>
      </c>
      <c r="I234" s="1"/>
      <c r="J234" s="1"/>
      <c r="K234" s="1"/>
      <c r="L234" s="1"/>
    </row>
    <row r="235" spans="1:12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30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" x14ac:dyDescent="0.25">
      <c r="A239" s="1"/>
      <c r="B239" s="101" t="s">
        <v>77</v>
      </c>
      <c r="C239" s="103"/>
      <c r="D239" s="103"/>
      <c r="E239" s="1"/>
      <c r="F239" s="1"/>
      <c r="G239" s="1"/>
      <c r="H239" s="101" t="str">
        <f>D210</f>
        <v>Lis Yuniarti,AMKL</v>
      </c>
      <c r="I239" s="101"/>
      <c r="J239" s="102"/>
      <c r="K239" s="103"/>
      <c r="L239" s="1"/>
    </row>
    <row r="240" spans="1:12" ht="15" x14ac:dyDescent="0.25">
      <c r="A240" s="1"/>
      <c r="B240" s="104" t="s">
        <v>27</v>
      </c>
      <c r="C240" s="106"/>
      <c r="D240" s="103"/>
      <c r="E240" s="1"/>
      <c r="F240" s="1"/>
      <c r="G240" s="1"/>
      <c r="H240" s="104" t="s">
        <v>224</v>
      </c>
      <c r="I240" s="103"/>
      <c r="J240" s="103"/>
      <c r="K240" s="103"/>
    </row>
    <row r="241" spans="1:12" ht="12.75" x14ac:dyDescent="0.2"/>
    <row r="242" spans="1:12" ht="12.75" x14ac:dyDescent="0.2"/>
    <row r="243" spans="1:12" ht="12.75" x14ac:dyDescent="0.2"/>
    <row r="244" spans="1:12" s="1" customFormat="1" ht="14.25" customHeight="1" x14ac:dyDescent="0.25"/>
    <row r="245" spans="1:12" ht="12.75" x14ac:dyDescent="0.2"/>
    <row r="246" spans="1:12" ht="12.75" x14ac:dyDescent="0.2"/>
    <row r="247" spans="1:12" ht="12.75" x14ac:dyDescent="0.2"/>
    <row r="248" spans="1:12" ht="19.5" customHeight="1" x14ac:dyDescent="0.25">
      <c r="A248" s="3" t="s">
        <v>22</v>
      </c>
    </row>
    <row r="249" spans="1:12" ht="15.75" customHeight="1" x14ac:dyDescent="0.25">
      <c r="A249" s="3" t="s">
        <v>20</v>
      </c>
    </row>
    <row r="250" spans="1:12" ht="12" customHeight="1" x14ac:dyDescent="0.25">
      <c r="A250" s="3" t="s">
        <v>21</v>
      </c>
    </row>
    <row r="251" spans="1:12" ht="19.5" customHeight="1" x14ac:dyDescent="0.2"/>
    <row r="252" spans="1:12" ht="18.75" customHeight="1" x14ac:dyDescent="0.2"/>
    <row r="253" spans="1:12" s="119" customFormat="1" ht="18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8.75" x14ac:dyDescent="0.3">
      <c r="A254" s="276" t="s">
        <v>6</v>
      </c>
      <c r="B254" s="276"/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</row>
    <row r="255" spans="1:12" ht="22.5" customHeight="1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</row>
    <row r="256" spans="1:12" ht="19.5" customHeight="1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</row>
    <row r="257" spans="1:12" ht="19.5" customHeight="1" x14ac:dyDescent="0.25">
      <c r="A257" s="1"/>
      <c r="B257" s="1"/>
    </row>
    <row r="258" spans="1:12" ht="16.5" customHeight="1" x14ac:dyDescent="0.25">
      <c r="A258" s="1" t="s">
        <v>7</v>
      </c>
      <c r="B258" s="1"/>
    </row>
    <row r="259" spans="1:12" ht="13.5" customHeight="1" x14ac:dyDescent="0.25">
      <c r="A259" s="1"/>
      <c r="B259" s="1"/>
    </row>
    <row r="260" spans="1:12" ht="12.75" customHeight="1" x14ac:dyDescent="0.25">
      <c r="A260" s="1" t="s">
        <v>8</v>
      </c>
      <c r="C260" s="9" t="s">
        <v>1</v>
      </c>
      <c r="D260" s="40" t="s">
        <v>218</v>
      </c>
    </row>
    <row r="261" spans="1:12" ht="22.5" customHeight="1" x14ac:dyDescent="0.25">
      <c r="A261" s="1" t="s">
        <v>9</v>
      </c>
      <c r="C261" s="9" t="s">
        <v>1</v>
      </c>
      <c r="D261" s="48" t="s">
        <v>74</v>
      </c>
      <c r="E261" s="50"/>
      <c r="F261" s="50"/>
      <c r="G261" s="50"/>
      <c r="H261" s="50"/>
    </row>
    <row r="262" spans="1:12" ht="15.75" customHeight="1" x14ac:dyDescent="0.25">
      <c r="A262" s="1" t="s">
        <v>10</v>
      </c>
      <c r="C262" s="9" t="s">
        <v>1</v>
      </c>
      <c r="D262" s="297" t="s">
        <v>219</v>
      </c>
      <c r="E262" s="297"/>
      <c r="F262" s="297"/>
      <c r="G262" s="297"/>
      <c r="H262" s="297"/>
    </row>
    <row r="263" spans="1:12" ht="19.5" customHeight="1" x14ac:dyDescent="0.25">
      <c r="A263" s="1"/>
      <c r="B263" s="1"/>
      <c r="D263" s="1"/>
    </row>
    <row r="264" spans="1:12" ht="51.75" customHeight="1" x14ac:dyDescent="0.2">
      <c r="A264" s="280" t="s">
        <v>225</v>
      </c>
      <c r="B264" s="277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</row>
    <row r="265" spans="1:12" ht="15.75" customHeight="1" x14ac:dyDescent="0.25">
      <c r="A265" s="1"/>
      <c r="B265" s="1"/>
    </row>
    <row r="266" spans="1:12" ht="38.25" customHeight="1" thickBot="1" x14ac:dyDescent="0.25">
      <c r="A266" s="10" t="s">
        <v>0</v>
      </c>
      <c r="B266" s="280" t="s">
        <v>91</v>
      </c>
      <c r="C266" s="277"/>
      <c r="D266" s="277"/>
      <c r="E266" s="277"/>
      <c r="F266" s="277"/>
      <c r="G266" s="277"/>
      <c r="H266" s="277"/>
      <c r="I266" s="277"/>
      <c r="J266" s="277"/>
      <c r="K266" s="277"/>
      <c r="L266" s="277"/>
    </row>
    <row r="267" spans="1:12" ht="15" customHeight="1" thickTop="1" x14ac:dyDescent="0.25">
      <c r="A267" s="1"/>
      <c r="B267" s="11" t="s">
        <v>3</v>
      </c>
      <c r="C267" s="12" t="s">
        <v>4</v>
      </c>
      <c r="D267" s="13"/>
      <c r="E267" s="13"/>
      <c r="F267" s="13"/>
      <c r="G267" s="13"/>
      <c r="H267" s="14"/>
      <c r="I267" s="15" t="s">
        <v>5</v>
      </c>
      <c r="J267" s="12" t="s">
        <v>17</v>
      </c>
      <c r="K267" s="13"/>
      <c r="L267" s="14"/>
    </row>
    <row r="268" spans="1:12" ht="42" customHeight="1" x14ac:dyDescent="0.2">
      <c r="A268" s="50"/>
      <c r="B268" s="100">
        <v>1</v>
      </c>
      <c r="C268" s="287" t="s">
        <v>210</v>
      </c>
      <c r="D268" s="288"/>
      <c r="E268" s="121">
        <v>100000</v>
      </c>
      <c r="F268" s="121" t="s">
        <v>214</v>
      </c>
      <c r="G268" s="76"/>
      <c r="H268" s="79"/>
      <c r="I268" s="56">
        <f>E268*1</f>
        <v>100000</v>
      </c>
      <c r="J268" s="76" t="s">
        <v>204</v>
      </c>
      <c r="K268" s="76"/>
      <c r="L268" s="79"/>
    </row>
    <row r="269" spans="1:12" ht="18.75" customHeight="1" x14ac:dyDescent="0.2">
      <c r="A269" s="50"/>
      <c r="B269" s="96"/>
      <c r="C269" s="76"/>
      <c r="D269" s="76"/>
      <c r="E269" s="76"/>
      <c r="F269" s="76"/>
      <c r="G269" s="78"/>
      <c r="H269" s="79"/>
      <c r="I269" s="56"/>
      <c r="J269" s="50"/>
      <c r="K269" s="50"/>
      <c r="L269" s="55"/>
    </row>
    <row r="270" spans="1:12" ht="26.25" customHeight="1" x14ac:dyDescent="0.2">
      <c r="B270" s="16"/>
      <c r="C270" s="97"/>
      <c r="D270" s="50"/>
      <c r="E270" s="50"/>
      <c r="F270" s="50"/>
      <c r="G270" s="50"/>
      <c r="H270" s="55"/>
      <c r="I270" s="19"/>
      <c r="L270" s="17"/>
    </row>
    <row r="271" spans="1:12" ht="38.25" customHeight="1" x14ac:dyDescent="0.2">
      <c r="B271" s="16"/>
      <c r="H271" s="17"/>
      <c r="I271" s="19"/>
      <c r="L271" s="17"/>
    </row>
    <row r="272" spans="1:12" ht="11.25" customHeight="1" x14ac:dyDescent="0.2">
      <c r="B272" s="16"/>
      <c r="H272" s="17"/>
      <c r="I272" s="19"/>
      <c r="L272" s="17"/>
    </row>
    <row r="273" spans="1:12" ht="34.5" customHeight="1" x14ac:dyDescent="0.2">
      <c r="B273" s="20"/>
      <c r="C273" s="21"/>
      <c r="D273" s="21"/>
      <c r="E273" s="21"/>
      <c r="F273" s="21"/>
      <c r="G273" s="21"/>
      <c r="H273" s="22"/>
      <c r="I273" s="23"/>
      <c r="J273" s="21"/>
      <c r="K273" s="21"/>
      <c r="L273" s="22"/>
    </row>
    <row r="274" spans="1:12" ht="15" customHeight="1" x14ac:dyDescent="0.25">
      <c r="A274" s="1"/>
      <c r="B274" s="39"/>
      <c r="C274" s="1"/>
      <c r="D274" s="1"/>
      <c r="E274" s="1"/>
      <c r="F274" s="40" t="s">
        <v>5</v>
      </c>
      <c r="G274" s="40"/>
      <c r="H274" s="1"/>
      <c r="I274" s="41">
        <f>SUM(I268:I269)</f>
        <v>100000</v>
      </c>
      <c r="J274" s="1"/>
      <c r="K274" s="1"/>
      <c r="L274" s="42"/>
    </row>
    <row r="275" spans="1:12" ht="17.25" customHeight="1" thickBot="1" x14ac:dyDescent="0.3">
      <c r="A275" s="1"/>
      <c r="B275" s="43"/>
      <c r="C275" s="44"/>
      <c r="D275" s="44"/>
      <c r="E275" s="44"/>
      <c r="F275" s="45"/>
      <c r="G275" s="45"/>
      <c r="H275" s="44"/>
      <c r="I275" s="46"/>
      <c r="J275" s="44"/>
      <c r="K275" s="44"/>
      <c r="L275" s="47"/>
    </row>
    <row r="276" spans="1:12" ht="15.75" thickTop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48" customHeight="1" x14ac:dyDescent="0.2">
      <c r="A277" s="10" t="s">
        <v>2</v>
      </c>
      <c r="B277" s="279" t="s">
        <v>11</v>
      </c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</row>
    <row r="278" spans="1:12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" x14ac:dyDescent="0.2">
      <c r="A279" s="280" t="s">
        <v>12</v>
      </c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</row>
    <row r="280" spans="1:12" ht="27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" customHeight="1" x14ac:dyDescent="0.25">
      <c r="A282" s="1"/>
      <c r="B282" s="1"/>
      <c r="C282" s="1"/>
      <c r="D282" s="1"/>
      <c r="E282" s="1"/>
      <c r="F282" s="1"/>
      <c r="G282" s="1"/>
      <c r="H282" s="1" t="s">
        <v>199</v>
      </c>
      <c r="I282" s="1"/>
      <c r="J282" s="283" t="s">
        <v>208</v>
      </c>
      <c r="K282" s="298"/>
      <c r="L282" s="298"/>
    </row>
    <row r="283" spans="1:12" ht="15" x14ac:dyDescent="0.25">
      <c r="A283" s="1"/>
      <c r="B283" s="1" t="s">
        <v>15</v>
      </c>
      <c r="C283" s="1"/>
      <c r="D283" s="1"/>
      <c r="E283" s="1"/>
      <c r="F283" s="1"/>
      <c r="G283" s="1"/>
      <c r="H283" s="1" t="s">
        <v>13</v>
      </c>
      <c r="I283" s="1"/>
      <c r="J283" s="1"/>
      <c r="K283" s="1"/>
      <c r="L283" s="1"/>
    </row>
    <row r="284" spans="1:12" ht="21.75" customHeight="1" x14ac:dyDescent="0.25">
      <c r="A284" s="1"/>
      <c r="B284" s="1" t="s">
        <v>18</v>
      </c>
      <c r="C284" s="1"/>
      <c r="D284" s="1"/>
      <c r="E284" s="1"/>
      <c r="F284" s="1"/>
      <c r="G284" s="1"/>
      <c r="H284" s="1" t="s">
        <v>14</v>
      </c>
      <c r="I284" s="1"/>
      <c r="J284" s="1"/>
      <c r="K284" s="1"/>
      <c r="L284" s="1"/>
    </row>
    <row r="285" spans="1:12" ht="22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3.5" customHeight="1" x14ac:dyDescent="0.25">
      <c r="A289" s="1"/>
      <c r="B289" s="101" t="s">
        <v>77</v>
      </c>
      <c r="C289" s="103"/>
      <c r="D289" s="103"/>
      <c r="E289" s="1"/>
      <c r="F289" s="1"/>
      <c r="G289" s="1"/>
      <c r="H289" s="101" t="str">
        <f>D260</f>
        <v>Robiah</v>
      </c>
      <c r="I289" s="101"/>
      <c r="J289" s="102"/>
      <c r="K289" s="103"/>
      <c r="L289" s="1"/>
    </row>
    <row r="290" spans="1:12" ht="15" x14ac:dyDescent="0.25">
      <c r="A290" s="1"/>
      <c r="B290" s="104" t="s">
        <v>27</v>
      </c>
      <c r="C290" s="106"/>
      <c r="D290" s="103"/>
      <c r="E290" s="1"/>
      <c r="F290" s="1"/>
      <c r="G290" s="1"/>
      <c r="H290" s="104"/>
      <c r="I290" s="103"/>
      <c r="J290" s="103"/>
      <c r="K290" s="103"/>
    </row>
    <row r="291" spans="1:12" ht="12.75" x14ac:dyDescent="0.2"/>
    <row r="292" spans="1:12" ht="12.75" x14ac:dyDescent="0.2"/>
    <row r="293" spans="1:12" ht="12.75" x14ac:dyDescent="0.2"/>
    <row r="294" spans="1:12" ht="18.75" customHeight="1" x14ac:dyDescent="0.2"/>
    <row r="295" spans="1:12" ht="15.75" customHeight="1" x14ac:dyDescent="0.2"/>
    <row r="296" spans="1:12" ht="23.25" customHeight="1" x14ac:dyDescent="0.2"/>
    <row r="297" spans="1:12" ht="15.75" customHeight="1" x14ac:dyDescent="0.2"/>
    <row r="298" spans="1:12" ht="28.5" customHeight="1" x14ac:dyDescent="0.2"/>
    <row r="299" spans="1:12" ht="24" customHeight="1" x14ac:dyDescent="0.2"/>
    <row r="300" spans="1:12" ht="19.5" customHeight="1" x14ac:dyDescent="0.2"/>
    <row r="301" spans="1:12" ht="15" customHeight="1" x14ac:dyDescent="0.2"/>
    <row r="302" spans="1:12" ht="18.75" customHeight="1" x14ac:dyDescent="0.2"/>
    <row r="303" spans="1:12" ht="21" customHeight="1" x14ac:dyDescent="0.2"/>
    <row r="304" spans="1:12" ht="24" customHeight="1" x14ac:dyDescent="0.2"/>
    <row r="305" ht="16.5" customHeight="1" x14ac:dyDescent="0.2"/>
    <row r="306" ht="13.5" customHeight="1" x14ac:dyDescent="0.2"/>
    <row r="307" ht="12.75" x14ac:dyDescent="0.2"/>
    <row r="308" ht="12.75" x14ac:dyDescent="0.2"/>
    <row r="309" ht="15.75" customHeight="1" x14ac:dyDescent="0.2"/>
    <row r="310" ht="15" customHeight="1" x14ac:dyDescent="0.2"/>
    <row r="311" ht="18" customHeight="1" x14ac:dyDescent="0.2"/>
    <row r="312" ht="15.75" customHeight="1" x14ac:dyDescent="0.2"/>
    <row r="313" ht="11.25" customHeight="1" x14ac:dyDescent="0.2"/>
    <row r="314" ht="23.25" customHeight="1" x14ac:dyDescent="0.2"/>
    <row r="315" ht="18" customHeight="1" x14ac:dyDescent="0.2"/>
    <row r="316" ht="13.5" customHeight="1" x14ac:dyDescent="0.2"/>
    <row r="317" ht="15" customHeight="1" x14ac:dyDescent="0.2"/>
    <row r="318" ht="41.25" customHeight="1" x14ac:dyDescent="0.2"/>
    <row r="319" ht="12.75" x14ac:dyDescent="0.2"/>
    <row r="320" ht="48" customHeight="1" x14ac:dyDescent="0.2"/>
    <row r="321" ht="20.25" customHeight="1" x14ac:dyDescent="0.2"/>
    <row r="322" ht="24.75" customHeight="1" x14ac:dyDescent="0.2"/>
    <row r="323" ht="12.75" x14ac:dyDescent="0.2"/>
    <row r="324" ht="10.5" customHeight="1" x14ac:dyDescent="0.2"/>
    <row r="325" ht="12.75" x14ac:dyDescent="0.2"/>
    <row r="326" ht="45" customHeight="1" x14ac:dyDescent="0.2"/>
    <row r="327" ht="12.75" x14ac:dyDescent="0.2"/>
    <row r="328" ht="12.75" x14ac:dyDescent="0.2"/>
    <row r="329" ht="12.75" x14ac:dyDescent="0.2"/>
    <row r="330" ht="12.75" x14ac:dyDescent="0.2"/>
    <row r="331" ht="43.5" customHeight="1" x14ac:dyDescent="0.2"/>
    <row r="332" ht="12.75" x14ac:dyDescent="0.2"/>
    <row r="333" ht="15" customHeight="1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8" customHeight="1" x14ac:dyDescent="0.2"/>
    <row r="344" ht="15.75" customHeight="1" x14ac:dyDescent="0.2"/>
    <row r="345" ht="19.5" customHeight="1" x14ac:dyDescent="0.2"/>
    <row r="346" ht="18" customHeight="1" x14ac:dyDescent="0.2"/>
    <row r="347" ht="12.75" x14ac:dyDescent="0.2"/>
    <row r="348" ht="16.5" customHeight="1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" customHeight="1" x14ac:dyDescent="0.2"/>
    <row r="359" ht="12" customHeight="1" x14ac:dyDescent="0.2"/>
    <row r="360" ht="16.5" customHeight="1" x14ac:dyDescent="0.2"/>
    <row r="361" ht="16.5" customHeight="1" x14ac:dyDescent="0.2"/>
    <row r="362" ht="12.75" x14ac:dyDescent="0.2"/>
    <row r="363" ht="15" customHeight="1" x14ac:dyDescent="0.2"/>
    <row r="364" ht="12.75" x14ac:dyDescent="0.2"/>
    <row r="365" ht="12.75" x14ac:dyDescent="0.2"/>
    <row r="366" ht="29.1" customHeight="1" x14ac:dyDescent="0.2"/>
    <row r="367" ht="20.100000000000001" customHeight="1" x14ac:dyDescent="0.2"/>
    <row r="368" ht="15.75" customHeight="1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25.5" customHeight="1" x14ac:dyDescent="0.2"/>
    <row r="377" ht="12.75" x14ac:dyDescent="0.2"/>
    <row r="378" ht="12.75" x14ac:dyDescent="0.2"/>
    <row r="379" ht="15" customHeight="1" x14ac:dyDescent="0.2"/>
    <row r="380" ht="12.75" x14ac:dyDescent="0.2"/>
    <row r="381" ht="15" customHeight="1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23.25" customHeight="1" x14ac:dyDescent="0.2"/>
    <row r="389" ht="15" customHeight="1" x14ac:dyDescent="0.2"/>
    <row r="390" ht="23.25" customHeight="1" x14ac:dyDescent="0.2"/>
    <row r="391" ht="12.75" x14ac:dyDescent="0.2"/>
    <row r="392" ht="13.5" customHeight="1" x14ac:dyDescent="0.2"/>
    <row r="393" ht="12.75" x14ac:dyDescent="0.2"/>
    <row r="394" ht="30" customHeight="1" x14ac:dyDescent="0.2"/>
    <row r="395" ht="12.75" x14ac:dyDescent="0.2"/>
    <row r="396" ht="16.5" customHeight="1" x14ac:dyDescent="0.2"/>
    <row r="397" ht="21" customHeight="1" x14ac:dyDescent="0.2"/>
    <row r="398" ht="18" customHeight="1" x14ac:dyDescent="0.2"/>
    <row r="399" ht="12.75" x14ac:dyDescent="0.2"/>
    <row r="400" ht="12.75" x14ac:dyDescent="0.2"/>
    <row r="401" ht="12.75" x14ac:dyDescent="0.2"/>
    <row r="402" ht="12.75" x14ac:dyDescent="0.2"/>
    <row r="403" ht="14.25" customHeight="1" x14ac:dyDescent="0.2"/>
    <row r="404" ht="12.75" x14ac:dyDescent="0.2"/>
    <row r="405" ht="18" customHeight="1" x14ac:dyDescent="0.2"/>
    <row r="406" ht="12.75" x14ac:dyDescent="0.2"/>
    <row r="407" ht="12.75" x14ac:dyDescent="0.2"/>
    <row r="408" ht="15" customHeight="1" x14ac:dyDescent="0.2"/>
    <row r="409" ht="15" customHeight="1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26.45" customHeight="1" x14ac:dyDescent="0.2"/>
    <row r="417" ht="12.75" x14ac:dyDescent="0.2"/>
    <row r="418" ht="15.75" customHeight="1" x14ac:dyDescent="0.2"/>
    <row r="419" ht="14.25" customHeight="1" x14ac:dyDescent="0.2"/>
    <row r="420" ht="16.5" customHeight="1" x14ac:dyDescent="0.2"/>
    <row r="421" ht="12.75" x14ac:dyDescent="0.2"/>
    <row r="422" ht="12.75" x14ac:dyDescent="0.2"/>
    <row r="423" ht="18" customHeight="1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5" customHeight="1" x14ac:dyDescent="0.2"/>
    <row r="430" ht="12.75" x14ac:dyDescent="0.2"/>
    <row r="431" ht="15" customHeight="1" x14ac:dyDescent="0.2"/>
    <row r="432" ht="12.75" x14ac:dyDescent="0.2"/>
    <row r="433" ht="19.5" customHeight="1" x14ac:dyDescent="0.2"/>
    <row r="434" ht="12.75" x14ac:dyDescent="0.2"/>
    <row r="435" ht="15.75" customHeight="1" x14ac:dyDescent="0.2"/>
    <row r="436" ht="22.5" customHeight="1" x14ac:dyDescent="0.2"/>
    <row r="437" ht="14.25" customHeight="1" x14ac:dyDescent="0.2"/>
    <row r="438" ht="13.5" customHeight="1" x14ac:dyDescent="0.2"/>
    <row r="439" ht="19.5" customHeight="1" x14ac:dyDescent="0.2"/>
    <row r="440" ht="21.75" customHeight="1" x14ac:dyDescent="0.2"/>
    <row r="441" ht="12.75" x14ac:dyDescent="0.2"/>
    <row r="442" ht="32.25" customHeight="1" x14ac:dyDescent="0.2"/>
    <row r="443" ht="21.75" customHeight="1" x14ac:dyDescent="0.2"/>
    <row r="444" ht="19.5" customHeight="1" x14ac:dyDescent="0.2"/>
    <row r="445" ht="19.5" customHeight="1" x14ac:dyDescent="0.2"/>
    <row r="446" ht="12.75" x14ac:dyDescent="0.2"/>
    <row r="447" ht="12.75" x14ac:dyDescent="0.2"/>
    <row r="448" ht="15" customHeight="1" x14ac:dyDescent="0.2"/>
    <row r="449" ht="12.75" x14ac:dyDescent="0.2"/>
    <row r="450" ht="12.75" customHeight="1" x14ac:dyDescent="0.2"/>
    <row r="451" ht="17.25" customHeight="1" x14ac:dyDescent="0.2"/>
    <row r="452" ht="18" customHeight="1" x14ac:dyDescent="0.2"/>
    <row r="453" ht="12.75" x14ac:dyDescent="0.2"/>
    <row r="454" ht="14.25" customHeight="1" x14ac:dyDescent="0.2"/>
    <row r="455" ht="12.75" x14ac:dyDescent="0.2"/>
    <row r="456" ht="12.75" x14ac:dyDescent="0.2"/>
    <row r="457" ht="12.75" x14ac:dyDescent="0.2"/>
    <row r="458" s="76" customFormat="1" ht="12.75" x14ac:dyDescent="0.2"/>
    <row r="459" s="76" customFormat="1" ht="12.75" x14ac:dyDescent="0.2"/>
    <row r="460" s="76" customFormat="1" ht="10.5" customHeight="1" x14ac:dyDescent="0.2"/>
    <row r="461" ht="12.75" customHeight="1" x14ac:dyDescent="0.2"/>
    <row r="462" ht="30.6" customHeight="1" x14ac:dyDescent="0.2"/>
    <row r="463" ht="12.75" x14ac:dyDescent="0.2"/>
    <row r="464" ht="15.75" customHeight="1" x14ac:dyDescent="0.2"/>
    <row r="465" ht="12.75" x14ac:dyDescent="0.2"/>
    <row r="466" ht="15.75" customHeight="1" x14ac:dyDescent="0.2"/>
    <row r="467" ht="12.75" x14ac:dyDescent="0.2"/>
    <row r="468" ht="16.5" customHeight="1" x14ac:dyDescent="0.2"/>
    <row r="469" ht="12.75" x14ac:dyDescent="0.2"/>
    <row r="470" ht="17.25" customHeight="1" x14ac:dyDescent="0.2"/>
    <row r="471" ht="12.75" customHeight="1" x14ac:dyDescent="0.2"/>
    <row r="472" ht="12.75" x14ac:dyDescent="0.2"/>
    <row r="473" ht="12.75" x14ac:dyDescent="0.2"/>
    <row r="474" ht="12.75" x14ac:dyDescent="0.2"/>
    <row r="475" ht="15" customHeight="1" x14ac:dyDescent="0.2"/>
    <row r="476" ht="12.75" x14ac:dyDescent="0.2"/>
    <row r="477" ht="15" customHeight="1" x14ac:dyDescent="0.2"/>
    <row r="478" ht="12.75" x14ac:dyDescent="0.2"/>
    <row r="479" ht="17.25" customHeight="1" x14ac:dyDescent="0.2"/>
    <row r="480" ht="12.75" x14ac:dyDescent="0.2"/>
    <row r="481" ht="15" customHeight="1" x14ac:dyDescent="0.2"/>
    <row r="482" ht="12.75" x14ac:dyDescent="0.2"/>
    <row r="483" ht="18" customHeight="1" x14ac:dyDescent="0.2"/>
    <row r="484" ht="12.75" x14ac:dyDescent="0.2"/>
    <row r="485" ht="12.75" x14ac:dyDescent="0.2"/>
    <row r="486" ht="12.75" x14ac:dyDescent="0.2"/>
    <row r="487" ht="12.75" x14ac:dyDescent="0.2"/>
    <row r="488" ht="15.75" customHeight="1" x14ac:dyDescent="0.2"/>
    <row r="489" ht="15.75" customHeight="1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" customHeight="1" x14ac:dyDescent="0.2"/>
    <row r="499" ht="12" customHeight="1" x14ac:dyDescent="0.2"/>
    <row r="500" ht="16.5" customHeight="1" x14ac:dyDescent="0.2"/>
    <row r="501" ht="16.5" customHeight="1" x14ac:dyDescent="0.2"/>
    <row r="502" ht="12.75" x14ac:dyDescent="0.2"/>
    <row r="503" ht="15" customHeight="1" x14ac:dyDescent="0.2"/>
    <row r="504" ht="12.75" x14ac:dyDescent="0.2"/>
    <row r="505" ht="12.75" x14ac:dyDescent="0.2"/>
    <row r="506" ht="29.1" customHeight="1" x14ac:dyDescent="0.2"/>
    <row r="507" ht="20.100000000000001" customHeight="1" x14ac:dyDescent="0.2"/>
    <row r="508" ht="15.75" customHeight="1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25.5" customHeight="1" x14ac:dyDescent="0.2"/>
    <row r="517" ht="12.75" x14ac:dyDescent="0.2"/>
    <row r="518" ht="12.75" x14ac:dyDescent="0.2"/>
    <row r="519" ht="15" customHeight="1" x14ac:dyDescent="0.2"/>
    <row r="520" ht="12.75" x14ac:dyDescent="0.2"/>
    <row r="521" ht="15" customHeight="1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23.25" customHeight="1" x14ac:dyDescent="0.2"/>
    <row r="529" ht="15" customHeight="1" x14ac:dyDescent="0.2"/>
    <row r="530" ht="23.25" customHeight="1" x14ac:dyDescent="0.2"/>
    <row r="531" ht="12.75" x14ac:dyDescent="0.2"/>
    <row r="532" ht="13.5" customHeight="1" x14ac:dyDescent="0.2"/>
    <row r="533" ht="12.75" x14ac:dyDescent="0.2"/>
    <row r="534" ht="30" customHeight="1" x14ac:dyDescent="0.2"/>
    <row r="535" ht="12.75" x14ac:dyDescent="0.2"/>
    <row r="536" ht="16.5" customHeight="1" x14ac:dyDescent="0.2"/>
    <row r="537" ht="21" customHeight="1" x14ac:dyDescent="0.2"/>
    <row r="538" ht="18" customHeight="1" x14ac:dyDescent="0.2"/>
    <row r="539" ht="12.75" x14ac:dyDescent="0.2"/>
    <row r="540" ht="12.75" x14ac:dyDescent="0.2"/>
    <row r="541" ht="12.75" x14ac:dyDescent="0.2"/>
    <row r="542" ht="12.75" x14ac:dyDescent="0.2"/>
    <row r="543" ht="14.25" customHeight="1" x14ac:dyDescent="0.2"/>
    <row r="544" ht="12.75" x14ac:dyDescent="0.2"/>
    <row r="545" ht="18" customHeight="1" x14ac:dyDescent="0.2"/>
    <row r="546" ht="12.75" x14ac:dyDescent="0.2"/>
    <row r="547" ht="12.75" x14ac:dyDescent="0.2"/>
    <row r="548" ht="15" customHeight="1" x14ac:dyDescent="0.2"/>
    <row r="549" ht="15" customHeight="1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26.45" customHeight="1" x14ac:dyDescent="0.2"/>
    <row r="557" ht="12.75" x14ac:dyDescent="0.2"/>
    <row r="558" ht="15.75" customHeight="1" x14ac:dyDescent="0.2"/>
    <row r="559" ht="14.25" customHeight="1" x14ac:dyDescent="0.2"/>
    <row r="560" ht="16.5" customHeight="1" x14ac:dyDescent="0.2"/>
    <row r="561" ht="12.75" x14ac:dyDescent="0.2"/>
    <row r="562" ht="12.75" x14ac:dyDescent="0.2"/>
    <row r="563" ht="18" customHeight="1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5" customHeight="1" x14ac:dyDescent="0.2"/>
    <row r="570" ht="12.75" x14ac:dyDescent="0.2"/>
    <row r="571" ht="15" customHeight="1" x14ac:dyDescent="0.2"/>
    <row r="572" ht="12.75" x14ac:dyDescent="0.2"/>
    <row r="573" ht="19.5" customHeight="1" x14ac:dyDescent="0.2"/>
    <row r="574" ht="12.75" x14ac:dyDescent="0.2"/>
    <row r="575" ht="15.75" customHeight="1" x14ac:dyDescent="0.2"/>
    <row r="576" ht="22.5" customHeight="1" x14ac:dyDescent="0.2"/>
    <row r="577" ht="14.25" customHeight="1" x14ac:dyDescent="0.2"/>
    <row r="578" ht="13.5" customHeight="1" x14ac:dyDescent="0.2"/>
    <row r="579" ht="19.5" customHeight="1" x14ac:dyDescent="0.2"/>
    <row r="580" ht="21.75" customHeight="1" x14ac:dyDescent="0.2"/>
    <row r="581" ht="12.75" x14ac:dyDescent="0.2"/>
    <row r="582" ht="32.25" customHeight="1" x14ac:dyDescent="0.2"/>
    <row r="583" ht="21.75" customHeight="1" x14ac:dyDescent="0.2"/>
    <row r="584" ht="19.5" customHeight="1" x14ac:dyDescent="0.2"/>
    <row r="585" ht="19.5" customHeight="1" x14ac:dyDescent="0.2"/>
    <row r="586" ht="12.75" x14ac:dyDescent="0.2"/>
    <row r="587" ht="12.75" x14ac:dyDescent="0.2"/>
    <row r="588" ht="15" customHeight="1" x14ac:dyDescent="0.2"/>
    <row r="589" ht="12.75" x14ac:dyDescent="0.2"/>
    <row r="590" ht="12.75" customHeight="1" x14ac:dyDescent="0.2"/>
    <row r="591" ht="17.25" customHeight="1" x14ac:dyDescent="0.2"/>
    <row r="592" ht="18" customHeight="1" x14ac:dyDescent="0.2"/>
    <row r="593" ht="12.75" x14ac:dyDescent="0.2"/>
    <row r="594" ht="14.25" customHeight="1" x14ac:dyDescent="0.2"/>
    <row r="595" ht="12.75" x14ac:dyDescent="0.2"/>
    <row r="596" ht="12.75" x14ac:dyDescent="0.2"/>
    <row r="597" ht="12.75" x14ac:dyDescent="0.2"/>
    <row r="598" s="76" customFormat="1" ht="12.75" x14ac:dyDescent="0.2"/>
    <row r="599" s="76" customFormat="1" ht="12.75" x14ac:dyDescent="0.2"/>
    <row r="600" s="76" customFormat="1" ht="10.5" customHeight="1" x14ac:dyDescent="0.2"/>
    <row r="601" ht="12.75" customHeight="1" x14ac:dyDescent="0.2"/>
    <row r="602" ht="30.6" customHeight="1" x14ac:dyDescent="0.2"/>
    <row r="603" ht="12.75" x14ac:dyDescent="0.2"/>
    <row r="604" ht="15.75" customHeight="1" x14ac:dyDescent="0.2"/>
    <row r="605" ht="12.75" x14ac:dyDescent="0.2"/>
    <row r="606" ht="15.75" customHeight="1" x14ac:dyDescent="0.2"/>
    <row r="607" ht="12.75" x14ac:dyDescent="0.2"/>
    <row r="608" ht="16.5" customHeight="1" x14ac:dyDescent="0.2"/>
    <row r="609" ht="12.75" x14ac:dyDescent="0.2"/>
    <row r="610" ht="17.25" customHeight="1" x14ac:dyDescent="0.2"/>
    <row r="611" ht="12.75" customHeight="1" x14ac:dyDescent="0.2"/>
    <row r="612" ht="12.75" x14ac:dyDescent="0.2"/>
    <row r="613" ht="12.75" x14ac:dyDescent="0.2"/>
    <row r="614" ht="12.75" x14ac:dyDescent="0.2"/>
    <row r="615" ht="15" customHeight="1" x14ac:dyDescent="0.2"/>
    <row r="616" ht="12.75" x14ac:dyDescent="0.2"/>
    <row r="617" ht="15" customHeight="1" x14ac:dyDescent="0.2"/>
    <row r="618" ht="12.75" x14ac:dyDescent="0.2"/>
    <row r="619" ht="17.25" customHeight="1" x14ac:dyDescent="0.2"/>
    <row r="620" ht="12.75" x14ac:dyDescent="0.2"/>
    <row r="621" ht="15" customHeight="1" x14ac:dyDescent="0.2"/>
    <row r="622" ht="12.75" x14ac:dyDescent="0.2"/>
    <row r="623" ht="18" customHeight="1" x14ac:dyDescent="0.2"/>
    <row r="624" ht="12.75" x14ac:dyDescent="0.2"/>
    <row r="625" ht="12.75" x14ac:dyDescent="0.2"/>
    <row r="626" ht="12.75" x14ac:dyDescent="0.2"/>
    <row r="627" ht="12.75" x14ac:dyDescent="0.2"/>
    <row r="628" ht="15.75" customHeight="1" x14ac:dyDescent="0.2"/>
    <row r="629" ht="16.5" customHeight="1" x14ac:dyDescent="0.2"/>
    <row r="630" ht="24" customHeight="1" x14ac:dyDescent="0.2"/>
    <row r="631" ht="39" customHeight="1" x14ac:dyDescent="0.2"/>
    <row r="632" ht="18" customHeight="1" x14ac:dyDescent="0.2"/>
    <row r="633" ht="17.25" customHeight="1" x14ac:dyDescent="0.2"/>
    <row r="634" ht="12.75" x14ac:dyDescent="0.2"/>
    <row r="635" ht="18.75" customHeight="1" x14ac:dyDescent="0.2"/>
    <row r="636" ht="16.5" customHeight="1" x14ac:dyDescent="0.2"/>
    <row r="637" ht="18" customHeight="1" x14ac:dyDescent="0.2"/>
    <row r="638" ht="20.25" customHeight="1" x14ac:dyDescent="0.2"/>
    <row r="639" ht="15" customHeight="1" x14ac:dyDescent="0.2"/>
    <row r="640" ht="12" customHeight="1" x14ac:dyDescent="0.2"/>
    <row r="641" ht="10.5" customHeight="1" x14ac:dyDescent="0.2"/>
    <row r="642" ht="15" customHeight="1" x14ac:dyDescent="0.2"/>
    <row r="643" ht="35.25" customHeight="1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34.5" customHeight="1" x14ac:dyDescent="0.2"/>
    <row r="650" ht="15.75" customHeight="1" x14ac:dyDescent="0.2"/>
    <row r="651" ht="35.25" customHeight="1" x14ac:dyDescent="0.2"/>
    <row r="652" ht="22.5" customHeight="1" x14ac:dyDescent="0.2"/>
    <row r="653" ht="27.75" customHeight="1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6.5" customHeight="1" x14ac:dyDescent="0.2"/>
    <row r="661" ht="12.75" x14ac:dyDescent="0.2"/>
    <row r="662" ht="44.25" customHeight="1" x14ac:dyDescent="0.2"/>
    <row r="663" ht="12.75" x14ac:dyDescent="0.2"/>
    <row r="664" ht="15" customHeight="1" x14ac:dyDescent="0.2"/>
    <row r="665" ht="12.75" x14ac:dyDescent="0.2"/>
    <row r="666" ht="12.75" x14ac:dyDescent="0.2"/>
    <row r="667" ht="12.75" x14ac:dyDescent="0.2"/>
    <row r="668" ht="12.75" x14ac:dyDescent="0.2"/>
    <row r="669" ht="22.5" customHeight="1" x14ac:dyDescent="0.2"/>
    <row r="670" ht="18" customHeight="1" x14ac:dyDescent="0.2"/>
    <row r="671" ht="30" customHeight="1" x14ac:dyDescent="0.2"/>
    <row r="672" ht="14.25" customHeight="1" x14ac:dyDescent="0.2"/>
    <row r="673" ht="12.75" x14ac:dyDescent="0.2"/>
    <row r="674" ht="12.75" x14ac:dyDescent="0.2"/>
    <row r="675" ht="13.5" customHeight="1" x14ac:dyDescent="0.2"/>
    <row r="676" ht="12.75" x14ac:dyDescent="0.2"/>
    <row r="677" ht="17.25" customHeight="1" x14ac:dyDescent="0.2"/>
    <row r="678" ht="12.75" customHeight="1" x14ac:dyDescent="0.2"/>
    <row r="679" ht="14.25" customHeight="1" x14ac:dyDescent="0.2"/>
    <row r="680" ht="16.5" customHeight="1" x14ac:dyDescent="0.2"/>
    <row r="681" ht="24" customHeight="1" x14ac:dyDescent="0.2"/>
    <row r="682" ht="12.75" customHeight="1" x14ac:dyDescent="0.2"/>
    <row r="683" ht="16.5" customHeight="1" x14ac:dyDescent="0.2"/>
    <row r="684" ht="13.5" customHeight="1" x14ac:dyDescent="0.2"/>
    <row r="685" ht="19.5" customHeight="1" x14ac:dyDescent="0.2"/>
    <row r="686" ht="12.75" x14ac:dyDescent="0.2"/>
    <row r="687" ht="42.75" customHeight="1" x14ac:dyDescent="0.2"/>
    <row r="688" ht="13.5" customHeight="1" x14ac:dyDescent="0.2"/>
    <row r="689" ht="14.25" customHeight="1" x14ac:dyDescent="0.2"/>
    <row r="690" ht="12.75" x14ac:dyDescent="0.2"/>
    <row r="691" ht="23.25" customHeight="1" x14ac:dyDescent="0.2"/>
    <row r="692" ht="9.75" customHeight="1" x14ac:dyDescent="0.2"/>
    <row r="693" ht="24.75" customHeight="1" x14ac:dyDescent="0.2"/>
    <row r="694" ht="15.75" customHeight="1" x14ac:dyDescent="0.2"/>
    <row r="695" ht="12.75" customHeight="1" x14ac:dyDescent="0.2"/>
    <row r="696" ht="18" customHeight="1" x14ac:dyDescent="0.2"/>
    <row r="697" ht="42" customHeight="1" x14ac:dyDescent="0.2"/>
    <row r="698" ht="12.75" x14ac:dyDescent="0.2"/>
    <row r="699" ht="37.5" customHeight="1" x14ac:dyDescent="0.2"/>
    <row r="700" ht="19.5" customHeight="1" x14ac:dyDescent="0.2"/>
    <row r="701" ht="12.75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47.25" customHeight="1" x14ac:dyDescent="0.2"/>
    <row r="711" ht="15.75" customHeight="1" x14ac:dyDescent="0.2"/>
    <row r="712" ht="15.75" customHeight="1" x14ac:dyDescent="0.2"/>
    <row r="713" ht="20.25" customHeight="1" x14ac:dyDescent="0.2"/>
    <row r="714" ht="15.75" customHeight="1" x14ac:dyDescent="0.2"/>
    <row r="715" ht="18.75" customHeight="1" x14ac:dyDescent="0.2"/>
    <row r="716" ht="22.5" customHeight="1" x14ac:dyDescent="0.2"/>
    <row r="717" ht="15.75" customHeight="1" x14ac:dyDescent="0.2"/>
    <row r="718" ht="19.5" customHeight="1" x14ac:dyDescent="0.2"/>
    <row r="719" ht="15.75" customHeight="1" x14ac:dyDescent="0.2"/>
    <row r="720" ht="21" customHeight="1" x14ac:dyDescent="0.2"/>
    <row r="721" ht="15.75" customHeight="1" x14ac:dyDescent="0.2"/>
    <row r="722" ht="21" customHeight="1" x14ac:dyDescent="0.2"/>
    <row r="723" ht="12.75" customHeight="1" x14ac:dyDescent="0.2"/>
    <row r="724" ht="15.75" customHeight="1" x14ac:dyDescent="0.2"/>
    <row r="725" ht="21.75" customHeight="1" x14ac:dyDescent="0.2"/>
    <row r="726" ht="17.25" customHeight="1" x14ac:dyDescent="0.2"/>
    <row r="727" ht="8.25" customHeight="1" x14ac:dyDescent="0.2"/>
    <row r="728" ht="18.75" customHeight="1" x14ac:dyDescent="0.2"/>
    <row r="729" ht="15.75" customHeight="1" x14ac:dyDescent="0.2"/>
    <row r="730" ht="15.75" customHeight="1" x14ac:dyDescent="0.2"/>
    <row r="731" ht="15.75" customHeight="1" x14ac:dyDescent="0.2"/>
    <row r="732" ht="38.25" customHeight="1" x14ac:dyDescent="0.2"/>
    <row r="733" ht="16.5" customHeight="1" x14ac:dyDescent="0.2"/>
    <row r="734" ht="14.25" customHeight="1" x14ac:dyDescent="0.2"/>
    <row r="735" ht="20.2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8.75" customHeight="1" x14ac:dyDescent="0.2"/>
    <row r="741" ht="12.75" customHeight="1" x14ac:dyDescent="0.2"/>
    <row r="742" ht="15.75" customHeight="1" x14ac:dyDescent="0.2"/>
    <row r="743" ht="15.75" customHeight="1" x14ac:dyDescent="0.2"/>
    <row r="744" ht="23.25" customHeight="1" x14ac:dyDescent="0.2"/>
    <row r="745" ht="17.25" customHeight="1" x14ac:dyDescent="0.2"/>
    <row r="746" ht="15" customHeight="1" x14ac:dyDescent="0.2"/>
    <row r="747" ht="12.75" x14ac:dyDescent="0.2"/>
    <row r="748" ht="37.5" customHeight="1" x14ac:dyDescent="0.2"/>
    <row r="749" ht="12.75" x14ac:dyDescent="0.2"/>
    <row r="750" ht="34.5" customHeight="1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8" customHeight="1" x14ac:dyDescent="0.2"/>
    <row r="758" ht="12.75" x14ac:dyDescent="0.2"/>
    <row r="759" ht="12.75" x14ac:dyDescent="0.2"/>
    <row r="760" ht="12.75" x14ac:dyDescent="0.2"/>
    <row r="761" ht="50.25" customHeight="1" x14ac:dyDescent="0.2"/>
    <row r="762" ht="12.75" x14ac:dyDescent="0.2"/>
    <row r="763" ht="16.5" customHeight="1" x14ac:dyDescent="0.2"/>
    <row r="764" ht="23.25" customHeight="1" x14ac:dyDescent="0.2"/>
    <row r="765" ht="24" customHeight="1" x14ac:dyDescent="0.2"/>
    <row r="766" ht="14.25" customHeight="1" x14ac:dyDescent="0.2"/>
    <row r="767" ht="12.75" x14ac:dyDescent="0.2"/>
    <row r="768" ht="18" customHeight="1" x14ac:dyDescent="0.2"/>
    <row r="769" ht="12.75" x14ac:dyDescent="0.2"/>
    <row r="770" ht="12.75" x14ac:dyDescent="0.2"/>
    <row r="771" ht="17.25" customHeight="1" x14ac:dyDescent="0.2"/>
    <row r="772" ht="12.75" x14ac:dyDescent="0.2"/>
    <row r="773" ht="12.75" x14ac:dyDescent="0.2"/>
    <row r="774" ht="13.5" customHeight="1" x14ac:dyDescent="0.2"/>
    <row r="775" ht="12.75" x14ac:dyDescent="0.2"/>
    <row r="776" ht="15.75" customHeight="1" x14ac:dyDescent="0.2"/>
    <row r="777" ht="17.25" customHeight="1" x14ac:dyDescent="0.2"/>
    <row r="778" ht="28.5" customHeight="1" x14ac:dyDescent="0.2"/>
    <row r="779" ht="39.75" customHeight="1" x14ac:dyDescent="0.2"/>
    <row r="780" ht="16.5" customHeight="1" x14ac:dyDescent="0.2"/>
    <row r="781" ht="16.5" customHeight="1" x14ac:dyDescent="0.2"/>
    <row r="782" ht="23.25" customHeight="1" x14ac:dyDescent="0.2"/>
    <row r="783" ht="22.5" customHeight="1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21.75" customHeight="1" x14ac:dyDescent="0.2"/>
    <row r="792" ht="16.5" customHeight="1" x14ac:dyDescent="0.2"/>
    <row r="793" ht="12.75" x14ac:dyDescent="0.2"/>
    <row r="794" ht="18.75" customHeight="1" x14ac:dyDescent="0.2"/>
    <row r="795" ht="18" customHeight="1" x14ac:dyDescent="0.2"/>
    <row r="796" ht="12.75" x14ac:dyDescent="0.2"/>
    <row r="797" ht="41.25" customHeight="1" x14ac:dyDescent="0.2"/>
    <row r="798" ht="12.75" x14ac:dyDescent="0.2"/>
    <row r="799" ht="36" customHeight="1" x14ac:dyDescent="0.2"/>
    <row r="800" ht="20.25" customHeight="1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7.25" customHeight="1" x14ac:dyDescent="0.2"/>
    <row r="808" ht="12.75" customHeight="1" x14ac:dyDescent="0.2"/>
    <row r="809" ht="18" customHeight="1" x14ac:dyDescent="0.2"/>
    <row r="810" ht="47.25" customHeight="1" x14ac:dyDescent="0.2"/>
    <row r="811" ht="16.5" customHeight="1" x14ac:dyDescent="0.2"/>
    <row r="812" ht="18.75" customHeight="1" x14ac:dyDescent="0.2"/>
    <row r="813" ht="17.25" customHeight="1" x14ac:dyDescent="0.2"/>
    <row r="814" ht="12.75" x14ac:dyDescent="0.2"/>
    <row r="815" ht="15" customHeight="1" x14ac:dyDescent="0.2"/>
    <row r="816" ht="12.75" x14ac:dyDescent="0.2"/>
    <row r="817" ht="17.25" customHeight="1" x14ac:dyDescent="0.2"/>
    <row r="818" ht="12.75" x14ac:dyDescent="0.2"/>
    <row r="819" ht="18.75" customHeight="1" x14ac:dyDescent="0.2"/>
    <row r="820" ht="16.5" customHeight="1" x14ac:dyDescent="0.2"/>
    <row r="821" ht="20.25" customHeight="1" x14ac:dyDescent="0.2"/>
    <row r="822" ht="15" customHeight="1" x14ac:dyDescent="0.2"/>
    <row r="823" ht="18" customHeight="1" x14ac:dyDescent="0.2"/>
    <row r="824" ht="12.75" x14ac:dyDescent="0.2"/>
    <row r="825" ht="13.5" customHeight="1" x14ac:dyDescent="0.2"/>
    <row r="826" ht="12.75" x14ac:dyDescent="0.2"/>
    <row r="827" ht="15" customHeight="1" x14ac:dyDescent="0.2"/>
    <row r="828" ht="40.5" customHeight="1" x14ac:dyDescent="0.2"/>
    <row r="829" ht="12.75" x14ac:dyDescent="0.2"/>
    <row r="830" ht="13.5" customHeight="1" x14ac:dyDescent="0.2"/>
    <row r="831" ht="17.25" customHeight="1" x14ac:dyDescent="0.2"/>
    <row r="832" ht="23.25" customHeight="1" x14ac:dyDescent="0.2"/>
    <row r="833" ht="25.5" customHeight="1" x14ac:dyDescent="0.2"/>
    <row r="834" ht="12.75" x14ac:dyDescent="0.2"/>
    <row r="835" ht="12.75" x14ac:dyDescent="0.2"/>
    <row r="836" ht="12.75" x14ac:dyDescent="0.2"/>
    <row r="837" ht="18" customHeight="1" x14ac:dyDescent="0.2"/>
    <row r="838" ht="12.75" x14ac:dyDescent="0.2"/>
    <row r="839" ht="17.25" customHeight="1" x14ac:dyDescent="0.2"/>
    <row r="840" ht="44.25" customHeight="1" x14ac:dyDescent="0.2"/>
    <row r="841" ht="12.75" x14ac:dyDescent="0.2"/>
    <row r="842" ht="12.75" x14ac:dyDescent="0.2"/>
    <row r="843" ht="12.75" x14ac:dyDescent="0.2"/>
    <row r="844" ht="43.5" customHeight="1" x14ac:dyDescent="0.2"/>
    <row r="845" ht="12.75" x14ac:dyDescent="0.2"/>
    <row r="846" ht="33.75" customHeight="1" x14ac:dyDescent="0.2"/>
    <row r="847" ht="12.75" x14ac:dyDescent="0.2"/>
    <row r="848" ht="12.75" x14ac:dyDescent="0.2"/>
    <row r="849" ht="45.75" customHeight="1" x14ac:dyDescent="0.2"/>
    <row r="850" ht="12.75" x14ac:dyDescent="0.2"/>
    <row r="851" ht="44.25" customHeight="1" x14ac:dyDescent="0.2"/>
    <row r="852" ht="12.75" x14ac:dyDescent="0.2"/>
    <row r="853" ht="15.75" customHeight="1" x14ac:dyDescent="0.2"/>
    <row r="854" ht="35.25" hidden="1" customHeight="1" x14ac:dyDescent="0.2"/>
    <row r="855" ht="12.75" x14ac:dyDescent="0.2"/>
    <row r="856" ht="11.25" customHeight="1" x14ac:dyDescent="0.2"/>
    <row r="857" ht="48.75" customHeight="1" x14ac:dyDescent="0.2"/>
    <row r="858" ht="12.75" x14ac:dyDescent="0.2"/>
    <row r="859" ht="15" customHeight="1" x14ac:dyDescent="0.2"/>
    <row r="860" ht="12.75" x14ac:dyDescent="0.2"/>
    <row r="861" ht="32.25" customHeight="1" x14ac:dyDescent="0.2"/>
    <row r="862" ht="19.5" customHeight="1" x14ac:dyDescent="0.2"/>
    <row r="863" ht="14.25" customHeight="1" x14ac:dyDescent="0.2"/>
    <row r="864" ht="15" customHeight="1" x14ac:dyDescent="0.2"/>
    <row r="865" s="76" customFormat="1" ht="15" customHeight="1" x14ac:dyDescent="0.2"/>
    <row r="866" s="76" customFormat="1" ht="15.75" customHeight="1" x14ac:dyDescent="0.2"/>
    <row r="867" ht="13.5" customHeight="1" x14ac:dyDescent="0.2"/>
    <row r="868" ht="21.75" customHeight="1" x14ac:dyDescent="0.2"/>
    <row r="869" ht="12.75" x14ac:dyDescent="0.2"/>
    <row r="870" ht="18.75" customHeight="1" x14ac:dyDescent="0.2"/>
    <row r="871" ht="22.5" customHeight="1" x14ac:dyDescent="0.2"/>
    <row r="872" ht="19.5" customHeight="1" x14ac:dyDescent="0.2"/>
    <row r="873" ht="22.5" customHeight="1" x14ac:dyDescent="0.2"/>
    <row r="874" ht="18.75" customHeight="1" x14ac:dyDescent="0.2"/>
    <row r="875" ht="15.75" customHeight="1" x14ac:dyDescent="0.2"/>
    <row r="876" ht="23.25" customHeight="1" x14ac:dyDescent="0.2"/>
    <row r="877" ht="44.25" customHeight="1" x14ac:dyDescent="0.2"/>
    <row r="878" ht="18" customHeight="1" x14ac:dyDescent="0.2"/>
    <row r="879" ht="49.5" customHeight="1" x14ac:dyDescent="0.2"/>
    <row r="880" ht="12.75" x14ac:dyDescent="0.2"/>
    <row r="881" ht="12.75" x14ac:dyDescent="0.2"/>
    <row r="882" ht="22.5" customHeight="1" x14ac:dyDescent="0.2"/>
    <row r="883" ht="12.75" x14ac:dyDescent="0.2"/>
    <row r="884" ht="18.75" customHeight="1" x14ac:dyDescent="0.2"/>
    <row r="885" ht="12.75" x14ac:dyDescent="0.2"/>
    <row r="886" ht="22.5" customHeight="1" x14ac:dyDescent="0.2"/>
    <row r="887" ht="12.75" x14ac:dyDescent="0.2"/>
    <row r="888" ht="12.75" x14ac:dyDescent="0.2"/>
    <row r="889" ht="48.75" customHeight="1" x14ac:dyDescent="0.2"/>
    <row r="890" ht="12.75" x14ac:dyDescent="0.2"/>
    <row r="891" ht="12.75" x14ac:dyDescent="0.2"/>
    <row r="892" ht="12.75" x14ac:dyDescent="0.2"/>
    <row r="893" ht="12.75" customHeight="1" x14ac:dyDescent="0.2"/>
    <row r="894" ht="12.75" x14ac:dyDescent="0.2"/>
    <row r="895" ht="15.75" customHeight="1" x14ac:dyDescent="0.2"/>
    <row r="896" ht="21" customHeight="1" x14ac:dyDescent="0.2"/>
    <row r="897" ht="12.75" x14ac:dyDescent="0.2"/>
    <row r="898" ht="12.75" x14ac:dyDescent="0.2"/>
    <row r="899" ht="12.75" x14ac:dyDescent="0.2"/>
    <row r="900" ht="35.25" customHeight="1" x14ac:dyDescent="0.2"/>
    <row r="901" ht="12.75" customHeight="1" x14ac:dyDescent="0.2"/>
    <row r="902" ht="33.75" customHeight="1" x14ac:dyDescent="0.2"/>
    <row r="903" ht="15" customHeight="1" x14ac:dyDescent="0.2"/>
    <row r="904" s="85" customFormat="1" ht="20.25" customHeight="1" x14ac:dyDescent="0.2"/>
    <row r="905" ht="15" customHeight="1" x14ac:dyDescent="0.2"/>
    <row r="906" ht="15" customHeight="1" x14ac:dyDescent="0.2"/>
    <row r="907" ht="12.75" x14ac:dyDescent="0.2"/>
    <row r="908" ht="34.5" customHeight="1" x14ac:dyDescent="0.2"/>
    <row r="909" ht="20.25" customHeight="1" x14ac:dyDescent="0.2"/>
    <row r="910" ht="21.75" customHeight="1" x14ac:dyDescent="0.2"/>
    <row r="911" ht="13.5" customHeight="1" x14ac:dyDescent="0.2"/>
    <row r="912" ht="24.75" customHeight="1" x14ac:dyDescent="0.2"/>
    <row r="913" ht="45" customHeight="1" x14ac:dyDescent="0.2"/>
    <row r="914" ht="24.75" customHeight="1" x14ac:dyDescent="0.2"/>
    <row r="915" ht="15.75" customHeight="1" x14ac:dyDescent="0.2"/>
    <row r="916" ht="13.5" customHeight="1" x14ac:dyDescent="0.2"/>
    <row r="917" ht="20.25" customHeight="1" x14ac:dyDescent="0.2"/>
    <row r="918" ht="21.75" customHeight="1" x14ac:dyDescent="0.2"/>
    <row r="919" ht="12.75" x14ac:dyDescent="0.2"/>
    <row r="920" ht="19.5" customHeight="1" x14ac:dyDescent="0.2"/>
    <row r="921" ht="12.75" x14ac:dyDescent="0.2"/>
    <row r="922" ht="13.5" customHeight="1" x14ac:dyDescent="0.2"/>
    <row r="923" ht="21" customHeight="1" x14ac:dyDescent="0.2"/>
    <row r="924" ht="31.5" customHeight="1" x14ac:dyDescent="0.2"/>
    <row r="925" ht="12.75" x14ac:dyDescent="0.2"/>
    <row r="926" ht="17.25" customHeight="1" x14ac:dyDescent="0.2"/>
    <row r="927" ht="12.75" x14ac:dyDescent="0.2"/>
    <row r="928" ht="26.25" customHeight="1" x14ac:dyDescent="0.2"/>
    <row r="929" ht="29.25" customHeight="1" x14ac:dyDescent="0.2"/>
    <row r="930" ht="12.75" x14ac:dyDescent="0.2"/>
    <row r="931" ht="21" customHeight="1" x14ac:dyDescent="0.2"/>
    <row r="932" ht="12.75" x14ac:dyDescent="0.2"/>
    <row r="933" ht="12.75" x14ac:dyDescent="0.2"/>
    <row r="934" ht="12.75" x14ac:dyDescent="0.2"/>
    <row r="935" ht="12.75" x14ac:dyDescent="0.2"/>
    <row r="936" ht="45.75" customHeight="1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customHeight="1" x14ac:dyDescent="0.2"/>
    <row r="945" ht="12.75" x14ac:dyDescent="0.2"/>
    <row r="946" ht="15.75" customHeight="1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48" customHeight="1" x14ac:dyDescent="0.2"/>
    <row r="953" ht="17.25" customHeight="1" x14ac:dyDescent="0.2"/>
    <row r="954" ht="33" customHeight="1" x14ac:dyDescent="0.2"/>
    <row r="955" ht="21" customHeight="1" x14ac:dyDescent="0.2"/>
    <row r="956" ht="12.75" x14ac:dyDescent="0.2"/>
    <row r="957" ht="15" customHeight="1" x14ac:dyDescent="0.2"/>
    <row r="958" ht="19.5" customHeight="1" x14ac:dyDescent="0.2"/>
    <row r="959" ht="15" customHeight="1" x14ac:dyDescent="0.2"/>
    <row r="960" ht="42" customHeight="1" x14ac:dyDescent="0.2"/>
    <row r="961" ht="18.75" customHeight="1" x14ac:dyDescent="0.2"/>
    <row r="962" ht="31.5" customHeight="1" x14ac:dyDescent="0.2"/>
    <row r="963" ht="6" customHeight="1" x14ac:dyDescent="0.2"/>
    <row r="964" ht="12.75" x14ac:dyDescent="0.2"/>
    <row r="965" ht="46.5" customHeight="1" x14ac:dyDescent="0.2"/>
    <row r="966" ht="12.75" x14ac:dyDescent="0.2"/>
    <row r="967" ht="15" customHeight="1" x14ac:dyDescent="0.2"/>
    <row r="968" ht="12.75" x14ac:dyDescent="0.2"/>
    <row r="969" ht="12.75" x14ac:dyDescent="0.2"/>
    <row r="970" ht="15" customHeight="1" x14ac:dyDescent="0.2"/>
    <row r="971" ht="13.5" customHeight="1" x14ac:dyDescent="0.2"/>
    <row r="972" ht="12.75" customHeight="1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48" customHeight="1" x14ac:dyDescent="0.2"/>
    <row r="979" ht="9.75" customHeight="1" x14ac:dyDescent="0.2"/>
    <row r="980" ht="48" customHeight="1" x14ac:dyDescent="0.2"/>
    <row r="981" ht="12.75" x14ac:dyDescent="0.2"/>
    <row r="982" ht="22.5" customHeight="1" x14ac:dyDescent="0.2"/>
    <row r="983" ht="28.5" customHeight="1" x14ac:dyDescent="0.2"/>
    <row r="984" ht="12.75" x14ac:dyDescent="0.2"/>
    <row r="985" ht="15" customHeight="1" x14ac:dyDescent="0.2"/>
    <row r="986" ht="12.75" x14ac:dyDescent="0.2"/>
    <row r="987" ht="12.75" x14ac:dyDescent="0.2"/>
    <row r="988" ht="12.75" x14ac:dyDescent="0.2"/>
    <row r="989" ht="12.75" x14ac:dyDescent="0.2"/>
    <row r="990" ht="52.5" customHeight="1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customHeight="1" x14ac:dyDescent="0.2"/>
    <row r="997" ht="12.75" x14ac:dyDescent="0.2"/>
    <row r="998" ht="24" customHeight="1" x14ac:dyDescent="0.2"/>
    <row r="999" ht="52.5" customHeight="1" x14ac:dyDescent="0.2"/>
    <row r="1000" ht="12.75" customHeight="1" x14ac:dyDescent="0.2"/>
    <row r="1001" ht="38.25" customHeight="1" x14ac:dyDescent="0.2"/>
    <row r="1002" ht="18" customHeight="1" x14ac:dyDescent="0.2"/>
    <row r="1003" ht="12.75" x14ac:dyDescent="0.2"/>
    <row r="1004" ht="21" customHeight="1" x14ac:dyDescent="0.2"/>
    <row r="1005" ht="21" customHeight="1" x14ac:dyDescent="0.2"/>
    <row r="1006" ht="15.75" customHeight="1" x14ac:dyDescent="0.2"/>
    <row r="1007" ht="20.25" customHeight="1" x14ac:dyDescent="0.2"/>
    <row r="1008" ht="20.25" customHeight="1" x14ac:dyDescent="0.2"/>
    <row r="1009" ht="15" customHeight="1" x14ac:dyDescent="0.2"/>
    <row r="1010" ht="10.5" customHeight="1" x14ac:dyDescent="0.2"/>
    <row r="1011" ht="15" customHeight="1" x14ac:dyDescent="0.2"/>
    <row r="1012" ht="43.5" customHeight="1" x14ac:dyDescent="0.2"/>
    <row r="1013" ht="12.75" x14ac:dyDescent="0.2"/>
    <row r="1014" ht="12.75" x14ac:dyDescent="0.2"/>
    <row r="1015" ht="23.25" customHeight="1" x14ac:dyDescent="0.2"/>
    <row r="1016" ht="12.75" customHeight="1" x14ac:dyDescent="0.2"/>
    <row r="1017" ht="13.5" customHeight="1" x14ac:dyDescent="0.2"/>
    <row r="1018" ht="14.25" customHeight="1" x14ac:dyDescent="0.2"/>
    <row r="1019" ht="12.75" x14ac:dyDescent="0.2"/>
    <row r="1020" ht="3" customHeight="1" x14ac:dyDescent="0.2"/>
    <row r="1021" ht="12.75" hidden="1" x14ac:dyDescent="0.2"/>
    <row r="1022" ht="21" customHeight="1" x14ac:dyDescent="0.2"/>
    <row r="1023" ht="12.75" x14ac:dyDescent="0.2"/>
    <row r="1024" ht="18" customHeight="1" x14ac:dyDescent="0.2"/>
    <row r="1025" ht="16.5" customHeight="1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25.5" customHeight="1" x14ac:dyDescent="0.2"/>
    <row r="1032" ht="26.25" customHeight="1" x14ac:dyDescent="0.2"/>
    <row r="1033" ht="18" customHeight="1" x14ac:dyDescent="0.2"/>
    <row r="1034" ht="20.25" customHeight="1" x14ac:dyDescent="0.2"/>
    <row r="1035" ht="20.25" customHeight="1" x14ac:dyDescent="0.2"/>
    <row r="1036" ht="12.75" x14ac:dyDescent="0.2"/>
    <row r="1037" ht="15" customHeight="1" x14ac:dyDescent="0.2"/>
    <row r="1038" ht="12.75" x14ac:dyDescent="0.2"/>
    <row r="1039" ht="12.75" x14ac:dyDescent="0.2"/>
    <row r="1040" ht="12.75" x14ac:dyDescent="0.2"/>
    <row r="1041" ht="21.75" customHeight="1" x14ac:dyDescent="0.2"/>
    <row r="1042" ht="12.75" x14ac:dyDescent="0.2"/>
    <row r="1043" ht="6" customHeight="1" x14ac:dyDescent="0.2"/>
    <row r="1044" ht="12.75" x14ac:dyDescent="0.2"/>
    <row r="1045" ht="15.75" customHeight="1" x14ac:dyDescent="0.2"/>
    <row r="1046" ht="12.75" x14ac:dyDescent="0.2"/>
    <row r="1047" ht="22.5" customHeight="1" x14ac:dyDescent="0.2"/>
    <row r="1048" ht="43.5" customHeight="1" x14ac:dyDescent="0.2"/>
    <row r="1049" ht="12.75" x14ac:dyDescent="0.2"/>
    <row r="1050" ht="34.5" customHeight="1" x14ac:dyDescent="0.2"/>
    <row r="1051" ht="12" customHeight="1" x14ac:dyDescent="0.2"/>
    <row r="1052" ht="24.75" customHeight="1" x14ac:dyDescent="0.2"/>
    <row r="1053" ht="44.25" customHeight="1" x14ac:dyDescent="0.2"/>
    <row r="1054" ht="18" customHeight="1" x14ac:dyDescent="0.2"/>
    <row r="1055" ht="33.75" customHeight="1" x14ac:dyDescent="0.2"/>
    <row r="1056" ht="21.75" customHeight="1" x14ac:dyDescent="0.2"/>
    <row r="1057" ht="19.5" customHeight="1" x14ac:dyDescent="0.2"/>
    <row r="1058" ht="15" customHeight="1" x14ac:dyDescent="0.2"/>
    <row r="1059" ht="12.75" x14ac:dyDescent="0.2"/>
    <row r="1060" ht="15" customHeight="1" x14ac:dyDescent="0.2"/>
    <row r="1061" ht="43.5" customHeight="1" x14ac:dyDescent="0.2"/>
    <row r="1062" ht="12.75" x14ac:dyDescent="0.2"/>
    <row r="1063" ht="17.25" customHeight="1" x14ac:dyDescent="0.2"/>
    <row r="1064" ht="12" customHeight="1" x14ac:dyDescent="0.2"/>
    <row r="1065" ht="44.25" customHeight="1" x14ac:dyDescent="0.2"/>
    <row r="1066" s="99" customFormat="1" ht="21" customHeight="1" x14ac:dyDescent="0.2"/>
    <row r="1067" ht="14.25" customHeight="1" x14ac:dyDescent="0.2"/>
    <row r="1068" ht="12.75" x14ac:dyDescent="0.2"/>
    <row r="1069" ht="31.5" customHeight="1" x14ac:dyDescent="0.2"/>
    <row r="1070" ht="12.75" x14ac:dyDescent="0.2"/>
    <row r="1071" ht="16.5" customHeight="1" x14ac:dyDescent="0.2"/>
    <row r="1072" ht="12.75" x14ac:dyDescent="0.2"/>
    <row r="1073" ht="12.75" x14ac:dyDescent="0.2"/>
    <row r="1074" ht="10.5" customHeight="1" x14ac:dyDescent="0.2"/>
    <row r="1075" ht="10.5" customHeight="1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7.25" customHeight="1" x14ac:dyDescent="0.2"/>
    <row r="1083" ht="17.25" customHeight="1" x14ac:dyDescent="0.2"/>
    <row r="1084" ht="12" customHeight="1" x14ac:dyDescent="0.2"/>
    <row r="1085" ht="12.75" x14ac:dyDescent="0.2"/>
    <row r="1086" ht="12.75" x14ac:dyDescent="0.2"/>
    <row r="1087" ht="28.5" customHeight="1" x14ac:dyDescent="0.2"/>
    <row r="1088" ht="12.75" x14ac:dyDescent="0.2"/>
    <row r="1089" ht="19.5" customHeight="1" x14ac:dyDescent="0.2"/>
    <row r="1090" ht="12.75" x14ac:dyDescent="0.2"/>
    <row r="1091" ht="14.25" customHeight="1" x14ac:dyDescent="0.2"/>
    <row r="1092" ht="12.75" customHeight="1" x14ac:dyDescent="0.2"/>
    <row r="1093" ht="12.75" x14ac:dyDescent="0.2"/>
    <row r="1094" ht="36" customHeight="1" x14ac:dyDescent="0.2"/>
    <row r="1095" ht="12.75" x14ac:dyDescent="0.2"/>
    <row r="1096" ht="12.75" x14ac:dyDescent="0.2"/>
    <row r="1097" ht="12.75" x14ac:dyDescent="0.2"/>
    <row r="1098" ht="12.75" x14ac:dyDescent="0.2"/>
    <row r="1099" ht="22.5" customHeight="1" x14ac:dyDescent="0.2"/>
    <row r="1100" ht="12.75" x14ac:dyDescent="0.2"/>
    <row r="1101" ht="18" customHeight="1" x14ac:dyDescent="0.2"/>
    <row r="1102" ht="12.75" x14ac:dyDescent="0.2"/>
    <row r="1103" ht="39" customHeight="1" x14ac:dyDescent="0.2"/>
    <row r="1104" ht="20.25" customHeight="1" x14ac:dyDescent="0.2"/>
    <row r="1105" ht="36" customHeight="1" x14ac:dyDescent="0.2"/>
    <row r="1106" ht="12.75" x14ac:dyDescent="0.2"/>
    <row r="1107" ht="15" customHeight="1" x14ac:dyDescent="0.2"/>
    <row r="1108" ht="12.75" x14ac:dyDescent="0.2"/>
    <row r="1109" ht="12.75" x14ac:dyDescent="0.2"/>
    <row r="1110" ht="12.75" x14ac:dyDescent="0.2"/>
    <row r="1111" ht="13.5" customHeight="1" x14ac:dyDescent="0.2"/>
    <row r="1112" ht="21" customHeight="1" x14ac:dyDescent="0.2"/>
    <row r="1113" ht="21" customHeight="1" x14ac:dyDescent="0.2"/>
    <row r="1114" ht="10.5" customHeight="1" x14ac:dyDescent="0.2"/>
    <row r="1115" ht="25.5" customHeight="1" x14ac:dyDescent="0.2"/>
    <row r="1116" ht="42" customHeight="1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30" customHeight="1" x14ac:dyDescent="0.2"/>
    <row r="1130" ht="12.75" x14ac:dyDescent="0.2"/>
    <row r="1131" ht="15.75" customHeight="1" x14ac:dyDescent="0.2"/>
    <row r="1132" ht="12.75" x14ac:dyDescent="0.2"/>
    <row r="1133" ht="12.75" x14ac:dyDescent="0.2"/>
    <row r="1134" ht="20.25" customHeight="1" x14ac:dyDescent="0.2"/>
    <row r="1135" ht="12.75" x14ac:dyDescent="0.2"/>
    <row r="1136" ht="16.5" customHeight="1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6.5" customHeight="1" x14ac:dyDescent="0.2"/>
    <row r="1143" ht="12.75" x14ac:dyDescent="0.2"/>
    <row r="1144" ht="15" customHeight="1" x14ac:dyDescent="0.2"/>
    <row r="1145" ht="12.75" x14ac:dyDescent="0.2"/>
    <row r="1146" ht="17.25" customHeight="1" x14ac:dyDescent="0.2"/>
    <row r="1147" ht="12.75" customHeight="1" x14ac:dyDescent="0.2"/>
    <row r="1148" ht="16.5" customHeight="1" x14ac:dyDescent="0.2"/>
    <row r="1149" ht="15.75" customHeight="1" x14ac:dyDescent="0.2"/>
    <row r="1150" ht="39.75" customHeight="1" x14ac:dyDescent="0.2"/>
    <row r="1151" ht="12.75" x14ac:dyDescent="0.2"/>
    <row r="1152" ht="46.5" customHeight="1" x14ac:dyDescent="0.2"/>
    <row r="1153" ht="12.75" x14ac:dyDescent="0.2"/>
    <row r="1154" s="120" customFormat="1" ht="40.5" customHeight="1" x14ac:dyDescent="0.2"/>
    <row r="1155" ht="12.75" x14ac:dyDescent="0.2"/>
    <row r="1156" ht="12.75" x14ac:dyDescent="0.2"/>
    <row r="1157" ht="12.75" x14ac:dyDescent="0.2"/>
    <row r="1158" ht="16.5" customHeight="1" x14ac:dyDescent="0.2"/>
    <row r="1159" ht="16.5" customHeight="1" x14ac:dyDescent="0.2"/>
    <row r="1160" ht="11.25" customHeight="1" x14ac:dyDescent="0.2"/>
    <row r="1161" ht="16.5" customHeight="1" x14ac:dyDescent="0.2"/>
    <row r="1162" ht="45" customHeight="1" x14ac:dyDescent="0.2"/>
    <row r="1163" ht="17.25" customHeight="1" x14ac:dyDescent="0.2"/>
    <row r="1164" ht="12.75" x14ac:dyDescent="0.2"/>
    <row r="1165" ht="42.75" customHeight="1" x14ac:dyDescent="0.2"/>
    <row r="1166" ht="12" customHeight="1" x14ac:dyDescent="0.2"/>
    <row r="1167" ht="12.75" x14ac:dyDescent="0.2"/>
    <row r="1168" ht="12.75" x14ac:dyDescent="0.2"/>
    <row r="1169" ht="12.75" x14ac:dyDescent="0.2"/>
    <row r="1170" ht="12.75" x14ac:dyDescent="0.2"/>
    <row r="1171" ht="18" customHeight="1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35.25" customHeight="1" x14ac:dyDescent="0.2"/>
    <row r="1181" ht="12.75" x14ac:dyDescent="0.2"/>
    <row r="1182" ht="21" customHeight="1" x14ac:dyDescent="0.2"/>
    <row r="1183" ht="12.75" x14ac:dyDescent="0.2"/>
    <row r="1184" ht="20.25" customHeight="1" x14ac:dyDescent="0.2"/>
    <row r="1185" ht="12.75" x14ac:dyDescent="0.2"/>
    <row r="1186" ht="32.25" customHeight="1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21" customHeight="1" x14ac:dyDescent="0.2"/>
    <row r="1193" ht="12.75" x14ac:dyDescent="0.2"/>
    <row r="1194" ht="15" customHeight="1" x14ac:dyDescent="0.2"/>
    <row r="1195" ht="19.5" customHeight="1" x14ac:dyDescent="0.2"/>
    <row r="1196" ht="12.75" customHeight="1" x14ac:dyDescent="0.2"/>
    <row r="1197" ht="19.5" customHeight="1" x14ac:dyDescent="0.2"/>
    <row r="1198" ht="54.75" customHeight="1" x14ac:dyDescent="0.2"/>
    <row r="1199" ht="15" customHeight="1" x14ac:dyDescent="0.2"/>
    <row r="1200" ht="41.25" customHeight="1" x14ac:dyDescent="0.2"/>
    <row r="1201" ht="12.75" x14ac:dyDescent="0.2"/>
    <row r="1202" ht="36" customHeight="1" x14ac:dyDescent="0.2"/>
    <row r="1203" ht="12.75" x14ac:dyDescent="0.2"/>
    <row r="1204" ht="12.75" x14ac:dyDescent="0.2"/>
    <row r="1205" ht="12.75" x14ac:dyDescent="0.2"/>
    <row r="1206" ht="12.75" x14ac:dyDescent="0.2"/>
    <row r="1207" ht="21" customHeight="1" x14ac:dyDescent="0.2"/>
    <row r="1208" ht="16.5" customHeight="1" x14ac:dyDescent="0.2"/>
    <row r="1209" ht="18.75" customHeight="1" x14ac:dyDescent="0.2"/>
    <row r="1210" ht="49.5" customHeight="1" x14ac:dyDescent="0.2"/>
    <row r="1211" ht="15" customHeight="1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0.5" customHeight="1" x14ac:dyDescent="0.2"/>
    <row r="1219" ht="10.5" customHeight="1" x14ac:dyDescent="0.2"/>
    <row r="1220" ht="12.75" x14ac:dyDescent="0.2"/>
    <row r="1221" ht="15" customHeight="1" x14ac:dyDescent="0.2"/>
    <row r="1222" ht="12.75" x14ac:dyDescent="0.2"/>
    <row r="1223" ht="15" customHeight="1" x14ac:dyDescent="0.2"/>
    <row r="1224" ht="12.75" x14ac:dyDescent="0.2"/>
    <row r="1225" ht="34.5" customHeight="1" x14ac:dyDescent="0.2"/>
    <row r="1226" ht="12.75" x14ac:dyDescent="0.2"/>
    <row r="1227" ht="29.25" customHeight="1" x14ac:dyDescent="0.2"/>
    <row r="1228" ht="12.75" x14ac:dyDescent="0.2"/>
    <row r="1229" ht="12.75" x14ac:dyDescent="0.2"/>
    <row r="1230" ht="30.75" customHeight="1" x14ac:dyDescent="0.2"/>
    <row r="1231" ht="12.75" x14ac:dyDescent="0.2"/>
    <row r="1232" ht="33" customHeight="1" x14ac:dyDescent="0.2"/>
    <row r="1233" ht="12.75" x14ac:dyDescent="0.2"/>
    <row r="1234" ht="12.75" x14ac:dyDescent="0.2"/>
    <row r="1235" ht="12.75" x14ac:dyDescent="0.2"/>
    <row r="1236" ht="12.75" x14ac:dyDescent="0.2"/>
    <row r="1237" ht="18.75" customHeight="1" x14ac:dyDescent="0.2"/>
    <row r="1238" ht="12.75" x14ac:dyDescent="0.2"/>
    <row r="1239" ht="15" customHeight="1" x14ac:dyDescent="0.2"/>
    <row r="1240" ht="12.75" x14ac:dyDescent="0.2"/>
    <row r="1241" ht="12.75" customHeight="1" x14ac:dyDescent="0.2"/>
    <row r="1242" ht="12.75" customHeight="1" x14ac:dyDescent="0.2"/>
    <row r="1243" ht="36" customHeight="1" x14ac:dyDescent="0.2"/>
    <row r="1244" ht="12.75" x14ac:dyDescent="0.2"/>
    <row r="1245" ht="36" customHeight="1" x14ac:dyDescent="0.2"/>
    <row r="1246" ht="21" customHeight="1" x14ac:dyDescent="0.2"/>
    <row r="1247" ht="37.5" customHeight="1" x14ac:dyDescent="0.2"/>
    <row r="1248" ht="12.75" x14ac:dyDescent="0.2"/>
    <row r="1249" ht="12.75" x14ac:dyDescent="0.2"/>
    <row r="1250" ht="12.75" x14ac:dyDescent="0.2"/>
    <row r="1251" ht="12.75" x14ac:dyDescent="0.2"/>
    <row r="1252" ht="19.5" customHeight="1" x14ac:dyDescent="0.2"/>
    <row r="1253" ht="7.5" customHeight="1" x14ac:dyDescent="0.2"/>
    <row r="1254" ht="10.5" customHeight="1" x14ac:dyDescent="0.2"/>
    <row r="1255" ht="50.25" customHeight="1" x14ac:dyDescent="0.2"/>
    <row r="1256" ht="19.5" customHeight="1" x14ac:dyDescent="0.2"/>
    <row r="1257" ht="19.5" customHeight="1" x14ac:dyDescent="0.2"/>
    <row r="1258" ht="18" customHeight="1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6.5" customHeight="1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24" customHeight="1" x14ac:dyDescent="0.2"/>
    <row r="1274" ht="12.75" x14ac:dyDescent="0.2"/>
    <row r="1275" ht="21" customHeight="1" x14ac:dyDescent="0.2"/>
    <row r="1276" ht="21" customHeight="1" x14ac:dyDescent="0.2"/>
    <row r="1277" ht="12.75" x14ac:dyDescent="0.2"/>
    <row r="1278" ht="12.75" x14ac:dyDescent="0.2"/>
    <row r="1279" ht="12.75" x14ac:dyDescent="0.2"/>
    <row r="1280" ht="31.5" customHeight="1" x14ac:dyDescent="0.2"/>
    <row r="1281" ht="12.75" x14ac:dyDescent="0.2"/>
    <row r="1282" ht="24" customHeight="1" x14ac:dyDescent="0.2"/>
    <row r="1283" ht="12.75" x14ac:dyDescent="0.2"/>
    <row r="1284" ht="12.75" x14ac:dyDescent="0.2"/>
    <row r="1285" ht="22.5" customHeight="1" x14ac:dyDescent="0.2"/>
    <row r="1286" ht="12.75" x14ac:dyDescent="0.2"/>
    <row r="1287" ht="15" customHeight="1" x14ac:dyDescent="0.2"/>
    <row r="1288" ht="15.75" customHeight="1" x14ac:dyDescent="0.2"/>
    <row r="1289" ht="48" customHeight="1" x14ac:dyDescent="0.2"/>
    <row r="1290" ht="17.25" customHeight="1" x14ac:dyDescent="0.2"/>
    <row r="1291" ht="37.5" customHeight="1" x14ac:dyDescent="0.2"/>
    <row r="1292" ht="25.5" customHeight="1" x14ac:dyDescent="0.2"/>
    <row r="1293" ht="28.5" customHeight="1" x14ac:dyDescent="0.2"/>
    <row r="1294" ht="11.25" customHeight="1" x14ac:dyDescent="0.2"/>
    <row r="1295" ht="15" hidden="1" customHeight="1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44.25" customHeight="1" x14ac:dyDescent="0.2"/>
    <row r="1302" ht="17.25" customHeight="1" x14ac:dyDescent="0.2"/>
    <row r="1303" ht="23.25" customHeight="1" x14ac:dyDescent="0.2"/>
    <row r="1304" ht="21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30.75" customHeight="1" x14ac:dyDescent="0.2"/>
    <row r="1319" ht="12.75" x14ac:dyDescent="0.2"/>
    <row r="1320" ht="20.25" customHeight="1" x14ac:dyDescent="0.2"/>
    <row r="1321" ht="12.75" x14ac:dyDescent="0.2"/>
    <row r="1322" ht="24.75" customHeight="1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8" customHeight="1" x14ac:dyDescent="0.2"/>
    <row r="1331" ht="17.25" customHeight="1" x14ac:dyDescent="0.2"/>
    <row r="1332" ht="18" customHeight="1" x14ac:dyDescent="0.2"/>
    <row r="1333" ht="13.5" customHeight="1" x14ac:dyDescent="0.2"/>
    <row r="1334" ht="29.25" customHeight="1" x14ac:dyDescent="0.2"/>
    <row r="1335" ht="17.25" customHeight="1" x14ac:dyDescent="0.2"/>
    <row r="1336" ht="39.75" customHeight="1" x14ac:dyDescent="0.2"/>
    <row r="1337" ht="15.75" customHeight="1" x14ac:dyDescent="0.2"/>
    <row r="1338" ht="12.75" x14ac:dyDescent="0.2"/>
    <row r="1339" ht="18.75" customHeight="1" x14ac:dyDescent="0.2"/>
    <row r="1340" ht="18.75" customHeight="1" x14ac:dyDescent="0.2"/>
    <row r="1341" ht="12.75" x14ac:dyDescent="0.2"/>
    <row r="1342" ht="12.75" x14ac:dyDescent="0.2"/>
    <row r="1343" ht="12.75" x14ac:dyDescent="0.2"/>
    <row r="1344" ht="19.5" customHeight="1" x14ac:dyDescent="0.2"/>
    <row r="1345" ht="12.75" x14ac:dyDescent="0.2"/>
    <row r="1346" ht="45" customHeight="1" x14ac:dyDescent="0.2"/>
    <row r="1347" ht="12.75" x14ac:dyDescent="0.2"/>
    <row r="1348" ht="17.25" customHeight="1" x14ac:dyDescent="0.2"/>
    <row r="1349" ht="18" customHeight="1" x14ac:dyDescent="0.2"/>
    <row r="1350" ht="18" customHeight="1" x14ac:dyDescent="0.2"/>
    <row r="1351" ht="17.25" customHeight="1" x14ac:dyDescent="0.2"/>
    <row r="1352" ht="12.75" customHeight="1" x14ac:dyDescent="0.2"/>
    <row r="1353" ht="15" customHeight="1" x14ac:dyDescent="0.2"/>
    <row r="1354" ht="18" customHeight="1" x14ac:dyDescent="0.2"/>
    <row r="1355" ht="26.25" customHeight="1" x14ac:dyDescent="0.2"/>
    <row r="1356" ht="12.75" x14ac:dyDescent="0.2"/>
    <row r="1357" ht="12.75" x14ac:dyDescent="0.2"/>
    <row r="1358" ht="16.5" customHeight="1" x14ac:dyDescent="0.2"/>
    <row r="1359" ht="16.5" customHeight="1" x14ac:dyDescent="0.2"/>
    <row r="1360" ht="12.75" x14ac:dyDescent="0.2"/>
    <row r="1361" ht="27.75" customHeight="1" x14ac:dyDescent="0.2"/>
    <row r="1362" ht="12.75" x14ac:dyDescent="0.2"/>
    <row r="1363" ht="41.25" customHeight="1" x14ac:dyDescent="0.2"/>
    <row r="1364" ht="12.75" x14ac:dyDescent="0.2"/>
    <row r="1365" ht="18" customHeight="1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45.75" hidden="1" customHeight="1" x14ac:dyDescent="0.2"/>
    <row r="1374" ht="32.25" customHeight="1" x14ac:dyDescent="0.2"/>
    <row r="1375" ht="15" customHeight="1" x14ac:dyDescent="0.2"/>
    <row r="1376" ht="12.75" x14ac:dyDescent="0.2"/>
    <row r="1377" ht="12.75" x14ac:dyDescent="0.2"/>
    <row r="1378" ht="12.75" x14ac:dyDescent="0.2"/>
    <row r="1379" ht="12.75" x14ac:dyDescent="0.2"/>
    <row r="1380" ht="39" customHeight="1" x14ac:dyDescent="0.2"/>
    <row r="1381" ht="12.75" x14ac:dyDescent="0.2"/>
    <row r="1382" ht="35.25" customHeight="1" x14ac:dyDescent="0.2"/>
    <row r="1383" ht="38.25" hidden="1" customHeight="1" x14ac:dyDescent="0.2"/>
    <row r="1384" ht="12.75" x14ac:dyDescent="0.2"/>
    <row r="1385" ht="29.25" customHeight="1" x14ac:dyDescent="0.2"/>
    <row r="1386" ht="12.75" x14ac:dyDescent="0.2"/>
    <row r="1387" ht="24.75" customHeight="1" x14ac:dyDescent="0.2"/>
    <row r="1388" ht="12.75" x14ac:dyDescent="0.2"/>
    <row r="1389" ht="12.75" x14ac:dyDescent="0.2"/>
    <row r="1390" ht="12.75" x14ac:dyDescent="0.2"/>
    <row r="1391" ht="12.75" x14ac:dyDescent="0.2"/>
    <row r="1392" ht="45.75" customHeight="1" x14ac:dyDescent="0.2"/>
    <row r="1393" ht="18" customHeight="1" x14ac:dyDescent="0.2"/>
    <row r="1394" ht="12.75" x14ac:dyDescent="0.2"/>
    <row r="1395" ht="20.25" customHeight="1" x14ac:dyDescent="0.2"/>
    <row r="1396" ht="15.75" customHeight="1" x14ac:dyDescent="0.2"/>
    <row r="1397" ht="15" customHeight="1" x14ac:dyDescent="0.2"/>
    <row r="1398" ht="16.5" customHeight="1" x14ac:dyDescent="0.2"/>
    <row r="1399" ht="16.5" customHeight="1" x14ac:dyDescent="0.2"/>
    <row r="1400" ht="21" customHeight="1" x14ac:dyDescent="0.2"/>
    <row r="1403" ht="12.75" x14ac:dyDescent="0.2"/>
    <row r="1404" ht="25.5" customHeight="1" x14ac:dyDescent="0.2"/>
    <row r="1405" ht="12.75" x14ac:dyDescent="0.2"/>
    <row r="1406" ht="18.75" customHeight="1" x14ac:dyDescent="0.2"/>
    <row r="1407" ht="18" customHeight="1" x14ac:dyDescent="0.2"/>
    <row r="1408" ht="18" customHeight="1" x14ac:dyDescent="0.2"/>
    <row r="1409" ht="12.75" x14ac:dyDescent="0.2"/>
    <row r="1410" ht="29.25" customHeight="1" x14ac:dyDescent="0.2"/>
    <row r="1411" ht="12.75" x14ac:dyDescent="0.2"/>
    <row r="1412" ht="24.75" customHeight="1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21.75" customHeight="1" x14ac:dyDescent="0.2"/>
    <row r="1423" ht="12.75" x14ac:dyDescent="0.2"/>
    <row r="1424" ht="15" customHeight="1" x14ac:dyDescent="0.2"/>
    <row r="1425" ht="12.75" x14ac:dyDescent="0.2"/>
    <row r="1426" ht="43.5" customHeight="1" x14ac:dyDescent="0.2"/>
    <row r="1427" ht="12.75" x14ac:dyDescent="0.2"/>
    <row r="1428" ht="41.25" customHeight="1" x14ac:dyDescent="0.2"/>
    <row r="1429" ht="12.75" x14ac:dyDescent="0.2"/>
    <row r="1430" ht="27.75" customHeight="1" x14ac:dyDescent="0.2"/>
    <row r="1431" ht="18.75" customHeight="1" x14ac:dyDescent="0.2"/>
    <row r="1432" ht="16.5" customHeight="1" x14ac:dyDescent="0.2"/>
    <row r="1433" ht="12.75" x14ac:dyDescent="0.2"/>
    <row r="1434" ht="23.25" customHeight="1" x14ac:dyDescent="0.2"/>
    <row r="1435" ht="12" customHeight="1" x14ac:dyDescent="0.2"/>
    <row r="1436" ht="12.75" x14ac:dyDescent="0.2"/>
    <row r="1437" ht="12.75" x14ac:dyDescent="0.2"/>
    <row r="1438" ht="48.75" customHeight="1" x14ac:dyDescent="0.2"/>
    <row r="1439" ht="12.75" x14ac:dyDescent="0.2"/>
    <row r="1440" ht="12.75" x14ac:dyDescent="0.2"/>
    <row r="1441" ht="12.75" x14ac:dyDescent="0.2"/>
    <row r="1442" ht="12.75" x14ac:dyDescent="0.2"/>
    <row r="1443" ht="21" customHeight="1" x14ac:dyDescent="0.2"/>
    <row r="1444" ht="12.75" customHeight="1" x14ac:dyDescent="0.2"/>
    <row r="1445" ht="14.25" customHeight="1" x14ac:dyDescent="0.2"/>
    <row r="1446" ht="36.75" customHeight="1" x14ac:dyDescent="0.2"/>
    <row r="1450" ht="18.75" customHeight="1" x14ac:dyDescent="0.2"/>
    <row r="1451" ht="12.75" x14ac:dyDescent="0.2"/>
    <row r="1452" ht="19.5" customHeight="1" x14ac:dyDescent="0.2"/>
    <row r="1453" ht="12.75" x14ac:dyDescent="0.2"/>
    <row r="1454" ht="10.5" customHeight="1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30" customHeight="1" x14ac:dyDescent="0.2"/>
    <row r="1468" ht="12.75" x14ac:dyDescent="0.2"/>
    <row r="1469" ht="7.5" customHeight="1" x14ac:dyDescent="0.2"/>
    <row r="1470" ht="12.75" x14ac:dyDescent="0.2"/>
    <row r="1471" ht="12.75" customHeight="1" x14ac:dyDescent="0.2"/>
    <row r="1472" ht="12.75" x14ac:dyDescent="0.2"/>
    <row r="1473" ht="12.75" x14ac:dyDescent="0.2"/>
    <row r="1474" ht="12.75" x14ac:dyDescent="0.2"/>
    <row r="1475" ht="12.75" x14ac:dyDescent="0.2"/>
    <row r="1476" ht="46.5" customHeight="1" x14ac:dyDescent="0.2"/>
    <row r="1477" ht="12.75" x14ac:dyDescent="0.2"/>
    <row r="1478" ht="37.5" customHeight="1" x14ac:dyDescent="0.2"/>
    <row r="1479" ht="29.25" customHeight="1" x14ac:dyDescent="0.2"/>
    <row r="1480" ht="12.75" x14ac:dyDescent="0.2"/>
    <row r="1481" ht="28.5" customHeight="1" x14ac:dyDescent="0.2"/>
    <row r="1482" ht="21" customHeight="1" x14ac:dyDescent="0.2"/>
    <row r="1483" ht="30.75" customHeight="1" x14ac:dyDescent="0.2"/>
    <row r="1484" ht="21.75" customHeight="1" x14ac:dyDescent="0.2"/>
    <row r="1485" ht="12.75" x14ac:dyDescent="0.2"/>
    <row r="1486" ht="12.75" x14ac:dyDescent="0.2"/>
    <row r="1487" ht="12.75" x14ac:dyDescent="0.2"/>
    <row r="1488" ht="44.25" customHeight="1" x14ac:dyDescent="0.2"/>
    <row r="1489" ht="12.75" x14ac:dyDescent="0.2"/>
    <row r="1490" ht="12.75" x14ac:dyDescent="0.2"/>
    <row r="1491" ht="12.75" x14ac:dyDescent="0.2"/>
    <row r="1492" ht="16.5" customHeight="1" x14ac:dyDescent="0.2"/>
    <row r="1493" ht="12.75" customHeight="1" x14ac:dyDescent="0.2"/>
    <row r="1494" ht="24.75" customHeight="1" x14ac:dyDescent="0.2"/>
    <row r="1495" ht="13.5" customHeight="1" x14ac:dyDescent="0.2"/>
    <row r="1496" ht="10.5" customHeight="1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27.75" customHeight="1" x14ac:dyDescent="0.2"/>
    <row r="1516" ht="12.75" x14ac:dyDescent="0.2"/>
    <row r="1517" ht="36.75" customHeight="1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54.75" customHeight="1" x14ac:dyDescent="0.2"/>
    <row r="1526" ht="16.5" customHeight="1" x14ac:dyDescent="0.2"/>
    <row r="1527" ht="39.75" customHeight="1" x14ac:dyDescent="0.2"/>
    <row r="1528" ht="18" customHeight="1" x14ac:dyDescent="0.2"/>
    <row r="1529" ht="24.75" customHeight="1" x14ac:dyDescent="0.2"/>
    <row r="1530" ht="7.5" customHeight="1" x14ac:dyDescent="0.2"/>
    <row r="1531" ht="17.25" customHeight="1" x14ac:dyDescent="0.2"/>
    <row r="1532" ht="12.75" customHeight="1" x14ac:dyDescent="0.2"/>
    <row r="1533" ht="18.75" customHeight="1" x14ac:dyDescent="0.2"/>
    <row r="1534" ht="12.75" x14ac:dyDescent="0.2"/>
    <row r="1535" ht="12.75" x14ac:dyDescent="0.2"/>
    <row r="1536" ht="12.75" x14ac:dyDescent="0.2"/>
    <row r="1537" ht="43.5" customHeight="1" x14ac:dyDescent="0.2"/>
    <row r="1538" ht="12.75" x14ac:dyDescent="0.2"/>
    <row r="1539" ht="19.5" customHeight="1" x14ac:dyDescent="0.2"/>
    <row r="1540" ht="12.75" x14ac:dyDescent="0.2"/>
    <row r="1541" ht="18.75" customHeight="1" x14ac:dyDescent="0.2"/>
    <row r="1542" ht="21" customHeight="1" x14ac:dyDescent="0.2"/>
    <row r="1543" ht="12.75" customHeight="1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1.25" customHeight="1" x14ac:dyDescent="0.2"/>
    <row r="1551" ht="25.5" customHeight="1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34.5" customHeight="1" x14ac:dyDescent="0.2"/>
    <row r="1562" ht="12.75" x14ac:dyDescent="0.2"/>
    <row r="1563" ht="32.25" customHeight="1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9.5" customHeight="1" x14ac:dyDescent="0.2"/>
    <row r="1574" ht="12.75" x14ac:dyDescent="0.2"/>
    <row r="1575" ht="15.75" customHeight="1" x14ac:dyDescent="0.2"/>
    <row r="1576" ht="12.75" x14ac:dyDescent="0.2"/>
    <row r="1577" ht="43.5" customHeight="1" x14ac:dyDescent="0.2"/>
    <row r="1578" ht="12.75" x14ac:dyDescent="0.2"/>
    <row r="1579" ht="43.5" customHeight="1" x14ac:dyDescent="0.2"/>
    <row r="1580" ht="31.5" customHeight="1" x14ac:dyDescent="0.2"/>
    <row r="1581" ht="31.5" customHeight="1" x14ac:dyDescent="0.2"/>
    <row r="1582" ht="12.75" x14ac:dyDescent="0.2"/>
    <row r="1583" ht="8.25" customHeight="1" x14ac:dyDescent="0.2"/>
    <row r="1584" ht="12.75" x14ac:dyDescent="0.2"/>
    <row r="1585" ht="12.75" x14ac:dyDescent="0.2"/>
    <row r="1586" ht="19.5" customHeight="1" x14ac:dyDescent="0.2"/>
    <row r="1588" ht="51" customHeight="1" x14ac:dyDescent="0.2"/>
    <row r="1589" ht="41.25" customHeight="1" x14ac:dyDescent="0.2"/>
    <row r="1590" ht="18" customHeight="1" x14ac:dyDescent="0.2"/>
    <row r="1591" ht="19.5" customHeight="1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6" customHeight="1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33" customHeight="1" x14ac:dyDescent="0.2"/>
    <row r="1617" spans="1:12" ht="12.75" x14ac:dyDescent="0.2"/>
    <row r="1618" spans="1:12" ht="24" customHeight="1" x14ac:dyDescent="0.2"/>
    <row r="1619" spans="1:12" ht="12.75" x14ac:dyDescent="0.2"/>
    <row r="1620" spans="1:12" ht="12.75" x14ac:dyDescent="0.2"/>
    <row r="1621" spans="1:12" ht="12.75" x14ac:dyDescent="0.2"/>
    <row r="1622" spans="1:12" ht="45.75" customHeight="1" x14ac:dyDescent="0.2"/>
    <row r="1623" spans="1:12" ht="12.75" x14ac:dyDescent="0.2"/>
    <row r="1624" spans="1:12" ht="40.5" customHeight="1" x14ac:dyDescent="0.2"/>
    <row r="1625" spans="1:12" ht="12.75" x14ac:dyDescent="0.2"/>
    <row r="1626" spans="1:12" ht="13.5" customHeight="1" x14ac:dyDescent="0.2"/>
    <row r="1627" spans="1:12" ht="22.5" customHeight="1" x14ac:dyDescent="0.2"/>
    <row r="1628" spans="1:12" ht="47.25" customHeight="1" x14ac:dyDescent="0.2"/>
    <row r="1629" spans="1:12" s="76" customFormat="1" ht="16.5" customHeight="1" x14ac:dyDescent="0.2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</row>
    <row r="1630" spans="1:12" ht="15" customHeight="1" x14ac:dyDescent="0.2"/>
    <row r="1631" spans="1:12" ht="12.75" x14ac:dyDescent="0.2"/>
    <row r="1632" spans="1:12" ht="12.75" x14ac:dyDescent="0.2"/>
    <row r="1633" ht="12.75" x14ac:dyDescent="0.2"/>
    <row r="1634" ht="51.75" customHeight="1" x14ac:dyDescent="0.2"/>
    <row r="1635" ht="15.75" customHeight="1" x14ac:dyDescent="0.2"/>
    <row r="1636" ht="14.25" customHeight="1" x14ac:dyDescent="0.2"/>
    <row r="1637" ht="51" customHeight="1" x14ac:dyDescent="0.2"/>
    <row r="1638" ht="10.5" customHeight="1" x14ac:dyDescent="0.2"/>
    <row r="1639" ht="19.5" customHeight="1" x14ac:dyDescent="0.2"/>
    <row r="1640" ht="17.25" customHeight="1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4.25" customHeight="1" x14ac:dyDescent="0.2"/>
    <row r="1647" ht="14.25" customHeight="1" x14ac:dyDescent="0.2"/>
    <row r="1648" ht="8.25" customHeight="1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spans="1:12" ht="12.75" x14ac:dyDescent="0.2"/>
    <row r="1666" spans="1:12" ht="12.75" x14ac:dyDescent="0.2"/>
    <row r="1667" spans="1:12" ht="12.75" x14ac:dyDescent="0.2"/>
    <row r="1668" spans="1:12" ht="12.75" x14ac:dyDescent="0.2"/>
    <row r="1669" spans="1:12" ht="46.5" customHeight="1" x14ac:dyDescent="0.2"/>
    <row r="1670" spans="1:12" ht="12.75" x14ac:dyDescent="0.2"/>
    <row r="1671" spans="1:12" ht="42.75" customHeight="1" x14ac:dyDescent="0.2"/>
    <row r="1672" spans="1:12" ht="38.25" customHeight="1" x14ac:dyDescent="0.2"/>
    <row r="1673" spans="1:12" ht="12.75" x14ac:dyDescent="0.2">
      <c r="A1673" s="76"/>
      <c r="B1673" s="76"/>
      <c r="C1673" s="76"/>
      <c r="D1673" s="76"/>
      <c r="E1673" s="76"/>
      <c r="F1673" s="76"/>
      <c r="G1673" s="76"/>
      <c r="H1673" s="76"/>
      <c r="I1673" s="76"/>
      <c r="J1673" s="76"/>
      <c r="K1673" s="76"/>
      <c r="L1673" s="76"/>
    </row>
    <row r="1674" spans="1:12" ht="39" customHeight="1" x14ac:dyDescent="0.2"/>
    <row r="1675" spans="1:12" ht="15.75" customHeight="1" x14ac:dyDescent="0.2"/>
    <row r="1676" spans="1:12" ht="21.75" customHeight="1" x14ac:dyDescent="0.2"/>
    <row r="1677" spans="1:12" ht="12.75" x14ac:dyDescent="0.2"/>
    <row r="1678" spans="1:12" ht="12.75" x14ac:dyDescent="0.2"/>
    <row r="1679" spans="1:12" ht="12.75" x14ac:dyDescent="0.2"/>
    <row r="1680" spans="1:12" ht="12.75" x14ac:dyDescent="0.2"/>
    <row r="1681" ht="48" customHeight="1" x14ac:dyDescent="0.2"/>
    <row r="1682" ht="12.75" x14ac:dyDescent="0.2"/>
    <row r="1683" ht="15" customHeight="1" x14ac:dyDescent="0.2"/>
    <row r="1684" ht="19.5" customHeight="1" x14ac:dyDescent="0.2"/>
    <row r="1685" ht="14.25" customHeight="1" x14ac:dyDescent="0.2"/>
    <row r="1686" ht="11.25" customHeight="1" x14ac:dyDescent="0.2"/>
    <row r="1687" ht="21.75" customHeight="1" x14ac:dyDescent="0.2"/>
    <row r="1688" ht="12.75" customHeight="1" x14ac:dyDescent="0.2"/>
    <row r="1689" ht="7.5" customHeight="1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8.25" customHeight="1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32.25" customHeight="1" x14ac:dyDescent="0.2"/>
    <row r="1719" ht="12" customHeight="1" x14ac:dyDescent="0.2"/>
    <row r="1720" ht="19.5" customHeight="1" x14ac:dyDescent="0.2"/>
    <row r="1721" ht="18.75" customHeight="1" x14ac:dyDescent="0.2"/>
    <row r="1722" ht="12.75" x14ac:dyDescent="0.2"/>
    <row r="1723" ht="14.25" customHeight="1" x14ac:dyDescent="0.2"/>
    <row r="1724" ht="20.25" customHeight="1" x14ac:dyDescent="0.2"/>
    <row r="1725" ht="12.75" x14ac:dyDescent="0.2"/>
    <row r="1726" ht="41.25" customHeight="1" x14ac:dyDescent="0.2"/>
    <row r="1727" ht="12.75" x14ac:dyDescent="0.2"/>
    <row r="1728" ht="36" customHeight="1" x14ac:dyDescent="0.2"/>
    <row r="1729" ht="12.75" x14ac:dyDescent="0.2"/>
    <row r="1730" ht="45" customHeight="1" x14ac:dyDescent="0.2"/>
    <row r="1731" ht="27" customHeight="1" x14ac:dyDescent="0.2"/>
    <row r="1732" ht="28.5" customHeight="1" x14ac:dyDescent="0.2"/>
    <row r="1733" ht="10.5" customHeight="1" x14ac:dyDescent="0.2"/>
    <row r="1734" ht="25.5" customHeight="1" x14ac:dyDescent="0.2"/>
    <row r="1735" ht="14.25" customHeight="1" x14ac:dyDescent="0.2"/>
    <row r="1736" ht="19.5" customHeight="1" x14ac:dyDescent="0.2"/>
    <row r="1737" ht="20.25" customHeight="1" x14ac:dyDescent="0.2"/>
    <row r="1738" ht="44.25" customHeight="1" x14ac:dyDescent="0.2"/>
    <row r="1739" ht="12.75" x14ac:dyDescent="0.2"/>
    <row r="1740" ht="12.75" x14ac:dyDescent="0.2"/>
    <row r="1741" ht="12.75" x14ac:dyDescent="0.2"/>
    <row r="1742" ht="15.75" customHeight="1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" customHeight="1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4.25" customHeight="1" x14ac:dyDescent="0.2"/>
    <row r="1768" ht="12.75" x14ac:dyDescent="0.2"/>
    <row r="1769" ht="21" customHeight="1" x14ac:dyDescent="0.2"/>
    <row r="1770" ht="35.25" customHeight="1" x14ac:dyDescent="0.2"/>
    <row r="1771" ht="24" customHeight="1" x14ac:dyDescent="0.2"/>
    <row r="1772" ht="18" customHeight="1" x14ac:dyDescent="0.2"/>
    <row r="1773" ht="12.75" x14ac:dyDescent="0.2"/>
    <row r="1774" ht="12.75" x14ac:dyDescent="0.2"/>
    <row r="1775" ht="12.75" x14ac:dyDescent="0.2"/>
    <row r="1776" ht="12.75" x14ac:dyDescent="0.2"/>
    <row r="1777" ht="46.5" customHeight="1" x14ac:dyDescent="0.2"/>
    <row r="1778" ht="22.5" customHeight="1" x14ac:dyDescent="0.2"/>
    <row r="1779" ht="34.5" customHeight="1" x14ac:dyDescent="0.2"/>
    <row r="1780" ht="27" customHeight="1" x14ac:dyDescent="0.2"/>
    <row r="1781" ht="24" customHeight="1" x14ac:dyDescent="0.2"/>
    <row r="1782" ht="46.5" customHeight="1" x14ac:dyDescent="0.2"/>
    <row r="1783" ht="12.75" x14ac:dyDescent="0.2"/>
    <row r="1784" ht="15" customHeight="1" x14ac:dyDescent="0.2"/>
    <row r="1785" ht="12.75" x14ac:dyDescent="0.2"/>
    <row r="1786" ht="12.75" x14ac:dyDescent="0.2"/>
    <row r="1787" ht="12.75" x14ac:dyDescent="0.2"/>
    <row r="1788" ht="12.75" x14ac:dyDescent="0.2"/>
    <row r="1789" ht="45.75" customHeight="1" x14ac:dyDescent="0.2"/>
    <row r="1790" ht="12.75" x14ac:dyDescent="0.2"/>
    <row r="1791" ht="33" customHeight="1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" customHeight="1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3.5" customHeight="1" x14ac:dyDescent="0.2"/>
    <row r="1814" ht="12.75" x14ac:dyDescent="0.2"/>
    <row r="1815" ht="21.75" customHeight="1" x14ac:dyDescent="0.2"/>
    <row r="1816" ht="36.75" customHeight="1" x14ac:dyDescent="0.2"/>
    <row r="1817" ht="21.75" customHeight="1" x14ac:dyDescent="0.2"/>
    <row r="1818" ht="21.75" customHeight="1" x14ac:dyDescent="0.2"/>
    <row r="1819" ht="12.75" x14ac:dyDescent="0.2"/>
    <row r="1820" ht="21" customHeight="1" x14ac:dyDescent="0.2"/>
    <row r="1821" ht="12.75" x14ac:dyDescent="0.2"/>
    <row r="1822" ht="12.75" x14ac:dyDescent="0.2"/>
    <row r="1823" ht="12.75" x14ac:dyDescent="0.2"/>
    <row r="1824" ht="17.25" customHeight="1" x14ac:dyDescent="0.2"/>
    <row r="1825" ht="13.5" customHeight="1" x14ac:dyDescent="0.2"/>
    <row r="1826" ht="6.75" customHeight="1" x14ac:dyDescent="0.2"/>
    <row r="1827" ht="42" customHeight="1" x14ac:dyDescent="0.2"/>
    <row r="1828" ht="21.75" customHeight="1" x14ac:dyDescent="0.2"/>
    <row r="1829" ht="37.5" customHeight="1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9.5" customHeight="1" x14ac:dyDescent="0.2"/>
    <row r="1837" ht="12.75" x14ac:dyDescent="0.2"/>
    <row r="1838" ht="12.75" x14ac:dyDescent="0.2"/>
    <row r="1839" ht="48.75" customHeight="1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customHeight="1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37.5" customHeight="1" x14ac:dyDescent="0.2"/>
    <row r="1860" ht="12.75" x14ac:dyDescent="0.2"/>
    <row r="1861" ht="23.25" customHeight="1" x14ac:dyDescent="0.2"/>
    <row r="1862" ht="12.75" x14ac:dyDescent="0.2"/>
    <row r="1863" ht="21" customHeight="1" x14ac:dyDescent="0.2"/>
    <row r="1864" ht="21" customHeight="1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4.25" customHeight="1" x14ac:dyDescent="0.2"/>
    <row r="1871" ht="21.75" customHeight="1" x14ac:dyDescent="0.2"/>
    <row r="1872" ht="15.75" customHeight="1" x14ac:dyDescent="0.2"/>
    <row r="1873" ht="16.5" customHeight="1" x14ac:dyDescent="0.2"/>
    <row r="1874" ht="12.75" x14ac:dyDescent="0.2"/>
    <row r="1875" ht="37.5" customHeight="1" x14ac:dyDescent="0.2"/>
    <row r="1876" ht="12.75" x14ac:dyDescent="0.2"/>
    <row r="1877" ht="31.5" customHeight="1" x14ac:dyDescent="0.2"/>
    <row r="1878" ht="12.75" x14ac:dyDescent="0.2"/>
    <row r="1879" ht="27.75" customHeight="1" x14ac:dyDescent="0.2"/>
    <row r="1880" ht="12.75" x14ac:dyDescent="0.2"/>
    <row r="1881" ht="12.75" x14ac:dyDescent="0.2"/>
    <row r="1882" ht="12.75" x14ac:dyDescent="0.2"/>
    <row r="1883" ht="10.5" customHeight="1" x14ac:dyDescent="0.2"/>
    <row r="1884" ht="12.75" x14ac:dyDescent="0.2"/>
    <row r="1885" ht="12.75" x14ac:dyDescent="0.2"/>
    <row r="1886" ht="12.75" x14ac:dyDescent="0.2"/>
    <row r="1887" ht="45.75" customHeight="1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" customHeight="1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33" customHeight="1" x14ac:dyDescent="0.2"/>
    <row r="1908" ht="12.75" x14ac:dyDescent="0.2"/>
    <row r="1909" ht="23.25" customHeight="1" x14ac:dyDescent="0.2"/>
    <row r="1910" ht="23.25" customHeight="1" x14ac:dyDescent="0.2"/>
    <row r="1911" ht="22.5" customHeight="1" x14ac:dyDescent="0.2"/>
    <row r="1912" ht="22.5" customHeight="1" x14ac:dyDescent="0.2"/>
    <row r="1913" ht="12.75" x14ac:dyDescent="0.2"/>
    <row r="1914" ht="12.75" x14ac:dyDescent="0.2"/>
    <row r="1915" ht="12.75" x14ac:dyDescent="0.2"/>
    <row r="1916" ht="12.75" x14ac:dyDescent="0.2"/>
    <row r="1917" ht="15" customHeight="1" x14ac:dyDescent="0.2"/>
    <row r="1919" ht="15.75" customHeight="1" x14ac:dyDescent="0.2"/>
    <row r="1920" ht="15.75" customHeight="1" x14ac:dyDescent="0.2"/>
    <row r="1921" ht="15" customHeight="1" x14ac:dyDescent="0.2"/>
    <row r="1922" ht="20.25" customHeight="1" x14ac:dyDescent="0.2"/>
    <row r="1923" ht="30.75" customHeight="1" x14ac:dyDescent="0.2"/>
    <row r="1924" ht="12.75" x14ac:dyDescent="0.2"/>
    <row r="1925" ht="35.25" customHeight="1" x14ac:dyDescent="0.2"/>
    <row r="1926" ht="12.75" x14ac:dyDescent="0.2"/>
    <row r="1927" ht="12.75" x14ac:dyDescent="0.2"/>
    <row r="1928" ht="12.75" x14ac:dyDescent="0.2"/>
    <row r="1929" ht="12.75" x14ac:dyDescent="0.2"/>
    <row r="1930" ht="7.5" customHeight="1" x14ac:dyDescent="0.2"/>
    <row r="1931" ht="12.75" x14ac:dyDescent="0.2"/>
    <row r="1932" ht="12.75" x14ac:dyDescent="0.2"/>
    <row r="1933" ht="12.75" x14ac:dyDescent="0.2"/>
    <row r="1934" ht="12.75" x14ac:dyDescent="0.2"/>
    <row r="1935" ht="47.25" customHeight="1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7.25" customHeight="1" x14ac:dyDescent="0.2"/>
    <row r="1953" ht="17.25" customHeight="1" x14ac:dyDescent="0.2"/>
    <row r="1954" ht="17.25" customHeight="1" x14ac:dyDescent="0.2"/>
    <row r="1955" ht="12.75" x14ac:dyDescent="0.2"/>
    <row r="1956" ht="38.25" customHeight="1" x14ac:dyDescent="0.2"/>
    <row r="1957" ht="12.75" x14ac:dyDescent="0.2"/>
    <row r="1958" ht="39.75" customHeight="1" x14ac:dyDescent="0.2"/>
    <row r="1959" ht="12.75" x14ac:dyDescent="0.2"/>
    <row r="1960" ht="24.75" customHeight="1" x14ac:dyDescent="0.2"/>
    <row r="1961" ht="20.25" customHeight="1" x14ac:dyDescent="0.2"/>
    <row r="1962" ht="12.75" x14ac:dyDescent="0.2"/>
    <row r="1963" ht="9" customHeight="1" x14ac:dyDescent="0.2"/>
    <row r="1964" ht="14.25" customHeight="1" x14ac:dyDescent="0.2"/>
    <row r="1965" ht="15" customHeight="1" x14ac:dyDescent="0.2"/>
    <row r="1966" ht="18.75" customHeight="1" x14ac:dyDescent="0.2"/>
    <row r="1967" ht="12.75" x14ac:dyDescent="0.2"/>
    <row r="1968" ht="36.75" customHeight="1" x14ac:dyDescent="0.2"/>
    <row r="1969" ht="15" customHeight="1" x14ac:dyDescent="0.2"/>
    <row r="1970" ht="42.75" customHeight="1" x14ac:dyDescent="0.2"/>
    <row r="1971" ht="22.5" customHeight="1" x14ac:dyDescent="0.2"/>
    <row r="1972" ht="22.5" customHeight="1" x14ac:dyDescent="0.2"/>
    <row r="1973" ht="12.75" customHeight="1" x14ac:dyDescent="0.2"/>
    <row r="1974" ht="12.75" x14ac:dyDescent="0.2"/>
    <row r="1975" ht="30.75" customHeight="1" x14ac:dyDescent="0.2"/>
    <row r="1976" ht="12.75" x14ac:dyDescent="0.2"/>
    <row r="1977" ht="12.75" x14ac:dyDescent="0.2"/>
    <row r="1978" ht="12.75" x14ac:dyDescent="0.2"/>
    <row r="1979" ht="12.75" x14ac:dyDescent="0.2"/>
    <row r="1980" ht="52.5" customHeight="1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36" customHeight="1" x14ac:dyDescent="0.2"/>
    <row r="2004" ht="12.75" x14ac:dyDescent="0.2"/>
    <row r="2005" ht="38.25" customHeight="1" x14ac:dyDescent="0.2"/>
    <row r="2006" ht="12.75" x14ac:dyDescent="0.2"/>
    <row r="2007" ht="16.5" customHeight="1" x14ac:dyDescent="0.2"/>
    <row r="2008" ht="16.5" customHeight="1" x14ac:dyDescent="0.2"/>
    <row r="2009" ht="7.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2.75" x14ac:dyDescent="0.2"/>
    <row r="2016" ht="48" customHeight="1" x14ac:dyDescent="0.2"/>
    <row r="2017" ht="12.75" x14ac:dyDescent="0.2"/>
    <row r="2018" ht="50.25" customHeight="1" x14ac:dyDescent="0.2"/>
    <row r="2019" ht="12.75" x14ac:dyDescent="0.2"/>
    <row r="2020" ht="23.25" customHeight="1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0.5" customHeight="1" x14ac:dyDescent="0.2"/>
    <row r="2027" ht="12.75" x14ac:dyDescent="0.2"/>
    <row r="2028" ht="48" customHeight="1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34.5" customHeight="1" x14ac:dyDescent="0.2"/>
    <row r="2051" ht="9" customHeight="1" x14ac:dyDescent="0.2"/>
    <row r="2052" ht="34.5" customHeight="1" x14ac:dyDescent="0.2"/>
    <row r="2053" ht="12.75" x14ac:dyDescent="0.2"/>
    <row r="2054" ht="20.25" customHeight="1" x14ac:dyDescent="0.2"/>
    <row r="2055" ht="20.25" customHeight="1" x14ac:dyDescent="0.2"/>
    <row r="2056" ht="12.75" x14ac:dyDescent="0.2"/>
    <row r="2057" ht="12.75" x14ac:dyDescent="0.2"/>
    <row r="2058" ht="13.5" customHeight="1" x14ac:dyDescent="0.2"/>
    <row r="2059" ht="15" customHeight="1" x14ac:dyDescent="0.2"/>
    <row r="2060" ht="15" customHeight="1" x14ac:dyDescent="0.2"/>
    <row r="2061" ht="21.75" customHeight="1" x14ac:dyDescent="0.2"/>
    <row r="2062" ht="12.75" x14ac:dyDescent="0.2"/>
    <row r="2063" ht="32.25" customHeight="1" x14ac:dyDescent="0.2"/>
    <row r="2064" ht="12.75" x14ac:dyDescent="0.2"/>
    <row r="2065" ht="37.5" customHeight="1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9.75" customHeight="1" x14ac:dyDescent="0.2"/>
    <row r="2074" ht="12.75" x14ac:dyDescent="0.2"/>
    <row r="2075" ht="47.25" customHeight="1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7.25" customHeight="1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spans="4:4" ht="15.75" customHeight="1" x14ac:dyDescent="0.2"/>
    <row r="2098" spans="4:4" ht="12.75" x14ac:dyDescent="0.2"/>
    <row r="2099" spans="4:4" ht="39.75" customHeight="1" x14ac:dyDescent="0.2"/>
    <row r="2100" spans="4:4" ht="17.25" customHeight="1" x14ac:dyDescent="0.2"/>
    <row r="2101" spans="4:4" ht="21.75" customHeight="1" x14ac:dyDescent="0.2"/>
    <row r="2102" spans="4:4" ht="14.25" x14ac:dyDescent="0.2">
      <c r="D2102" s="37"/>
    </row>
    <row r="2103" spans="4:4" ht="15" x14ac:dyDescent="0.25">
      <c r="D2103" s="1"/>
    </row>
    <row r="2104" spans="4:4" ht="8.25" customHeight="1" x14ac:dyDescent="0.25">
      <c r="D2104" s="1"/>
    </row>
    <row r="2105" spans="4:4" ht="19.5" customHeight="1" x14ac:dyDescent="0.2"/>
    <row r="2106" spans="4:4" ht="12" customHeight="1" x14ac:dyDescent="0.2">
      <c r="D2106" s="37"/>
    </row>
    <row r="2107" spans="4:4" ht="14.25" customHeight="1" x14ac:dyDescent="0.25">
      <c r="D2107" s="1"/>
    </row>
    <row r="2108" spans="4:4" ht="15" x14ac:dyDescent="0.25">
      <c r="D2108" s="1"/>
    </row>
    <row r="2109" spans="4:4" ht="12.75" x14ac:dyDescent="0.2"/>
    <row r="2110" spans="4:4" ht="21.75" customHeight="1" x14ac:dyDescent="0.2"/>
    <row r="2111" spans="4:4" ht="36" customHeight="1" x14ac:dyDescent="0.2"/>
    <row r="2112" spans="4:4" ht="24" customHeight="1" x14ac:dyDescent="0.2"/>
    <row r="2113" ht="41.25" customHeight="1" x14ac:dyDescent="0.2"/>
    <row r="2114" ht="15.75" customHeight="1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5.75" customHeight="1" x14ac:dyDescent="0.2"/>
    <row r="2121" ht="12.75" x14ac:dyDescent="0.2"/>
    <row r="2122" ht="12.75" x14ac:dyDescent="0.2"/>
    <row r="2123" ht="46.5" customHeight="1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spans="2:2" ht="12.75" x14ac:dyDescent="0.2"/>
    <row r="2130" spans="2:2" ht="12.75" x14ac:dyDescent="0.2"/>
    <row r="2131" spans="2:2" ht="12.75" x14ac:dyDescent="0.2"/>
    <row r="2132" spans="2:2" ht="12.75" x14ac:dyDescent="0.2"/>
    <row r="2133" spans="2:2" ht="12.75" x14ac:dyDescent="0.2"/>
    <row r="2134" spans="2:2" ht="12.75" x14ac:dyDescent="0.2"/>
    <row r="2135" spans="2:2" ht="12.75" x14ac:dyDescent="0.2"/>
    <row r="2136" spans="2:2" ht="12.75" x14ac:dyDescent="0.2"/>
    <row r="2137" spans="2:2" ht="12.75" x14ac:dyDescent="0.2"/>
    <row r="2138" spans="2:2" ht="12.75" x14ac:dyDescent="0.2"/>
    <row r="2139" spans="2:2" ht="12.75" x14ac:dyDescent="0.2"/>
    <row r="2140" spans="2:2" ht="14.25" x14ac:dyDescent="0.2">
      <c r="B2140" s="37"/>
    </row>
    <row r="2141" spans="2:2" ht="15" x14ac:dyDescent="0.25">
      <c r="B2141" s="1"/>
    </row>
    <row r="2142" spans="2:2" ht="15" x14ac:dyDescent="0.25">
      <c r="B2142" s="1"/>
    </row>
    <row r="2143" spans="2:2" ht="19.5" customHeight="1" x14ac:dyDescent="0.2"/>
    <row r="2144" spans="2:2" ht="12.75" x14ac:dyDescent="0.2"/>
    <row r="2145" ht="36.75" customHeight="1" x14ac:dyDescent="0.2"/>
    <row r="2146" ht="23.25" customHeight="1" x14ac:dyDescent="0.2"/>
    <row r="2147" ht="21.75" customHeight="1" x14ac:dyDescent="0.2"/>
    <row r="2148" ht="21.75" customHeight="1" x14ac:dyDescent="0.2"/>
    <row r="2149" ht="12.75" x14ac:dyDescent="0.2"/>
    <row r="2150" ht="12.75" x14ac:dyDescent="0.2"/>
    <row r="2152" ht="15" customHeight="1" x14ac:dyDescent="0.2"/>
    <row r="2154" ht="17.25" customHeight="1" x14ac:dyDescent="0.2"/>
    <row r="2155" ht="17.25" customHeight="1" x14ac:dyDescent="0.2"/>
    <row r="2156" ht="17.25" customHeight="1" x14ac:dyDescent="0.2"/>
    <row r="2157" ht="12.75" x14ac:dyDescent="0.2"/>
    <row r="2158" ht="51" customHeight="1" x14ac:dyDescent="0.2"/>
    <row r="2159" ht="12.75" x14ac:dyDescent="0.2"/>
    <row r="2160" ht="42.75" customHeight="1" x14ac:dyDescent="0.2"/>
    <row r="2161" ht="12.75" x14ac:dyDescent="0.2"/>
    <row r="2162" ht="18" customHeight="1" x14ac:dyDescent="0.2"/>
    <row r="2163" ht="12.75" x14ac:dyDescent="0.2"/>
    <row r="2164" ht="12.75" x14ac:dyDescent="0.2"/>
    <row r="2165" ht="12.75" x14ac:dyDescent="0.2"/>
    <row r="2166" ht="17.25" customHeight="1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spans="2:2" ht="12.75" x14ac:dyDescent="0.2"/>
    <row r="2178" spans="2:2" ht="12.75" x14ac:dyDescent="0.2"/>
    <row r="2179" spans="2:2" ht="12.75" x14ac:dyDescent="0.2"/>
    <row r="2180" spans="2:2" ht="12.75" x14ac:dyDescent="0.2"/>
    <row r="2181" spans="2:2" ht="12.75" x14ac:dyDescent="0.2"/>
    <row r="2182" spans="2:2" ht="12.75" x14ac:dyDescent="0.2"/>
    <row r="2183" spans="2:2" ht="12.75" x14ac:dyDescent="0.2"/>
    <row r="2184" spans="2:2" ht="12.75" x14ac:dyDescent="0.2"/>
    <row r="2185" spans="2:2" ht="12.75" x14ac:dyDescent="0.2"/>
    <row r="2186" spans="2:2" ht="14.25" x14ac:dyDescent="0.2">
      <c r="B2186" s="37"/>
    </row>
    <row r="2187" spans="2:2" ht="15" x14ac:dyDescent="0.25">
      <c r="B2187" s="1"/>
    </row>
    <row r="2188" spans="2:2" ht="15" x14ac:dyDescent="0.25">
      <c r="B2188" s="1"/>
    </row>
    <row r="2189" spans="2:2" ht="12.75" x14ac:dyDescent="0.2"/>
    <row r="2190" spans="2:2" ht="33.75" customHeight="1" x14ac:dyDescent="0.2"/>
    <row r="2191" spans="2:2" ht="12.75" x14ac:dyDescent="0.2"/>
    <row r="2192" spans="2:2" ht="21" customHeight="1" x14ac:dyDescent="0.2"/>
    <row r="2193" ht="12.75" x14ac:dyDescent="0.2"/>
    <row r="2194" ht="21" customHeight="1" x14ac:dyDescent="0.2"/>
    <row r="2195" ht="18.75" customHeight="1" x14ac:dyDescent="0.2"/>
    <row r="2196" ht="19.5" customHeight="1" x14ac:dyDescent="0.2"/>
    <row r="2197" ht="12.75" x14ac:dyDescent="0.2"/>
    <row r="2198" ht="12.75" x14ac:dyDescent="0.2"/>
    <row r="2200" ht="13.5" customHeight="1" x14ac:dyDescent="0.2"/>
    <row r="2202" ht="19.5" customHeight="1" x14ac:dyDescent="0.2"/>
    <row r="2203" ht="19.5" customHeight="1" x14ac:dyDescent="0.2"/>
    <row r="2204" ht="12.75" x14ac:dyDescent="0.2"/>
    <row r="2205" ht="25.5" customHeight="1" x14ac:dyDescent="0.2"/>
    <row r="2206" ht="46.5" customHeight="1" x14ac:dyDescent="0.2"/>
    <row r="2207" ht="9.75" customHeight="1" x14ac:dyDescent="0.2"/>
    <row r="2208" ht="37.5" customHeight="1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9" customHeight="1" x14ac:dyDescent="0.2"/>
    <row r="2215" ht="12.75" x14ac:dyDescent="0.2"/>
    <row r="2216" ht="12.75" x14ac:dyDescent="0.2"/>
    <row r="2217" ht="12.75" x14ac:dyDescent="0.2"/>
    <row r="2218" ht="46.5" customHeight="1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spans="5:5" ht="14.25" x14ac:dyDescent="0.2">
      <c r="E2225" s="37"/>
    </row>
    <row r="2226" spans="5:5" ht="15" x14ac:dyDescent="0.25">
      <c r="E2226" s="1"/>
    </row>
    <row r="2227" spans="5:5" ht="15" x14ac:dyDescent="0.25">
      <c r="E2227" s="1"/>
    </row>
    <row r="2228" spans="5:5" ht="12.75" x14ac:dyDescent="0.2"/>
    <row r="2229" spans="5:5" ht="12.75" x14ac:dyDescent="0.2"/>
    <row r="2230" spans="5:5" ht="12.75" x14ac:dyDescent="0.2"/>
    <row r="2231" spans="5:5" ht="12.75" x14ac:dyDescent="0.2"/>
    <row r="2232" spans="5:5" ht="12.75" x14ac:dyDescent="0.2"/>
    <row r="2233" spans="5:5" ht="12.75" x14ac:dyDescent="0.2"/>
    <row r="2234" spans="5:5" ht="12.75" x14ac:dyDescent="0.2"/>
    <row r="2235" spans="5:5" ht="12.75" x14ac:dyDescent="0.2"/>
    <row r="2236" spans="5:5" ht="40.5" customHeight="1" x14ac:dyDescent="0.2"/>
    <row r="2237" spans="5:5" ht="12.75" x14ac:dyDescent="0.2"/>
    <row r="2238" spans="5:5" ht="38.25" customHeight="1" x14ac:dyDescent="0.2"/>
    <row r="2239" spans="5:5" ht="12.75" x14ac:dyDescent="0.2"/>
    <row r="2240" spans="5:5" ht="20.25" customHeight="1" x14ac:dyDescent="0.2"/>
    <row r="2241" ht="20.25" customHeight="1" x14ac:dyDescent="0.2"/>
    <row r="2242" ht="20.25" customHeight="1" x14ac:dyDescent="0.2"/>
    <row r="2243" ht="5.25" customHeight="1" x14ac:dyDescent="0.2"/>
    <row r="2244" ht="12.75" x14ac:dyDescent="0.2"/>
    <row r="2245" ht="12.75" x14ac:dyDescent="0.2"/>
    <row r="2249" ht="50.25" customHeight="1" x14ac:dyDescent="0.2"/>
    <row r="2250" ht="12" customHeight="1" x14ac:dyDescent="0.2"/>
    <row r="2251" ht="21" customHeight="1" x14ac:dyDescent="0.2"/>
    <row r="2252" ht="12.75" x14ac:dyDescent="0.2"/>
    <row r="2253" ht="18" customHeight="1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31.5" customHeight="1" x14ac:dyDescent="0.2"/>
    <row r="2268" ht="12.75" x14ac:dyDescent="0.2"/>
    <row r="2269" ht="33.75" customHeight="1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45" customHeight="1" x14ac:dyDescent="0.2"/>
    <row r="2280" ht="12.75" x14ac:dyDescent="0.2"/>
    <row r="2281" ht="12.75" x14ac:dyDescent="0.2"/>
    <row r="2282" ht="12.75" x14ac:dyDescent="0.2"/>
    <row r="2283" ht="33" customHeight="1" x14ac:dyDescent="0.2"/>
    <row r="2284" ht="12.75" x14ac:dyDescent="0.2"/>
    <row r="2285" ht="19.5" customHeight="1" x14ac:dyDescent="0.2"/>
    <row r="2286" ht="19.5" customHeight="1" x14ac:dyDescent="0.2"/>
    <row r="2287" ht="19.5" customHeight="1" x14ac:dyDescent="0.2"/>
    <row r="2288" ht="19.5" customHeight="1" x14ac:dyDescent="0.2"/>
    <row r="2289" ht="19.5" customHeight="1" x14ac:dyDescent="0.2"/>
    <row r="2290" ht="12.75" x14ac:dyDescent="0.2"/>
    <row r="2291" ht="12.75" x14ac:dyDescent="0.2"/>
    <row r="2292" ht="12.75" x14ac:dyDescent="0.2"/>
    <row r="2296" ht="46.5" customHeight="1" x14ac:dyDescent="0.2"/>
    <row r="2298" ht="18" customHeight="1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41.25" customHeight="1" x14ac:dyDescent="0.2"/>
    <row r="2316" ht="12.75" x14ac:dyDescent="0.2"/>
    <row r="2317" ht="37.5" customHeight="1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45" customHeight="1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6.5" customHeight="1" x14ac:dyDescent="0.2"/>
    <row r="2340" ht="12.75" x14ac:dyDescent="0.2"/>
    <row r="2341" ht="16.5" customHeight="1" x14ac:dyDescent="0.2"/>
    <row r="2342" ht="16.5" customHeight="1" x14ac:dyDescent="0.2"/>
    <row r="2343" ht="16.5" customHeight="1" x14ac:dyDescent="0.2"/>
    <row r="2344" ht="16.5" customHeight="1" x14ac:dyDescent="0.2"/>
    <row r="2345" ht="16.5" customHeight="1" x14ac:dyDescent="0.2"/>
    <row r="2346" ht="16.5" customHeight="1" x14ac:dyDescent="0.2"/>
    <row r="2347" ht="16.5" customHeight="1" x14ac:dyDescent="0.2"/>
    <row r="2348" ht="16.5" customHeight="1" x14ac:dyDescent="0.2"/>
    <row r="2349" ht="16.5" customHeight="1" x14ac:dyDescent="0.2"/>
    <row r="2350" ht="16.5" customHeight="1" x14ac:dyDescent="0.2"/>
    <row r="2351" ht="16.5" customHeight="1" x14ac:dyDescent="0.2"/>
    <row r="2352" ht="16.5" customHeight="1" x14ac:dyDescent="0.2"/>
    <row r="2353" ht="16.5" customHeight="1" x14ac:dyDescent="0.2"/>
    <row r="2354" ht="16.5" customHeight="1" x14ac:dyDescent="0.2"/>
    <row r="2355" ht="16.5" customHeight="1" x14ac:dyDescent="0.2"/>
    <row r="2356" ht="16.5" customHeight="1" x14ac:dyDescent="0.2"/>
    <row r="2357" ht="16.5" customHeight="1" x14ac:dyDescent="0.2"/>
    <row r="2358" ht="16.5" customHeight="1" x14ac:dyDescent="0.2"/>
    <row r="2359" ht="16.5" customHeight="1" x14ac:dyDescent="0.2"/>
    <row r="2360" ht="48.75" customHeight="1" x14ac:dyDescent="0.2"/>
    <row r="2361" ht="16.5" customHeight="1" x14ac:dyDescent="0.2"/>
    <row r="2362" ht="40.5" customHeight="1" x14ac:dyDescent="0.2"/>
    <row r="2363" ht="16.5" customHeight="1" x14ac:dyDescent="0.2"/>
    <row r="2364" ht="16.5" customHeight="1" x14ac:dyDescent="0.2"/>
    <row r="2365" ht="16.5" customHeight="1" x14ac:dyDescent="0.2"/>
    <row r="2366" ht="16.5" customHeight="1" x14ac:dyDescent="0.2"/>
    <row r="2367" ht="16.5" customHeight="1" x14ac:dyDescent="0.2"/>
    <row r="2368" ht="16.5" customHeight="1" x14ac:dyDescent="0.2"/>
    <row r="2369" ht="16.5" customHeight="1" x14ac:dyDescent="0.2"/>
    <row r="2370" ht="16.5" customHeight="1" x14ac:dyDescent="0.2"/>
    <row r="2371" ht="16.5" customHeight="1" x14ac:dyDescent="0.2"/>
    <row r="2372" ht="48.75" customHeight="1" x14ac:dyDescent="0.2"/>
    <row r="2373" ht="16.5" customHeight="1" x14ac:dyDescent="0.2"/>
    <row r="2374" ht="16.5" customHeight="1" x14ac:dyDescent="0.2"/>
    <row r="2375" ht="16.5" customHeight="1" x14ac:dyDescent="0.2"/>
    <row r="2376" ht="16.5" customHeight="1" x14ac:dyDescent="0.2"/>
    <row r="2377" ht="16.5" customHeight="1" x14ac:dyDescent="0.2"/>
    <row r="2378" ht="16.5" customHeight="1" x14ac:dyDescent="0.2"/>
    <row r="2379" ht="16.5" customHeight="1" x14ac:dyDescent="0.2"/>
    <row r="2380" ht="16.5" customHeight="1" x14ac:dyDescent="0.2"/>
    <row r="2381" ht="16.5" customHeight="1" x14ac:dyDescent="0.2"/>
    <row r="2382" ht="16.5" customHeight="1" x14ac:dyDescent="0.2"/>
    <row r="2383" ht="18.75" customHeight="1" x14ac:dyDescent="0.2"/>
    <row r="2384" ht="16.5" customHeight="1" x14ac:dyDescent="0.2"/>
    <row r="2385" ht="16.5" customHeight="1" x14ac:dyDescent="0.2"/>
    <row r="2386" ht="16.5" customHeight="1" x14ac:dyDescent="0.2"/>
    <row r="2387" ht="16.5" customHeight="1" x14ac:dyDescent="0.2"/>
    <row r="2388" ht="16.5" customHeight="1" x14ac:dyDescent="0.2"/>
    <row r="2389" ht="16.5" customHeight="1" x14ac:dyDescent="0.2"/>
    <row r="2390" ht="16.5" customHeight="1" x14ac:dyDescent="0.2"/>
    <row r="2391" ht="16.5" customHeight="1" x14ac:dyDescent="0.2"/>
    <row r="2392" ht="16.5" customHeight="1" x14ac:dyDescent="0.2"/>
    <row r="2393" ht="16.5" customHeight="1" x14ac:dyDescent="0.2"/>
    <row r="2394" ht="16.5" customHeight="1" x14ac:dyDescent="0.2"/>
    <row r="2395" ht="16.5" customHeight="1" x14ac:dyDescent="0.2"/>
    <row r="2396" ht="16.5" customHeight="1" x14ac:dyDescent="0.2"/>
    <row r="2397" ht="16.5" customHeight="1" x14ac:dyDescent="0.2"/>
    <row r="2398" ht="16.5" customHeight="1" x14ac:dyDescent="0.2"/>
    <row r="2399" ht="16.5" customHeight="1" x14ac:dyDescent="0.2"/>
    <row r="2400" ht="16.5" customHeight="1" x14ac:dyDescent="0.2"/>
    <row r="2401" ht="16.5" customHeight="1" x14ac:dyDescent="0.2"/>
    <row r="2402" ht="16.5" customHeight="1" x14ac:dyDescent="0.2"/>
    <row r="2403" ht="16.5" customHeight="1" x14ac:dyDescent="0.2"/>
    <row r="2404" ht="16.5" customHeight="1" x14ac:dyDescent="0.2"/>
    <row r="2405" ht="16.5" customHeight="1" x14ac:dyDescent="0.2"/>
    <row r="2406" ht="45" customHeight="1" x14ac:dyDescent="0.2"/>
    <row r="2407" ht="16.5" customHeight="1" x14ac:dyDescent="0.2"/>
    <row r="2408" ht="33" customHeight="1" x14ac:dyDescent="0.2"/>
    <row r="2409" ht="16.5" customHeight="1" x14ac:dyDescent="0.2"/>
    <row r="2410" ht="30.75" customHeight="1" x14ac:dyDescent="0.2"/>
    <row r="2411" ht="16.5" customHeight="1" x14ac:dyDescent="0.2"/>
    <row r="2412" ht="16.5" customHeight="1" x14ac:dyDescent="0.2"/>
    <row r="2413" ht="16.5" customHeight="1" x14ac:dyDescent="0.2"/>
    <row r="2414" ht="16.5" customHeight="1" x14ac:dyDescent="0.2"/>
    <row r="2415" ht="16.5" customHeight="1" x14ac:dyDescent="0.2"/>
    <row r="2416" ht="16.5" customHeight="1" x14ac:dyDescent="0.2"/>
    <row r="2417" ht="16.5" customHeight="1" x14ac:dyDescent="0.2"/>
    <row r="2418" ht="45.75" customHeight="1" x14ac:dyDescent="0.2"/>
    <row r="2419" ht="16.5" customHeight="1" x14ac:dyDescent="0.2"/>
    <row r="2420" ht="16.5" customHeight="1" x14ac:dyDescent="0.2"/>
    <row r="2421" ht="16.5" customHeight="1" x14ac:dyDescent="0.2"/>
    <row r="2422" ht="16.5" customHeight="1" x14ac:dyDescent="0.2"/>
    <row r="2423" ht="16.5" customHeight="1" x14ac:dyDescent="0.2"/>
    <row r="2424" ht="16.5" customHeight="1" x14ac:dyDescent="0.2"/>
    <row r="2425" ht="15.75" customHeight="1" x14ac:dyDescent="0.2"/>
    <row r="2426" ht="30" customHeight="1" x14ac:dyDescent="0.2"/>
    <row r="2427" ht="21" hidden="1" customHeight="1" x14ac:dyDescent="0.2"/>
    <row r="2428" ht="20.25" customHeight="1" x14ac:dyDescent="0.2"/>
    <row r="2429" ht="24.75" customHeight="1" x14ac:dyDescent="0.2"/>
    <row r="2430" ht="16.5" customHeight="1" x14ac:dyDescent="0.2"/>
    <row r="2431" ht="16.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40.5" customHeight="1" x14ac:dyDescent="0.2"/>
    <row r="2455" ht="15" customHeight="1" x14ac:dyDescent="0.2"/>
    <row r="2456" ht="33.7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44.2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34.5" customHeight="1" x14ac:dyDescent="0.2"/>
    <row r="2504" ht="15" customHeight="1" x14ac:dyDescent="0.2"/>
    <row r="2505" ht="38.2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4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15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15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6" ht="15" customHeight="1" x14ac:dyDescent="0.2"/>
    <row r="2587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15" customHeight="1" x14ac:dyDescent="0.2"/>
    <row r="2600" ht="15" customHeight="1" x14ac:dyDescent="0.2"/>
    <row r="2601" ht="15" customHeight="1" x14ac:dyDescent="0.2"/>
    <row r="2602" ht="15" customHeight="1" x14ac:dyDescent="0.2"/>
    <row r="2603" ht="15" customHeight="1" x14ac:dyDescent="0.2"/>
    <row r="2604" ht="15" customHeight="1" x14ac:dyDescent="0.2"/>
    <row r="2605" ht="15" customHeight="1" x14ac:dyDescent="0.2"/>
    <row r="2606" ht="15" customHeight="1" x14ac:dyDescent="0.2"/>
    <row r="2607" ht="15" customHeight="1" x14ac:dyDescent="0.2"/>
    <row r="2608" ht="15" customHeight="1" x14ac:dyDescent="0.2"/>
    <row r="2609" ht="15" customHeight="1" x14ac:dyDescent="0.2"/>
    <row r="2610" ht="15" customHeight="1" x14ac:dyDescent="0.2"/>
    <row r="2611" ht="15" customHeight="1" x14ac:dyDescent="0.2"/>
    <row r="2612" ht="15" customHeight="1" x14ac:dyDescent="0.2"/>
    <row r="2613" ht="15" customHeight="1" x14ac:dyDescent="0.2"/>
    <row r="2614" ht="15" customHeight="1" x14ac:dyDescent="0.2"/>
    <row r="2615" ht="15" customHeight="1" x14ac:dyDescent="0.2"/>
    <row r="2616" ht="15" customHeight="1" x14ac:dyDescent="0.2"/>
    <row r="2617" ht="15" customHeight="1" x14ac:dyDescent="0.2"/>
    <row r="2618" ht="15" customHeight="1" x14ac:dyDescent="0.2"/>
    <row r="2619" ht="15" customHeight="1" x14ac:dyDescent="0.2"/>
    <row r="2620" ht="15" customHeight="1" x14ac:dyDescent="0.2"/>
    <row r="2621" ht="15" customHeight="1" x14ac:dyDescent="0.2"/>
    <row r="2622" ht="15" customHeight="1" x14ac:dyDescent="0.2"/>
    <row r="2623" ht="15" customHeight="1" x14ac:dyDescent="0.2"/>
    <row r="2624" ht="15" customHeight="1" x14ac:dyDescent="0.2"/>
    <row r="2628" ht="46.5" customHeight="1" x14ac:dyDescent="0.2"/>
  </sheetData>
  <mergeCells count="48">
    <mergeCell ref="B81:L81"/>
    <mergeCell ref="A83:L83"/>
    <mergeCell ref="J86:L86"/>
    <mergeCell ref="A108:L108"/>
    <mergeCell ref="D262:H262"/>
    <mergeCell ref="A154:L154"/>
    <mergeCell ref="D162:H162"/>
    <mergeCell ref="B166:L166"/>
    <mergeCell ref="C168:D168"/>
    <mergeCell ref="B177:L177"/>
    <mergeCell ref="A179:L179"/>
    <mergeCell ref="C218:D218"/>
    <mergeCell ref="B227:L227"/>
    <mergeCell ref="A229:L229"/>
    <mergeCell ref="J232:L232"/>
    <mergeCell ref="A254:L254"/>
    <mergeCell ref="D212:H212"/>
    <mergeCell ref="A214:L214"/>
    <mergeCell ref="B216:L216"/>
    <mergeCell ref="J136:L136"/>
    <mergeCell ref="D116:H116"/>
    <mergeCell ref="A164:L164"/>
    <mergeCell ref="J182:L182"/>
    <mergeCell ref="B131:L131"/>
    <mergeCell ref="A133:L133"/>
    <mergeCell ref="A204:L204"/>
    <mergeCell ref="A118:L118"/>
    <mergeCell ref="B120:L120"/>
    <mergeCell ref="C122:D122"/>
    <mergeCell ref="A279:L279"/>
    <mergeCell ref="J282:L282"/>
    <mergeCell ref="A264:L264"/>
    <mergeCell ref="B266:L266"/>
    <mergeCell ref="C268:D268"/>
    <mergeCell ref="B277:L277"/>
    <mergeCell ref="J36:L36"/>
    <mergeCell ref="A33:L33"/>
    <mergeCell ref="A8:L8"/>
    <mergeCell ref="D16:H16"/>
    <mergeCell ref="A18:L18"/>
    <mergeCell ref="B20:L20"/>
    <mergeCell ref="B31:L31"/>
    <mergeCell ref="C22:D22"/>
    <mergeCell ref="C72:D72"/>
    <mergeCell ref="A58:L58"/>
    <mergeCell ref="D66:H66"/>
    <mergeCell ref="A68:L68"/>
    <mergeCell ref="B70:L70"/>
  </mergeCells>
  <pageMargins left="0.5" right="0.2" top="0.75" bottom="1" header="0.5" footer="0.5"/>
  <pageSetup paperSize="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40E4-C3E1-4CFA-A4BA-957A4D4EC9C7}">
  <dimension ref="A1:L914"/>
  <sheetViews>
    <sheetView tabSelected="1" topLeftCell="A863" zoomScaleNormal="100" zoomScaleSheetLayoutView="100" workbookViewId="0">
      <selection activeCell="M873" sqref="M873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15.42578125" style="4" customWidth="1"/>
    <col min="6" max="6" width="14.85546875" style="4" customWidth="1"/>
    <col min="7" max="7" width="1.7109375" style="4" customWidth="1"/>
    <col min="8" max="8" width="7.5703125" style="4" customWidth="1"/>
    <col min="9" max="9" width="12.42578125" style="4" customWidth="1"/>
    <col min="10" max="10" width="10.28515625" style="4" customWidth="1"/>
    <col min="11" max="11" width="5.28515625" style="4" customWidth="1"/>
    <col min="12" max="12" width="2.14062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6.42578125" style="4" customWidth="1"/>
    <col min="17" max="17" width="2.5703125" style="4" customWidth="1"/>
    <col min="18" max="19" width="9.140625" style="4" customWidth="1"/>
    <col min="20" max="20" width="10" style="4" customWidth="1"/>
    <col min="21" max="21" width="9.140625" style="4" customWidth="1"/>
    <col min="22" max="22" width="9.140625" style="4"/>
    <col min="23" max="23" width="15.85546875" style="4" customWidth="1"/>
    <col min="24" max="24" width="9.140625" style="4"/>
    <col min="25" max="25" width="7.140625" style="4" customWidth="1"/>
    <col min="26" max="26" width="3" style="4" customWidth="1"/>
    <col min="27" max="16384" width="9.140625" style="4"/>
  </cols>
  <sheetData>
    <row r="1" spans="1:12" ht="15.75" x14ac:dyDescent="0.25">
      <c r="A1" s="3" t="s">
        <v>22</v>
      </c>
    </row>
    <row r="2" spans="1:12" ht="15.75" x14ac:dyDescent="0.2">
      <c r="A2" s="122" t="s">
        <v>20</v>
      </c>
    </row>
    <row r="3" spans="1:12" ht="15.75" x14ac:dyDescent="0.2">
      <c r="A3" s="122" t="s">
        <v>21</v>
      </c>
    </row>
    <row r="4" spans="1:12" ht="15.75" x14ac:dyDescent="0.2">
      <c r="A4" s="122"/>
    </row>
    <row r="5" spans="1:12" ht="12.75" x14ac:dyDescent="0.2"/>
    <row r="6" spans="1:12" ht="21.95" customHeight="1" x14ac:dyDescent="0.3">
      <c r="A6" s="276" t="s">
        <v>6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</row>
    <row r="7" spans="1:12" ht="18.75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15" x14ac:dyDescent="0.25">
      <c r="A8" s="1"/>
      <c r="B8" s="1"/>
    </row>
    <row r="9" spans="1:12" ht="15" x14ac:dyDescent="0.25">
      <c r="A9" s="1" t="s">
        <v>7</v>
      </c>
      <c r="B9" s="1"/>
    </row>
    <row r="10" spans="1:12" ht="21.95" customHeight="1" x14ac:dyDescent="0.25">
      <c r="A10" s="1"/>
      <c r="B10" s="1"/>
    </row>
    <row r="11" spans="1:12" ht="15.75" x14ac:dyDescent="0.25">
      <c r="A11" s="1" t="s">
        <v>8</v>
      </c>
      <c r="C11" s="9" t="s">
        <v>1</v>
      </c>
      <c r="D11" s="267" t="s">
        <v>636</v>
      </c>
      <c r="E11" s="76"/>
      <c r="F11" s="76"/>
      <c r="G11" s="76"/>
      <c r="H11" s="76"/>
    </row>
    <row r="12" spans="1:12" ht="15.75" x14ac:dyDescent="0.25">
      <c r="A12" s="1" t="s">
        <v>9</v>
      </c>
      <c r="C12" s="9" t="s">
        <v>1</v>
      </c>
      <c r="D12" s="268" t="s">
        <v>637</v>
      </c>
      <c r="E12" s="76"/>
      <c r="F12" s="76"/>
      <c r="G12" s="76"/>
      <c r="H12" s="76"/>
    </row>
    <row r="13" spans="1:12" ht="15.75" x14ac:dyDescent="0.25">
      <c r="A13" s="50" t="s">
        <v>10</v>
      </c>
      <c r="B13" s="76"/>
      <c r="C13" s="91" t="s">
        <v>1</v>
      </c>
      <c r="D13" s="268" t="s">
        <v>81</v>
      </c>
      <c r="E13" s="76"/>
      <c r="F13" s="76"/>
      <c r="G13" s="76"/>
      <c r="H13" s="76"/>
      <c r="I13" s="76"/>
      <c r="J13" s="76"/>
      <c r="K13" s="76"/>
      <c r="L13" s="76"/>
    </row>
    <row r="14" spans="1:12" ht="15" customHeight="1" x14ac:dyDescent="0.25">
      <c r="A14" s="1"/>
      <c r="B14" s="1"/>
      <c r="D14" s="1"/>
    </row>
    <row r="15" spans="1:12" ht="41.25" customHeight="1" x14ac:dyDescent="0.2">
      <c r="A15" s="277" t="s">
        <v>673</v>
      </c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</row>
    <row r="16" spans="1:12" ht="21.95" customHeight="1" x14ac:dyDescent="0.25">
      <c r="A16" s="1"/>
      <c r="B16" s="1"/>
    </row>
    <row r="17" spans="1:12" ht="39" customHeight="1" thickBot="1" x14ac:dyDescent="0.25">
      <c r="A17" s="10" t="s">
        <v>0</v>
      </c>
      <c r="B17" s="278" t="s">
        <v>91</v>
      </c>
      <c r="C17" s="278"/>
      <c r="D17" s="278"/>
      <c r="E17" s="278"/>
      <c r="F17" s="278"/>
      <c r="G17" s="278"/>
      <c r="H17" s="278"/>
      <c r="I17" s="278"/>
      <c r="J17" s="278"/>
      <c r="K17" s="278"/>
      <c r="L17" s="278"/>
    </row>
    <row r="18" spans="1:12" ht="15.75" thickTop="1" x14ac:dyDescent="0.25">
      <c r="A18" s="1"/>
      <c r="B18" s="11" t="s">
        <v>3</v>
      </c>
      <c r="C18" s="12" t="s">
        <v>4</v>
      </c>
      <c r="D18" s="13"/>
      <c r="E18" s="13"/>
      <c r="F18" s="13"/>
      <c r="G18" s="13"/>
      <c r="H18" s="14"/>
      <c r="I18" s="15" t="s">
        <v>5</v>
      </c>
      <c r="J18" s="12" t="s">
        <v>17</v>
      </c>
      <c r="K18" s="13"/>
      <c r="L18" s="14"/>
    </row>
    <row r="19" spans="1:12" ht="15" x14ac:dyDescent="0.2">
      <c r="A19" s="50"/>
      <c r="B19" s="143">
        <v>1</v>
      </c>
      <c r="C19" s="129" t="s">
        <v>640</v>
      </c>
      <c r="D19" s="130"/>
      <c r="E19" s="130"/>
      <c r="F19" s="217"/>
      <c r="G19" s="76"/>
      <c r="H19" s="79"/>
      <c r="I19" s="56">
        <v>170000</v>
      </c>
      <c r="J19" s="76" t="s">
        <v>204</v>
      </c>
      <c r="K19" s="76"/>
      <c r="L19" s="79"/>
    </row>
    <row r="20" spans="1:12" ht="15" x14ac:dyDescent="0.2">
      <c r="A20" s="50"/>
      <c r="B20" s="100"/>
      <c r="C20" s="76"/>
      <c r="D20" s="76"/>
      <c r="E20" s="76"/>
      <c r="F20" s="169"/>
      <c r="G20" s="76"/>
      <c r="H20" s="76"/>
      <c r="I20" s="56"/>
      <c r="J20" s="76"/>
      <c r="K20" s="76"/>
      <c r="L20" s="79"/>
    </row>
    <row r="21" spans="1:12" ht="15" x14ac:dyDescent="0.2">
      <c r="A21" s="50"/>
      <c r="B21" s="100"/>
      <c r="C21" s="76"/>
      <c r="D21" s="76"/>
      <c r="E21" s="76"/>
      <c r="F21" s="169"/>
      <c r="G21" s="76"/>
      <c r="H21" s="76"/>
      <c r="I21" s="56"/>
      <c r="J21" s="76"/>
      <c r="K21" s="76"/>
      <c r="L21" s="79"/>
    </row>
    <row r="22" spans="1:12" ht="15" x14ac:dyDescent="0.2">
      <c r="A22" s="50"/>
      <c r="B22" s="100"/>
      <c r="C22" s="76"/>
      <c r="D22" s="76"/>
      <c r="E22" s="76"/>
      <c r="F22" s="169"/>
      <c r="G22" s="76"/>
      <c r="H22" s="76"/>
      <c r="I22" s="56"/>
      <c r="J22" s="76"/>
      <c r="K22" s="76"/>
      <c r="L22" s="79"/>
    </row>
    <row r="23" spans="1:12" ht="15" x14ac:dyDescent="0.25">
      <c r="A23" s="1"/>
      <c r="B23" s="39"/>
      <c r="C23" s="1"/>
      <c r="D23" s="1"/>
      <c r="E23" s="1"/>
      <c r="F23" s="40" t="s">
        <v>5</v>
      </c>
      <c r="G23" s="40"/>
      <c r="H23" s="1"/>
      <c r="I23" s="41">
        <f>I19</f>
        <v>170000</v>
      </c>
      <c r="J23" s="1"/>
      <c r="K23" s="1"/>
      <c r="L23" s="42"/>
    </row>
    <row r="24" spans="1:12" ht="21.95" customHeight="1" thickBot="1" x14ac:dyDescent="0.3">
      <c r="A24" s="1"/>
      <c r="B24" s="43"/>
      <c r="C24" s="44"/>
      <c r="D24" s="44"/>
      <c r="E24" s="44"/>
      <c r="F24" s="45"/>
      <c r="G24" s="45"/>
      <c r="H24" s="44"/>
      <c r="I24" s="46"/>
      <c r="J24" s="44"/>
      <c r="K24" s="44"/>
      <c r="L24" s="47"/>
    </row>
    <row r="25" spans="1:12" ht="21.95" customHeight="1" thickTop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48.75" customHeight="1" x14ac:dyDescent="0.2">
      <c r="A26" s="10" t="s">
        <v>2</v>
      </c>
      <c r="B26" s="279" t="s">
        <v>11</v>
      </c>
      <c r="C26" s="279"/>
      <c r="D26" s="279"/>
      <c r="E26" s="279"/>
      <c r="F26" s="279"/>
      <c r="G26" s="279"/>
      <c r="H26" s="279"/>
      <c r="I26" s="279"/>
      <c r="J26" s="279"/>
      <c r="K26" s="279"/>
      <c r="L26" s="279"/>
    </row>
    <row r="27" spans="1:12" ht="21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1.75" customHeight="1" x14ac:dyDescent="0.2">
      <c r="A28" s="280" t="s">
        <v>12</v>
      </c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</row>
    <row r="29" spans="1:12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x14ac:dyDescent="0.25">
      <c r="A31" s="1"/>
      <c r="B31" s="1"/>
      <c r="C31" s="1"/>
      <c r="D31" s="1"/>
      <c r="E31" s="1"/>
      <c r="F31" s="1"/>
      <c r="G31" s="1"/>
      <c r="H31" s="4" t="s">
        <v>674</v>
      </c>
    </row>
    <row r="32" spans="1:12" ht="15" x14ac:dyDescent="0.25">
      <c r="A32" s="1"/>
      <c r="B32" s="1" t="s">
        <v>15</v>
      </c>
      <c r="C32" s="1"/>
      <c r="D32" s="1"/>
      <c r="E32" s="1"/>
      <c r="F32" s="1"/>
      <c r="G32" s="1"/>
      <c r="H32" s="4" t="s">
        <v>13</v>
      </c>
    </row>
    <row r="33" spans="1:12" ht="15" x14ac:dyDescent="0.2">
      <c r="A33" s="48"/>
      <c r="B33" s="48" t="s">
        <v>18</v>
      </c>
      <c r="C33" s="48"/>
      <c r="D33" s="48"/>
      <c r="E33" s="48"/>
      <c r="F33" s="48"/>
      <c r="G33" s="48"/>
      <c r="H33" s="99" t="s">
        <v>14</v>
      </c>
      <c r="I33" s="99"/>
      <c r="J33" s="99"/>
      <c r="K33" s="99"/>
      <c r="L33" s="99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x14ac:dyDescent="0.25">
      <c r="A36" s="1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"/>
    </row>
    <row r="37" spans="1:12" ht="15" x14ac:dyDescent="0.25">
      <c r="A37" s="1"/>
      <c r="K37" s="103"/>
      <c r="L37" s="1"/>
    </row>
    <row r="38" spans="1:12" ht="15" x14ac:dyDescent="0.25">
      <c r="A38" s="1"/>
      <c r="B38" s="272" t="s">
        <v>644</v>
      </c>
      <c r="H38" s="37" t="str">
        <f>D11</f>
        <v>Agus Riyanto, S.Si.,Apt</v>
      </c>
      <c r="I38" s="95"/>
      <c r="J38" s="92"/>
      <c r="K38" s="103"/>
      <c r="L38" s="1"/>
    </row>
    <row r="39" spans="1:12" ht="15" x14ac:dyDescent="0.25">
      <c r="A39" s="1"/>
      <c r="B39" s="273" t="s">
        <v>638</v>
      </c>
      <c r="C39" s="57"/>
      <c r="H39" s="269" t="s">
        <v>27</v>
      </c>
      <c r="K39" s="103"/>
    </row>
    <row r="40" spans="1:12" ht="12.75" x14ac:dyDescent="0.2"/>
    <row r="41" spans="1:12" ht="12.75" x14ac:dyDescent="0.2"/>
    <row r="42" spans="1:12" ht="12.75" x14ac:dyDescent="0.2"/>
    <row r="43" spans="1:12" ht="12.75" x14ac:dyDescent="0.2"/>
    <row r="44" spans="1:12" ht="12.75" x14ac:dyDescent="0.2"/>
    <row r="45" spans="1:12" ht="12" customHeight="1" x14ac:dyDescent="0.2"/>
    <row r="46" spans="1:12" ht="12.75" x14ac:dyDescent="0.2"/>
    <row r="47" spans="1:12" ht="12.75" x14ac:dyDescent="0.2"/>
    <row r="48" spans="1:12" ht="12.75" x14ac:dyDescent="0.2"/>
    <row r="49" spans="1:12" ht="12.75" x14ac:dyDescent="0.2"/>
    <row r="50" spans="1:12" ht="15.75" x14ac:dyDescent="0.25">
      <c r="A50" s="3" t="s">
        <v>22</v>
      </c>
    </row>
    <row r="51" spans="1:12" ht="15.75" x14ac:dyDescent="0.2">
      <c r="A51" s="122" t="s">
        <v>20</v>
      </c>
    </row>
    <row r="52" spans="1:12" ht="15.75" x14ac:dyDescent="0.2">
      <c r="A52" s="122" t="s">
        <v>21</v>
      </c>
    </row>
    <row r="53" spans="1:12" ht="15.75" x14ac:dyDescent="0.2">
      <c r="A53" s="122"/>
    </row>
    <row r="54" spans="1:12" ht="12.75" x14ac:dyDescent="0.2"/>
    <row r="55" spans="1:12" ht="18.75" x14ac:dyDescent="0.3">
      <c r="A55" s="276" t="s">
        <v>6</v>
      </c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</row>
    <row r="56" spans="1:12" ht="18.75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15" x14ac:dyDescent="0.25">
      <c r="A57" s="1"/>
      <c r="B57" s="1"/>
    </row>
    <row r="58" spans="1:12" ht="21.95" customHeight="1" x14ac:dyDescent="0.25">
      <c r="A58" s="1" t="s">
        <v>7</v>
      </c>
      <c r="B58" s="1"/>
    </row>
    <row r="59" spans="1:12" ht="15" x14ac:dyDescent="0.25">
      <c r="A59" s="1"/>
      <c r="B59" s="1"/>
    </row>
    <row r="60" spans="1:12" ht="15" x14ac:dyDescent="0.25">
      <c r="A60" s="1" t="s">
        <v>8</v>
      </c>
      <c r="C60" s="9" t="s">
        <v>1</v>
      </c>
      <c r="D60" s="37" t="s">
        <v>33</v>
      </c>
      <c r="E60" s="76"/>
      <c r="F60" s="76"/>
      <c r="G60" s="76"/>
      <c r="H60" s="76"/>
    </row>
    <row r="61" spans="1:12" ht="15" x14ac:dyDescent="0.25">
      <c r="A61" s="1" t="s">
        <v>9</v>
      </c>
      <c r="C61" s="9" t="s">
        <v>1</v>
      </c>
      <c r="D61" s="1" t="s">
        <v>30</v>
      </c>
      <c r="E61" s="76"/>
      <c r="F61" s="76"/>
      <c r="G61" s="76"/>
      <c r="H61" s="76"/>
    </row>
    <row r="62" spans="1:12" ht="15.75" x14ac:dyDescent="0.25">
      <c r="A62" s="50" t="s">
        <v>10</v>
      </c>
      <c r="B62" s="76"/>
      <c r="C62" s="91" t="s">
        <v>1</v>
      </c>
      <c r="D62" s="268" t="s">
        <v>675</v>
      </c>
      <c r="E62" s="76"/>
      <c r="F62" s="76"/>
      <c r="G62" s="76"/>
      <c r="H62" s="76"/>
      <c r="I62" s="76"/>
      <c r="J62" s="76"/>
      <c r="K62" s="76"/>
      <c r="L62" s="76"/>
    </row>
    <row r="63" spans="1:12" ht="15" x14ac:dyDescent="0.25">
      <c r="A63" s="1"/>
      <c r="B63" s="1"/>
      <c r="D63" s="1"/>
    </row>
    <row r="64" spans="1:12" ht="30.75" customHeight="1" x14ac:dyDescent="0.2">
      <c r="A64" s="277" t="s">
        <v>673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</row>
    <row r="65" spans="1:12" ht="15" x14ac:dyDescent="0.25">
      <c r="A65" s="1"/>
      <c r="B65" s="1"/>
    </row>
    <row r="66" spans="1:12" ht="33.75" customHeight="1" thickBot="1" x14ac:dyDescent="0.25">
      <c r="A66" s="10" t="s">
        <v>0</v>
      </c>
      <c r="B66" s="278" t="s">
        <v>91</v>
      </c>
      <c r="C66" s="278"/>
      <c r="D66" s="278"/>
      <c r="E66" s="278"/>
      <c r="F66" s="278"/>
      <c r="G66" s="278"/>
      <c r="H66" s="278"/>
      <c r="I66" s="278"/>
      <c r="J66" s="278"/>
      <c r="K66" s="278"/>
      <c r="L66" s="278"/>
    </row>
    <row r="67" spans="1:12" ht="15.75" thickTop="1" x14ac:dyDescent="0.25">
      <c r="A67" s="1"/>
      <c r="B67" s="11" t="s">
        <v>3</v>
      </c>
      <c r="C67" s="12" t="s">
        <v>4</v>
      </c>
      <c r="D67" s="13"/>
      <c r="E67" s="13"/>
      <c r="F67" s="13"/>
      <c r="G67" s="13"/>
      <c r="H67" s="14"/>
      <c r="I67" s="15" t="s">
        <v>5</v>
      </c>
      <c r="J67" s="12" t="s">
        <v>17</v>
      </c>
      <c r="K67" s="13"/>
      <c r="L67" s="14"/>
    </row>
    <row r="68" spans="1:12" ht="15" x14ac:dyDescent="0.2">
      <c r="A68" s="50"/>
      <c r="B68" s="143">
        <v>1</v>
      </c>
      <c r="C68" s="129" t="s">
        <v>640</v>
      </c>
      <c r="D68" s="130"/>
      <c r="E68" s="130"/>
      <c r="F68" s="217"/>
      <c r="G68" s="76"/>
      <c r="H68" s="79"/>
      <c r="I68" s="56">
        <v>170000</v>
      </c>
      <c r="J68" s="76" t="s">
        <v>204</v>
      </c>
      <c r="K68" s="76"/>
      <c r="L68" s="79"/>
    </row>
    <row r="69" spans="1:12" ht="15" x14ac:dyDescent="0.2">
      <c r="A69" s="50"/>
      <c r="B69" s="100"/>
      <c r="C69" s="76"/>
      <c r="D69" s="76"/>
      <c r="E69" s="76"/>
      <c r="F69" s="169"/>
      <c r="G69" s="76"/>
      <c r="H69" s="76"/>
      <c r="I69" s="56"/>
      <c r="J69" s="76"/>
      <c r="K69" s="76"/>
      <c r="L69" s="79"/>
    </row>
    <row r="70" spans="1:12" ht="15" x14ac:dyDescent="0.2">
      <c r="A70" s="50"/>
      <c r="B70" s="100"/>
      <c r="C70" s="76"/>
      <c r="D70" s="76"/>
      <c r="E70" s="76"/>
      <c r="F70" s="169"/>
      <c r="G70" s="76"/>
      <c r="H70" s="76"/>
      <c r="I70" s="56"/>
      <c r="J70" s="76"/>
      <c r="K70" s="76"/>
      <c r="L70" s="79"/>
    </row>
    <row r="71" spans="1:12" ht="15" x14ac:dyDescent="0.2">
      <c r="A71" s="50"/>
      <c r="B71" s="100"/>
      <c r="C71" s="76"/>
      <c r="D71" s="76"/>
      <c r="E71" s="76"/>
      <c r="F71" s="169"/>
      <c r="G71" s="76"/>
      <c r="H71" s="76"/>
      <c r="I71" s="56"/>
      <c r="J71" s="76"/>
      <c r="K71" s="76"/>
      <c r="L71" s="79"/>
    </row>
    <row r="72" spans="1:12" ht="15" x14ac:dyDescent="0.25">
      <c r="A72" s="1"/>
      <c r="B72" s="39"/>
      <c r="C72" s="1"/>
      <c r="D72" s="1"/>
      <c r="E72" s="1"/>
      <c r="F72" s="40" t="s">
        <v>5</v>
      </c>
      <c r="G72" s="40"/>
      <c r="H72" s="1"/>
      <c r="I72" s="41">
        <f>I68</f>
        <v>170000</v>
      </c>
      <c r="J72" s="1"/>
      <c r="K72" s="1"/>
      <c r="L72" s="42"/>
    </row>
    <row r="73" spans="1:12" ht="15.75" thickBot="1" x14ac:dyDescent="0.3">
      <c r="A73" s="1"/>
      <c r="B73" s="43"/>
      <c r="C73" s="44"/>
      <c r="D73" s="44"/>
      <c r="E73" s="44"/>
      <c r="F73" s="45"/>
      <c r="G73" s="45"/>
      <c r="H73" s="44"/>
      <c r="I73" s="46"/>
      <c r="J73" s="44"/>
      <c r="K73" s="44"/>
      <c r="L73" s="47"/>
    </row>
    <row r="74" spans="1:12" ht="15.75" thickTop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46.5" customHeight="1" x14ac:dyDescent="0.2">
      <c r="A75" s="10" t="s">
        <v>2</v>
      </c>
      <c r="B75" s="279" t="s">
        <v>11</v>
      </c>
      <c r="C75" s="279"/>
      <c r="D75" s="279"/>
      <c r="E75" s="279"/>
      <c r="F75" s="279"/>
      <c r="G75" s="279"/>
      <c r="H75" s="279"/>
      <c r="I75" s="279"/>
      <c r="J75" s="279"/>
      <c r="K75" s="279"/>
      <c r="L75" s="279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1.95" customHeight="1" x14ac:dyDescent="0.2">
      <c r="A77" s="280" t="s">
        <v>12</v>
      </c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</row>
    <row r="78" spans="1:12" ht="1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6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7.25" customHeight="1" x14ac:dyDescent="0.25">
      <c r="A80" s="1"/>
      <c r="B80" s="1"/>
      <c r="C80" s="1"/>
      <c r="D80" s="1"/>
      <c r="E80" s="1"/>
      <c r="F80" s="1"/>
      <c r="G80" s="1"/>
      <c r="H80" s="4" t="s">
        <v>674</v>
      </c>
    </row>
    <row r="81" spans="1:12" ht="21.95" customHeight="1" x14ac:dyDescent="0.25">
      <c r="A81" s="1"/>
      <c r="B81" s="1" t="s">
        <v>15</v>
      </c>
      <c r="C81" s="1"/>
      <c r="D81" s="1"/>
      <c r="E81" s="1"/>
      <c r="F81" s="1"/>
      <c r="G81" s="1"/>
      <c r="H81" s="4" t="s">
        <v>13</v>
      </c>
    </row>
    <row r="82" spans="1:12" ht="15" x14ac:dyDescent="0.2">
      <c r="A82" s="48"/>
      <c r="B82" s="48" t="s">
        <v>18</v>
      </c>
      <c r="C82" s="48"/>
      <c r="D82" s="48"/>
      <c r="E82" s="48"/>
      <c r="F82" s="48"/>
      <c r="G82" s="48"/>
      <c r="H82" s="99" t="s">
        <v>14</v>
      </c>
      <c r="I82" s="99"/>
      <c r="J82" s="99"/>
      <c r="K82" s="99"/>
      <c r="L82" s="99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"/>
    </row>
    <row r="86" spans="1:12" ht="15" x14ac:dyDescent="0.25">
      <c r="A86" s="1"/>
      <c r="K86" s="103"/>
      <c r="L86" s="1"/>
    </row>
    <row r="87" spans="1:12" ht="15" x14ac:dyDescent="0.25">
      <c r="A87" s="1"/>
      <c r="B87" s="272" t="s">
        <v>644</v>
      </c>
      <c r="H87" s="37" t="str">
        <f>D60</f>
        <v>Ria Emeilia, S.Farm, Apt</v>
      </c>
      <c r="I87" s="95"/>
      <c r="J87" s="92"/>
      <c r="K87" s="103"/>
      <c r="L87" s="1"/>
    </row>
    <row r="88" spans="1:12" ht="15" x14ac:dyDescent="0.25">
      <c r="A88" s="1"/>
      <c r="B88" s="273" t="s">
        <v>638</v>
      </c>
      <c r="C88" s="57"/>
      <c r="H88" s="269" t="s">
        <v>27</v>
      </c>
      <c r="K88" s="103"/>
    </row>
    <row r="89" spans="1:12" ht="12.75" x14ac:dyDescent="0.2"/>
    <row r="90" spans="1:12" ht="12.75" x14ac:dyDescent="0.2"/>
    <row r="95" spans="1:12" ht="15.75" x14ac:dyDescent="0.25">
      <c r="A95" s="3" t="s">
        <v>22</v>
      </c>
    </row>
    <row r="96" spans="1:12" ht="15.75" x14ac:dyDescent="0.2">
      <c r="A96" s="122" t="s">
        <v>20</v>
      </c>
    </row>
    <row r="97" spans="1:12" ht="15.75" x14ac:dyDescent="0.2">
      <c r="A97" s="122" t="s">
        <v>21</v>
      </c>
    </row>
    <row r="98" spans="1:12" ht="15.75" x14ac:dyDescent="0.2">
      <c r="A98" s="122"/>
    </row>
    <row r="99" spans="1:12" ht="12.75" x14ac:dyDescent="0.2"/>
    <row r="100" spans="1:12" ht="18.75" x14ac:dyDescent="0.3">
      <c r="A100" s="276" t="s">
        <v>6</v>
      </c>
      <c r="B100" s="276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</row>
    <row r="101" spans="1:12" ht="18.75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</row>
    <row r="102" spans="1:12" ht="15" x14ac:dyDescent="0.25">
      <c r="A102" s="1"/>
      <c r="B102" s="1"/>
    </row>
    <row r="103" spans="1:12" ht="15" x14ac:dyDescent="0.25">
      <c r="A103" s="1" t="s">
        <v>7</v>
      </c>
      <c r="B103" s="1"/>
    </row>
    <row r="104" spans="1:12" ht="16.5" customHeight="1" x14ac:dyDescent="0.25">
      <c r="A104" s="1"/>
      <c r="B104" s="1"/>
    </row>
    <row r="105" spans="1:12" ht="15" x14ac:dyDescent="0.25">
      <c r="A105" s="1" t="s">
        <v>8</v>
      </c>
      <c r="C105" s="9" t="s">
        <v>1</v>
      </c>
      <c r="D105" s="37" t="s">
        <v>676</v>
      </c>
      <c r="E105" s="76"/>
      <c r="F105" s="76"/>
      <c r="G105" s="76"/>
      <c r="H105" s="76"/>
    </row>
    <row r="106" spans="1:12" ht="15" x14ac:dyDescent="0.25">
      <c r="A106" s="1" t="s">
        <v>9</v>
      </c>
      <c r="C106" s="9" t="s">
        <v>1</v>
      </c>
      <c r="D106" s="1" t="s">
        <v>45</v>
      </c>
      <c r="E106" s="76"/>
      <c r="F106" s="76"/>
      <c r="G106" s="76"/>
      <c r="H106" s="76"/>
    </row>
    <row r="107" spans="1:12" ht="15.75" x14ac:dyDescent="0.25">
      <c r="A107" s="50" t="s">
        <v>10</v>
      </c>
      <c r="B107" s="76"/>
      <c r="C107" s="91" t="s">
        <v>1</v>
      </c>
      <c r="D107" s="268" t="s">
        <v>677</v>
      </c>
      <c r="E107" s="76"/>
      <c r="F107" s="76"/>
      <c r="G107" s="76"/>
      <c r="H107" s="76"/>
      <c r="I107" s="76"/>
      <c r="J107" s="76"/>
      <c r="K107" s="76"/>
      <c r="L107" s="76"/>
    </row>
    <row r="108" spans="1:12" ht="15" x14ac:dyDescent="0.25">
      <c r="A108" s="1"/>
      <c r="B108" s="1"/>
      <c r="D108" s="1"/>
    </row>
    <row r="109" spans="1:12" ht="31.5" customHeight="1" x14ac:dyDescent="0.2">
      <c r="A109" s="277" t="s">
        <v>673</v>
      </c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</row>
    <row r="110" spans="1:12" ht="15" x14ac:dyDescent="0.25">
      <c r="A110" s="1"/>
      <c r="B110" s="1"/>
    </row>
    <row r="111" spans="1:12" ht="36.75" customHeight="1" thickBot="1" x14ac:dyDescent="0.25">
      <c r="A111" s="10" t="s">
        <v>0</v>
      </c>
      <c r="B111" s="278" t="s">
        <v>91</v>
      </c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</row>
    <row r="112" spans="1:12" ht="15.75" thickTop="1" x14ac:dyDescent="0.25">
      <c r="A112" s="1"/>
      <c r="B112" s="11" t="s">
        <v>3</v>
      </c>
      <c r="C112" s="12" t="s">
        <v>4</v>
      </c>
      <c r="D112" s="13"/>
      <c r="E112" s="13"/>
      <c r="F112" s="13"/>
      <c r="G112" s="13"/>
      <c r="H112" s="14"/>
      <c r="I112" s="15" t="s">
        <v>5</v>
      </c>
      <c r="J112" s="12" t="s">
        <v>17</v>
      </c>
      <c r="K112" s="13"/>
      <c r="L112" s="14"/>
    </row>
    <row r="113" spans="1:12" ht="15" x14ac:dyDescent="0.2">
      <c r="A113" s="50"/>
      <c r="B113" s="143">
        <v>1</v>
      </c>
      <c r="C113" s="129" t="s">
        <v>640</v>
      </c>
      <c r="D113" s="130"/>
      <c r="E113" s="130"/>
      <c r="F113" s="217"/>
      <c r="G113" s="76"/>
      <c r="H113" s="79"/>
      <c r="I113" s="56">
        <v>170000</v>
      </c>
      <c r="J113" s="76" t="s">
        <v>204</v>
      </c>
      <c r="K113" s="76"/>
      <c r="L113" s="79"/>
    </row>
    <row r="114" spans="1:12" ht="15" x14ac:dyDescent="0.2">
      <c r="A114" s="50"/>
      <c r="B114" s="100"/>
      <c r="C114" s="76"/>
      <c r="D114" s="76"/>
      <c r="E114" s="76"/>
      <c r="F114" s="169"/>
      <c r="G114" s="76"/>
      <c r="H114" s="76"/>
      <c r="I114" s="56"/>
      <c r="J114" s="76"/>
      <c r="K114" s="76"/>
      <c r="L114" s="79"/>
    </row>
    <row r="115" spans="1:12" ht="15" x14ac:dyDescent="0.2">
      <c r="A115" s="50"/>
      <c r="B115" s="100"/>
      <c r="C115" s="76"/>
      <c r="D115" s="76"/>
      <c r="E115" s="76"/>
      <c r="F115" s="169"/>
      <c r="G115" s="76"/>
      <c r="H115" s="76"/>
      <c r="I115" s="56"/>
      <c r="J115" s="76"/>
      <c r="K115" s="76"/>
      <c r="L115" s="79"/>
    </row>
    <row r="116" spans="1:12" ht="15" x14ac:dyDescent="0.2">
      <c r="A116" s="50"/>
      <c r="B116" s="100"/>
      <c r="C116" s="76"/>
      <c r="D116" s="76"/>
      <c r="E116" s="76"/>
      <c r="F116" s="169"/>
      <c r="G116" s="76"/>
      <c r="H116" s="76"/>
      <c r="I116" s="56"/>
      <c r="J116" s="76"/>
      <c r="K116" s="76"/>
      <c r="L116" s="79"/>
    </row>
    <row r="117" spans="1:12" ht="15" x14ac:dyDescent="0.25">
      <c r="A117" s="1"/>
      <c r="B117" s="39"/>
      <c r="C117" s="1"/>
      <c r="D117" s="1"/>
      <c r="E117" s="1"/>
      <c r="F117" s="40" t="s">
        <v>5</v>
      </c>
      <c r="G117" s="40"/>
      <c r="H117" s="1"/>
      <c r="I117" s="41">
        <f>I113</f>
        <v>170000</v>
      </c>
      <c r="J117" s="1"/>
      <c r="K117" s="1"/>
      <c r="L117" s="42"/>
    </row>
    <row r="118" spans="1:12" ht="15.75" thickBot="1" x14ac:dyDescent="0.3">
      <c r="A118" s="1"/>
      <c r="B118" s="43"/>
      <c r="C118" s="44"/>
      <c r="D118" s="44"/>
      <c r="E118" s="44"/>
      <c r="F118" s="45"/>
      <c r="G118" s="45"/>
      <c r="H118" s="44"/>
      <c r="I118" s="46"/>
      <c r="J118" s="44"/>
      <c r="K118" s="44"/>
      <c r="L118" s="47"/>
    </row>
    <row r="119" spans="1:12" ht="21.95" customHeight="1" thickTop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49.5" customHeight="1" x14ac:dyDescent="0.2">
      <c r="A120" s="10" t="s">
        <v>2</v>
      </c>
      <c r="B120" s="279" t="s">
        <v>11</v>
      </c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customHeight="1" x14ac:dyDescent="0.2">
      <c r="A122" s="280" t="s">
        <v>12</v>
      </c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</row>
    <row r="123" spans="1:12" ht="16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4.25" customHeight="1" x14ac:dyDescent="0.25">
      <c r="A125" s="1"/>
      <c r="B125" s="1"/>
      <c r="C125" s="1"/>
      <c r="D125" s="1"/>
      <c r="E125" s="1"/>
      <c r="F125" s="1"/>
      <c r="G125" s="1"/>
      <c r="H125" s="4" t="s">
        <v>674</v>
      </c>
    </row>
    <row r="126" spans="1:12" ht="15" x14ac:dyDescent="0.25">
      <c r="A126" s="1"/>
      <c r="B126" s="1" t="s">
        <v>15</v>
      </c>
      <c r="C126" s="1"/>
      <c r="D126" s="1"/>
      <c r="E126" s="1"/>
      <c r="F126" s="1"/>
      <c r="G126" s="1"/>
      <c r="H126" s="4" t="s">
        <v>13</v>
      </c>
    </row>
    <row r="127" spans="1:12" ht="15" x14ac:dyDescent="0.2">
      <c r="A127" s="48"/>
      <c r="B127" s="48" t="s">
        <v>18</v>
      </c>
      <c r="C127" s="48"/>
      <c r="D127" s="48"/>
      <c r="E127" s="48"/>
      <c r="F127" s="48"/>
      <c r="G127" s="48"/>
      <c r="H127" s="99" t="s">
        <v>14</v>
      </c>
      <c r="I127" s="99"/>
      <c r="J127" s="99"/>
      <c r="K127" s="99"/>
      <c r="L127" s="99"/>
    </row>
    <row r="128" spans="1:1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5">
      <c r="A130" s="1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"/>
    </row>
    <row r="131" spans="1:12" ht="15" x14ac:dyDescent="0.25">
      <c r="A131" s="1"/>
      <c r="K131" s="103"/>
      <c r="L131" s="1"/>
    </row>
    <row r="132" spans="1:12" ht="15" x14ac:dyDescent="0.25">
      <c r="A132" s="1"/>
      <c r="B132" s="272" t="s">
        <v>644</v>
      </c>
      <c r="H132" s="37" t="str">
        <f>D105</f>
        <v>Tri Astuti Rahmawati, S.TP., M.Sc.</v>
      </c>
      <c r="I132" s="95"/>
      <c r="J132" s="92"/>
      <c r="K132" s="103"/>
      <c r="L132" s="1"/>
    </row>
    <row r="133" spans="1:12" ht="15" x14ac:dyDescent="0.25">
      <c r="A133" s="1"/>
      <c r="B133" s="273" t="s">
        <v>638</v>
      </c>
      <c r="C133" s="57"/>
      <c r="H133" s="269" t="s">
        <v>27</v>
      </c>
      <c r="K133" s="103"/>
    </row>
    <row r="138" spans="1:12" ht="21.95" customHeight="1" x14ac:dyDescent="0.25">
      <c r="A138" s="3" t="s">
        <v>22</v>
      </c>
    </row>
    <row r="139" spans="1:12" ht="15.75" x14ac:dyDescent="0.2">
      <c r="A139" s="122" t="s">
        <v>20</v>
      </c>
    </row>
    <row r="140" spans="1:12" ht="15.75" x14ac:dyDescent="0.2">
      <c r="A140" s="122" t="s">
        <v>21</v>
      </c>
    </row>
    <row r="141" spans="1:12" ht="15.75" x14ac:dyDescent="0.2">
      <c r="A141" s="122"/>
    </row>
    <row r="142" spans="1:12" ht="12.75" x14ac:dyDescent="0.2"/>
    <row r="143" spans="1:12" ht="18.75" x14ac:dyDescent="0.3">
      <c r="A143" s="276" t="s">
        <v>6</v>
      </c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</row>
    <row r="144" spans="1:12" ht="18.75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</row>
    <row r="145" spans="1:12" ht="15" x14ac:dyDescent="0.25">
      <c r="A145" s="1"/>
      <c r="B145" s="1"/>
    </row>
    <row r="146" spans="1:12" ht="15" x14ac:dyDescent="0.25">
      <c r="A146" s="1" t="s">
        <v>7</v>
      </c>
      <c r="B146" s="1"/>
    </row>
    <row r="147" spans="1:12" ht="15" x14ac:dyDescent="0.25">
      <c r="A147" s="1"/>
      <c r="B147" s="1"/>
    </row>
    <row r="148" spans="1:12" ht="15" x14ac:dyDescent="0.25">
      <c r="A148" s="1" t="s">
        <v>8</v>
      </c>
      <c r="C148" s="9" t="s">
        <v>1</v>
      </c>
      <c r="D148" s="37" t="s">
        <v>678</v>
      </c>
      <c r="E148" s="76"/>
      <c r="F148" s="76"/>
      <c r="G148" s="76"/>
      <c r="H148" s="76"/>
    </row>
    <row r="149" spans="1:12" ht="15" x14ac:dyDescent="0.25">
      <c r="A149" s="1" t="s">
        <v>9</v>
      </c>
      <c r="C149" s="9" t="s">
        <v>1</v>
      </c>
      <c r="D149" s="1" t="s">
        <v>100</v>
      </c>
      <c r="E149" s="76"/>
      <c r="F149" s="76"/>
      <c r="G149" s="76"/>
      <c r="H149" s="76"/>
    </row>
    <row r="150" spans="1:12" ht="15.75" x14ac:dyDescent="0.25">
      <c r="A150" s="50" t="s">
        <v>10</v>
      </c>
      <c r="B150" s="76"/>
      <c r="C150" s="91" t="s">
        <v>1</v>
      </c>
      <c r="D150" s="268" t="s">
        <v>203</v>
      </c>
      <c r="E150" s="76"/>
      <c r="F150" s="76"/>
      <c r="G150" s="76"/>
      <c r="H150" s="76"/>
      <c r="I150" s="76"/>
      <c r="J150" s="76"/>
      <c r="K150" s="76"/>
      <c r="L150" s="76"/>
    </row>
    <row r="151" spans="1:12" ht="15" x14ac:dyDescent="0.25">
      <c r="A151" s="1"/>
      <c r="B151" s="1"/>
      <c r="D151" s="1"/>
    </row>
    <row r="152" spans="1:12" ht="31.5" customHeight="1" x14ac:dyDescent="0.2">
      <c r="A152" s="277" t="s">
        <v>673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</row>
    <row r="153" spans="1:12" ht="15" x14ac:dyDescent="0.25">
      <c r="A153" s="1"/>
      <c r="B153" s="1"/>
    </row>
    <row r="154" spans="1:12" ht="37.5" customHeight="1" thickBot="1" x14ac:dyDescent="0.25">
      <c r="A154" s="10" t="s">
        <v>0</v>
      </c>
      <c r="B154" s="278" t="s">
        <v>91</v>
      </c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</row>
    <row r="155" spans="1:12" ht="15.75" thickTop="1" x14ac:dyDescent="0.25">
      <c r="A155" s="1"/>
      <c r="B155" s="11" t="s">
        <v>3</v>
      </c>
      <c r="C155" s="12" t="s">
        <v>4</v>
      </c>
      <c r="D155" s="13"/>
      <c r="E155" s="13"/>
      <c r="F155" s="13"/>
      <c r="G155" s="13"/>
      <c r="H155" s="14"/>
      <c r="I155" s="15" t="s">
        <v>5</v>
      </c>
      <c r="J155" s="12" t="s">
        <v>17</v>
      </c>
      <c r="K155" s="13"/>
      <c r="L155" s="14"/>
    </row>
    <row r="156" spans="1:12" ht="15" x14ac:dyDescent="0.2">
      <c r="A156" s="50"/>
      <c r="B156" s="143">
        <v>1</v>
      </c>
      <c r="C156" s="129" t="s">
        <v>640</v>
      </c>
      <c r="D156" s="130"/>
      <c r="E156" s="130"/>
      <c r="F156" s="217"/>
      <c r="G156" s="76"/>
      <c r="H156" s="79"/>
      <c r="I156" s="56">
        <v>170000</v>
      </c>
      <c r="J156" s="76" t="s">
        <v>204</v>
      </c>
      <c r="K156" s="76"/>
      <c r="L156" s="79"/>
    </row>
    <row r="157" spans="1:12" ht="15" x14ac:dyDescent="0.2">
      <c r="A157" s="50"/>
      <c r="B157" s="100"/>
      <c r="C157" s="76"/>
      <c r="D157" s="76"/>
      <c r="E157" s="76"/>
      <c r="F157" s="169"/>
      <c r="G157" s="76"/>
      <c r="H157" s="76"/>
      <c r="I157" s="56"/>
      <c r="J157" s="76"/>
      <c r="K157" s="76"/>
      <c r="L157" s="79"/>
    </row>
    <row r="158" spans="1:12" ht="15" x14ac:dyDescent="0.2">
      <c r="A158" s="50"/>
      <c r="B158" s="100"/>
      <c r="C158" s="76"/>
      <c r="D158" s="76"/>
      <c r="E158" s="76"/>
      <c r="F158" s="169"/>
      <c r="G158" s="76"/>
      <c r="H158" s="76"/>
      <c r="I158" s="56"/>
      <c r="J158" s="76"/>
      <c r="K158" s="76"/>
      <c r="L158" s="79"/>
    </row>
    <row r="159" spans="1:12" ht="15" x14ac:dyDescent="0.2">
      <c r="A159" s="50"/>
      <c r="B159" s="100"/>
      <c r="C159" s="76"/>
      <c r="D159" s="76"/>
      <c r="E159" s="76"/>
      <c r="F159" s="169"/>
      <c r="G159" s="76"/>
      <c r="H159" s="76"/>
      <c r="I159" s="56"/>
      <c r="J159" s="76"/>
      <c r="K159" s="76"/>
      <c r="L159" s="79"/>
    </row>
    <row r="160" spans="1:12" ht="15" x14ac:dyDescent="0.25">
      <c r="A160" s="1"/>
      <c r="B160" s="39"/>
      <c r="C160" s="1"/>
      <c r="D160" s="1"/>
      <c r="E160" s="1"/>
      <c r="F160" s="40" t="s">
        <v>5</v>
      </c>
      <c r="G160" s="40"/>
      <c r="H160" s="1"/>
      <c r="I160" s="41">
        <f>I156</f>
        <v>170000</v>
      </c>
      <c r="J160" s="1"/>
      <c r="K160" s="1"/>
      <c r="L160" s="42"/>
    </row>
    <row r="161" spans="1:12" ht="15.75" thickBot="1" x14ac:dyDescent="0.3">
      <c r="A161" s="1"/>
      <c r="B161" s="43"/>
      <c r="C161" s="44"/>
      <c r="D161" s="44"/>
      <c r="E161" s="44"/>
      <c r="F161" s="45"/>
      <c r="G161" s="45"/>
      <c r="H161" s="44"/>
      <c r="I161" s="46"/>
      <c r="J161" s="44"/>
      <c r="K161" s="44"/>
      <c r="L161" s="47"/>
    </row>
    <row r="162" spans="1:12" ht="15.75" thickTop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48" customHeight="1" x14ac:dyDescent="0.2">
      <c r="A163" s="10" t="s">
        <v>2</v>
      </c>
      <c r="B163" s="279" t="s">
        <v>11</v>
      </c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</row>
    <row r="164" spans="1:12" ht="1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21.95" customHeight="1" x14ac:dyDescent="0.2">
      <c r="A165" s="280" t="s">
        <v>12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</row>
    <row r="166" spans="1:12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7.25" customHeight="1" x14ac:dyDescent="0.25">
      <c r="A168" s="1"/>
      <c r="B168" s="1"/>
      <c r="C168" s="1"/>
      <c r="D168" s="1"/>
      <c r="E168" s="1"/>
      <c r="F168" s="1"/>
      <c r="G168" s="1"/>
      <c r="H168" s="4" t="s">
        <v>674</v>
      </c>
    </row>
    <row r="169" spans="1:12" ht="15" x14ac:dyDescent="0.25">
      <c r="A169" s="1"/>
      <c r="B169" s="1" t="s">
        <v>15</v>
      </c>
      <c r="C169" s="1"/>
      <c r="D169" s="1"/>
      <c r="E169" s="1"/>
      <c r="F169" s="1"/>
      <c r="G169" s="1"/>
      <c r="H169" s="4" t="s">
        <v>13</v>
      </c>
    </row>
    <row r="170" spans="1:12" ht="15" x14ac:dyDescent="0.2">
      <c r="A170" s="48"/>
      <c r="B170" s="48" t="s">
        <v>18</v>
      </c>
      <c r="C170" s="48"/>
      <c r="D170" s="48"/>
      <c r="E170" s="48"/>
      <c r="F170" s="48"/>
      <c r="G170" s="48"/>
      <c r="H170" s="99" t="s">
        <v>14</v>
      </c>
      <c r="I170" s="99"/>
      <c r="J170" s="99"/>
      <c r="K170" s="99"/>
      <c r="L170" s="99"/>
    </row>
    <row r="171" spans="1:12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 x14ac:dyDescent="0.25">
      <c r="A173" s="1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"/>
    </row>
    <row r="174" spans="1:12" ht="15" x14ac:dyDescent="0.25">
      <c r="A174" s="1"/>
      <c r="K174" s="103"/>
      <c r="L174" s="1"/>
    </row>
    <row r="175" spans="1:12" ht="15" x14ac:dyDescent="0.25">
      <c r="A175" s="1"/>
      <c r="B175" s="272" t="s">
        <v>644</v>
      </c>
      <c r="H175" s="37" t="str">
        <f>D148</f>
        <v>Puspa Sari Paniti Ratri, S.Farm. Apt</v>
      </c>
      <c r="I175" s="95"/>
      <c r="J175" s="92"/>
      <c r="K175" s="103"/>
      <c r="L175" s="1"/>
    </row>
    <row r="176" spans="1:12" ht="15" x14ac:dyDescent="0.25">
      <c r="A176" s="1"/>
      <c r="B176" s="273" t="s">
        <v>638</v>
      </c>
      <c r="C176" s="57"/>
      <c r="H176" s="269" t="s">
        <v>27</v>
      </c>
      <c r="K176" s="103"/>
    </row>
    <row r="180" spans="1:12" ht="26.25" customHeight="1" x14ac:dyDescent="0.2"/>
    <row r="181" spans="1:12" ht="15.75" x14ac:dyDescent="0.25">
      <c r="A181" s="3" t="s">
        <v>22</v>
      </c>
    </row>
    <row r="182" spans="1:12" ht="15.75" x14ac:dyDescent="0.2">
      <c r="A182" s="122" t="s">
        <v>20</v>
      </c>
    </row>
    <row r="183" spans="1:12" ht="15.75" x14ac:dyDescent="0.2">
      <c r="A183" s="122" t="s">
        <v>21</v>
      </c>
    </row>
    <row r="184" spans="1:12" ht="15.75" x14ac:dyDescent="0.2">
      <c r="A184" s="122"/>
    </row>
    <row r="185" spans="1:12" ht="12.75" x14ac:dyDescent="0.2"/>
    <row r="186" spans="1:12" ht="18.75" x14ac:dyDescent="0.3">
      <c r="A186" s="276" t="s">
        <v>6</v>
      </c>
      <c r="B186" s="276"/>
      <c r="C186" s="276"/>
      <c r="D186" s="276"/>
      <c r="E186" s="276"/>
      <c r="F186" s="276"/>
      <c r="G186" s="276"/>
      <c r="H186" s="276"/>
      <c r="I186" s="276"/>
      <c r="J186" s="276"/>
      <c r="K186" s="276"/>
      <c r="L186" s="276"/>
    </row>
    <row r="187" spans="1:12" ht="18.75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 spans="1:12" ht="15" x14ac:dyDescent="0.25">
      <c r="A188" s="1"/>
      <c r="B188" s="1"/>
    </row>
    <row r="189" spans="1:12" ht="15" x14ac:dyDescent="0.25">
      <c r="A189" s="1" t="s">
        <v>7</v>
      </c>
      <c r="B189" s="1"/>
    </row>
    <row r="190" spans="1:12" ht="15" x14ac:dyDescent="0.25">
      <c r="A190" s="1"/>
      <c r="B190" s="1"/>
    </row>
    <row r="191" spans="1:12" ht="15" x14ac:dyDescent="0.25">
      <c r="A191" s="1" t="s">
        <v>8</v>
      </c>
      <c r="C191" s="9" t="s">
        <v>1</v>
      </c>
      <c r="D191" s="37" t="s">
        <v>679</v>
      </c>
      <c r="E191" s="76"/>
      <c r="F191" s="76"/>
      <c r="G191" s="76"/>
      <c r="H191" s="76"/>
    </row>
    <row r="192" spans="1:12" ht="15" x14ac:dyDescent="0.25">
      <c r="A192" s="1" t="s">
        <v>9</v>
      </c>
      <c r="C192" s="9" t="s">
        <v>1</v>
      </c>
      <c r="D192" s="1" t="s">
        <v>680</v>
      </c>
      <c r="E192" s="76"/>
      <c r="F192" s="76"/>
      <c r="G192" s="76"/>
      <c r="H192" s="76"/>
    </row>
    <row r="193" spans="1:12" ht="15.75" x14ac:dyDescent="0.25">
      <c r="A193" s="50" t="s">
        <v>10</v>
      </c>
      <c r="B193" s="76"/>
      <c r="C193" s="91" t="s">
        <v>1</v>
      </c>
      <c r="D193" s="268" t="s">
        <v>203</v>
      </c>
      <c r="E193" s="76"/>
      <c r="F193" s="76"/>
      <c r="G193" s="76"/>
      <c r="H193" s="76"/>
      <c r="I193" s="76"/>
      <c r="J193" s="76"/>
      <c r="K193" s="76"/>
      <c r="L193" s="76"/>
    </row>
    <row r="194" spans="1:12" ht="15" x14ac:dyDescent="0.25">
      <c r="A194" s="1"/>
      <c r="B194" s="1"/>
      <c r="D194" s="1"/>
    </row>
    <row r="195" spans="1:12" ht="33.75" customHeight="1" x14ac:dyDescent="0.2">
      <c r="A195" s="277" t="s">
        <v>673</v>
      </c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</row>
    <row r="196" spans="1:12" ht="15" x14ac:dyDescent="0.25">
      <c r="A196" s="1"/>
      <c r="B196" s="1"/>
    </row>
    <row r="197" spans="1:12" ht="33.75" customHeight="1" thickBot="1" x14ac:dyDescent="0.25">
      <c r="A197" s="10" t="s">
        <v>0</v>
      </c>
      <c r="B197" s="278" t="s">
        <v>91</v>
      </c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</row>
    <row r="198" spans="1:12" ht="15.75" thickTop="1" x14ac:dyDescent="0.25">
      <c r="A198" s="1"/>
      <c r="B198" s="11" t="s">
        <v>3</v>
      </c>
      <c r="C198" s="12" t="s">
        <v>4</v>
      </c>
      <c r="D198" s="13"/>
      <c r="E198" s="13"/>
      <c r="F198" s="13"/>
      <c r="G198" s="13"/>
      <c r="H198" s="14"/>
      <c r="I198" s="15" t="s">
        <v>5</v>
      </c>
      <c r="J198" s="12" t="s">
        <v>17</v>
      </c>
      <c r="K198" s="13"/>
      <c r="L198" s="14"/>
    </row>
    <row r="199" spans="1:12" ht="15" x14ac:dyDescent="0.2">
      <c r="A199" s="50"/>
      <c r="B199" s="143">
        <v>1</v>
      </c>
      <c r="C199" s="129" t="s">
        <v>640</v>
      </c>
      <c r="D199" s="130"/>
      <c r="E199" s="130"/>
      <c r="F199" s="217"/>
      <c r="G199" s="76"/>
      <c r="H199" s="79"/>
      <c r="I199" s="56">
        <v>170000</v>
      </c>
      <c r="J199" s="76" t="s">
        <v>204</v>
      </c>
      <c r="K199" s="76"/>
      <c r="L199" s="79"/>
    </row>
    <row r="200" spans="1:12" ht="15" x14ac:dyDescent="0.2">
      <c r="A200" s="50"/>
      <c r="B200" s="100"/>
      <c r="C200" s="76"/>
      <c r="D200" s="76"/>
      <c r="E200" s="76"/>
      <c r="F200" s="169"/>
      <c r="G200" s="76"/>
      <c r="H200" s="76"/>
      <c r="I200" s="56"/>
      <c r="J200" s="76"/>
      <c r="K200" s="76"/>
      <c r="L200" s="79"/>
    </row>
    <row r="201" spans="1:12" ht="15" x14ac:dyDescent="0.2">
      <c r="A201" s="50"/>
      <c r="B201" s="100"/>
      <c r="C201" s="76"/>
      <c r="D201" s="76"/>
      <c r="E201" s="76"/>
      <c r="F201" s="169"/>
      <c r="G201" s="76"/>
      <c r="H201" s="76"/>
      <c r="I201" s="56"/>
      <c r="J201" s="76"/>
      <c r="K201" s="76"/>
      <c r="L201" s="79"/>
    </row>
    <row r="202" spans="1:12" ht="15" x14ac:dyDescent="0.2">
      <c r="A202" s="50"/>
      <c r="B202" s="100"/>
      <c r="C202" s="76"/>
      <c r="D202" s="76"/>
      <c r="E202" s="76"/>
      <c r="F202" s="169"/>
      <c r="G202" s="76"/>
      <c r="H202" s="76"/>
      <c r="I202" s="56"/>
      <c r="J202" s="76"/>
      <c r="K202" s="76"/>
      <c r="L202" s="79"/>
    </row>
    <row r="203" spans="1:12" ht="15" x14ac:dyDescent="0.25">
      <c r="A203" s="1"/>
      <c r="B203" s="39"/>
      <c r="C203" s="1"/>
      <c r="D203" s="1"/>
      <c r="E203" s="1"/>
      <c r="F203" s="40" t="s">
        <v>5</v>
      </c>
      <c r="G203" s="40"/>
      <c r="H203" s="1"/>
      <c r="I203" s="41">
        <f>I199</f>
        <v>170000</v>
      </c>
      <c r="J203" s="1"/>
      <c r="K203" s="1"/>
      <c r="L203" s="42"/>
    </row>
    <row r="204" spans="1:12" ht="15.75" thickBot="1" x14ac:dyDescent="0.3">
      <c r="A204" s="1"/>
      <c r="B204" s="43"/>
      <c r="C204" s="44"/>
      <c r="D204" s="44"/>
      <c r="E204" s="44"/>
      <c r="F204" s="45"/>
      <c r="G204" s="45"/>
      <c r="H204" s="44"/>
      <c r="I204" s="46"/>
      <c r="J204" s="44"/>
      <c r="K204" s="44"/>
      <c r="L204" s="47"/>
    </row>
    <row r="205" spans="1:12" ht="15.75" thickTop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45" customHeight="1" x14ac:dyDescent="0.2">
      <c r="A206" s="10" t="s">
        <v>2</v>
      </c>
      <c r="B206" s="279" t="s">
        <v>11</v>
      </c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</row>
    <row r="207" spans="1:12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" x14ac:dyDescent="0.2">
      <c r="A208" s="280" t="s">
        <v>12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</row>
    <row r="209" spans="1:12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" x14ac:dyDescent="0.25">
      <c r="A211" s="1"/>
      <c r="B211" s="1"/>
      <c r="C211" s="1"/>
      <c r="D211" s="1"/>
      <c r="E211" s="1"/>
      <c r="F211" s="1"/>
      <c r="G211" s="1"/>
      <c r="H211" s="4" t="s">
        <v>674</v>
      </c>
    </row>
    <row r="212" spans="1:12" ht="15" x14ac:dyDescent="0.25">
      <c r="A212" s="1"/>
      <c r="B212" s="1" t="s">
        <v>15</v>
      </c>
      <c r="C212" s="1"/>
      <c r="D212" s="1"/>
      <c r="E212" s="1"/>
      <c r="F212" s="1"/>
      <c r="G212" s="1"/>
      <c r="H212" s="4" t="s">
        <v>13</v>
      </c>
    </row>
    <row r="213" spans="1:12" ht="15" x14ac:dyDescent="0.2">
      <c r="A213" s="48"/>
      <c r="B213" s="48" t="s">
        <v>18</v>
      </c>
      <c r="C213" s="48"/>
      <c r="D213" s="48"/>
      <c r="E213" s="48"/>
      <c r="F213" s="48"/>
      <c r="G213" s="48"/>
      <c r="H213" s="99" t="s">
        <v>14</v>
      </c>
      <c r="I213" s="99"/>
      <c r="J213" s="99"/>
      <c r="K213" s="99"/>
      <c r="L213" s="99"/>
    </row>
    <row r="214" spans="1:12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" x14ac:dyDescent="0.25">
      <c r="A216" s="1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"/>
    </row>
    <row r="217" spans="1:12" ht="15" x14ac:dyDescent="0.25">
      <c r="A217" s="1"/>
      <c r="K217" s="103"/>
      <c r="L217" s="1"/>
    </row>
    <row r="218" spans="1:12" ht="15" x14ac:dyDescent="0.25">
      <c r="A218" s="1"/>
      <c r="B218" s="272" t="s">
        <v>644</v>
      </c>
      <c r="H218" s="37" t="str">
        <f>D191</f>
        <v>Muhammad Herpi Akbar, S.Farm., Apt., M.Farm.</v>
      </c>
      <c r="I218" s="95"/>
      <c r="J218" s="92"/>
      <c r="K218" s="103"/>
      <c r="L218" s="1"/>
    </row>
    <row r="219" spans="1:12" ht="15" x14ac:dyDescent="0.25">
      <c r="A219" s="1"/>
      <c r="B219" s="273" t="s">
        <v>638</v>
      </c>
      <c r="C219" s="57"/>
      <c r="H219" s="269" t="s">
        <v>27</v>
      </c>
      <c r="K219" s="103"/>
    </row>
    <row r="225" spans="1:12" ht="15.75" x14ac:dyDescent="0.25">
      <c r="A225" s="3" t="s">
        <v>22</v>
      </c>
    </row>
    <row r="226" spans="1:12" ht="15.75" x14ac:dyDescent="0.2">
      <c r="A226" s="122" t="s">
        <v>20</v>
      </c>
    </row>
    <row r="227" spans="1:12" ht="15.75" x14ac:dyDescent="0.2">
      <c r="A227" s="122" t="s">
        <v>21</v>
      </c>
    </row>
    <row r="228" spans="1:12" ht="15.75" x14ac:dyDescent="0.2">
      <c r="A228" s="122"/>
    </row>
    <row r="229" spans="1:12" ht="12.75" x14ac:dyDescent="0.2"/>
    <row r="230" spans="1:12" ht="18.75" x14ac:dyDescent="0.3">
      <c r="A230" s="276" t="s">
        <v>6</v>
      </c>
      <c r="B230" s="276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</row>
    <row r="231" spans="1:12" ht="18.75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</row>
    <row r="232" spans="1:12" ht="15" x14ac:dyDescent="0.25">
      <c r="A232" s="1"/>
      <c r="B232" s="1"/>
    </row>
    <row r="233" spans="1:12" ht="15" x14ac:dyDescent="0.25">
      <c r="A233" s="1" t="s">
        <v>7</v>
      </c>
      <c r="B233" s="1"/>
    </row>
    <row r="234" spans="1:12" ht="15" x14ac:dyDescent="0.25">
      <c r="A234" s="1"/>
      <c r="B234" s="1"/>
    </row>
    <row r="235" spans="1:12" ht="15" x14ac:dyDescent="0.25">
      <c r="A235" s="1" t="s">
        <v>8</v>
      </c>
      <c r="C235" s="9" t="s">
        <v>1</v>
      </c>
      <c r="D235" s="37" t="s">
        <v>681</v>
      </c>
      <c r="E235" s="76"/>
      <c r="F235" s="76"/>
      <c r="G235" s="76"/>
      <c r="H235" s="76"/>
    </row>
    <row r="236" spans="1:12" ht="15" x14ac:dyDescent="0.25">
      <c r="A236" s="1" t="s">
        <v>9</v>
      </c>
      <c r="C236" s="9" t="s">
        <v>1</v>
      </c>
      <c r="D236" s="1" t="s">
        <v>284</v>
      </c>
      <c r="E236" s="76"/>
      <c r="F236" s="76"/>
      <c r="G236" s="76"/>
      <c r="H236" s="76"/>
    </row>
    <row r="237" spans="1:12" ht="15.75" x14ac:dyDescent="0.25">
      <c r="A237" s="50" t="s">
        <v>10</v>
      </c>
      <c r="B237" s="76"/>
      <c r="C237" s="91" t="s">
        <v>1</v>
      </c>
      <c r="D237" s="268" t="s">
        <v>203</v>
      </c>
      <c r="E237" s="76"/>
      <c r="F237" s="76"/>
      <c r="G237" s="76"/>
      <c r="H237" s="76"/>
      <c r="I237" s="76"/>
      <c r="J237" s="76"/>
      <c r="K237" s="76"/>
      <c r="L237" s="76"/>
    </row>
    <row r="238" spans="1:12" ht="15" x14ac:dyDescent="0.25">
      <c r="A238" s="1"/>
      <c r="B238" s="1"/>
      <c r="D238" s="1"/>
    </row>
    <row r="239" spans="1:12" ht="36.75" customHeight="1" x14ac:dyDescent="0.2">
      <c r="A239" s="277" t="s">
        <v>673</v>
      </c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</row>
    <row r="240" spans="1:12" ht="15" x14ac:dyDescent="0.25">
      <c r="A240" s="1"/>
      <c r="B240" s="1"/>
    </row>
    <row r="241" spans="1:12" ht="36.75" customHeight="1" thickBot="1" x14ac:dyDescent="0.25">
      <c r="A241" s="10" t="s">
        <v>0</v>
      </c>
      <c r="B241" s="278" t="s">
        <v>91</v>
      </c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</row>
    <row r="242" spans="1:12" ht="15.75" thickTop="1" x14ac:dyDescent="0.25">
      <c r="A242" s="1"/>
      <c r="B242" s="11" t="s">
        <v>3</v>
      </c>
      <c r="C242" s="12" t="s">
        <v>4</v>
      </c>
      <c r="D242" s="13"/>
      <c r="E242" s="13"/>
      <c r="F242" s="13"/>
      <c r="G242" s="13"/>
      <c r="H242" s="14"/>
      <c r="I242" s="15" t="s">
        <v>5</v>
      </c>
      <c r="J242" s="12" t="s">
        <v>17</v>
      </c>
      <c r="K242" s="13"/>
      <c r="L242" s="14"/>
    </row>
    <row r="243" spans="1:12" ht="15" x14ac:dyDescent="0.2">
      <c r="A243" s="50"/>
      <c r="B243" s="143">
        <v>1</v>
      </c>
      <c r="C243" s="129" t="s">
        <v>640</v>
      </c>
      <c r="D243" s="130"/>
      <c r="E243" s="130"/>
      <c r="F243" s="217"/>
      <c r="G243" s="76"/>
      <c r="H243" s="79"/>
      <c r="I243" s="56">
        <v>170000</v>
      </c>
      <c r="J243" s="76" t="s">
        <v>204</v>
      </c>
      <c r="K243" s="76"/>
      <c r="L243" s="79"/>
    </row>
    <row r="244" spans="1:12" ht="15" x14ac:dyDescent="0.2">
      <c r="A244" s="50"/>
      <c r="B244" s="100"/>
      <c r="C244" s="76"/>
      <c r="D244" s="76"/>
      <c r="E244" s="76"/>
      <c r="F244" s="169"/>
      <c r="G244" s="76"/>
      <c r="H244" s="76"/>
      <c r="I244" s="56"/>
      <c r="J244" s="76"/>
      <c r="K244" s="76"/>
      <c r="L244" s="79"/>
    </row>
    <row r="245" spans="1:12" ht="15" x14ac:dyDescent="0.2">
      <c r="A245" s="50"/>
      <c r="B245" s="100"/>
      <c r="C245" s="76"/>
      <c r="D245" s="76"/>
      <c r="E245" s="76"/>
      <c r="F245" s="169"/>
      <c r="G245" s="76"/>
      <c r="H245" s="76"/>
      <c r="I245" s="56"/>
      <c r="J245" s="76"/>
      <c r="K245" s="76"/>
      <c r="L245" s="79"/>
    </row>
    <row r="246" spans="1:12" ht="15" x14ac:dyDescent="0.2">
      <c r="A246" s="50"/>
      <c r="B246" s="100"/>
      <c r="C246" s="76"/>
      <c r="D246" s="76"/>
      <c r="E246" s="76"/>
      <c r="F246" s="169"/>
      <c r="G246" s="76"/>
      <c r="H246" s="76"/>
      <c r="I246" s="56"/>
      <c r="J246" s="76"/>
      <c r="K246" s="76"/>
      <c r="L246" s="79"/>
    </row>
    <row r="247" spans="1:12" ht="15" x14ac:dyDescent="0.25">
      <c r="A247" s="1"/>
      <c r="B247" s="39"/>
      <c r="C247" s="1"/>
      <c r="D247" s="1"/>
      <c r="E247" s="1"/>
      <c r="F247" s="40" t="s">
        <v>5</v>
      </c>
      <c r="G247" s="40"/>
      <c r="H247" s="1"/>
      <c r="I247" s="41">
        <f>I243</f>
        <v>170000</v>
      </c>
      <c r="J247" s="1"/>
      <c r="K247" s="1"/>
      <c r="L247" s="42"/>
    </row>
    <row r="248" spans="1:12" ht="15.75" thickBot="1" x14ac:dyDescent="0.3">
      <c r="A248" s="1"/>
      <c r="B248" s="43"/>
      <c r="C248" s="44"/>
      <c r="D248" s="44"/>
      <c r="E248" s="44"/>
      <c r="F248" s="45"/>
      <c r="G248" s="45"/>
      <c r="H248" s="44"/>
      <c r="I248" s="46"/>
      <c r="J248" s="44"/>
      <c r="K248" s="44"/>
      <c r="L248" s="47"/>
    </row>
    <row r="249" spans="1:12" ht="15.75" thickTop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46.5" customHeight="1" x14ac:dyDescent="0.2">
      <c r="A250" s="10" t="s">
        <v>2</v>
      </c>
      <c r="B250" s="279" t="s">
        <v>11</v>
      </c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</row>
    <row r="251" spans="1:12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" x14ac:dyDescent="0.2">
      <c r="A252" s="280" t="s">
        <v>12</v>
      </c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</row>
    <row r="253" spans="1:12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" x14ac:dyDescent="0.25">
      <c r="A255" s="1"/>
      <c r="B255" s="1"/>
      <c r="C255" s="1"/>
      <c r="D255" s="1"/>
      <c r="E255" s="1"/>
      <c r="F255" s="1"/>
      <c r="G255" s="1"/>
      <c r="H255" s="4" t="s">
        <v>674</v>
      </c>
    </row>
    <row r="256" spans="1:12" ht="15" x14ac:dyDescent="0.25">
      <c r="A256" s="1"/>
      <c r="B256" s="1" t="s">
        <v>15</v>
      </c>
      <c r="C256" s="1"/>
      <c r="D256" s="1"/>
      <c r="E256" s="1"/>
      <c r="F256" s="1"/>
      <c r="G256" s="1"/>
      <c r="H256" s="4" t="s">
        <v>13</v>
      </c>
    </row>
    <row r="257" spans="1:12" ht="15" x14ac:dyDescent="0.2">
      <c r="A257" s="48"/>
      <c r="B257" s="48" t="s">
        <v>18</v>
      </c>
      <c r="C257" s="48"/>
      <c r="D257" s="48"/>
      <c r="E257" s="48"/>
      <c r="F257" s="48"/>
      <c r="G257" s="48"/>
      <c r="H257" s="99" t="s">
        <v>14</v>
      </c>
      <c r="I257" s="99"/>
      <c r="J257" s="99"/>
      <c r="K257" s="99"/>
      <c r="L257" s="99"/>
    </row>
    <row r="258" spans="1:12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" x14ac:dyDescent="0.25">
      <c r="A260" s="1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"/>
    </row>
    <row r="261" spans="1:12" ht="15" x14ac:dyDescent="0.25">
      <c r="A261" s="1"/>
      <c r="K261" s="103"/>
      <c r="L261" s="1"/>
    </row>
    <row r="262" spans="1:12" ht="15" x14ac:dyDescent="0.25">
      <c r="A262" s="1"/>
      <c r="B262" s="272" t="s">
        <v>644</v>
      </c>
      <c r="H262" s="37" t="str">
        <f>D235</f>
        <v>Ahmad Burhan Rifa'i, S.TP.</v>
      </c>
      <c r="I262" s="95"/>
      <c r="J262" s="92"/>
      <c r="K262" s="103"/>
      <c r="L262" s="1"/>
    </row>
    <row r="263" spans="1:12" ht="15" x14ac:dyDescent="0.25">
      <c r="A263" s="1"/>
      <c r="B263" s="273" t="s">
        <v>638</v>
      </c>
      <c r="C263" s="57"/>
      <c r="H263" s="269" t="s">
        <v>27</v>
      </c>
      <c r="K263" s="103"/>
    </row>
    <row r="264" spans="1:12" ht="12.75" x14ac:dyDescent="0.2"/>
    <row r="268" spans="1:12" ht="15.75" x14ac:dyDescent="0.25">
      <c r="A268" s="3" t="s">
        <v>22</v>
      </c>
    </row>
    <row r="269" spans="1:12" ht="15.75" x14ac:dyDescent="0.2">
      <c r="A269" s="122" t="s">
        <v>20</v>
      </c>
    </row>
    <row r="270" spans="1:12" ht="15.75" x14ac:dyDescent="0.2">
      <c r="A270" s="122" t="s">
        <v>21</v>
      </c>
    </row>
    <row r="271" spans="1:12" ht="15.75" x14ac:dyDescent="0.2">
      <c r="A271" s="122"/>
    </row>
    <row r="272" spans="1:12" ht="12.75" x14ac:dyDescent="0.2"/>
    <row r="273" spans="1:12" ht="18.75" x14ac:dyDescent="0.3">
      <c r="A273" s="276" t="s">
        <v>6</v>
      </c>
      <c r="B273" s="276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</row>
    <row r="274" spans="1:12" ht="18.75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</row>
    <row r="275" spans="1:12" ht="15" x14ac:dyDescent="0.25">
      <c r="A275" s="1"/>
      <c r="B275" s="1"/>
    </row>
    <row r="276" spans="1:12" ht="15" x14ac:dyDescent="0.25">
      <c r="A276" s="1" t="s">
        <v>7</v>
      </c>
      <c r="B276" s="1"/>
    </row>
    <row r="277" spans="1:12" ht="15" x14ac:dyDescent="0.25">
      <c r="A277" s="1"/>
      <c r="B277" s="1"/>
    </row>
    <row r="278" spans="1:12" ht="15" x14ac:dyDescent="0.25">
      <c r="A278" s="1" t="s">
        <v>8</v>
      </c>
      <c r="C278" s="9" t="s">
        <v>1</v>
      </c>
      <c r="D278" s="37" t="s">
        <v>554</v>
      </c>
      <c r="E278" s="76"/>
      <c r="F278" s="76"/>
      <c r="G278" s="76"/>
      <c r="H278" s="76"/>
    </row>
    <row r="279" spans="1:12" ht="15" x14ac:dyDescent="0.25">
      <c r="A279" s="1" t="s">
        <v>9</v>
      </c>
      <c r="C279" s="9" t="s">
        <v>1</v>
      </c>
      <c r="D279" s="1" t="s">
        <v>234</v>
      </c>
      <c r="E279" s="76"/>
      <c r="F279" s="76"/>
      <c r="G279" s="76"/>
      <c r="H279" s="76"/>
    </row>
    <row r="280" spans="1:12" ht="15.75" x14ac:dyDescent="0.25">
      <c r="A280" s="50" t="s">
        <v>10</v>
      </c>
      <c r="B280" s="76"/>
      <c r="C280" s="91" t="s">
        <v>1</v>
      </c>
      <c r="D280" s="268" t="s">
        <v>203</v>
      </c>
      <c r="E280" s="76"/>
      <c r="F280" s="76"/>
      <c r="G280" s="76"/>
      <c r="H280" s="76"/>
      <c r="I280" s="76"/>
      <c r="J280" s="76"/>
      <c r="K280" s="76"/>
      <c r="L280" s="76"/>
    </row>
    <row r="281" spans="1:12" ht="15" x14ac:dyDescent="0.25">
      <c r="A281" s="1"/>
      <c r="B281" s="1"/>
      <c r="D281" s="1"/>
    </row>
    <row r="282" spans="1:12" ht="30" customHeight="1" x14ac:dyDescent="0.2">
      <c r="A282" s="277" t="s">
        <v>673</v>
      </c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</row>
    <row r="283" spans="1:12" ht="15" x14ac:dyDescent="0.25">
      <c r="A283" s="1"/>
      <c r="B283" s="1"/>
    </row>
    <row r="284" spans="1:12" ht="30" customHeight="1" thickBot="1" x14ac:dyDescent="0.25">
      <c r="A284" s="10" t="s">
        <v>0</v>
      </c>
      <c r="B284" s="278" t="s">
        <v>91</v>
      </c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</row>
    <row r="285" spans="1:12" ht="15.75" thickTop="1" x14ac:dyDescent="0.25">
      <c r="A285" s="1"/>
      <c r="B285" s="11" t="s">
        <v>3</v>
      </c>
      <c r="C285" s="12" t="s">
        <v>4</v>
      </c>
      <c r="D285" s="13"/>
      <c r="E285" s="13"/>
      <c r="F285" s="13"/>
      <c r="G285" s="13"/>
      <c r="H285" s="14"/>
      <c r="I285" s="15" t="s">
        <v>5</v>
      </c>
      <c r="J285" s="12" t="s">
        <v>17</v>
      </c>
      <c r="K285" s="13"/>
      <c r="L285" s="14"/>
    </row>
    <row r="286" spans="1:12" ht="15" x14ac:dyDescent="0.2">
      <c r="A286" s="50"/>
      <c r="B286" s="143">
        <v>1</v>
      </c>
      <c r="C286" s="129" t="s">
        <v>640</v>
      </c>
      <c r="D286" s="130"/>
      <c r="E286" s="130"/>
      <c r="F286" s="217"/>
      <c r="G286" s="76"/>
      <c r="H286" s="79"/>
      <c r="I286" s="56">
        <v>170000</v>
      </c>
      <c r="J286" s="76" t="s">
        <v>204</v>
      </c>
      <c r="K286" s="76"/>
      <c r="L286" s="79"/>
    </row>
    <row r="287" spans="1:12" ht="15" x14ac:dyDescent="0.2">
      <c r="A287" s="50"/>
      <c r="B287" s="100"/>
      <c r="C287" s="76"/>
      <c r="D287" s="76"/>
      <c r="E287" s="76"/>
      <c r="F287" s="169"/>
      <c r="G287" s="76"/>
      <c r="H287" s="76"/>
      <c r="I287" s="56"/>
      <c r="J287" s="76"/>
      <c r="K287" s="76"/>
      <c r="L287" s="79"/>
    </row>
    <row r="288" spans="1:12" ht="15" x14ac:dyDescent="0.2">
      <c r="A288" s="50"/>
      <c r="B288" s="100"/>
      <c r="C288" s="76"/>
      <c r="D288" s="76"/>
      <c r="E288" s="76"/>
      <c r="F288" s="169"/>
      <c r="G288" s="76"/>
      <c r="H288" s="76"/>
      <c r="I288" s="56"/>
      <c r="J288" s="76"/>
      <c r="K288" s="76"/>
      <c r="L288" s="79"/>
    </row>
    <row r="289" spans="1:12" ht="15" x14ac:dyDescent="0.2">
      <c r="A289" s="50"/>
      <c r="B289" s="100"/>
      <c r="C289" s="76"/>
      <c r="D289" s="76"/>
      <c r="E289" s="76"/>
      <c r="F289" s="169"/>
      <c r="G289" s="76"/>
      <c r="H289" s="76"/>
      <c r="I289" s="56"/>
      <c r="J289" s="76"/>
      <c r="K289" s="76"/>
      <c r="L289" s="79"/>
    </row>
    <row r="290" spans="1:12" ht="15" x14ac:dyDescent="0.25">
      <c r="A290" s="1"/>
      <c r="B290" s="39"/>
      <c r="C290" s="1"/>
      <c r="D290" s="1"/>
      <c r="E290" s="1"/>
      <c r="F290" s="40" t="s">
        <v>5</v>
      </c>
      <c r="G290" s="40"/>
      <c r="H290" s="1"/>
      <c r="I290" s="41">
        <f>I286</f>
        <v>170000</v>
      </c>
      <c r="J290" s="1"/>
      <c r="K290" s="1"/>
      <c r="L290" s="42"/>
    </row>
    <row r="291" spans="1:12" ht="15.75" thickBot="1" x14ac:dyDescent="0.3">
      <c r="A291" s="1"/>
      <c r="B291" s="43"/>
      <c r="C291" s="44"/>
      <c r="D291" s="44"/>
      <c r="E291" s="44"/>
      <c r="F291" s="45"/>
      <c r="G291" s="45"/>
      <c r="H291" s="44"/>
      <c r="I291" s="46"/>
      <c r="J291" s="44"/>
      <c r="K291" s="44"/>
      <c r="L291" s="47"/>
    </row>
    <row r="292" spans="1:12" ht="15.75" thickTop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45.75" customHeight="1" x14ac:dyDescent="0.2">
      <c r="A293" s="10" t="s">
        <v>2</v>
      </c>
      <c r="B293" s="279" t="s">
        <v>11</v>
      </c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</row>
    <row r="294" spans="1:12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" x14ac:dyDescent="0.2">
      <c r="A295" s="280" t="s">
        <v>12</v>
      </c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</row>
    <row r="296" spans="1:12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" x14ac:dyDescent="0.25">
      <c r="A298" s="1"/>
      <c r="B298" s="1"/>
      <c r="C298" s="1"/>
      <c r="D298" s="1"/>
      <c r="E298" s="1"/>
      <c r="F298" s="1"/>
      <c r="G298" s="1"/>
      <c r="H298" s="4" t="s">
        <v>674</v>
      </c>
    </row>
    <row r="299" spans="1:12" ht="15" x14ac:dyDescent="0.25">
      <c r="A299" s="1"/>
      <c r="B299" s="1" t="s">
        <v>15</v>
      </c>
      <c r="C299" s="1"/>
      <c r="D299" s="1"/>
      <c r="E299" s="1"/>
      <c r="F299" s="1"/>
      <c r="G299" s="1"/>
      <c r="H299" s="4" t="s">
        <v>13</v>
      </c>
    </row>
    <row r="300" spans="1:12" ht="15" x14ac:dyDescent="0.2">
      <c r="A300" s="48"/>
      <c r="B300" s="48" t="s">
        <v>18</v>
      </c>
      <c r="C300" s="48"/>
      <c r="D300" s="48"/>
      <c r="E300" s="48"/>
      <c r="F300" s="48"/>
      <c r="G300" s="48"/>
      <c r="H300" s="99" t="s">
        <v>14</v>
      </c>
      <c r="I300" s="99"/>
      <c r="J300" s="99"/>
      <c r="K300" s="99"/>
      <c r="L300" s="99"/>
    </row>
    <row r="301" spans="1:12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" x14ac:dyDescent="0.25">
      <c r="A303" s="1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"/>
    </row>
    <row r="304" spans="1:12" ht="15" x14ac:dyDescent="0.25">
      <c r="A304" s="1"/>
      <c r="K304" s="103"/>
      <c r="L304" s="1"/>
    </row>
    <row r="305" spans="1:12" ht="15" x14ac:dyDescent="0.25">
      <c r="A305" s="1"/>
      <c r="B305" s="272" t="s">
        <v>644</v>
      </c>
      <c r="H305" s="37" t="str">
        <f>D278</f>
        <v>Lia Tri Wahyuni, S.Si</v>
      </c>
      <c r="I305" s="95"/>
      <c r="J305" s="92"/>
      <c r="K305" s="103"/>
      <c r="L305" s="1"/>
    </row>
    <row r="306" spans="1:12" ht="15" x14ac:dyDescent="0.25">
      <c r="A306" s="1"/>
      <c r="B306" s="273" t="s">
        <v>638</v>
      </c>
      <c r="C306" s="57"/>
      <c r="H306" s="269" t="s">
        <v>27</v>
      </c>
      <c r="K306" s="103"/>
    </row>
    <row r="307" spans="1:12" ht="12.75" x14ac:dyDescent="0.2"/>
    <row r="308" spans="1:12" ht="12.75" x14ac:dyDescent="0.2"/>
    <row r="311" spans="1:12" ht="15.75" x14ac:dyDescent="0.25">
      <c r="A311" s="3" t="s">
        <v>22</v>
      </c>
    </row>
    <row r="312" spans="1:12" ht="15.75" x14ac:dyDescent="0.2">
      <c r="A312" s="122" t="s">
        <v>20</v>
      </c>
    </row>
    <row r="313" spans="1:12" ht="15.75" x14ac:dyDescent="0.2">
      <c r="A313" s="122" t="s">
        <v>21</v>
      </c>
    </row>
    <row r="314" spans="1:12" ht="15.75" x14ac:dyDescent="0.2">
      <c r="A314" s="122"/>
    </row>
    <row r="315" spans="1:12" ht="12.75" x14ac:dyDescent="0.2"/>
    <row r="316" spans="1:12" ht="18.75" x14ac:dyDescent="0.3">
      <c r="A316" s="276" t="s">
        <v>6</v>
      </c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</row>
    <row r="317" spans="1:12" ht="18.75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2" ht="15" x14ac:dyDescent="0.25">
      <c r="A318" s="1"/>
      <c r="B318" s="1"/>
    </row>
    <row r="319" spans="1:12" ht="15" x14ac:dyDescent="0.25">
      <c r="A319" s="1" t="s">
        <v>7</v>
      </c>
      <c r="B319" s="1"/>
    </row>
    <row r="320" spans="1:12" ht="15" x14ac:dyDescent="0.25">
      <c r="A320" s="1"/>
      <c r="B320" s="1"/>
    </row>
    <row r="321" spans="1:12" ht="15" x14ac:dyDescent="0.25">
      <c r="A321" s="1" t="s">
        <v>8</v>
      </c>
      <c r="C321" s="9" t="s">
        <v>1</v>
      </c>
      <c r="D321" s="37" t="s">
        <v>682</v>
      </c>
      <c r="E321" s="76"/>
      <c r="F321" s="76"/>
      <c r="G321" s="76"/>
      <c r="H321" s="76"/>
    </row>
    <row r="322" spans="1:12" ht="15" x14ac:dyDescent="0.25">
      <c r="A322" s="1" t="s">
        <v>9</v>
      </c>
      <c r="C322" s="9" t="s">
        <v>1</v>
      </c>
      <c r="D322" s="1" t="s">
        <v>683</v>
      </c>
      <c r="E322" s="76"/>
      <c r="F322" s="76"/>
      <c r="G322" s="76"/>
      <c r="H322" s="76"/>
    </row>
    <row r="323" spans="1:12" ht="15.75" x14ac:dyDescent="0.25">
      <c r="A323" s="50" t="s">
        <v>10</v>
      </c>
      <c r="B323" s="76"/>
      <c r="C323" s="91" t="s">
        <v>1</v>
      </c>
      <c r="D323" s="268" t="s">
        <v>684</v>
      </c>
      <c r="E323" s="76"/>
      <c r="F323" s="76"/>
      <c r="G323" s="76"/>
      <c r="H323" s="76"/>
      <c r="I323" s="76"/>
      <c r="J323" s="76"/>
      <c r="K323" s="76"/>
      <c r="L323" s="76"/>
    </row>
    <row r="324" spans="1:12" ht="15" x14ac:dyDescent="0.25">
      <c r="A324" s="1"/>
      <c r="B324" s="1"/>
      <c r="D324" s="1"/>
    </row>
    <row r="325" spans="1:12" ht="27" customHeight="1" x14ac:dyDescent="0.2">
      <c r="A325" s="277" t="s">
        <v>673</v>
      </c>
      <c r="B325" s="277"/>
      <c r="C325" s="277"/>
      <c r="D325" s="277"/>
      <c r="E325" s="277"/>
      <c r="F325" s="277"/>
      <c r="G325" s="277"/>
      <c r="H325" s="277"/>
      <c r="I325" s="277"/>
      <c r="J325" s="277"/>
      <c r="K325" s="277"/>
      <c r="L325" s="277"/>
    </row>
    <row r="326" spans="1:12" ht="15" x14ac:dyDescent="0.25">
      <c r="A326" s="1"/>
      <c r="B326" s="1"/>
    </row>
    <row r="327" spans="1:12" ht="30.75" customHeight="1" thickBot="1" x14ac:dyDescent="0.25">
      <c r="A327" s="10" t="s">
        <v>0</v>
      </c>
      <c r="B327" s="278" t="s">
        <v>91</v>
      </c>
      <c r="C327" s="278"/>
      <c r="D327" s="278"/>
      <c r="E327" s="278"/>
      <c r="F327" s="278"/>
      <c r="G327" s="278"/>
      <c r="H327" s="278"/>
      <c r="I327" s="278"/>
      <c r="J327" s="278"/>
      <c r="K327" s="278"/>
      <c r="L327" s="278"/>
    </row>
    <row r="328" spans="1:12" ht="15.75" thickTop="1" x14ac:dyDescent="0.25">
      <c r="A328" s="1"/>
      <c r="B328" s="11" t="s">
        <v>3</v>
      </c>
      <c r="C328" s="12" t="s">
        <v>4</v>
      </c>
      <c r="D328" s="13"/>
      <c r="E328" s="13"/>
      <c r="F328" s="13"/>
      <c r="G328" s="13"/>
      <c r="H328" s="14"/>
      <c r="I328" s="15" t="s">
        <v>5</v>
      </c>
      <c r="J328" s="12" t="s">
        <v>17</v>
      </c>
      <c r="K328" s="13"/>
      <c r="L328" s="14"/>
    </row>
    <row r="329" spans="1:12" ht="15" x14ac:dyDescent="0.2">
      <c r="A329" s="50"/>
      <c r="B329" s="143">
        <v>1</v>
      </c>
      <c r="C329" s="129" t="s">
        <v>640</v>
      </c>
      <c r="D329" s="130"/>
      <c r="E329" s="130"/>
      <c r="F329" s="217"/>
      <c r="G329" s="76"/>
      <c r="H329" s="79"/>
      <c r="I329" s="56">
        <v>170000</v>
      </c>
      <c r="J329" s="76" t="s">
        <v>204</v>
      </c>
      <c r="K329" s="76"/>
      <c r="L329" s="79"/>
    </row>
    <row r="330" spans="1:12" ht="15" x14ac:dyDescent="0.2">
      <c r="A330" s="50"/>
      <c r="B330" s="100"/>
      <c r="C330" s="76"/>
      <c r="D330" s="76"/>
      <c r="E330" s="76"/>
      <c r="F330" s="169"/>
      <c r="G330" s="76"/>
      <c r="H330" s="76"/>
      <c r="I330" s="56"/>
      <c r="J330" s="76"/>
      <c r="K330" s="76"/>
      <c r="L330" s="79"/>
    </row>
    <row r="331" spans="1:12" ht="15" x14ac:dyDescent="0.2">
      <c r="A331" s="50"/>
      <c r="B331" s="100"/>
      <c r="C331" s="76"/>
      <c r="D331" s="76"/>
      <c r="E331" s="76"/>
      <c r="F331" s="169"/>
      <c r="G331" s="76"/>
      <c r="H331" s="76"/>
      <c r="I331" s="56"/>
      <c r="J331" s="76"/>
      <c r="K331" s="76"/>
      <c r="L331" s="79"/>
    </row>
    <row r="332" spans="1:12" ht="15" x14ac:dyDescent="0.2">
      <c r="A332" s="50"/>
      <c r="B332" s="100"/>
      <c r="C332" s="76"/>
      <c r="D332" s="76"/>
      <c r="E332" s="76"/>
      <c r="F332" s="169"/>
      <c r="G332" s="76"/>
      <c r="H332" s="76"/>
      <c r="I332" s="56"/>
      <c r="J332" s="76"/>
      <c r="K332" s="76"/>
      <c r="L332" s="79"/>
    </row>
    <row r="333" spans="1:12" ht="15" x14ac:dyDescent="0.25">
      <c r="A333" s="1"/>
      <c r="B333" s="39"/>
      <c r="C333" s="1"/>
      <c r="D333" s="1"/>
      <c r="E333" s="1"/>
      <c r="F333" s="40" t="s">
        <v>5</v>
      </c>
      <c r="G333" s="40"/>
      <c r="H333" s="1"/>
      <c r="I333" s="41">
        <f>I329</f>
        <v>170000</v>
      </c>
      <c r="J333" s="1"/>
      <c r="K333" s="1"/>
      <c r="L333" s="42"/>
    </row>
    <row r="334" spans="1:12" ht="15.75" thickBot="1" x14ac:dyDescent="0.3">
      <c r="A334" s="1"/>
      <c r="B334" s="43"/>
      <c r="C334" s="44"/>
      <c r="D334" s="44"/>
      <c r="E334" s="44"/>
      <c r="F334" s="45"/>
      <c r="G334" s="45"/>
      <c r="H334" s="44"/>
      <c r="I334" s="46"/>
      <c r="J334" s="44"/>
      <c r="K334" s="44"/>
      <c r="L334" s="47"/>
    </row>
    <row r="335" spans="1:12" ht="15.75" thickTop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45" customHeight="1" x14ac:dyDescent="0.2">
      <c r="A336" s="10" t="s">
        <v>2</v>
      </c>
      <c r="B336" s="279" t="s">
        <v>11</v>
      </c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</row>
    <row r="337" spans="1:12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" x14ac:dyDescent="0.2">
      <c r="A338" s="280" t="s">
        <v>12</v>
      </c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</row>
    <row r="339" spans="1:12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" x14ac:dyDescent="0.25">
      <c r="A341" s="1"/>
      <c r="B341" s="1"/>
      <c r="C341" s="1"/>
      <c r="D341" s="1"/>
      <c r="E341" s="1"/>
      <c r="F341" s="1"/>
      <c r="G341" s="1"/>
      <c r="H341" s="4" t="s">
        <v>674</v>
      </c>
    </row>
    <row r="342" spans="1:12" ht="15" x14ac:dyDescent="0.25">
      <c r="A342" s="1"/>
      <c r="B342" s="1" t="s">
        <v>15</v>
      </c>
      <c r="C342" s="1"/>
      <c r="D342" s="1"/>
      <c r="E342" s="1"/>
      <c r="F342" s="1"/>
      <c r="G342" s="1"/>
      <c r="H342" s="4" t="s">
        <v>13</v>
      </c>
    </row>
    <row r="343" spans="1:12" ht="15" x14ac:dyDescent="0.2">
      <c r="A343" s="48"/>
      <c r="B343" s="48" t="s">
        <v>18</v>
      </c>
      <c r="C343" s="48"/>
      <c r="D343" s="48"/>
      <c r="E343" s="48"/>
      <c r="F343" s="48"/>
      <c r="G343" s="48"/>
      <c r="H343" s="99" t="s">
        <v>14</v>
      </c>
      <c r="I343" s="99"/>
      <c r="J343" s="99"/>
      <c r="K343" s="99"/>
      <c r="L343" s="99"/>
    </row>
    <row r="344" spans="1:12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" x14ac:dyDescent="0.25">
      <c r="A346" s="1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"/>
    </row>
    <row r="347" spans="1:12" ht="15" x14ac:dyDescent="0.25">
      <c r="A347" s="1"/>
      <c r="K347" s="103"/>
      <c r="L347" s="1"/>
    </row>
    <row r="348" spans="1:12" ht="15" x14ac:dyDescent="0.25">
      <c r="A348" s="1"/>
      <c r="B348" s="272" t="s">
        <v>644</v>
      </c>
      <c r="H348" s="37" t="str">
        <f>D321</f>
        <v xml:space="preserve">Ika Kartika, S.T.P </v>
      </c>
      <c r="I348" s="95"/>
      <c r="J348" s="92"/>
      <c r="K348" s="103"/>
      <c r="L348" s="1"/>
    </row>
    <row r="349" spans="1:12" ht="15" x14ac:dyDescent="0.25">
      <c r="A349" s="1"/>
      <c r="B349" s="273" t="s">
        <v>638</v>
      </c>
      <c r="C349" s="57"/>
      <c r="H349" s="269" t="s">
        <v>27</v>
      </c>
      <c r="K349" s="103"/>
    </row>
    <row r="350" spans="1:12" ht="12.75" x14ac:dyDescent="0.2"/>
    <row r="353" spans="1:12" ht="15.75" x14ac:dyDescent="0.25">
      <c r="A353" s="3" t="s">
        <v>22</v>
      </c>
    </row>
    <row r="354" spans="1:12" ht="15.75" x14ac:dyDescent="0.2">
      <c r="A354" s="122" t="s">
        <v>20</v>
      </c>
    </row>
    <row r="355" spans="1:12" ht="15.75" x14ac:dyDescent="0.2">
      <c r="A355" s="122" t="s">
        <v>21</v>
      </c>
    </row>
    <row r="356" spans="1:12" ht="15.75" x14ac:dyDescent="0.2">
      <c r="A356" s="122"/>
    </row>
    <row r="357" spans="1:12" ht="12.75" x14ac:dyDescent="0.2"/>
    <row r="358" spans="1:12" ht="18.75" x14ac:dyDescent="0.3">
      <c r="A358" s="276" t="s">
        <v>6</v>
      </c>
      <c r="B358" s="276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</row>
    <row r="359" spans="1:12" ht="18.75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ht="15" x14ac:dyDescent="0.25">
      <c r="A360" s="1"/>
      <c r="B360" s="1"/>
    </row>
    <row r="361" spans="1:12" ht="15" x14ac:dyDescent="0.25">
      <c r="A361" s="1" t="s">
        <v>7</v>
      </c>
      <c r="B361" s="1"/>
    </row>
    <row r="362" spans="1:12" ht="15" x14ac:dyDescent="0.25">
      <c r="A362" s="1"/>
      <c r="B362" s="1"/>
    </row>
    <row r="363" spans="1:12" ht="15" x14ac:dyDescent="0.25">
      <c r="A363" s="1" t="s">
        <v>8</v>
      </c>
      <c r="C363" s="9" t="s">
        <v>1</v>
      </c>
      <c r="D363" s="37" t="s">
        <v>107</v>
      </c>
      <c r="E363" s="76"/>
      <c r="F363" s="76"/>
      <c r="G363" s="76"/>
      <c r="H363" s="76"/>
    </row>
    <row r="364" spans="1:12" ht="15" x14ac:dyDescent="0.25">
      <c r="A364" s="1" t="s">
        <v>9</v>
      </c>
      <c r="C364" s="9" t="s">
        <v>1</v>
      </c>
      <c r="D364" s="1" t="s">
        <v>685</v>
      </c>
      <c r="E364" s="76"/>
      <c r="F364" s="76"/>
      <c r="G364" s="76"/>
      <c r="H364" s="76"/>
    </row>
    <row r="365" spans="1:12" ht="15.75" x14ac:dyDescent="0.25">
      <c r="A365" s="50" t="s">
        <v>10</v>
      </c>
      <c r="B365" s="76"/>
      <c r="C365" s="91" t="s">
        <v>1</v>
      </c>
      <c r="D365" s="268" t="s">
        <v>250</v>
      </c>
      <c r="E365" s="76"/>
      <c r="F365" s="76"/>
      <c r="G365" s="76"/>
      <c r="H365" s="76"/>
      <c r="I365" s="76"/>
      <c r="J365" s="76"/>
      <c r="K365" s="76"/>
      <c r="L365" s="76"/>
    </row>
    <row r="366" spans="1:12" ht="15" x14ac:dyDescent="0.25">
      <c r="A366" s="1"/>
      <c r="B366" s="1"/>
      <c r="D366" s="1"/>
    </row>
    <row r="367" spans="1:12" ht="33" customHeight="1" x14ac:dyDescent="0.2">
      <c r="A367" s="277" t="s">
        <v>673</v>
      </c>
      <c r="B367" s="277"/>
      <c r="C367" s="277"/>
      <c r="D367" s="277"/>
      <c r="E367" s="277"/>
      <c r="F367" s="277"/>
      <c r="G367" s="277"/>
      <c r="H367" s="277"/>
      <c r="I367" s="277"/>
      <c r="J367" s="277"/>
      <c r="K367" s="277"/>
      <c r="L367" s="277"/>
    </row>
    <row r="368" spans="1:12" ht="15" x14ac:dyDescent="0.25">
      <c r="A368" s="1"/>
      <c r="B368" s="1"/>
    </row>
    <row r="369" spans="1:12" ht="30.75" customHeight="1" thickBot="1" x14ac:dyDescent="0.25">
      <c r="A369" s="10" t="s">
        <v>0</v>
      </c>
      <c r="B369" s="278" t="s">
        <v>91</v>
      </c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</row>
    <row r="370" spans="1:12" ht="15.75" thickTop="1" x14ac:dyDescent="0.25">
      <c r="A370" s="1"/>
      <c r="B370" s="11" t="s">
        <v>3</v>
      </c>
      <c r="C370" s="12" t="s">
        <v>4</v>
      </c>
      <c r="D370" s="13"/>
      <c r="E370" s="13"/>
      <c r="F370" s="13"/>
      <c r="G370" s="13"/>
      <c r="H370" s="14"/>
      <c r="I370" s="15" t="s">
        <v>5</v>
      </c>
      <c r="J370" s="12" t="s">
        <v>17</v>
      </c>
      <c r="K370" s="13"/>
      <c r="L370" s="14"/>
    </row>
    <row r="371" spans="1:12" ht="15" x14ac:dyDescent="0.2">
      <c r="A371" s="50"/>
      <c r="B371" s="143">
        <v>1</v>
      </c>
      <c r="C371" s="129" t="s">
        <v>640</v>
      </c>
      <c r="D371" s="130"/>
      <c r="E371" s="130"/>
      <c r="F371" s="217"/>
      <c r="G371" s="76"/>
      <c r="H371" s="79"/>
      <c r="I371" s="56">
        <v>170000</v>
      </c>
      <c r="J371" s="76" t="s">
        <v>204</v>
      </c>
      <c r="K371" s="76"/>
      <c r="L371" s="79"/>
    </row>
    <row r="372" spans="1:12" ht="15" x14ac:dyDescent="0.2">
      <c r="A372" s="50"/>
      <c r="B372" s="100"/>
      <c r="C372" s="76"/>
      <c r="D372" s="76"/>
      <c r="E372" s="76"/>
      <c r="F372" s="169"/>
      <c r="G372" s="76"/>
      <c r="H372" s="76"/>
      <c r="I372" s="56"/>
      <c r="J372" s="76"/>
      <c r="K372" s="76"/>
      <c r="L372" s="79"/>
    </row>
    <row r="373" spans="1:12" ht="15" x14ac:dyDescent="0.2">
      <c r="A373" s="50"/>
      <c r="B373" s="100"/>
      <c r="C373" s="76"/>
      <c r="D373" s="76"/>
      <c r="E373" s="76"/>
      <c r="F373" s="169"/>
      <c r="G373" s="76"/>
      <c r="H373" s="76"/>
      <c r="I373" s="56"/>
      <c r="J373" s="76"/>
      <c r="K373" s="76"/>
      <c r="L373" s="79"/>
    </row>
    <row r="374" spans="1:12" ht="15" x14ac:dyDescent="0.2">
      <c r="A374" s="50"/>
      <c r="B374" s="100"/>
      <c r="C374" s="76"/>
      <c r="D374" s="76"/>
      <c r="E374" s="76"/>
      <c r="F374" s="169"/>
      <c r="G374" s="76"/>
      <c r="H374" s="76"/>
      <c r="I374" s="56"/>
      <c r="J374" s="76"/>
      <c r="K374" s="76"/>
      <c r="L374" s="79"/>
    </row>
    <row r="375" spans="1:12" ht="15" x14ac:dyDescent="0.25">
      <c r="A375" s="1"/>
      <c r="B375" s="39"/>
      <c r="C375" s="1"/>
      <c r="D375" s="1"/>
      <c r="E375" s="1"/>
      <c r="F375" s="40" t="s">
        <v>5</v>
      </c>
      <c r="G375" s="40"/>
      <c r="H375" s="1"/>
      <c r="I375" s="41">
        <f>I371</f>
        <v>170000</v>
      </c>
      <c r="J375" s="1"/>
      <c r="K375" s="1"/>
      <c r="L375" s="42"/>
    </row>
    <row r="376" spans="1:12" ht="15.75" thickBot="1" x14ac:dyDescent="0.3">
      <c r="A376" s="1"/>
      <c r="B376" s="43"/>
      <c r="C376" s="44"/>
      <c r="D376" s="44"/>
      <c r="E376" s="44"/>
      <c r="F376" s="45"/>
      <c r="G376" s="45"/>
      <c r="H376" s="44"/>
      <c r="I376" s="46"/>
      <c r="J376" s="44"/>
      <c r="K376" s="44"/>
      <c r="L376" s="47"/>
    </row>
    <row r="377" spans="1:12" ht="15.75" thickTop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48.75" customHeight="1" x14ac:dyDescent="0.2">
      <c r="A378" s="10" t="s">
        <v>2</v>
      </c>
      <c r="B378" s="279" t="s">
        <v>11</v>
      </c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</row>
    <row r="379" spans="1:12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" x14ac:dyDescent="0.2">
      <c r="A380" s="280" t="s">
        <v>12</v>
      </c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</row>
    <row r="381" spans="1:12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" x14ac:dyDescent="0.25">
      <c r="A383" s="1"/>
      <c r="B383" s="1"/>
      <c r="C383" s="1"/>
      <c r="D383" s="1"/>
      <c r="E383" s="1"/>
      <c r="F383" s="1"/>
      <c r="G383" s="1"/>
      <c r="H383" s="4" t="s">
        <v>674</v>
      </c>
    </row>
    <row r="384" spans="1:12" ht="15" x14ac:dyDescent="0.25">
      <c r="A384" s="1"/>
      <c r="B384" s="1" t="s">
        <v>15</v>
      </c>
      <c r="C384" s="1"/>
      <c r="D384" s="1"/>
      <c r="E384" s="1"/>
      <c r="F384" s="1"/>
      <c r="G384" s="1"/>
      <c r="H384" s="4" t="s">
        <v>13</v>
      </c>
    </row>
    <row r="385" spans="1:12" ht="15" x14ac:dyDescent="0.2">
      <c r="A385" s="48"/>
      <c r="B385" s="48" t="s">
        <v>18</v>
      </c>
      <c r="C385" s="48"/>
      <c r="D385" s="48"/>
      <c r="E385" s="48"/>
      <c r="F385" s="48"/>
      <c r="G385" s="48"/>
      <c r="H385" s="99" t="s">
        <v>14</v>
      </c>
      <c r="I385" s="99"/>
      <c r="J385" s="99"/>
      <c r="K385" s="99"/>
      <c r="L385" s="99"/>
    </row>
    <row r="386" spans="1:12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" x14ac:dyDescent="0.25">
      <c r="A388" s="1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"/>
    </row>
    <row r="389" spans="1:12" ht="15" x14ac:dyDescent="0.25">
      <c r="A389" s="1"/>
      <c r="K389" s="103"/>
      <c r="L389" s="1"/>
    </row>
    <row r="390" spans="1:12" ht="15" x14ac:dyDescent="0.25">
      <c r="A390" s="1"/>
      <c r="B390" s="272" t="s">
        <v>644</v>
      </c>
      <c r="H390" s="37" t="str">
        <f>D363</f>
        <v>Ade Yan Emerson, S.Kom</v>
      </c>
      <c r="I390" s="95"/>
      <c r="J390" s="92"/>
      <c r="K390" s="103"/>
      <c r="L390" s="1"/>
    </row>
    <row r="391" spans="1:12" ht="15" x14ac:dyDescent="0.25">
      <c r="A391" s="1"/>
      <c r="B391" s="273" t="s">
        <v>638</v>
      </c>
      <c r="C391" s="57"/>
      <c r="H391" s="269" t="s">
        <v>27</v>
      </c>
      <c r="K391" s="103"/>
    </row>
    <row r="396" spans="1:12" ht="15.75" x14ac:dyDescent="0.25">
      <c r="A396" s="3" t="s">
        <v>22</v>
      </c>
    </row>
    <row r="397" spans="1:12" ht="15.75" x14ac:dyDescent="0.2">
      <c r="A397" s="122" t="s">
        <v>20</v>
      </c>
    </row>
    <row r="398" spans="1:12" ht="15.75" x14ac:dyDescent="0.2">
      <c r="A398" s="122" t="s">
        <v>21</v>
      </c>
    </row>
    <row r="399" spans="1:12" ht="15.75" x14ac:dyDescent="0.2">
      <c r="A399" s="122"/>
    </row>
    <row r="400" spans="1:12" ht="12.75" x14ac:dyDescent="0.2"/>
    <row r="401" spans="1:12" ht="18.75" x14ac:dyDescent="0.3">
      <c r="A401" s="276" t="s">
        <v>6</v>
      </c>
      <c r="B401" s="276"/>
      <c r="C401" s="276"/>
      <c r="D401" s="276"/>
      <c r="E401" s="276"/>
      <c r="F401" s="276"/>
      <c r="G401" s="276"/>
      <c r="H401" s="276"/>
      <c r="I401" s="276"/>
      <c r="J401" s="276"/>
      <c r="K401" s="276"/>
      <c r="L401" s="276"/>
    </row>
    <row r="402" spans="1:12" ht="18.75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</row>
    <row r="403" spans="1:12" ht="15" x14ac:dyDescent="0.25">
      <c r="A403" s="1"/>
      <c r="B403" s="1"/>
    </row>
    <row r="404" spans="1:12" ht="15" x14ac:dyDescent="0.25">
      <c r="A404" s="1" t="s">
        <v>7</v>
      </c>
      <c r="B404" s="1"/>
    </row>
    <row r="405" spans="1:12" ht="15" x14ac:dyDescent="0.25">
      <c r="A405" s="1"/>
      <c r="B405" s="1"/>
    </row>
    <row r="406" spans="1:12" ht="15" x14ac:dyDescent="0.25">
      <c r="A406" s="1" t="s">
        <v>8</v>
      </c>
      <c r="C406" s="9" t="s">
        <v>1</v>
      </c>
      <c r="D406" s="37" t="s">
        <v>686</v>
      </c>
      <c r="E406" s="76"/>
      <c r="F406" s="76"/>
      <c r="G406" s="76"/>
      <c r="H406" s="76"/>
    </row>
    <row r="407" spans="1:12" ht="15" x14ac:dyDescent="0.25">
      <c r="A407" s="1" t="s">
        <v>9</v>
      </c>
      <c r="C407" s="9" t="s">
        <v>1</v>
      </c>
      <c r="D407" s="1" t="s">
        <v>687</v>
      </c>
      <c r="E407" s="76"/>
      <c r="F407" s="76"/>
      <c r="G407" s="76"/>
      <c r="H407" s="76"/>
    </row>
    <row r="408" spans="1:12" ht="15.75" x14ac:dyDescent="0.25">
      <c r="A408" s="50" t="s">
        <v>10</v>
      </c>
      <c r="B408" s="76"/>
      <c r="C408" s="91" t="s">
        <v>1</v>
      </c>
      <c r="D408" s="268" t="s">
        <v>275</v>
      </c>
      <c r="E408" s="76"/>
      <c r="F408" s="76"/>
      <c r="G408" s="76"/>
      <c r="H408" s="76"/>
      <c r="I408" s="76"/>
      <c r="J408" s="76"/>
      <c r="K408" s="76"/>
      <c r="L408" s="76"/>
    </row>
    <row r="409" spans="1:12" ht="15" x14ac:dyDescent="0.25">
      <c r="A409" s="1"/>
      <c r="B409" s="1"/>
      <c r="D409" s="1"/>
    </row>
    <row r="410" spans="1:12" ht="27" customHeight="1" x14ac:dyDescent="0.2">
      <c r="A410" s="277" t="s">
        <v>673</v>
      </c>
      <c r="B410" s="277"/>
      <c r="C410" s="277"/>
      <c r="D410" s="277"/>
      <c r="E410" s="277"/>
      <c r="F410" s="277"/>
      <c r="G410" s="277"/>
      <c r="H410" s="277"/>
      <c r="I410" s="277"/>
      <c r="J410" s="277"/>
      <c r="K410" s="277"/>
      <c r="L410" s="277"/>
    </row>
    <row r="411" spans="1:12" ht="15" x14ac:dyDescent="0.25">
      <c r="A411" s="1"/>
      <c r="B411" s="1"/>
    </row>
    <row r="412" spans="1:12" ht="33.75" customHeight="1" thickBot="1" x14ac:dyDescent="0.25">
      <c r="A412" s="10" t="s">
        <v>0</v>
      </c>
      <c r="B412" s="278" t="s">
        <v>91</v>
      </c>
      <c r="C412" s="278"/>
      <c r="D412" s="278"/>
      <c r="E412" s="278"/>
      <c r="F412" s="278"/>
      <c r="G412" s="278"/>
      <c r="H412" s="278"/>
      <c r="I412" s="278"/>
      <c r="J412" s="278"/>
      <c r="K412" s="278"/>
      <c r="L412" s="278"/>
    </row>
    <row r="413" spans="1:12" ht="15.75" thickTop="1" x14ac:dyDescent="0.25">
      <c r="A413" s="1"/>
      <c r="B413" s="11" t="s">
        <v>3</v>
      </c>
      <c r="C413" s="12" t="s">
        <v>4</v>
      </c>
      <c r="D413" s="13"/>
      <c r="E413" s="13"/>
      <c r="F413" s="13"/>
      <c r="G413" s="13"/>
      <c r="H413" s="14"/>
      <c r="I413" s="15" t="s">
        <v>5</v>
      </c>
      <c r="J413" s="12" t="s">
        <v>17</v>
      </c>
      <c r="K413" s="13"/>
      <c r="L413" s="14"/>
    </row>
    <row r="414" spans="1:12" ht="15" x14ac:dyDescent="0.2">
      <c r="A414" s="50"/>
      <c r="B414" s="143">
        <v>1</v>
      </c>
      <c r="C414" s="129" t="s">
        <v>640</v>
      </c>
      <c r="D414" s="130"/>
      <c r="E414" s="130"/>
      <c r="F414" s="217"/>
      <c r="G414" s="76"/>
      <c r="H414" s="79"/>
      <c r="I414" s="56">
        <v>170000</v>
      </c>
      <c r="J414" s="76" t="s">
        <v>204</v>
      </c>
      <c r="K414" s="76"/>
      <c r="L414" s="79"/>
    </row>
    <row r="415" spans="1:12" ht="15" x14ac:dyDescent="0.2">
      <c r="A415" s="50"/>
      <c r="B415" s="100"/>
      <c r="C415" s="76"/>
      <c r="D415" s="76"/>
      <c r="E415" s="76"/>
      <c r="F415" s="169"/>
      <c r="G415" s="76"/>
      <c r="H415" s="76"/>
      <c r="I415" s="56"/>
      <c r="J415" s="76"/>
      <c r="K415" s="76"/>
      <c r="L415" s="79"/>
    </row>
    <row r="416" spans="1:12" ht="15" x14ac:dyDescent="0.2">
      <c r="A416" s="50"/>
      <c r="B416" s="100"/>
      <c r="C416" s="76"/>
      <c r="D416" s="76"/>
      <c r="E416" s="76"/>
      <c r="F416" s="169"/>
      <c r="G416" s="76"/>
      <c r="H416" s="76"/>
      <c r="I416" s="56"/>
      <c r="J416" s="76"/>
      <c r="K416" s="76"/>
      <c r="L416" s="79"/>
    </row>
    <row r="417" spans="1:12" ht="15" x14ac:dyDescent="0.2">
      <c r="A417" s="50"/>
      <c r="B417" s="100"/>
      <c r="C417" s="76"/>
      <c r="D417" s="76"/>
      <c r="E417" s="76"/>
      <c r="F417" s="169"/>
      <c r="G417" s="76"/>
      <c r="H417" s="76"/>
      <c r="I417" s="56"/>
      <c r="J417" s="76"/>
      <c r="K417" s="76"/>
      <c r="L417" s="79"/>
    </row>
    <row r="418" spans="1:12" ht="15" x14ac:dyDescent="0.25">
      <c r="A418" s="1"/>
      <c r="B418" s="39"/>
      <c r="C418" s="1"/>
      <c r="D418" s="1"/>
      <c r="E418" s="1"/>
      <c r="F418" s="40" t="s">
        <v>5</v>
      </c>
      <c r="G418" s="40"/>
      <c r="H418" s="1"/>
      <c r="I418" s="41">
        <f>I414</f>
        <v>170000</v>
      </c>
      <c r="J418" s="1"/>
      <c r="K418" s="1"/>
      <c r="L418" s="42"/>
    </row>
    <row r="419" spans="1:12" ht="15.75" thickBot="1" x14ac:dyDescent="0.3">
      <c r="A419" s="1"/>
      <c r="B419" s="43"/>
      <c r="C419" s="44"/>
      <c r="D419" s="44"/>
      <c r="E419" s="44"/>
      <c r="F419" s="45"/>
      <c r="G419" s="45"/>
      <c r="H419" s="44"/>
      <c r="I419" s="46"/>
      <c r="J419" s="44"/>
      <c r="K419" s="44"/>
      <c r="L419" s="47"/>
    </row>
    <row r="420" spans="1:12" ht="15.75" thickTop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47.25" customHeight="1" x14ac:dyDescent="0.2">
      <c r="A421" s="10" t="s">
        <v>2</v>
      </c>
      <c r="B421" s="279" t="s">
        <v>11</v>
      </c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</row>
    <row r="422" spans="1:12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" x14ac:dyDescent="0.2">
      <c r="A423" s="280" t="s">
        <v>12</v>
      </c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</row>
    <row r="424" spans="1:12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" x14ac:dyDescent="0.25">
      <c r="A426" s="1"/>
      <c r="B426" s="1"/>
      <c r="C426" s="1"/>
      <c r="D426" s="1"/>
      <c r="E426" s="1"/>
      <c r="F426" s="1"/>
      <c r="G426" s="1"/>
      <c r="H426" s="4" t="s">
        <v>674</v>
      </c>
    </row>
    <row r="427" spans="1:12" ht="15" x14ac:dyDescent="0.25">
      <c r="A427" s="1"/>
      <c r="B427" s="1" t="s">
        <v>15</v>
      </c>
      <c r="C427" s="1"/>
      <c r="D427" s="1"/>
      <c r="E427" s="1"/>
      <c r="F427" s="1"/>
      <c r="G427" s="1"/>
      <c r="H427" s="4" t="s">
        <v>13</v>
      </c>
    </row>
    <row r="428" spans="1:12" ht="15" x14ac:dyDescent="0.2">
      <c r="A428" s="48"/>
      <c r="B428" s="48" t="s">
        <v>18</v>
      </c>
      <c r="C428" s="48"/>
      <c r="D428" s="48"/>
      <c r="E428" s="48"/>
      <c r="F428" s="48"/>
      <c r="G428" s="48"/>
      <c r="H428" s="99" t="s">
        <v>14</v>
      </c>
      <c r="I428" s="99"/>
      <c r="J428" s="99"/>
      <c r="K428" s="99"/>
      <c r="L428" s="99"/>
    </row>
    <row r="429" spans="1:12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" x14ac:dyDescent="0.25">
      <c r="A431" s="1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"/>
    </row>
    <row r="432" spans="1:12" ht="15" x14ac:dyDescent="0.25">
      <c r="A432" s="1"/>
      <c r="K432" s="103"/>
      <c r="L432" s="1"/>
    </row>
    <row r="433" spans="1:12" ht="15" x14ac:dyDescent="0.25">
      <c r="A433" s="1"/>
      <c r="B433" s="272" t="s">
        <v>644</v>
      </c>
      <c r="H433" s="37" t="str">
        <f>D406</f>
        <v xml:space="preserve">Talia Lucluba Madina, S.T.P </v>
      </c>
      <c r="I433" s="95"/>
      <c r="J433" s="92"/>
      <c r="K433" s="103"/>
      <c r="L433" s="1"/>
    </row>
    <row r="434" spans="1:12" ht="15" x14ac:dyDescent="0.25">
      <c r="A434" s="1"/>
      <c r="B434" s="273" t="s">
        <v>638</v>
      </c>
      <c r="C434" s="57"/>
      <c r="H434" s="269" t="s">
        <v>27</v>
      </c>
      <c r="K434" s="103"/>
    </row>
    <row r="438" spans="1:12" ht="15.75" x14ac:dyDescent="0.25">
      <c r="A438" s="3" t="s">
        <v>22</v>
      </c>
    </row>
    <row r="439" spans="1:12" ht="15.75" x14ac:dyDescent="0.2">
      <c r="A439" s="122" t="s">
        <v>20</v>
      </c>
    </row>
    <row r="440" spans="1:12" ht="15.75" x14ac:dyDescent="0.2">
      <c r="A440" s="122" t="s">
        <v>21</v>
      </c>
    </row>
    <row r="441" spans="1:12" ht="15.75" x14ac:dyDescent="0.2">
      <c r="A441" s="122"/>
    </row>
    <row r="442" spans="1:12" ht="12.75" x14ac:dyDescent="0.2"/>
    <row r="443" spans="1:12" ht="18.75" x14ac:dyDescent="0.3">
      <c r="A443" s="276" t="s">
        <v>6</v>
      </c>
      <c r="B443" s="276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</row>
    <row r="444" spans="1:12" ht="18.75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</row>
    <row r="445" spans="1:12" ht="15" x14ac:dyDescent="0.25">
      <c r="A445" s="1"/>
      <c r="B445" s="1"/>
    </row>
    <row r="446" spans="1:12" ht="15" x14ac:dyDescent="0.25">
      <c r="A446" s="1" t="s">
        <v>7</v>
      </c>
      <c r="B446" s="1"/>
    </row>
    <row r="447" spans="1:12" ht="15" x14ac:dyDescent="0.25">
      <c r="A447" s="1"/>
      <c r="B447" s="1"/>
    </row>
    <row r="448" spans="1:12" ht="15" x14ac:dyDescent="0.25">
      <c r="A448" s="1" t="s">
        <v>8</v>
      </c>
      <c r="C448" s="9" t="s">
        <v>1</v>
      </c>
      <c r="D448" s="37" t="s">
        <v>688</v>
      </c>
      <c r="E448" s="76"/>
      <c r="F448" s="76"/>
      <c r="G448" s="76"/>
      <c r="H448" s="76"/>
    </row>
    <row r="449" spans="1:12" ht="15" x14ac:dyDescent="0.25">
      <c r="A449" s="1" t="s">
        <v>9</v>
      </c>
      <c r="C449" s="9" t="s">
        <v>1</v>
      </c>
      <c r="D449" s="1" t="s">
        <v>689</v>
      </c>
      <c r="E449" s="76"/>
      <c r="F449" s="76"/>
      <c r="G449" s="76"/>
      <c r="H449" s="76"/>
    </row>
    <row r="450" spans="1:12" ht="15.75" x14ac:dyDescent="0.25">
      <c r="A450" s="50" t="s">
        <v>10</v>
      </c>
      <c r="B450" s="76"/>
      <c r="C450" s="91" t="s">
        <v>1</v>
      </c>
      <c r="D450" s="268" t="s">
        <v>250</v>
      </c>
      <c r="E450" s="76"/>
      <c r="F450" s="76"/>
      <c r="G450" s="76"/>
      <c r="H450" s="76"/>
      <c r="I450" s="76"/>
      <c r="J450" s="76"/>
      <c r="K450" s="76"/>
      <c r="L450" s="76"/>
    </row>
    <row r="451" spans="1:12" ht="15" x14ac:dyDescent="0.25">
      <c r="A451" s="1"/>
      <c r="B451" s="1"/>
      <c r="D451" s="1"/>
    </row>
    <row r="452" spans="1:12" ht="35.25" customHeight="1" x14ac:dyDescent="0.2">
      <c r="A452" s="277" t="s">
        <v>673</v>
      </c>
      <c r="B452" s="277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</row>
    <row r="453" spans="1:12" ht="15" x14ac:dyDescent="0.25">
      <c r="A453" s="1"/>
      <c r="B453" s="1"/>
    </row>
    <row r="454" spans="1:12" ht="30.75" customHeight="1" thickBot="1" x14ac:dyDescent="0.25">
      <c r="A454" s="10" t="s">
        <v>0</v>
      </c>
      <c r="B454" s="278" t="s">
        <v>91</v>
      </c>
      <c r="C454" s="278"/>
      <c r="D454" s="278"/>
      <c r="E454" s="278"/>
      <c r="F454" s="278"/>
      <c r="G454" s="278"/>
      <c r="H454" s="278"/>
      <c r="I454" s="278"/>
      <c r="J454" s="278"/>
      <c r="K454" s="278"/>
      <c r="L454" s="278"/>
    </row>
    <row r="455" spans="1:12" ht="15.75" thickTop="1" x14ac:dyDescent="0.25">
      <c r="A455" s="1"/>
      <c r="B455" s="11" t="s">
        <v>3</v>
      </c>
      <c r="C455" s="12" t="s">
        <v>4</v>
      </c>
      <c r="D455" s="13"/>
      <c r="E455" s="13"/>
      <c r="F455" s="13"/>
      <c r="G455" s="13"/>
      <c r="H455" s="14"/>
      <c r="I455" s="15" t="s">
        <v>5</v>
      </c>
      <c r="J455" s="12" t="s">
        <v>17</v>
      </c>
      <c r="K455" s="13"/>
      <c r="L455" s="14"/>
    </row>
    <row r="456" spans="1:12" ht="15" x14ac:dyDescent="0.2">
      <c r="A456" s="50"/>
      <c r="B456" s="143">
        <v>1</v>
      </c>
      <c r="C456" s="129" t="s">
        <v>640</v>
      </c>
      <c r="D456" s="130"/>
      <c r="E456" s="130"/>
      <c r="F456" s="217"/>
      <c r="G456" s="76"/>
      <c r="H456" s="79"/>
      <c r="I456" s="56">
        <v>170000</v>
      </c>
      <c r="J456" s="76" t="s">
        <v>204</v>
      </c>
      <c r="K456" s="76"/>
      <c r="L456" s="79"/>
    </row>
    <row r="457" spans="1:12" ht="15" x14ac:dyDescent="0.2">
      <c r="A457" s="50"/>
      <c r="B457" s="100"/>
      <c r="C457" s="76"/>
      <c r="D457" s="76"/>
      <c r="E457" s="76"/>
      <c r="F457" s="169"/>
      <c r="G457" s="76"/>
      <c r="H457" s="76"/>
      <c r="I457" s="56"/>
      <c r="J457" s="76"/>
      <c r="K457" s="76"/>
      <c r="L457" s="79"/>
    </row>
    <row r="458" spans="1:12" ht="15" x14ac:dyDescent="0.2">
      <c r="A458" s="50"/>
      <c r="B458" s="100"/>
      <c r="C458" s="76"/>
      <c r="D458" s="76"/>
      <c r="E458" s="76"/>
      <c r="F458" s="169"/>
      <c r="G458" s="76"/>
      <c r="H458" s="76"/>
      <c r="I458" s="56"/>
      <c r="J458" s="76"/>
      <c r="K458" s="76"/>
      <c r="L458" s="79"/>
    </row>
    <row r="459" spans="1:12" ht="15" x14ac:dyDescent="0.2">
      <c r="A459" s="50"/>
      <c r="B459" s="100"/>
      <c r="C459" s="76"/>
      <c r="D459" s="76"/>
      <c r="E459" s="76"/>
      <c r="F459" s="169"/>
      <c r="G459" s="76"/>
      <c r="H459" s="76"/>
      <c r="I459" s="56"/>
      <c r="J459" s="76"/>
      <c r="K459" s="76"/>
      <c r="L459" s="79"/>
    </row>
    <row r="460" spans="1:12" ht="15" x14ac:dyDescent="0.25">
      <c r="A460" s="1"/>
      <c r="B460" s="39"/>
      <c r="C460" s="1"/>
      <c r="D460" s="1"/>
      <c r="E460" s="1"/>
      <c r="F460" s="40" t="s">
        <v>5</v>
      </c>
      <c r="G460" s="40"/>
      <c r="H460" s="1"/>
      <c r="I460" s="41">
        <f>I456</f>
        <v>170000</v>
      </c>
      <c r="J460" s="1"/>
      <c r="K460" s="1"/>
      <c r="L460" s="42"/>
    </row>
    <row r="461" spans="1:12" ht="15.75" thickBot="1" x14ac:dyDescent="0.3">
      <c r="A461" s="1"/>
      <c r="B461" s="43"/>
      <c r="C461" s="44"/>
      <c r="D461" s="44"/>
      <c r="E461" s="44"/>
      <c r="F461" s="45"/>
      <c r="G461" s="45"/>
      <c r="H461" s="44"/>
      <c r="I461" s="46"/>
      <c r="J461" s="44"/>
      <c r="K461" s="44"/>
      <c r="L461" s="47"/>
    </row>
    <row r="462" spans="1:12" ht="15.75" thickTop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44.25" customHeight="1" x14ac:dyDescent="0.2">
      <c r="A463" s="10" t="s">
        <v>2</v>
      </c>
      <c r="B463" s="279" t="s">
        <v>11</v>
      </c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</row>
    <row r="464" spans="1:12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" x14ac:dyDescent="0.2">
      <c r="A465" s="280" t="s">
        <v>12</v>
      </c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</row>
    <row r="466" spans="1:12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" x14ac:dyDescent="0.25">
      <c r="A468" s="1"/>
      <c r="B468" s="1"/>
      <c r="C468" s="1"/>
      <c r="D468" s="1"/>
      <c r="E468" s="1"/>
      <c r="F468" s="1"/>
      <c r="G468" s="1"/>
      <c r="H468" s="4" t="s">
        <v>674</v>
      </c>
    </row>
    <row r="469" spans="1:12" ht="15" x14ac:dyDescent="0.25">
      <c r="A469" s="1"/>
      <c r="B469" s="1" t="s">
        <v>15</v>
      </c>
      <c r="C469" s="1"/>
      <c r="D469" s="1"/>
      <c r="E469" s="1"/>
      <c r="F469" s="1"/>
      <c r="G469" s="1"/>
      <c r="H469" s="4" t="s">
        <v>13</v>
      </c>
    </row>
    <row r="470" spans="1:12" ht="15" x14ac:dyDescent="0.2">
      <c r="A470" s="48"/>
      <c r="B470" s="48" t="s">
        <v>18</v>
      </c>
      <c r="C470" s="48"/>
      <c r="D470" s="48"/>
      <c r="E470" s="48"/>
      <c r="F470" s="48"/>
      <c r="G470" s="48"/>
      <c r="H470" s="99" t="s">
        <v>14</v>
      </c>
      <c r="I470" s="99"/>
      <c r="J470" s="99"/>
      <c r="K470" s="99"/>
      <c r="L470" s="99"/>
    </row>
    <row r="471" spans="1:12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" x14ac:dyDescent="0.25">
      <c r="A473" s="1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"/>
    </row>
    <row r="474" spans="1:12" ht="15" x14ac:dyDescent="0.25">
      <c r="A474" s="1"/>
      <c r="K474" s="103"/>
      <c r="L474" s="1"/>
    </row>
    <row r="475" spans="1:12" ht="15" x14ac:dyDescent="0.25">
      <c r="A475" s="1"/>
      <c r="B475" s="272" t="s">
        <v>644</v>
      </c>
      <c r="H475" s="37" t="str">
        <f>D448</f>
        <v xml:space="preserve">Alvindra Pratama, S.T </v>
      </c>
      <c r="I475" s="95"/>
      <c r="J475" s="92"/>
      <c r="K475" s="103"/>
      <c r="L475" s="1"/>
    </row>
    <row r="476" spans="1:12" ht="15" x14ac:dyDescent="0.25">
      <c r="A476" s="1"/>
      <c r="B476" s="273" t="s">
        <v>638</v>
      </c>
      <c r="C476" s="57"/>
      <c r="H476" s="269" t="s">
        <v>27</v>
      </c>
      <c r="K476" s="103"/>
    </row>
    <row r="481" spans="1:12" ht="15.75" x14ac:dyDescent="0.25">
      <c r="A481" s="3" t="s">
        <v>22</v>
      </c>
    </row>
    <row r="482" spans="1:12" ht="15.75" x14ac:dyDescent="0.2">
      <c r="A482" s="122" t="s">
        <v>20</v>
      </c>
    </row>
    <row r="483" spans="1:12" ht="15.75" x14ac:dyDescent="0.2">
      <c r="A483" s="122" t="s">
        <v>21</v>
      </c>
    </row>
    <row r="484" spans="1:12" ht="15.75" x14ac:dyDescent="0.2">
      <c r="A484" s="122"/>
    </row>
    <row r="485" spans="1:12" ht="12.75" x14ac:dyDescent="0.2"/>
    <row r="486" spans="1:12" ht="18.75" x14ac:dyDescent="0.3">
      <c r="A486" s="276" t="s">
        <v>6</v>
      </c>
      <c r="B486" s="276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</row>
    <row r="487" spans="1:12" ht="18.75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</row>
    <row r="488" spans="1:12" ht="15" x14ac:dyDescent="0.25">
      <c r="A488" s="1"/>
      <c r="B488" s="1"/>
    </row>
    <row r="489" spans="1:12" ht="15" x14ac:dyDescent="0.25">
      <c r="A489" s="1" t="s">
        <v>7</v>
      </c>
      <c r="B489" s="1"/>
    </row>
    <row r="490" spans="1:12" ht="15" x14ac:dyDescent="0.25">
      <c r="A490" s="1"/>
      <c r="B490" s="1"/>
    </row>
    <row r="491" spans="1:12" ht="15" x14ac:dyDescent="0.25">
      <c r="A491" s="1" t="s">
        <v>8</v>
      </c>
      <c r="C491" s="9" t="s">
        <v>1</v>
      </c>
      <c r="D491" s="37" t="s">
        <v>690</v>
      </c>
      <c r="E491" s="76"/>
      <c r="F491" s="76"/>
      <c r="G491" s="76"/>
      <c r="H491" s="76"/>
    </row>
    <row r="492" spans="1:12" ht="15" x14ac:dyDescent="0.25">
      <c r="A492" s="1" t="s">
        <v>9</v>
      </c>
      <c r="C492" s="9" t="s">
        <v>1</v>
      </c>
      <c r="D492" s="7" t="s">
        <v>74</v>
      </c>
      <c r="E492" s="76"/>
      <c r="F492" s="76"/>
      <c r="G492" s="76"/>
      <c r="H492" s="76"/>
    </row>
    <row r="493" spans="1:12" ht="15.75" x14ac:dyDescent="0.25">
      <c r="A493" s="50" t="s">
        <v>10</v>
      </c>
      <c r="B493" s="76"/>
      <c r="C493" s="91" t="s">
        <v>1</v>
      </c>
      <c r="D493" s="268" t="s">
        <v>691</v>
      </c>
      <c r="E493" s="76"/>
      <c r="F493" s="76"/>
      <c r="G493" s="76"/>
      <c r="H493" s="76"/>
      <c r="I493" s="76"/>
      <c r="J493" s="76"/>
      <c r="K493" s="76"/>
      <c r="L493" s="76"/>
    </row>
    <row r="494" spans="1:12" ht="15" x14ac:dyDescent="0.25">
      <c r="A494" s="1"/>
      <c r="B494" s="1"/>
      <c r="D494" s="1"/>
    </row>
    <row r="495" spans="1:12" ht="33" customHeight="1" x14ac:dyDescent="0.2">
      <c r="A495" s="277" t="s">
        <v>673</v>
      </c>
      <c r="B495" s="277"/>
      <c r="C495" s="277"/>
      <c r="D495" s="277"/>
      <c r="E495" s="277"/>
      <c r="F495" s="277"/>
      <c r="G495" s="277"/>
      <c r="H495" s="277"/>
      <c r="I495" s="277"/>
      <c r="J495" s="277"/>
      <c r="K495" s="277"/>
      <c r="L495" s="277"/>
    </row>
    <row r="496" spans="1:12" ht="15" x14ac:dyDescent="0.25">
      <c r="A496" s="1"/>
      <c r="B496" s="1"/>
    </row>
    <row r="497" spans="1:12" ht="33.75" customHeight="1" thickBot="1" x14ac:dyDescent="0.25">
      <c r="A497" s="10" t="s">
        <v>0</v>
      </c>
      <c r="B497" s="278" t="s">
        <v>91</v>
      </c>
      <c r="C497" s="278"/>
      <c r="D497" s="278"/>
      <c r="E497" s="278"/>
      <c r="F497" s="278"/>
      <c r="G497" s="278"/>
      <c r="H497" s="278"/>
      <c r="I497" s="278"/>
      <c r="J497" s="278"/>
      <c r="K497" s="278"/>
      <c r="L497" s="278"/>
    </row>
    <row r="498" spans="1:12" ht="15.75" thickTop="1" x14ac:dyDescent="0.25">
      <c r="A498" s="1"/>
      <c r="B498" s="11" t="s">
        <v>3</v>
      </c>
      <c r="C498" s="12" t="s">
        <v>4</v>
      </c>
      <c r="D498" s="13"/>
      <c r="E498" s="13"/>
      <c r="F498" s="13"/>
      <c r="G498" s="13"/>
      <c r="H498" s="14"/>
      <c r="I498" s="15" t="s">
        <v>5</v>
      </c>
      <c r="J498" s="12" t="s">
        <v>17</v>
      </c>
      <c r="K498" s="13"/>
      <c r="L498" s="14"/>
    </row>
    <row r="499" spans="1:12" ht="15" x14ac:dyDescent="0.2">
      <c r="A499" s="50"/>
      <c r="B499" s="143">
        <v>1</v>
      </c>
      <c r="C499" s="129" t="s">
        <v>640</v>
      </c>
      <c r="D499" s="130"/>
      <c r="E499" s="130"/>
      <c r="F499" s="217"/>
      <c r="G499" s="76"/>
      <c r="H499" s="79"/>
      <c r="I499" s="56">
        <v>170000</v>
      </c>
      <c r="J499" s="76" t="s">
        <v>204</v>
      </c>
      <c r="K499" s="76"/>
      <c r="L499" s="79"/>
    </row>
    <row r="500" spans="1:12" ht="15" x14ac:dyDescent="0.2">
      <c r="A500" s="50"/>
      <c r="B500" s="100"/>
      <c r="C500" s="76"/>
      <c r="D500" s="76"/>
      <c r="E500" s="76"/>
      <c r="F500" s="169"/>
      <c r="G500" s="76"/>
      <c r="H500" s="76"/>
      <c r="I500" s="56"/>
      <c r="J500" s="76"/>
      <c r="K500" s="76"/>
      <c r="L500" s="79"/>
    </row>
    <row r="501" spans="1:12" ht="15" x14ac:dyDescent="0.2">
      <c r="A501" s="50"/>
      <c r="B501" s="100"/>
      <c r="C501" s="76"/>
      <c r="D501" s="76"/>
      <c r="E501" s="76"/>
      <c r="F501" s="169"/>
      <c r="G501" s="76"/>
      <c r="H501" s="76"/>
      <c r="I501" s="56"/>
      <c r="J501" s="76"/>
      <c r="K501" s="76"/>
      <c r="L501" s="79"/>
    </row>
    <row r="502" spans="1:12" ht="15" x14ac:dyDescent="0.2">
      <c r="A502" s="50"/>
      <c r="B502" s="100"/>
      <c r="C502" s="76"/>
      <c r="D502" s="76"/>
      <c r="E502" s="76"/>
      <c r="F502" s="169"/>
      <c r="G502" s="76"/>
      <c r="H502" s="76"/>
      <c r="I502" s="56"/>
      <c r="J502" s="76"/>
      <c r="K502" s="76"/>
      <c r="L502" s="79"/>
    </row>
    <row r="503" spans="1:12" ht="15" x14ac:dyDescent="0.25">
      <c r="A503" s="1"/>
      <c r="B503" s="39"/>
      <c r="C503" s="1"/>
      <c r="D503" s="1"/>
      <c r="E503" s="1"/>
      <c r="F503" s="40" t="s">
        <v>5</v>
      </c>
      <c r="G503" s="40"/>
      <c r="H503" s="1"/>
      <c r="I503" s="41">
        <f>I499</f>
        <v>170000</v>
      </c>
      <c r="J503" s="1"/>
      <c r="K503" s="1"/>
      <c r="L503" s="42"/>
    </row>
    <row r="504" spans="1:12" ht="15.75" thickBot="1" x14ac:dyDescent="0.3">
      <c r="A504" s="1"/>
      <c r="B504" s="43"/>
      <c r="C504" s="44"/>
      <c r="D504" s="44"/>
      <c r="E504" s="44"/>
      <c r="F504" s="45"/>
      <c r="G504" s="45"/>
      <c r="H504" s="44"/>
      <c r="I504" s="46"/>
      <c r="J504" s="44"/>
      <c r="K504" s="44"/>
      <c r="L504" s="47"/>
    </row>
    <row r="505" spans="1:12" ht="15.75" thickTop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47.25" customHeight="1" x14ac:dyDescent="0.2">
      <c r="A506" s="10" t="s">
        <v>2</v>
      </c>
      <c r="B506" s="279" t="s">
        <v>11</v>
      </c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</row>
    <row r="507" spans="1:12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" x14ac:dyDescent="0.2">
      <c r="A508" s="280" t="s">
        <v>12</v>
      </c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</row>
    <row r="509" spans="1:12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" x14ac:dyDescent="0.25">
      <c r="A511" s="1"/>
      <c r="B511" s="1"/>
      <c r="C511" s="1"/>
      <c r="D511" s="1"/>
      <c r="E511" s="1"/>
      <c r="F511" s="1"/>
      <c r="G511" s="1"/>
      <c r="H511" s="4" t="s">
        <v>674</v>
      </c>
    </row>
    <row r="512" spans="1:12" ht="15" x14ac:dyDescent="0.25">
      <c r="A512" s="1"/>
      <c r="B512" s="1" t="s">
        <v>15</v>
      </c>
      <c r="C512" s="1"/>
      <c r="D512" s="1"/>
      <c r="E512" s="1"/>
      <c r="F512" s="1"/>
      <c r="G512" s="1"/>
      <c r="H512" s="4" t="s">
        <v>13</v>
      </c>
    </row>
    <row r="513" spans="1:12" ht="15" x14ac:dyDescent="0.2">
      <c r="A513" s="48"/>
      <c r="B513" s="48" t="s">
        <v>18</v>
      </c>
      <c r="C513" s="48"/>
      <c r="D513" s="48"/>
      <c r="E513" s="48"/>
      <c r="F513" s="48"/>
      <c r="G513" s="48"/>
      <c r="H513" s="99" t="s">
        <v>14</v>
      </c>
      <c r="I513" s="99"/>
      <c r="J513" s="99"/>
      <c r="K513" s="99"/>
      <c r="L513" s="99"/>
    </row>
    <row r="514" spans="1:12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" x14ac:dyDescent="0.25">
      <c r="A516" s="1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"/>
    </row>
    <row r="517" spans="1:12" ht="15" x14ac:dyDescent="0.25">
      <c r="A517" s="1"/>
      <c r="K517" s="103"/>
      <c r="L517" s="1"/>
    </row>
    <row r="518" spans="1:12" ht="15" x14ac:dyDescent="0.25">
      <c r="A518" s="1"/>
      <c r="B518" s="272" t="s">
        <v>644</v>
      </c>
      <c r="H518" s="37" t="str">
        <f>D491</f>
        <v xml:space="preserve">Agus Setiawan </v>
      </c>
      <c r="I518" s="95"/>
      <c r="J518" s="92"/>
      <c r="K518" s="103"/>
      <c r="L518" s="1"/>
    </row>
    <row r="519" spans="1:12" ht="15" x14ac:dyDescent="0.25">
      <c r="A519" s="1"/>
      <c r="B519" s="273" t="s">
        <v>638</v>
      </c>
      <c r="C519" s="57"/>
      <c r="H519" s="269" t="s">
        <v>74</v>
      </c>
      <c r="K519" s="103"/>
    </row>
    <row r="524" spans="1:12" ht="15.75" x14ac:dyDescent="0.25">
      <c r="A524" s="3" t="s">
        <v>22</v>
      </c>
    </row>
    <row r="525" spans="1:12" ht="15.75" x14ac:dyDescent="0.2">
      <c r="A525" s="122" t="s">
        <v>20</v>
      </c>
    </row>
    <row r="526" spans="1:12" ht="15.75" x14ac:dyDescent="0.2">
      <c r="A526" s="122" t="s">
        <v>21</v>
      </c>
    </row>
    <row r="527" spans="1:12" ht="15.75" x14ac:dyDescent="0.2">
      <c r="A527" s="122"/>
    </row>
    <row r="528" spans="1:12" ht="12.75" x14ac:dyDescent="0.2"/>
    <row r="529" spans="1:12" ht="18.75" x14ac:dyDescent="0.3">
      <c r="A529" s="276" t="s">
        <v>6</v>
      </c>
      <c r="B529" s="276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</row>
    <row r="530" spans="1:12" ht="18.75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</row>
    <row r="531" spans="1:12" ht="15" x14ac:dyDescent="0.25">
      <c r="A531" s="1"/>
      <c r="B531" s="1"/>
    </row>
    <row r="532" spans="1:12" ht="15" x14ac:dyDescent="0.25">
      <c r="A532" s="1" t="s">
        <v>7</v>
      </c>
      <c r="B532" s="1"/>
    </row>
    <row r="533" spans="1:12" ht="15" x14ac:dyDescent="0.25">
      <c r="A533" s="1"/>
      <c r="B533" s="1"/>
    </row>
    <row r="534" spans="1:12" ht="15" x14ac:dyDescent="0.25">
      <c r="A534" s="1" t="s">
        <v>8</v>
      </c>
      <c r="C534" s="9" t="s">
        <v>1</v>
      </c>
      <c r="D534" s="37" t="s">
        <v>682</v>
      </c>
      <c r="E534" s="76"/>
      <c r="F534" s="76"/>
      <c r="G534" s="76"/>
      <c r="H534" s="76"/>
    </row>
    <row r="535" spans="1:12" ht="15" x14ac:dyDescent="0.25">
      <c r="A535" s="1" t="s">
        <v>9</v>
      </c>
      <c r="C535" s="9" t="s">
        <v>1</v>
      </c>
      <c r="D535" s="1" t="s">
        <v>683</v>
      </c>
      <c r="E535" s="76"/>
      <c r="F535" s="76"/>
      <c r="G535" s="76"/>
      <c r="H535" s="76"/>
    </row>
    <row r="536" spans="1:12" ht="15.75" x14ac:dyDescent="0.25">
      <c r="A536" s="50" t="s">
        <v>10</v>
      </c>
      <c r="B536" s="76"/>
      <c r="C536" s="91" t="s">
        <v>1</v>
      </c>
      <c r="D536" s="268" t="s">
        <v>684</v>
      </c>
      <c r="E536" s="76"/>
      <c r="F536" s="76"/>
      <c r="G536" s="76"/>
      <c r="H536" s="76"/>
      <c r="I536" s="76"/>
      <c r="J536" s="76"/>
      <c r="K536" s="76"/>
      <c r="L536" s="76"/>
    </row>
    <row r="537" spans="1:12" ht="15" x14ac:dyDescent="0.25">
      <c r="A537" s="1"/>
      <c r="B537" s="1"/>
      <c r="D537" s="1"/>
    </row>
    <row r="538" spans="1:12" ht="29.25" customHeight="1" x14ac:dyDescent="0.2">
      <c r="A538" s="277" t="s">
        <v>693</v>
      </c>
      <c r="B538" s="277"/>
      <c r="C538" s="277"/>
      <c r="D538" s="277"/>
      <c r="E538" s="277"/>
      <c r="F538" s="277"/>
      <c r="G538" s="277"/>
      <c r="H538" s="277"/>
      <c r="I538" s="277"/>
      <c r="J538" s="277"/>
      <c r="K538" s="277"/>
      <c r="L538" s="277"/>
    </row>
    <row r="539" spans="1:12" ht="15" x14ac:dyDescent="0.25">
      <c r="A539" s="1"/>
      <c r="B539" s="1"/>
    </row>
    <row r="540" spans="1:12" ht="33.75" customHeight="1" thickBot="1" x14ac:dyDescent="0.25">
      <c r="A540" s="10" t="s">
        <v>0</v>
      </c>
      <c r="B540" s="278" t="s">
        <v>91</v>
      </c>
      <c r="C540" s="278"/>
      <c r="D540" s="278"/>
      <c r="E540" s="278"/>
      <c r="F540" s="278"/>
      <c r="G540" s="278"/>
      <c r="H540" s="278"/>
      <c r="I540" s="278"/>
      <c r="J540" s="278"/>
      <c r="K540" s="278"/>
      <c r="L540" s="278"/>
    </row>
    <row r="541" spans="1:12" ht="15.75" thickTop="1" x14ac:dyDescent="0.25">
      <c r="A541" s="1"/>
      <c r="B541" s="11" t="s">
        <v>3</v>
      </c>
      <c r="C541" s="12" t="s">
        <v>4</v>
      </c>
      <c r="D541" s="13"/>
      <c r="E541" s="13"/>
      <c r="F541" s="13"/>
      <c r="G541" s="13"/>
      <c r="H541" s="14"/>
      <c r="I541" s="15" t="s">
        <v>5</v>
      </c>
      <c r="J541" s="12" t="s">
        <v>17</v>
      </c>
      <c r="K541" s="13"/>
      <c r="L541" s="14"/>
    </row>
    <row r="542" spans="1:12" ht="15" x14ac:dyDescent="0.2">
      <c r="A542" s="50"/>
      <c r="B542" s="143">
        <v>1</v>
      </c>
      <c r="C542" s="129" t="s">
        <v>640</v>
      </c>
      <c r="D542" s="130"/>
      <c r="E542" s="130"/>
      <c r="F542" s="217"/>
      <c r="G542" s="76"/>
      <c r="H542" s="79"/>
      <c r="I542" s="56">
        <v>150000</v>
      </c>
      <c r="J542" s="76" t="s">
        <v>204</v>
      </c>
      <c r="K542" s="76"/>
      <c r="L542" s="79"/>
    </row>
    <row r="543" spans="1:12" ht="15" x14ac:dyDescent="0.2">
      <c r="A543" s="50"/>
      <c r="B543" s="100"/>
      <c r="C543" s="76"/>
      <c r="D543" s="76"/>
      <c r="E543" s="76"/>
      <c r="F543" s="169"/>
      <c r="G543" s="76"/>
      <c r="H543" s="76"/>
      <c r="I543" s="56"/>
      <c r="J543" s="76"/>
      <c r="K543" s="76"/>
      <c r="L543" s="79"/>
    </row>
    <row r="544" spans="1:12" ht="15" x14ac:dyDescent="0.2">
      <c r="A544" s="50"/>
      <c r="B544" s="100"/>
      <c r="C544" s="76"/>
      <c r="D544" s="76"/>
      <c r="E544" s="76"/>
      <c r="F544" s="169"/>
      <c r="G544" s="76"/>
      <c r="H544" s="76"/>
      <c r="I544" s="56"/>
      <c r="J544" s="76"/>
      <c r="K544" s="76"/>
      <c r="L544" s="79"/>
    </row>
    <row r="545" spans="1:12" ht="15" x14ac:dyDescent="0.2">
      <c r="A545" s="50"/>
      <c r="B545" s="100"/>
      <c r="C545" s="76"/>
      <c r="D545" s="76"/>
      <c r="E545" s="76"/>
      <c r="F545" s="169"/>
      <c r="G545" s="76"/>
      <c r="H545" s="76"/>
      <c r="I545" s="56"/>
      <c r="J545" s="76"/>
      <c r="K545" s="76"/>
      <c r="L545" s="79"/>
    </row>
    <row r="546" spans="1:12" ht="15" x14ac:dyDescent="0.25">
      <c r="A546" s="1"/>
      <c r="B546" s="39"/>
      <c r="C546" s="1"/>
      <c r="D546" s="1"/>
      <c r="E546" s="1"/>
      <c r="F546" s="40" t="s">
        <v>5</v>
      </c>
      <c r="G546" s="40"/>
      <c r="H546" s="1"/>
      <c r="I546" s="41">
        <f>I542</f>
        <v>150000</v>
      </c>
      <c r="J546" s="1"/>
      <c r="K546" s="1"/>
      <c r="L546" s="42"/>
    </row>
    <row r="547" spans="1:12" ht="15.75" thickBot="1" x14ac:dyDescent="0.3">
      <c r="A547" s="1"/>
      <c r="B547" s="43"/>
      <c r="C547" s="44"/>
      <c r="D547" s="44"/>
      <c r="E547" s="44"/>
      <c r="F547" s="45"/>
      <c r="G547" s="45"/>
      <c r="H547" s="44"/>
      <c r="I547" s="46"/>
      <c r="J547" s="44"/>
      <c r="K547" s="44"/>
      <c r="L547" s="47"/>
    </row>
    <row r="548" spans="1:12" ht="15.75" thickTop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45.75" customHeight="1" x14ac:dyDescent="0.2">
      <c r="A549" s="10" t="s">
        <v>2</v>
      </c>
      <c r="B549" s="279" t="s">
        <v>11</v>
      </c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</row>
    <row r="550" spans="1:12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" x14ac:dyDescent="0.2">
      <c r="A551" s="280" t="s">
        <v>12</v>
      </c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</row>
    <row r="552" spans="1:12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" x14ac:dyDescent="0.25">
      <c r="A554" s="1"/>
      <c r="B554" s="1"/>
      <c r="C554" s="1"/>
      <c r="D554" s="1"/>
      <c r="E554" s="1"/>
      <c r="F554" s="1"/>
      <c r="G554" s="1"/>
      <c r="H554" s="4" t="s">
        <v>692</v>
      </c>
    </row>
    <row r="555" spans="1:12" ht="15" x14ac:dyDescent="0.25">
      <c r="A555" s="1"/>
      <c r="B555" s="1" t="s">
        <v>15</v>
      </c>
      <c r="C555" s="1"/>
      <c r="D555" s="1"/>
      <c r="E555" s="1"/>
      <c r="F555" s="1"/>
      <c r="G555" s="1"/>
      <c r="H555" s="4" t="s">
        <v>13</v>
      </c>
    </row>
    <row r="556" spans="1:12" ht="15" x14ac:dyDescent="0.2">
      <c r="A556" s="48"/>
      <c r="B556" s="48" t="s">
        <v>18</v>
      </c>
      <c r="C556" s="48"/>
      <c r="D556" s="48"/>
      <c r="E556" s="48"/>
      <c r="F556" s="48"/>
      <c r="G556" s="48"/>
      <c r="H556" s="99" t="s">
        <v>14</v>
      </c>
      <c r="I556" s="99"/>
      <c r="J556" s="99"/>
      <c r="K556" s="99"/>
      <c r="L556" s="99"/>
    </row>
    <row r="557" spans="1:12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" x14ac:dyDescent="0.25">
      <c r="A559" s="1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"/>
    </row>
    <row r="560" spans="1:12" ht="15" x14ac:dyDescent="0.25">
      <c r="A560" s="1"/>
      <c r="K560" s="103"/>
      <c r="L560" s="1"/>
    </row>
    <row r="561" spans="1:12" ht="15" x14ac:dyDescent="0.25">
      <c r="A561" s="1"/>
      <c r="B561" s="272" t="s">
        <v>644</v>
      </c>
      <c r="H561" s="37" t="str">
        <f>D534</f>
        <v xml:space="preserve">Ika Kartika, S.T.P </v>
      </c>
      <c r="I561" s="95"/>
      <c r="J561" s="92"/>
      <c r="K561" s="103"/>
      <c r="L561" s="1"/>
    </row>
    <row r="562" spans="1:12" ht="15" x14ac:dyDescent="0.25">
      <c r="A562" s="1"/>
      <c r="B562" s="273" t="s">
        <v>638</v>
      </c>
      <c r="C562" s="57"/>
      <c r="H562" s="269" t="s">
        <v>27</v>
      </c>
      <c r="K562" s="103"/>
    </row>
    <row r="567" spans="1:12" ht="15.75" x14ac:dyDescent="0.25">
      <c r="A567" s="3" t="s">
        <v>22</v>
      </c>
    </row>
    <row r="568" spans="1:12" ht="15.75" x14ac:dyDescent="0.2">
      <c r="A568" s="122" t="s">
        <v>20</v>
      </c>
    </row>
    <row r="569" spans="1:12" ht="15.75" x14ac:dyDescent="0.2">
      <c r="A569" s="122" t="s">
        <v>21</v>
      </c>
    </row>
    <row r="570" spans="1:12" ht="15.75" x14ac:dyDescent="0.2">
      <c r="A570" s="122"/>
    </row>
    <row r="571" spans="1:12" ht="12.75" x14ac:dyDescent="0.2"/>
    <row r="572" spans="1:12" ht="18.75" x14ac:dyDescent="0.3">
      <c r="A572" s="276" t="s">
        <v>6</v>
      </c>
      <c r="B572" s="276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</row>
    <row r="573" spans="1:12" ht="18.75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</row>
    <row r="574" spans="1:12" ht="15" x14ac:dyDescent="0.25">
      <c r="A574" s="1"/>
      <c r="B574" s="1"/>
    </row>
    <row r="575" spans="1:12" ht="15" x14ac:dyDescent="0.25">
      <c r="A575" s="1" t="s">
        <v>7</v>
      </c>
      <c r="B575" s="1"/>
    </row>
    <row r="576" spans="1:12" ht="15" x14ac:dyDescent="0.25">
      <c r="A576" s="1"/>
      <c r="B576" s="1"/>
    </row>
    <row r="577" spans="1:12" ht="15" x14ac:dyDescent="0.25">
      <c r="A577" s="1" t="s">
        <v>8</v>
      </c>
      <c r="C577" s="9" t="s">
        <v>1</v>
      </c>
      <c r="D577" s="37" t="s">
        <v>96</v>
      </c>
      <c r="E577" s="76"/>
      <c r="F577" s="76"/>
      <c r="G577" s="76"/>
      <c r="H577" s="76"/>
    </row>
    <row r="578" spans="1:12" ht="15" x14ac:dyDescent="0.25">
      <c r="A578" s="1" t="s">
        <v>9</v>
      </c>
      <c r="C578" s="9" t="s">
        <v>1</v>
      </c>
      <c r="D578" s="1" t="s">
        <v>100</v>
      </c>
      <c r="E578" s="76"/>
      <c r="F578" s="76"/>
      <c r="G578" s="76"/>
      <c r="H578" s="76"/>
    </row>
    <row r="579" spans="1:12" ht="15" x14ac:dyDescent="0.25">
      <c r="A579" s="50" t="s">
        <v>10</v>
      </c>
      <c r="B579" s="76"/>
      <c r="C579" s="91" t="s">
        <v>1</v>
      </c>
      <c r="D579" s="1" t="s">
        <v>203</v>
      </c>
      <c r="E579" s="76"/>
      <c r="F579" s="76"/>
      <c r="G579" s="76"/>
      <c r="H579" s="76"/>
      <c r="I579" s="76"/>
      <c r="J579" s="76"/>
      <c r="K579" s="76"/>
      <c r="L579" s="76"/>
    </row>
    <row r="580" spans="1:12" ht="15" x14ac:dyDescent="0.25">
      <c r="A580" s="1"/>
      <c r="B580" s="1"/>
      <c r="D580" s="1"/>
    </row>
    <row r="581" spans="1:12" ht="33" customHeight="1" x14ac:dyDescent="0.2">
      <c r="A581" s="277" t="s">
        <v>693</v>
      </c>
      <c r="B581" s="277"/>
      <c r="C581" s="277"/>
      <c r="D581" s="277"/>
      <c r="E581" s="277"/>
      <c r="F581" s="277"/>
      <c r="G581" s="277"/>
      <c r="H581" s="277"/>
      <c r="I581" s="277"/>
      <c r="J581" s="277"/>
      <c r="K581" s="277"/>
      <c r="L581" s="277"/>
    </row>
    <row r="582" spans="1:12" ht="15" x14ac:dyDescent="0.25">
      <c r="A582" s="1"/>
      <c r="B582" s="1"/>
    </row>
    <row r="583" spans="1:12" ht="33" customHeight="1" thickBot="1" x14ac:dyDescent="0.25">
      <c r="A583" s="10" t="s">
        <v>0</v>
      </c>
      <c r="B583" s="278" t="s">
        <v>91</v>
      </c>
      <c r="C583" s="278"/>
      <c r="D583" s="278"/>
      <c r="E583" s="278"/>
      <c r="F583" s="278"/>
      <c r="G583" s="278"/>
      <c r="H583" s="278"/>
      <c r="I583" s="278"/>
      <c r="J583" s="278"/>
      <c r="K583" s="278"/>
      <c r="L583" s="278"/>
    </row>
    <row r="584" spans="1:12" ht="15.75" thickTop="1" x14ac:dyDescent="0.25">
      <c r="A584" s="1"/>
      <c r="B584" s="11" t="s">
        <v>3</v>
      </c>
      <c r="C584" s="12" t="s">
        <v>4</v>
      </c>
      <c r="D584" s="13"/>
      <c r="E584" s="13"/>
      <c r="F584" s="13"/>
      <c r="G584" s="13"/>
      <c r="H584" s="14"/>
      <c r="I584" s="15" t="s">
        <v>5</v>
      </c>
      <c r="J584" s="12" t="s">
        <v>17</v>
      </c>
      <c r="K584" s="13"/>
      <c r="L584" s="14"/>
    </row>
    <row r="585" spans="1:12" ht="15" x14ac:dyDescent="0.2">
      <c r="A585" s="50"/>
      <c r="B585" s="143">
        <v>1</v>
      </c>
      <c r="C585" s="129" t="s">
        <v>640</v>
      </c>
      <c r="D585" s="130"/>
      <c r="E585" s="130"/>
      <c r="F585" s="217"/>
      <c r="G585" s="76"/>
      <c r="H585" s="79"/>
      <c r="I585" s="56">
        <v>150000</v>
      </c>
      <c r="J585" s="76" t="s">
        <v>204</v>
      </c>
      <c r="K585" s="76"/>
      <c r="L585" s="79"/>
    </row>
    <row r="586" spans="1:12" ht="15" x14ac:dyDescent="0.2">
      <c r="A586" s="50"/>
      <c r="B586" s="100"/>
      <c r="C586" s="76"/>
      <c r="D586" s="76"/>
      <c r="E586" s="76"/>
      <c r="F586" s="169"/>
      <c r="G586" s="76"/>
      <c r="H586" s="76"/>
      <c r="I586" s="56"/>
      <c r="J586" s="76"/>
      <c r="K586" s="76"/>
      <c r="L586" s="79"/>
    </row>
    <row r="587" spans="1:12" ht="15" x14ac:dyDescent="0.2">
      <c r="A587" s="50"/>
      <c r="B587" s="100"/>
      <c r="C587" s="76"/>
      <c r="D587" s="76"/>
      <c r="E587" s="76"/>
      <c r="F587" s="169"/>
      <c r="G587" s="76"/>
      <c r="H587" s="76"/>
      <c r="I587" s="56"/>
      <c r="J587" s="76"/>
      <c r="K587" s="76"/>
      <c r="L587" s="79"/>
    </row>
    <row r="588" spans="1:12" ht="15" x14ac:dyDescent="0.2">
      <c r="A588" s="50"/>
      <c r="B588" s="100"/>
      <c r="C588" s="76"/>
      <c r="D588" s="76"/>
      <c r="E588" s="76"/>
      <c r="F588" s="169"/>
      <c r="G588" s="76"/>
      <c r="H588" s="76"/>
      <c r="I588" s="56"/>
      <c r="J588" s="76"/>
      <c r="K588" s="76"/>
      <c r="L588" s="79"/>
    </row>
    <row r="589" spans="1:12" ht="15" x14ac:dyDescent="0.25">
      <c r="A589" s="1"/>
      <c r="B589" s="39"/>
      <c r="C589" s="1"/>
      <c r="D589" s="1"/>
      <c r="E589" s="1"/>
      <c r="F589" s="40" t="s">
        <v>5</v>
      </c>
      <c r="G589" s="40"/>
      <c r="H589" s="1"/>
      <c r="I589" s="41">
        <f>I585</f>
        <v>150000</v>
      </c>
      <c r="J589" s="1"/>
      <c r="K589" s="1"/>
      <c r="L589" s="42"/>
    </row>
    <row r="590" spans="1:12" ht="15.75" thickBot="1" x14ac:dyDescent="0.3">
      <c r="A590" s="1"/>
      <c r="B590" s="43"/>
      <c r="C590" s="44"/>
      <c r="D590" s="44"/>
      <c r="E590" s="44"/>
      <c r="F590" s="45"/>
      <c r="G590" s="45"/>
      <c r="H590" s="44"/>
      <c r="I590" s="46"/>
      <c r="J590" s="44"/>
      <c r="K590" s="44"/>
      <c r="L590" s="47"/>
    </row>
    <row r="591" spans="1:12" ht="15.75" thickTop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47.25" customHeight="1" x14ac:dyDescent="0.2">
      <c r="A592" s="10" t="s">
        <v>2</v>
      </c>
      <c r="B592" s="279" t="s">
        <v>11</v>
      </c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</row>
    <row r="593" spans="1:12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" x14ac:dyDescent="0.2">
      <c r="A594" s="280" t="s">
        <v>12</v>
      </c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</row>
    <row r="595" spans="1:12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" x14ac:dyDescent="0.25">
      <c r="A597" s="1"/>
      <c r="B597" s="1"/>
      <c r="C597" s="1"/>
      <c r="D597" s="1"/>
      <c r="E597" s="1"/>
      <c r="F597" s="1"/>
      <c r="G597" s="1"/>
      <c r="H597" s="4" t="s">
        <v>692</v>
      </c>
    </row>
    <row r="598" spans="1:12" ht="15" x14ac:dyDescent="0.25">
      <c r="A598" s="1"/>
      <c r="B598" s="1" t="s">
        <v>15</v>
      </c>
      <c r="C598" s="1"/>
      <c r="D598" s="1"/>
      <c r="E598" s="1"/>
      <c r="F598" s="1"/>
      <c r="G598" s="1"/>
      <c r="H598" s="4" t="s">
        <v>13</v>
      </c>
    </row>
    <row r="599" spans="1:12" ht="15" x14ac:dyDescent="0.2">
      <c r="A599" s="48"/>
      <c r="B599" s="48" t="s">
        <v>18</v>
      </c>
      <c r="C599" s="48"/>
      <c r="D599" s="48"/>
      <c r="E599" s="48"/>
      <c r="F599" s="48"/>
      <c r="G599" s="48"/>
      <c r="H599" s="99" t="s">
        <v>14</v>
      </c>
      <c r="I599" s="99"/>
      <c r="J599" s="99"/>
      <c r="K599" s="99"/>
      <c r="L599" s="99"/>
    </row>
    <row r="600" spans="1:12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" x14ac:dyDescent="0.25">
      <c r="A602" s="1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"/>
    </row>
    <row r="603" spans="1:12" ht="15" x14ac:dyDescent="0.25">
      <c r="A603" s="1"/>
      <c r="K603" s="103"/>
      <c r="L603" s="1"/>
    </row>
    <row r="604" spans="1:12" ht="15" x14ac:dyDescent="0.25">
      <c r="A604" s="1"/>
      <c r="B604" s="272" t="s">
        <v>644</v>
      </c>
      <c r="H604" s="37" t="str">
        <f>D577</f>
        <v>Puspa Sari Paniti Ratri, S. Farm. Apt</v>
      </c>
      <c r="I604" s="95"/>
      <c r="J604" s="92"/>
      <c r="K604" s="103"/>
      <c r="L604" s="1"/>
    </row>
    <row r="605" spans="1:12" ht="15" x14ac:dyDescent="0.25">
      <c r="A605" s="1"/>
      <c r="B605" s="273" t="s">
        <v>638</v>
      </c>
      <c r="C605" s="57"/>
      <c r="H605" s="269" t="s">
        <v>27</v>
      </c>
      <c r="K605" s="103"/>
    </row>
    <row r="610" spans="1:12" ht="15.75" x14ac:dyDescent="0.25">
      <c r="A610" s="3" t="s">
        <v>22</v>
      </c>
    </row>
    <row r="611" spans="1:12" ht="15.75" x14ac:dyDescent="0.2">
      <c r="A611" s="122" t="s">
        <v>20</v>
      </c>
    </row>
    <row r="612" spans="1:12" ht="15.75" x14ac:dyDescent="0.2">
      <c r="A612" s="122" t="s">
        <v>21</v>
      </c>
    </row>
    <row r="613" spans="1:12" ht="15.75" x14ac:dyDescent="0.2">
      <c r="A613" s="122"/>
    </row>
    <row r="614" spans="1:12" ht="12.75" x14ac:dyDescent="0.2"/>
    <row r="615" spans="1:12" ht="18.75" x14ac:dyDescent="0.3">
      <c r="A615" s="276" t="s">
        <v>6</v>
      </c>
      <c r="B615" s="276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</row>
    <row r="616" spans="1:12" ht="18.75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</row>
    <row r="617" spans="1:12" ht="15" x14ac:dyDescent="0.25">
      <c r="A617" s="1"/>
      <c r="B617" s="1"/>
    </row>
    <row r="618" spans="1:12" ht="15" x14ac:dyDescent="0.25">
      <c r="A618" s="1" t="s">
        <v>7</v>
      </c>
      <c r="B618" s="1"/>
    </row>
    <row r="619" spans="1:12" ht="15" x14ac:dyDescent="0.25">
      <c r="A619" s="1"/>
      <c r="B619" s="1"/>
    </row>
    <row r="620" spans="1:12" ht="15" x14ac:dyDescent="0.25">
      <c r="A620" s="1" t="s">
        <v>8</v>
      </c>
      <c r="C620" s="9" t="s">
        <v>1</v>
      </c>
      <c r="D620" s="37" t="s">
        <v>554</v>
      </c>
      <c r="E620" s="76"/>
      <c r="F620" s="76"/>
      <c r="G620" s="76"/>
      <c r="H620" s="76"/>
    </row>
    <row r="621" spans="1:12" ht="15" x14ac:dyDescent="0.25">
      <c r="A621" s="1" t="s">
        <v>9</v>
      </c>
      <c r="C621" s="9" t="s">
        <v>1</v>
      </c>
      <c r="D621" s="1" t="s">
        <v>79</v>
      </c>
      <c r="E621" s="76"/>
      <c r="F621" s="76"/>
      <c r="G621" s="76"/>
      <c r="H621" s="76"/>
    </row>
    <row r="622" spans="1:12" ht="15" x14ac:dyDescent="0.25">
      <c r="A622" s="50" t="s">
        <v>10</v>
      </c>
      <c r="B622" s="76"/>
      <c r="C622" s="91" t="s">
        <v>1</v>
      </c>
      <c r="D622" s="1" t="s">
        <v>203</v>
      </c>
      <c r="E622" s="76"/>
      <c r="F622" s="76"/>
      <c r="G622" s="76"/>
      <c r="H622" s="76"/>
      <c r="I622" s="76"/>
      <c r="J622" s="76"/>
      <c r="K622" s="76"/>
      <c r="L622" s="76"/>
    </row>
    <row r="623" spans="1:12" ht="15" x14ac:dyDescent="0.25">
      <c r="A623" s="1"/>
      <c r="B623" s="1"/>
      <c r="D623" s="1"/>
    </row>
    <row r="624" spans="1:12" ht="30" customHeight="1" x14ac:dyDescent="0.2">
      <c r="A624" s="277" t="s">
        <v>693</v>
      </c>
      <c r="B624" s="277"/>
      <c r="C624" s="277"/>
      <c r="D624" s="277"/>
      <c r="E624" s="277"/>
      <c r="F624" s="277"/>
      <c r="G624" s="277"/>
      <c r="H624" s="277"/>
      <c r="I624" s="277"/>
      <c r="J624" s="277"/>
      <c r="K624" s="277"/>
      <c r="L624" s="277"/>
    </row>
    <row r="625" spans="1:12" ht="15" x14ac:dyDescent="0.25">
      <c r="A625" s="1"/>
      <c r="B625" s="1"/>
    </row>
    <row r="626" spans="1:12" ht="33.75" customHeight="1" thickBot="1" x14ac:dyDescent="0.25">
      <c r="A626" s="10" t="s">
        <v>0</v>
      </c>
      <c r="B626" s="278" t="s">
        <v>91</v>
      </c>
      <c r="C626" s="278"/>
      <c r="D626" s="278"/>
      <c r="E626" s="278"/>
      <c r="F626" s="278"/>
      <c r="G626" s="278"/>
      <c r="H626" s="278"/>
      <c r="I626" s="278"/>
      <c r="J626" s="278"/>
      <c r="K626" s="278"/>
      <c r="L626" s="278"/>
    </row>
    <row r="627" spans="1:12" ht="15.75" thickTop="1" x14ac:dyDescent="0.25">
      <c r="A627" s="1"/>
      <c r="B627" s="11" t="s">
        <v>3</v>
      </c>
      <c r="C627" s="12" t="s">
        <v>4</v>
      </c>
      <c r="D627" s="13"/>
      <c r="E627" s="13"/>
      <c r="F627" s="13"/>
      <c r="G627" s="13"/>
      <c r="H627" s="14"/>
      <c r="I627" s="15" t="s">
        <v>5</v>
      </c>
      <c r="J627" s="12" t="s">
        <v>17</v>
      </c>
      <c r="K627" s="13"/>
      <c r="L627" s="14"/>
    </row>
    <row r="628" spans="1:12" ht="15" x14ac:dyDescent="0.2">
      <c r="A628" s="50"/>
      <c r="B628" s="143">
        <v>1</v>
      </c>
      <c r="C628" s="129" t="s">
        <v>640</v>
      </c>
      <c r="D628" s="130"/>
      <c r="E628" s="130"/>
      <c r="F628" s="217"/>
      <c r="G628" s="76"/>
      <c r="H628" s="79"/>
      <c r="I628" s="56">
        <v>150000</v>
      </c>
      <c r="J628" s="76" t="s">
        <v>204</v>
      </c>
      <c r="K628" s="76"/>
      <c r="L628" s="79"/>
    </row>
    <row r="629" spans="1:12" ht="15" x14ac:dyDescent="0.2">
      <c r="A629" s="50"/>
      <c r="B629" s="100"/>
      <c r="C629" s="76"/>
      <c r="D629" s="76"/>
      <c r="E629" s="76"/>
      <c r="F629" s="169"/>
      <c r="G629" s="76"/>
      <c r="H629" s="76"/>
      <c r="I629" s="56"/>
      <c r="J629" s="76"/>
      <c r="K629" s="76"/>
      <c r="L629" s="79"/>
    </row>
    <row r="630" spans="1:12" ht="15" x14ac:dyDescent="0.2">
      <c r="A630" s="50"/>
      <c r="B630" s="100"/>
      <c r="C630" s="76"/>
      <c r="D630" s="76"/>
      <c r="E630" s="76"/>
      <c r="F630" s="169"/>
      <c r="G630" s="76"/>
      <c r="H630" s="76"/>
      <c r="I630" s="56"/>
      <c r="J630" s="76"/>
      <c r="K630" s="76"/>
      <c r="L630" s="79"/>
    </row>
    <row r="631" spans="1:12" ht="15" x14ac:dyDescent="0.2">
      <c r="A631" s="50"/>
      <c r="B631" s="100"/>
      <c r="C631" s="76"/>
      <c r="D631" s="76"/>
      <c r="E631" s="76"/>
      <c r="F631" s="169"/>
      <c r="G631" s="76"/>
      <c r="H631" s="76"/>
      <c r="I631" s="56"/>
      <c r="J631" s="76"/>
      <c r="K631" s="76"/>
      <c r="L631" s="79"/>
    </row>
    <row r="632" spans="1:12" ht="15" x14ac:dyDescent="0.25">
      <c r="A632" s="1"/>
      <c r="B632" s="39"/>
      <c r="C632" s="1"/>
      <c r="D632" s="1"/>
      <c r="E632" s="1"/>
      <c r="F632" s="40" t="s">
        <v>5</v>
      </c>
      <c r="G632" s="40"/>
      <c r="H632" s="1"/>
      <c r="I632" s="41">
        <f>I628</f>
        <v>150000</v>
      </c>
      <c r="J632" s="1"/>
      <c r="K632" s="1"/>
      <c r="L632" s="42"/>
    </row>
    <row r="633" spans="1:12" ht="15.75" thickBot="1" x14ac:dyDescent="0.3">
      <c r="A633" s="1"/>
      <c r="B633" s="43"/>
      <c r="C633" s="44"/>
      <c r="D633" s="44"/>
      <c r="E633" s="44"/>
      <c r="F633" s="45"/>
      <c r="G633" s="45"/>
      <c r="H633" s="44"/>
      <c r="I633" s="46"/>
      <c r="J633" s="44"/>
      <c r="K633" s="44"/>
      <c r="L633" s="47"/>
    </row>
    <row r="634" spans="1:12" ht="15.75" thickTop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44.25" customHeight="1" x14ac:dyDescent="0.2">
      <c r="A635" s="10" t="s">
        <v>2</v>
      </c>
      <c r="B635" s="279" t="s">
        <v>11</v>
      </c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</row>
    <row r="636" spans="1:12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" x14ac:dyDescent="0.2">
      <c r="A637" s="280" t="s">
        <v>12</v>
      </c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</row>
    <row r="638" spans="1:12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" x14ac:dyDescent="0.25">
      <c r="A640" s="1"/>
      <c r="B640" s="1"/>
      <c r="C640" s="1"/>
      <c r="D640" s="1"/>
      <c r="E640" s="1"/>
      <c r="F640" s="1"/>
      <c r="G640" s="1"/>
      <c r="H640" s="4" t="s">
        <v>692</v>
      </c>
    </row>
    <row r="641" spans="1:12" ht="15" x14ac:dyDescent="0.25">
      <c r="A641" s="1"/>
      <c r="B641" s="1" t="s">
        <v>15</v>
      </c>
      <c r="C641" s="1"/>
      <c r="D641" s="1"/>
      <c r="E641" s="1"/>
      <c r="F641" s="1"/>
      <c r="G641" s="1"/>
      <c r="H641" s="4" t="s">
        <v>13</v>
      </c>
    </row>
    <row r="642" spans="1:12" ht="15" x14ac:dyDescent="0.2">
      <c r="A642" s="48"/>
      <c r="B642" s="48" t="s">
        <v>18</v>
      </c>
      <c r="C642" s="48"/>
      <c r="D642" s="48"/>
      <c r="E642" s="48"/>
      <c r="F642" s="48"/>
      <c r="G642" s="48"/>
      <c r="H642" s="99" t="s">
        <v>14</v>
      </c>
      <c r="I642" s="99"/>
      <c r="J642" s="99"/>
      <c r="K642" s="99"/>
      <c r="L642" s="99"/>
    </row>
    <row r="643" spans="1:12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" x14ac:dyDescent="0.25">
      <c r="A645" s="1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"/>
    </row>
    <row r="646" spans="1:12" ht="15" x14ac:dyDescent="0.25">
      <c r="A646" s="1"/>
      <c r="K646" s="103"/>
      <c r="L646" s="1"/>
    </row>
    <row r="647" spans="1:12" ht="15" x14ac:dyDescent="0.25">
      <c r="A647" s="1"/>
      <c r="B647" s="272" t="s">
        <v>644</v>
      </c>
      <c r="H647" s="37" t="str">
        <f>D620</f>
        <v>Lia Tri Wahyuni, S.Si</v>
      </c>
      <c r="I647" s="95"/>
      <c r="J647" s="92"/>
      <c r="K647" s="103"/>
      <c r="L647" s="1"/>
    </row>
    <row r="648" spans="1:12" ht="15" x14ac:dyDescent="0.25">
      <c r="A648" s="1"/>
      <c r="B648" s="273" t="s">
        <v>638</v>
      </c>
      <c r="C648" s="57"/>
      <c r="H648" s="269" t="s">
        <v>27</v>
      </c>
      <c r="K648" s="103"/>
    </row>
    <row r="651" spans="1:12" ht="12.75" x14ac:dyDescent="0.2"/>
    <row r="652" spans="1:12" ht="12.75" x14ac:dyDescent="0.2"/>
    <row r="653" spans="1:12" ht="15.75" x14ac:dyDescent="0.25">
      <c r="A653" s="3" t="s">
        <v>22</v>
      </c>
    </row>
    <row r="654" spans="1:12" ht="15.75" x14ac:dyDescent="0.2">
      <c r="A654" s="122" t="s">
        <v>694</v>
      </c>
    </row>
    <row r="655" spans="1:12" ht="15.75" x14ac:dyDescent="0.2">
      <c r="A655" s="122" t="s">
        <v>21</v>
      </c>
    </row>
    <row r="656" spans="1:12" ht="15.75" x14ac:dyDescent="0.2">
      <c r="A656" s="122"/>
    </row>
    <row r="657" spans="1:12" ht="12.75" x14ac:dyDescent="0.2"/>
    <row r="658" spans="1:12" ht="18.75" x14ac:dyDescent="0.3">
      <c r="A658" s="276" t="s">
        <v>6</v>
      </c>
      <c r="B658" s="276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</row>
    <row r="659" spans="1:12" ht="18.75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</row>
    <row r="660" spans="1:12" ht="15" x14ac:dyDescent="0.25">
      <c r="A660" s="1"/>
      <c r="B660" s="1"/>
    </row>
    <row r="661" spans="1:12" ht="15" x14ac:dyDescent="0.25">
      <c r="A661" s="1" t="s">
        <v>7</v>
      </c>
      <c r="B661" s="1"/>
    </row>
    <row r="662" spans="1:12" ht="15" x14ac:dyDescent="0.25">
      <c r="A662" s="1"/>
      <c r="B662" s="1"/>
    </row>
    <row r="663" spans="1:12" ht="15" x14ac:dyDescent="0.25">
      <c r="A663" s="1" t="s">
        <v>8</v>
      </c>
      <c r="C663" s="9" t="s">
        <v>1</v>
      </c>
      <c r="D663" s="37" t="s">
        <v>682</v>
      </c>
      <c r="E663" s="76"/>
      <c r="F663" s="76"/>
      <c r="G663" s="76"/>
      <c r="H663" s="76"/>
    </row>
    <row r="664" spans="1:12" ht="15" x14ac:dyDescent="0.25">
      <c r="A664" s="1" t="s">
        <v>9</v>
      </c>
      <c r="C664" s="9" t="s">
        <v>1</v>
      </c>
      <c r="D664" s="1" t="s">
        <v>683</v>
      </c>
      <c r="E664" s="76"/>
      <c r="F664" s="76"/>
      <c r="G664" s="76"/>
      <c r="H664" s="76"/>
    </row>
    <row r="665" spans="1:12" ht="15.75" x14ac:dyDescent="0.25">
      <c r="A665" s="50" t="s">
        <v>10</v>
      </c>
      <c r="B665" s="76"/>
      <c r="C665" s="91" t="s">
        <v>1</v>
      </c>
      <c r="D665" s="268" t="s">
        <v>684</v>
      </c>
      <c r="E665" s="76"/>
      <c r="F665" s="76"/>
      <c r="G665" s="76"/>
      <c r="H665" s="76"/>
      <c r="I665" s="76"/>
      <c r="J665" s="76"/>
      <c r="K665" s="76"/>
      <c r="L665" s="76"/>
    </row>
    <row r="666" spans="1:12" ht="15" x14ac:dyDescent="0.25">
      <c r="A666" s="1"/>
      <c r="B666" s="1"/>
      <c r="D666" s="1"/>
    </row>
    <row r="667" spans="1:12" ht="33.75" customHeight="1" x14ac:dyDescent="0.2">
      <c r="A667" s="277" t="s">
        <v>695</v>
      </c>
      <c r="B667" s="277"/>
      <c r="C667" s="277"/>
      <c r="D667" s="277"/>
      <c r="E667" s="277"/>
      <c r="F667" s="277"/>
      <c r="G667" s="277"/>
      <c r="H667" s="277"/>
      <c r="I667" s="277"/>
      <c r="J667" s="277"/>
      <c r="K667" s="277"/>
      <c r="L667" s="277"/>
    </row>
    <row r="668" spans="1:12" ht="15" x14ac:dyDescent="0.25">
      <c r="A668" s="1"/>
      <c r="B668" s="1"/>
    </row>
    <row r="669" spans="1:12" ht="31.5" customHeight="1" thickBot="1" x14ac:dyDescent="0.25">
      <c r="A669" s="10" t="s">
        <v>0</v>
      </c>
      <c r="B669" s="278" t="s">
        <v>91</v>
      </c>
      <c r="C669" s="278"/>
      <c r="D669" s="278"/>
      <c r="E669" s="278"/>
      <c r="F669" s="278"/>
      <c r="G669" s="278"/>
      <c r="H669" s="278"/>
      <c r="I669" s="278"/>
      <c r="J669" s="278"/>
      <c r="K669" s="278"/>
      <c r="L669" s="278"/>
    </row>
    <row r="670" spans="1:12" ht="15.75" thickTop="1" x14ac:dyDescent="0.25">
      <c r="A670" s="1"/>
      <c r="B670" s="11" t="s">
        <v>3</v>
      </c>
      <c r="C670" s="12" t="s">
        <v>4</v>
      </c>
      <c r="D670" s="13"/>
      <c r="E670" s="13"/>
      <c r="F670" s="13"/>
      <c r="G670" s="13"/>
      <c r="H670" s="14"/>
      <c r="I670" s="15" t="s">
        <v>5</v>
      </c>
      <c r="J670" s="12" t="s">
        <v>17</v>
      </c>
      <c r="K670" s="13"/>
      <c r="L670" s="14"/>
    </row>
    <row r="671" spans="1:12" ht="15" x14ac:dyDescent="0.2">
      <c r="A671" s="50"/>
      <c r="B671" s="143">
        <v>1</v>
      </c>
      <c r="C671" s="129" t="s">
        <v>706</v>
      </c>
      <c r="D671" s="130"/>
      <c r="E671" s="130"/>
      <c r="F671" s="217"/>
      <c r="G671" s="76"/>
      <c r="H671" s="79"/>
      <c r="I671" s="56">
        <v>150000</v>
      </c>
      <c r="J671" s="76" t="s">
        <v>204</v>
      </c>
      <c r="K671" s="76"/>
      <c r="L671" s="79"/>
    </row>
    <row r="672" spans="1:12" ht="15" x14ac:dyDescent="0.2">
      <c r="A672" s="50"/>
      <c r="B672" s="100"/>
      <c r="C672" s="76"/>
      <c r="D672" s="76"/>
      <c r="E672" s="76"/>
      <c r="F672" s="169"/>
      <c r="G672" s="76"/>
      <c r="H672" s="76"/>
      <c r="I672" s="56"/>
      <c r="J672" s="76"/>
      <c r="K672" s="76"/>
      <c r="L672" s="79"/>
    </row>
    <row r="673" spans="1:12" ht="15" x14ac:dyDescent="0.2">
      <c r="A673" s="50"/>
      <c r="B673" s="100"/>
      <c r="C673" s="76"/>
      <c r="D673" s="76"/>
      <c r="E673" s="76"/>
      <c r="F673" s="169"/>
      <c r="G673" s="76"/>
      <c r="H673" s="76"/>
      <c r="I673" s="56"/>
      <c r="J673" s="76"/>
      <c r="K673" s="76"/>
      <c r="L673" s="79"/>
    </row>
    <row r="674" spans="1:12" ht="15" x14ac:dyDescent="0.2">
      <c r="A674" s="50"/>
      <c r="B674" s="100"/>
      <c r="C674" s="76"/>
      <c r="D674" s="76"/>
      <c r="E674" s="76"/>
      <c r="F674" s="169"/>
      <c r="G674" s="76"/>
      <c r="H674" s="76"/>
      <c r="I674" s="56"/>
      <c r="J674" s="76"/>
      <c r="K674" s="76"/>
      <c r="L674" s="79"/>
    </row>
    <row r="675" spans="1:12" ht="15" x14ac:dyDescent="0.25">
      <c r="A675" s="1"/>
      <c r="B675" s="39"/>
      <c r="C675" s="1"/>
      <c r="D675" s="1"/>
      <c r="E675" s="1"/>
      <c r="F675" s="40" t="s">
        <v>5</v>
      </c>
      <c r="G675" s="40"/>
      <c r="H675" s="1"/>
      <c r="I675" s="41">
        <f>I671</f>
        <v>150000</v>
      </c>
      <c r="J675" s="1"/>
      <c r="K675" s="1"/>
      <c r="L675" s="42"/>
    </row>
    <row r="676" spans="1:12" ht="15.75" thickBot="1" x14ac:dyDescent="0.3">
      <c r="A676" s="1"/>
      <c r="B676" s="43"/>
      <c r="C676" s="44"/>
      <c r="D676" s="44"/>
      <c r="E676" s="44"/>
      <c r="F676" s="45"/>
      <c r="G676" s="45"/>
      <c r="H676" s="44"/>
      <c r="I676" s="46"/>
      <c r="J676" s="44"/>
      <c r="K676" s="44"/>
      <c r="L676" s="47"/>
    </row>
    <row r="677" spans="1:12" ht="15.75" thickTop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47.25" customHeight="1" x14ac:dyDescent="0.2">
      <c r="A678" s="10" t="s">
        <v>2</v>
      </c>
      <c r="B678" s="279" t="s">
        <v>11</v>
      </c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</row>
    <row r="679" spans="1:12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21.75" customHeight="1" x14ac:dyDescent="0.2">
      <c r="A680" s="280" t="s">
        <v>12</v>
      </c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</row>
    <row r="681" spans="1:12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" x14ac:dyDescent="0.25">
      <c r="A683" s="1"/>
      <c r="B683" s="1"/>
      <c r="C683" s="1"/>
      <c r="D683" s="1"/>
      <c r="E683" s="1"/>
      <c r="F683" s="1"/>
      <c r="G683" s="1"/>
      <c r="H683" s="4" t="s">
        <v>705</v>
      </c>
    </row>
    <row r="684" spans="1:12" ht="15" x14ac:dyDescent="0.25">
      <c r="A684" s="1"/>
      <c r="B684" s="1" t="s">
        <v>15</v>
      </c>
      <c r="C684" s="1"/>
      <c r="D684" s="1"/>
      <c r="E684" s="1"/>
      <c r="F684" s="1"/>
      <c r="G684" s="1"/>
      <c r="H684" s="4" t="s">
        <v>13</v>
      </c>
    </row>
    <row r="685" spans="1:12" ht="15" x14ac:dyDescent="0.2">
      <c r="A685" s="48"/>
      <c r="B685" s="48" t="s">
        <v>18</v>
      </c>
      <c r="C685" s="48"/>
      <c r="D685" s="48"/>
      <c r="E685" s="48"/>
      <c r="F685" s="48"/>
      <c r="G685" s="48"/>
      <c r="H685" s="99" t="s">
        <v>14</v>
      </c>
      <c r="I685" s="99"/>
      <c r="J685" s="99"/>
      <c r="K685" s="99"/>
      <c r="L685" s="99"/>
    </row>
    <row r="686" spans="1:12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" x14ac:dyDescent="0.25">
      <c r="A688" s="1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"/>
    </row>
    <row r="689" spans="1:12" ht="15" x14ac:dyDescent="0.25">
      <c r="A689" s="1"/>
      <c r="K689" s="103"/>
      <c r="L689" s="1"/>
    </row>
    <row r="690" spans="1:12" ht="15" x14ac:dyDescent="0.25">
      <c r="A690" s="1"/>
      <c r="B690" s="272" t="s">
        <v>644</v>
      </c>
      <c r="H690" s="37" t="str">
        <f>D663</f>
        <v xml:space="preserve">Ika Kartika, S.T.P </v>
      </c>
      <c r="I690" s="95"/>
      <c r="J690" s="92"/>
      <c r="K690" s="103"/>
      <c r="L690" s="1"/>
    </row>
    <row r="691" spans="1:12" ht="15" x14ac:dyDescent="0.25">
      <c r="A691" s="1"/>
      <c r="B691" s="273" t="s">
        <v>638</v>
      </c>
      <c r="C691" s="57"/>
      <c r="H691" s="1" t="str">
        <f>D664</f>
        <v xml:space="preserve">19861002 200912 2 002 </v>
      </c>
      <c r="K691" s="103"/>
    </row>
    <row r="692" spans="1:12" ht="12.75" x14ac:dyDescent="0.2"/>
    <row r="693" spans="1:12" ht="12.75" x14ac:dyDescent="0.2"/>
    <row r="694" spans="1:12" ht="12.75" x14ac:dyDescent="0.2"/>
    <row r="695" spans="1:12" ht="12.75" x14ac:dyDescent="0.2"/>
    <row r="696" spans="1:12" ht="12.75" x14ac:dyDescent="0.2"/>
    <row r="697" spans="1:12" ht="12.75" x14ac:dyDescent="0.2"/>
    <row r="698" spans="1:12" ht="12.75" x14ac:dyDescent="0.2"/>
    <row r="699" spans="1:12" ht="12.75" x14ac:dyDescent="0.2"/>
    <row r="700" spans="1:12" ht="15.75" x14ac:dyDescent="0.25">
      <c r="A700" s="3" t="s">
        <v>22</v>
      </c>
    </row>
    <row r="701" spans="1:12" ht="15.75" x14ac:dyDescent="0.2">
      <c r="A701" s="122" t="s">
        <v>694</v>
      </c>
    </row>
    <row r="702" spans="1:12" ht="15.75" x14ac:dyDescent="0.2">
      <c r="A702" s="122" t="s">
        <v>21</v>
      </c>
    </row>
    <row r="703" spans="1:12" ht="15.75" x14ac:dyDescent="0.2">
      <c r="A703" s="122"/>
    </row>
    <row r="704" spans="1:12" ht="12.75" x14ac:dyDescent="0.2"/>
    <row r="705" spans="1:12" ht="18.75" x14ac:dyDescent="0.3">
      <c r="A705" s="276" t="s">
        <v>6</v>
      </c>
      <c r="B705" s="276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</row>
    <row r="706" spans="1:12" ht="18.75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</row>
    <row r="707" spans="1:12" ht="15" x14ac:dyDescent="0.25">
      <c r="A707" s="1"/>
      <c r="B707" s="1"/>
    </row>
    <row r="708" spans="1:12" ht="15" x14ac:dyDescent="0.25">
      <c r="A708" s="1" t="s">
        <v>7</v>
      </c>
      <c r="B708" s="1"/>
    </row>
    <row r="709" spans="1:12" ht="15" x14ac:dyDescent="0.25">
      <c r="A709" s="1"/>
      <c r="B709" s="1"/>
    </row>
    <row r="710" spans="1:12" ht="15" x14ac:dyDescent="0.25">
      <c r="A710" s="1" t="s">
        <v>8</v>
      </c>
      <c r="C710" s="9" t="s">
        <v>1</v>
      </c>
      <c r="D710" s="37" t="s">
        <v>554</v>
      </c>
      <c r="E710" s="76"/>
      <c r="F710" s="76"/>
      <c r="G710" s="76"/>
      <c r="H710" s="76"/>
    </row>
    <row r="711" spans="1:12" ht="15" x14ac:dyDescent="0.25">
      <c r="A711" s="1" t="s">
        <v>9</v>
      </c>
      <c r="C711" s="9" t="s">
        <v>1</v>
      </c>
      <c r="D711" s="1" t="s">
        <v>234</v>
      </c>
      <c r="E711" s="76"/>
      <c r="F711" s="76"/>
      <c r="G711" s="76"/>
      <c r="H711" s="76"/>
    </row>
    <row r="712" spans="1:12" ht="15" x14ac:dyDescent="0.25">
      <c r="A712" s="50" t="s">
        <v>10</v>
      </c>
      <c r="B712" s="76"/>
      <c r="C712" s="91" t="s">
        <v>1</v>
      </c>
      <c r="D712" s="1" t="s">
        <v>203</v>
      </c>
      <c r="E712" s="76"/>
      <c r="F712" s="76"/>
      <c r="G712" s="76"/>
      <c r="H712" s="76"/>
      <c r="I712" s="76"/>
      <c r="J712" s="76"/>
      <c r="K712" s="76"/>
      <c r="L712" s="76"/>
    </row>
    <row r="713" spans="1:12" ht="15" x14ac:dyDescent="0.25">
      <c r="A713" s="1"/>
      <c r="B713" s="1"/>
      <c r="D713" s="1"/>
    </row>
    <row r="714" spans="1:12" ht="36" customHeight="1" x14ac:dyDescent="0.2">
      <c r="A714" s="277" t="s">
        <v>695</v>
      </c>
      <c r="B714" s="277"/>
      <c r="C714" s="277"/>
      <c r="D714" s="277"/>
      <c r="E714" s="277"/>
      <c r="F714" s="277"/>
      <c r="G714" s="277"/>
      <c r="H714" s="277"/>
      <c r="I714" s="277"/>
      <c r="J714" s="277"/>
      <c r="K714" s="277"/>
      <c r="L714" s="277"/>
    </row>
    <row r="715" spans="1:12" ht="15" x14ac:dyDescent="0.25">
      <c r="A715" s="1"/>
      <c r="B715" s="1"/>
    </row>
    <row r="716" spans="1:12" ht="15.75" thickBot="1" x14ac:dyDescent="0.25">
      <c r="A716" s="10" t="s">
        <v>0</v>
      </c>
      <c r="B716" s="278" t="s">
        <v>91</v>
      </c>
      <c r="C716" s="278"/>
      <c r="D716" s="278"/>
      <c r="E716" s="278"/>
      <c r="F716" s="278"/>
      <c r="G716" s="278"/>
      <c r="H716" s="278"/>
      <c r="I716" s="278"/>
      <c r="J716" s="278"/>
      <c r="K716" s="278"/>
      <c r="L716" s="278"/>
    </row>
    <row r="717" spans="1:12" ht="15.75" thickTop="1" x14ac:dyDescent="0.25">
      <c r="A717" s="1"/>
      <c r="B717" s="11" t="s">
        <v>3</v>
      </c>
      <c r="C717" s="12" t="s">
        <v>4</v>
      </c>
      <c r="D717" s="13"/>
      <c r="E717" s="13"/>
      <c r="F717" s="13"/>
      <c r="G717" s="13"/>
      <c r="H717" s="14"/>
      <c r="I717" s="15" t="s">
        <v>5</v>
      </c>
      <c r="J717" s="12" t="s">
        <v>17</v>
      </c>
      <c r="K717" s="13"/>
      <c r="L717" s="14"/>
    </row>
    <row r="718" spans="1:12" ht="15" x14ac:dyDescent="0.2">
      <c r="A718" s="50"/>
      <c r="B718" s="143">
        <v>1</v>
      </c>
      <c r="C718" s="129" t="s">
        <v>706</v>
      </c>
      <c r="D718" s="130"/>
      <c r="E718" s="130"/>
      <c r="F718" s="217"/>
      <c r="G718" s="76"/>
      <c r="H718" s="79"/>
      <c r="I718" s="56">
        <v>150000</v>
      </c>
      <c r="J718" s="76" t="s">
        <v>204</v>
      </c>
      <c r="K718" s="76"/>
      <c r="L718" s="79"/>
    </row>
    <row r="719" spans="1:12" ht="15" x14ac:dyDescent="0.2">
      <c r="A719" s="50"/>
      <c r="B719" s="100"/>
      <c r="C719" s="76"/>
      <c r="D719" s="76"/>
      <c r="E719" s="76"/>
      <c r="F719" s="169"/>
      <c r="G719" s="76"/>
      <c r="H719" s="76"/>
      <c r="I719" s="56"/>
      <c r="J719" s="76"/>
      <c r="K719" s="76"/>
      <c r="L719" s="79"/>
    </row>
    <row r="720" spans="1:12" ht="15" x14ac:dyDescent="0.2">
      <c r="A720" s="50"/>
      <c r="B720" s="100"/>
      <c r="C720" s="76"/>
      <c r="D720" s="76"/>
      <c r="E720" s="76"/>
      <c r="F720" s="169"/>
      <c r="G720" s="76"/>
      <c r="H720" s="76"/>
      <c r="I720" s="56"/>
      <c r="J720" s="76"/>
      <c r="K720" s="76"/>
      <c r="L720" s="79"/>
    </row>
    <row r="721" spans="1:12" ht="15" x14ac:dyDescent="0.2">
      <c r="A721" s="50"/>
      <c r="B721" s="100"/>
      <c r="C721" s="76"/>
      <c r="D721" s="76"/>
      <c r="E721" s="76"/>
      <c r="F721" s="169"/>
      <c r="G721" s="76"/>
      <c r="H721" s="76"/>
      <c r="I721" s="56"/>
      <c r="J721" s="76"/>
      <c r="K721" s="76"/>
      <c r="L721" s="79"/>
    </row>
    <row r="722" spans="1:12" ht="15" x14ac:dyDescent="0.25">
      <c r="A722" s="1"/>
      <c r="B722" s="39"/>
      <c r="C722" s="1"/>
      <c r="D722" s="1"/>
      <c r="E722" s="1"/>
      <c r="F722" s="40" t="s">
        <v>5</v>
      </c>
      <c r="G722" s="40"/>
      <c r="H722" s="1"/>
      <c r="I722" s="41">
        <f>I718</f>
        <v>150000</v>
      </c>
      <c r="J722" s="1"/>
      <c r="K722" s="1"/>
      <c r="L722" s="42"/>
    </row>
    <row r="723" spans="1:12" ht="15.75" thickBot="1" x14ac:dyDescent="0.3">
      <c r="A723" s="1"/>
      <c r="B723" s="43"/>
      <c r="C723" s="44"/>
      <c r="D723" s="44"/>
      <c r="E723" s="44"/>
      <c r="F723" s="45"/>
      <c r="G723" s="45"/>
      <c r="H723" s="44"/>
      <c r="I723" s="46"/>
      <c r="J723" s="44"/>
      <c r="K723" s="44"/>
      <c r="L723" s="47"/>
    </row>
    <row r="724" spans="1:12" ht="15.75" thickTop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45.75" customHeight="1" x14ac:dyDescent="0.2">
      <c r="A725" s="10" t="s">
        <v>2</v>
      </c>
      <c r="B725" s="279" t="s">
        <v>11</v>
      </c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</row>
    <row r="726" spans="1:12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" x14ac:dyDescent="0.2">
      <c r="A727" s="280" t="s">
        <v>12</v>
      </c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</row>
    <row r="728" spans="1:12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" x14ac:dyDescent="0.25">
      <c r="A730" s="1"/>
      <c r="B730" s="1"/>
      <c r="C730" s="1"/>
      <c r="D730" s="1"/>
      <c r="E730" s="1"/>
      <c r="F730" s="1"/>
      <c r="G730" s="1"/>
      <c r="H730" s="4" t="s">
        <v>705</v>
      </c>
    </row>
    <row r="731" spans="1:12" ht="15" x14ac:dyDescent="0.25">
      <c r="A731" s="1"/>
      <c r="B731" s="1" t="s">
        <v>15</v>
      </c>
      <c r="C731" s="1"/>
      <c r="D731" s="1"/>
      <c r="E731" s="1"/>
      <c r="F731" s="1"/>
      <c r="G731" s="1"/>
      <c r="H731" s="4" t="s">
        <v>13</v>
      </c>
    </row>
    <row r="732" spans="1:12" ht="15" x14ac:dyDescent="0.2">
      <c r="A732" s="48"/>
      <c r="B732" s="48" t="s">
        <v>18</v>
      </c>
      <c r="C732" s="48"/>
      <c r="D732" s="48"/>
      <c r="E732" s="48"/>
      <c r="F732" s="48"/>
      <c r="G732" s="48"/>
      <c r="H732" s="99" t="s">
        <v>14</v>
      </c>
      <c r="I732" s="99"/>
      <c r="J732" s="99"/>
      <c r="K732" s="99"/>
      <c r="L732" s="99"/>
    </row>
    <row r="733" spans="1:12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" x14ac:dyDescent="0.25">
      <c r="A735" s="1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"/>
    </row>
    <row r="736" spans="1:12" ht="15" x14ac:dyDescent="0.25">
      <c r="A736" s="1"/>
      <c r="K736" s="103"/>
      <c r="L736" s="1"/>
    </row>
    <row r="737" spans="1:12" ht="15" x14ac:dyDescent="0.25">
      <c r="A737" s="1"/>
      <c r="B737" s="272" t="s">
        <v>644</v>
      </c>
      <c r="H737" s="37" t="str">
        <f>D710</f>
        <v>Lia Tri Wahyuni, S.Si</v>
      </c>
      <c r="I737" s="95"/>
      <c r="J737" s="92"/>
      <c r="K737" s="103"/>
      <c r="L737" s="1"/>
    </row>
    <row r="738" spans="1:12" ht="15" x14ac:dyDescent="0.25">
      <c r="A738" s="1"/>
      <c r="B738" s="273" t="s">
        <v>638</v>
      </c>
      <c r="C738" s="57"/>
      <c r="H738" s="1" t="str">
        <f>D711</f>
        <v>19880113 200812 2 001</v>
      </c>
      <c r="K738" s="103"/>
    </row>
    <row r="739" spans="1:12" ht="12.75" x14ac:dyDescent="0.2"/>
    <row r="740" spans="1:12" ht="12.75" x14ac:dyDescent="0.2"/>
    <row r="741" spans="1:12" ht="12.75" x14ac:dyDescent="0.2"/>
    <row r="742" spans="1:12" ht="12.75" x14ac:dyDescent="0.2"/>
    <row r="743" spans="1:12" ht="12.75" x14ac:dyDescent="0.2"/>
    <row r="744" spans="1:12" ht="12.75" x14ac:dyDescent="0.2"/>
    <row r="745" spans="1:12" ht="12.75" x14ac:dyDescent="0.2"/>
    <row r="746" spans="1:12" ht="12.75" x14ac:dyDescent="0.2"/>
    <row r="747" spans="1:12" ht="15.75" x14ac:dyDescent="0.25">
      <c r="A747" s="3" t="s">
        <v>22</v>
      </c>
    </row>
    <row r="748" spans="1:12" ht="15.75" x14ac:dyDescent="0.2">
      <c r="A748" s="122" t="s">
        <v>694</v>
      </c>
    </row>
    <row r="749" spans="1:12" ht="15.75" x14ac:dyDescent="0.2">
      <c r="A749" s="122" t="s">
        <v>21</v>
      </c>
    </row>
    <row r="750" spans="1:12" ht="15.75" x14ac:dyDescent="0.2">
      <c r="A750" s="122"/>
    </row>
    <row r="751" spans="1:12" ht="12.75" x14ac:dyDescent="0.2"/>
    <row r="752" spans="1:12" ht="18.75" x14ac:dyDescent="0.3">
      <c r="A752" s="276" t="s">
        <v>6</v>
      </c>
      <c r="B752" s="276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</row>
    <row r="753" spans="1:12" ht="18.75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</row>
    <row r="754" spans="1:12" ht="15" x14ac:dyDescent="0.25">
      <c r="A754" s="1"/>
      <c r="B754" s="1"/>
    </row>
    <row r="755" spans="1:12" ht="15" x14ac:dyDescent="0.25">
      <c r="A755" s="1" t="s">
        <v>7</v>
      </c>
      <c r="B755" s="1"/>
    </row>
    <row r="756" spans="1:12" ht="15" x14ac:dyDescent="0.25">
      <c r="A756" s="1"/>
      <c r="B756" s="1"/>
    </row>
    <row r="757" spans="1:12" ht="15" x14ac:dyDescent="0.25">
      <c r="A757" s="1" t="s">
        <v>8</v>
      </c>
      <c r="C757" s="9" t="s">
        <v>1</v>
      </c>
      <c r="D757" s="37" t="s">
        <v>96</v>
      </c>
      <c r="E757" s="76"/>
      <c r="F757" s="76"/>
      <c r="G757" s="76"/>
      <c r="H757" s="76"/>
    </row>
    <row r="758" spans="1:12" ht="15" x14ac:dyDescent="0.25">
      <c r="A758" s="1" t="s">
        <v>9</v>
      </c>
      <c r="C758" s="9" t="s">
        <v>1</v>
      </c>
      <c r="D758" s="1" t="s">
        <v>200</v>
      </c>
      <c r="E758" s="76"/>
      <c r="F758" s="76"/>
      <c r="G758" s="76"/>
      <c r="H758" s="76"/>
    </row>
    <row r="759" spans="1:12" ht="15" x14ac:dyDescent="0.25">
      <c r="A759" s="50" t="s">
        <v>10</v>
      </c>
      <c r="B759" s="76"/>
      <c r="C759" s="91" t="s">
        <v>1</v>
      </c>
      <c r="D759" s="1" t="s">
        <v>203</v>
      </c>
      <c r="E759" s="76"/>
      <c r="F759" s="76"/>
      <c r="G759" s="76"/>
      <c r="H759" s="76"/>
      <c r="I759" s="76"/>
      <c r="J759" s="76"/>
      <c r="K759" s="76"/>
      <c r="L759" s="76"/>
    </row>
    <row r="760" spans="1:12" ht="15" x14ac:dyDescent="0.25">
      <c r="A760" s="1"/>
      <c r="B760" s="1"/>
      <c r="D760" s="1"/>
    </row>
    <row r="761" spans="1:12" ht="39" customHeight="1" x14ac:dyDescent="0.2">
      <c r="A761" s="277" t="s">
        <v>695</v>
      </c>
      <c r="B761" s="277"/>
      <c r="C761" s="277"/>
      <c r="D761" s="277"/>
      <c r="E761" s="277"/>
      <c r="F761" s="277"/>
      <c r="G761" s="277"/>
      <c r="H761" s="277"/>
      <c r="I761" s="277"/>
      <c r="J761" s="277"/>
      <c r="K761" s="277"/>
      <c r="L761" s="277"/>
    </row>
    <row r="762" spans="1:12" ht="15" x14ac:dyDescent="0.25">
      <c r="A762" s="1"/>
      <c r="B762" s="1"/>
    </row>
    <row r="763" spans="1:12" ht="15.75" thickBot="1" x14ac:dyDescent="0.25">
      <c r="A763" s="10" t="s">
        <v>0</v>
      </c>
      <c r="B763" s="278" t="s">
        <v>91</v>
      </c>
      <c r="C763" s="278"/>
      <c r="D763" s="278"/>
      <c r="E763" s="278"/>
      <c r="F763" s="278"/>
      <c r="G763" s="278"/>
      <c r="H763" s="278"/>
      <c r="I763" s="278"/>
      <c r="J763" s="278"/>
      <c r="K763" s="278"/>
      <c r="L763" s="278"/>
    </row>
    <row r="764" spans="1:12" ht="15.75" thickTop="1" x14ac:dyDescent="0.25">
      <c r="A764" s="1"/>
      <c r="B764" s="11" t="s">
        <v>3</v>
      </c>
      <c r="C764" s="12" t="s">
        <v>4</v>
      </c>
      <c r="D764" s="13"/>
      <c r="E764" s="13"/>
      <c r="F764" s="13"/>
      <c r="G764" s="13"/>
      <c r="H764" s="14"/>
      <c r="I764" s="15" t="s">
        <v>5</v>
      </c>
      <c r="J764" s="12" t="s">
        <v>17</v>
      </c>
      <c r="K764" s="13"/>
      <c r="L764" s="14"/>
    </row>
    <row r="765" spans="1:12" ht="15" x14ac:dyDescent="0.2">
      <c r="A765" s="50"/>
      <c r="B765" s="143">
        <v>1</v>
      </c>
      <c r="C765" s="129" t="s">
        <v>706</v>
      </c>
      <c r="D765" s="130"/>
      <c r="E765" s="130"/>
      <c r="F765" s="217"/>
      <c r="G765" s="76"/>
      <c r="H765" s="79"/>
      <c r="I765" s="56">
        <v>150000</v>
      </c>
      <c r="J765" s="76" t="s">
        <v>204</v>
      </c>
      <c r="K765" s="76"/>
      <c r="L765" s="79"/>
    </row>
    <row r="766" spans="1:12" ht="15" x14ac:dyDescent="0.2">
      <c r="A766" s="50"/>
      <c r="B766" s="100"/>
      <c r="C766" s="76"/>
      <c r="D766" s="76"/>
      <c r="E766" s="76"/>
      <c r="F766" s="169"/>
      <c r="G766" s="76"/>
      <c r="H766" s="76"/>
      <c r="I766" s="56"/>
      <c r="J766" s="76"/>
      <c r="K766" s="76"/>
      <c r="L766" s="79"/>
    </row>
    <row r="767" spans="1:12" ht="15" x14ac:dyDescent="0.2">
      <c r="A767" s="50"/>
      <c r="B767" s="100"/>
      <c r="C767" s="76"/>
      <c r="D767" s="76"/>
      <c r="E767" s="76"/>
      <c r="F767" s="169"/>
      <c r="G767" s="76"/>
      <c r="H767" s="76"/>
      <c r="I767" s="56"/>
      <c r="J767" s="76"/>
      <c r="K767" s="76"/>
      <c r="L767" s="79"/>
    </row>
    <row r="768" spans="1:12" ht="15" x14ac:dyDescent="0.2">
      <c r="A768" s="50"/>
      <c r="B768" s="100"/>
      <c r="C768" s="76"/>
      <c r="D768" s="76"/>
      <c r="E768" s="76"/>
      <c r="F768" s="169"/>
      <c r="G768" s="76"/>
      <c r="H768" s="76"/>
      <c r="I768" s="56"/>
      <c r="J768" s="76"/>
      <c r="K768" s="76"/>
      <c r="L768" s="79"/>
    </row>
    <row r="769" spans="1:12" ht="15" x14ac:dyDescent="0.25">
      <c r="A769" s="1"/>
      <c r="B769" s="39"/>
      <c r="C769" s="1"/>
      <c r="D769" s="1"/>
      <c r="E769" s="1"/>
      <c r="F769" s="40" t="s">
        <v>5</v>
      </c>
      <c r="G769" s="40"/>
      <c r="H769" s="1"/>
      <c r="I769" s="41">
        <f>I765</f>
        <v>150000</v>
      </c>
      <c r="J769" s="1"/>
      <c r="K769" s="1"/>
      <c r="L769" s="42"/>
    </row>
    <row r="770" spans="1:12" ht="15.75" thickBot="1" x14ac:dyDescent="0.3">
      <c r="A770" s="1"/>
      <c r="B770" s="43"/>
      <c r="C770" s="44"/>
      <c r="D770" s="44"/>
      <c r="E770" s="44"/>
      <c r="F770" s="45"/>
      <c r="G770" s="45"/>
      <c r="H770" s="44"/>
      <c r="I770" s="46"/>
      <c r="J770" s="44"/>
      <c r="K770" s="44"/>
      <c r="L770" s="47"/>
    </row>
    <row r="771" spans="1:12" ht="15.75" thickTop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46.5" customHeight="1" x14ac:dyDescent="0.2">
      <c r="A772" s="10" t="s">
        <v>2</v>
      </c>
      <c r="B772" s="279" t="s">
        <v>11</v>
      </c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</row>
    <row r="773" spans="1:12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" x14ac:dyDescent="0.2">
      <c r="A774" s="280" t="s">
        <v>12</v>
      </c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</row>
    <row r="775" spans="1:12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" x14ac:dyDescent="0.25">
      <c r="A777" s="1"/>
      <c r="B777" s="1"/>
      <c r="C777" s="1"/>
      <c r="D777" s="1"/>
      <c r="E777" s="1"/>
      <c r="F777" s="1"/>
      <c r="G777" s="1"/>
      <c r="H777" s="4" t="s">
        <v>705</v>
      </c>
    </row>
    <row r="778" spans="1:12" ht="15" x14ac:dyDescent="0.25">
      <c r="A778" s="1"/>
      <c r="B778" s="1" t="s">
        <v>15</v>
      </c>
      <c r="C778" s="1"/>
      <c r="D778" s="1"/>
      <c r="E778" s="1"/>
      <c r="F778" s="1"/>
      <c r="G778" s="1"/>
      <c r="H778" s="4" t="s">
        <v>13</v>
      </c>
    </row>
    <row r="779" spans="1:12" ht="15" x14ac:dyDescent="0.2">
      <c r="A779" s="48"/>
      <c r="B779" s="48" t="s">
        <v>18</v>
      </c>
      <c r="C779" s="48"/>
      <c r="D779" s="48"/>
      <c r="E779" s="48"/>
      <c r="F779" s="48"/>
      <c r="G779" s="48"/>
      <c r="H779" s="99" t="s">
        <v>14</v>
      </c>
      <c r="I779" s="99"/>
      <c r="J779" s="99"/>
      <c r="K779" s="99"/>
      <c r="L779" s="99"/>
    </row>
    <row r="780" spans="1:12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" x14ac:dyDescent="0.25">
      <c r="A782" s="1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"/>
    </row>
    <row r="783" spans="1:12" ht="15" x14ac:dyDescent="0.25">
      <c r="A783" s="1"/>
      <c r="K783" s="103"/>
      <c r="L783" s="1"/>
    </row>
    <row r="784" spans="1:12" ht="15" x14ac:dyDescent="0.25">
      <c r="A784" s="1"/>
      <c r="B784" s="272" t="s">
        <v>644</v>
      </c>
      <c r="H784" s="37" t="str">
        <f>D757</f>
        <v>Puspa Sari Paniti Ratri, S. Farm. Apt</v>
      </c>
      <c r="I784" s="95"/>
      <c r="J784" s="92"/>
      <c r="K784" s="103"/>
      <c r="L784" s="1"/>
    </row>
    <row r="785" spans="1:12" ht="15" x14ac:dyDescent="0.25">
      <c r="A785" s="1"/>
      <c r="B785" s="273" t="s">
        <v>638</v>
      </c>
      <c r="C785" s="57"/>
      <c r="H785" s="1" t="str">
        <f>D758</f>
        <v>19870123 201502 2 001</v>
      </c>
      <c r="K785" s="103"/>
    </row>
    <row r="786" spans="1:12" ht="12.75" x14ac:dyDescent="0.2"/>
    <row r="787" spans="1:12" ht="12.75" x14ac:dyDescent="0.2"/>
    <row r="788" spans="1:12" ht="12.75" x14ac:dyDescent="0.2"/>
    <row r="789" spans="1:12" ht="12.75" x14ac:dyDescent="0.2"/>
    <row r="790" spans="1:12" ht="15.75" x14ac:dyDescent="0.25">
      <c r="A790" s="3" t="s">
        <v>22</v>
      </c>
    </row>
    <row r="791" spans="1:12" ht="15.75" x14ac:dyDescent="0.2">
      <c r="A791" s="122" t="s">
        <v>694</v>
      </c>
    </row>
    <row r="792" spans="1:12" ht="15.75" x14ac:dyDescent="0.2">
      <c r="A792" s="122" t="s">
        <v>21</v>
      </c>
    </row>
    <row r="793" spans="1:12" ht="15.75" x14ac:dyDescent="0.2">
      <c r="A793" s="122"/>
    </row>
    <row r="794" spans="1:12" ht="12.75" x14ac:dyDescent="0.2"/>
    <row r="795" spans="1:12" ht="18.75" x14ac:dyDescent="0.3">
      <c r="A795" s="276" t="s">
        <v>6</v>
      </c>
      <c r="B795" s="276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</row>
    <row r="796" spans="1:12" ht="18.75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</row>
    <row r="797" spans="1:12" ht="15" x14ac:dyDescent="0.25">
      <c r="A797" s="1"/>
      <c r="B797" s="1"/>
    </row>
    <row r="798" spans="1:12" ht="15" x14ac:dyDescent="0.25">
      <c r="A798" s="1" t="s">
        <v>7</v>
      </c>
      <c r="B798" s="1"/>
    </row>
    <row r="799" spans="1:12" ht="15" x14ac:dyDescent="0.25">
      <c r="A799" s="1"/>
      <c r="B799" s="1"/>
    </row>
    <row r="800" spans="1:12" ht="15" x14ac:dyDescent="0.25">
      <c r="A800" s="1" t="s">
        <v>8</v>
      </c>
      <c r="C800" s="9" t="s">
        <v>1</v>
      </c>
      <c r="D800" s="37" t="s">
        <v>696</v>
      </c>
      <c r="E800" s="76"/>
      <c r="F800" s="76"/>
      <c r="G800" s="76"/>
      <c r="H800" s="76"/>
    </row>
    <row r="801" spans="1:12" ht="15" x14ac:dyDescent="0.25">
      <c r="A801" s="1" t="s">
        <v>9</v>
      </c>
      <c r="C801" s="9" t="s">
        <v>1</v>
      </c>
      <c r="D801" s="1" t="s">
        <v>697</v>
      </c>
      <c r="E801" s="76"/>
      <c r="F801" s="76"/>
      <c r="G801" s="76"/>
      <c r="H801" s="76"/>
    </row>
    <row r="802" spans="1:12" ht="15" x14ac:dyDescent="0.25">
      <c r="A802" s="50" t="s">
        <v>10</v>
      </c>
      <c r="B802" s="76"/>
      <c r="C802" s="91" t="s">
        <v>1</v>
      </c>
      <c r="D802" s="1" t="s">
        <v>698</v>
      </c>
      <c r="E802" s="76"/>
      <c r="F802" s="76"/>
      <c r="G802" s="76"/>
      <c r="H802" s="76"/>
      <c r="I802" s="76"/>
      <c r="J802" s="76"/>
      <c r="K802" s="76"/>
      <c r="L802" s="76"/>
    </row>
    <row r="803" spans="1:12" ht="15" x14ac:dyDescent="0.25">
      <c r="A803" s="1"/>
      <c r="B803" s="1"/>
      <c r="D803" s="1"/>
    </row>
    <row r="804" spans="1:12" ht="12.75" x14ac:dyDescent="0.2">
      <c r="A804" s="277" t="s">
        <v>701</v>
      </c>
      <c r="B804" s="277"/>
      <c r="C804" s="277"/>
      <c r="D804" s="277"/>
      <c r="E804" s="277"/>
      <c r="F804" s="277"/>
      <c r="G804" s="277"/>
      <c r="H804" s="277"/>
      <c r="I804" s="277"/>
      <c r="J804" s="277"/>
      <c r="K804" s="277"/>
      <c r="L804" s="277"/>
    </row>
    <row r="805" spans="1:12" ht="15" x14ac:dyDescent="0.25">
      <c r="A805" s="1"/>
      <c r="B805" s="1"/>
    </row>
    <row r="806" spans="1:12" ht="15.75" thickBot="1" x14ac:dyDescent="0.25">
      <c r="A806" s="10" t="s">
        <v>0</v>
      </c>
      <c r="B806" s="278" t="s">
        <v>91</v>
      </c>
      <c r="C806" s="278"/>
      <c r="D806" s="278"/>
      <c r="E806" s="278"/>
      <c r="F806" s="278"/>
      <c r="G806" s="278"/>
      <c r="H806" s="278"/>
      <c r="I806" s="278"/>
      <c r="J806" s="278"/>
      <c r="K806" s="278"/>
      <c r="L806" s="278"/>
    </row>
    <row r="807" spans="1:12" ht="15.75" thickTop="1" x14ac:dyDescent="0.25">
      <c r="A807" s="1"/>
      <c r="B807" s="11" t="s">
        <v>3</v>
      </c>
      <c r="C807" s="12" t="s">
        <v>4</v>
      </c>
      <c r="D807" s="13"/>
      <c r="E807" s="13"/>
      <c r="F807" s="13"/>
      <c r="G807" s="13"/>
      <c r="H807" s="14"/>
      <c r="I807" s="15" t="s">
        <v>5</v>
      </c>
      <c r="J807" s="12" t="s">
        <v>17</v>
      </c>
      <c r="K807" s="13"/>
      <c r="L807" s="14"/>
    </row>
    <row r="808" spans="1:12" ht="15" x14ac:dyDescent="0.2">
      <c r="A808" s="50"/>
      <c r="B808" s="143">
        <v>1</v>
      </c>
      <c r="C808" s="129" t="s">
        <v>699</v>
      </c>
      <c r="D808" s="130"/>
      <c r="E808" s="130"/>
      <c r="F808" s="217"/>
      <c r="G808" s="76"/>
      <c r="H808" s="79"/>
      <c r="I808" s="56">
        <v>150000</v>
      </c>
      <c r="J808" s="76" t="s">
        <v>204</v>
      </c>
      <c r="K808" s="76"/>
      <c r="L808" s="79"/>
    </row>
    <row r="809" spans="1:12" ht="15" x14ac:dyDescent="0.2">
      <c r="A809" s="50"/>
      <c r="B809" s="100"/>
      <c r="C809" s="76"/>
      <c r="D809" s="76"/>
      <c r="E809" s="76"/>
      <c r="F809" s="169"/>
      <c r="G809" s="76"/>
      <c r="H809" s="76"/>
      <c r="I809" s="56"/>
      <c r="J809" s="76"/>
      <c r="K809" s="76"/>
      <c r="L809" s="79"/>
    </row>
    <row r="810" spans="1:12" ht="15" x14ac:dyDescent="0.2">
      <c r="A810" s="50"/>
      <c r="B810" s="100"/>
      <c r="C810" s="76"/>
      <c r="D810" s="76"/>
      <c r="E810" s="76"/>
      <c r="F810" s="169"/>
      <c r="G810" s="76"/>
      <c r="H810" s="76"/>
      <c r="I810" s="56"/>
      <c r="J810" s="76"/>
      <c r="K810" s="76"/>
      <c r="L810" s="79"/>
    </row>
    <row r="811" spans="1:12" ht="15" x14ac:dyDescent="0.2">
      <c r="A811" s="50"/>
      <c r="B811" s="100"/>
      <c r="C811" s="76"/>
      <c r="D811" s="76"/>
      <c r="E811" s="76"/>
      <c r="F811" s="169"/>
      <c r="G811" s="76"/>
      <c r="H811" s="76"/>
      <c r="I811" s="56"/>
      <c r="J811" s="76"/>
      <c r="K811" s="76"/>
      <c r="L811" s="79"/>
    </row>
    <row r="812" spans="1:12" ht="15" x14ac:dyDescent="0.25">
      <c r="A812" s="1"/>
      <c r="B812" s="39"/>
      <c r="C812" s="1"/>
      <c r="D812" s="1"/>
      <c r="E812" s="1"/>
      <c r="F812" s="40" t="s">
        <v>5</v>
      </c>
      <c r="G812" s="40"/>
      <c r="H812" s="1"/>
      <c r="I812" s="41">
        <f>I808</f>
        <v>150000</v>
      </c>
      <c r="J812" s="1"/>
      <c r="K812" s="1"/>
      <c r="L812" s="42"/>
    </row>
    <row r="813" spans="1:12" ht="15.75" thickBot="1" x14ac:dyDescent="0.3">
      <c r="A813" s="1"/>
      <c r="B813" s="43"/>
      <c r="C813" s="44"/>
      <c r="D813" s="44"/>
      <c r="E813" s="44"/>
      <c r="F813" s="45"/>
      <c r="G813" s="45"/>
      <c r="H813" s="44"/>
      <c r="I813" s="46"/>
      <c r="J813" s="44"/>
      <c r="K813" s="44"/>
      <c r="L813" s="47"/>
    </row>
    <row r="814" spans="1:12" ht="15.75" thickTop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" x14ac:dyDescent="0.2">
      <c r="A815" s="10" t="s">
        <v>2</v>
      </c>
      <c r="B815" s="279" t="s">
        <v>11</v>
      </c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</row>
    <row r="816" spans="1:12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" x14ac:dyDescent="0.2">
      <c r="A817" s="280" t="s">
        <v>12</v>
      </c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</row>
    <row r="818" spans="1:12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" x14ac:dyDescent="0.25">
      <c r="A820" s="1"/>
      <c r="B820" s="1"/>
      <c r="C820" s="1"/>
      <c r="D820" s="1"/>
      <c r="E820" s="1"/>
      <c r="F820" s="1"/>
      <c r="G820" s="1"/>
      <c r="H820" s="4" t="s">
        <v>700</v>
      </c>
    </row>
    <row r="821" spans="1:12" ht="15" x14ac:dyDescent="0.25">
      <c r="A821" s="1"/>
      <c r="B821" s="1" t="s">
        <v>15</v>
      </c>
      <c r="C821" s="1"/>
      <c r="D821" s="1"/>
      <c r="E821" s="1"/>
      <c r="F821" s="1"/>
      <c r="G821" s="1"/>
      <c r="H821" s="4" t="s">
        <v>13</v>
      </c>
    </row>
    <row r="822" spans="1:12" ht="15" x14ac:dyDescent="0.2">
      <c r="A822" s="48"/>
      <c r="B822" s="48" t="s">
        <v>18</v>
      </c>
      <c r="C822" s="48"/>
      <c r="D822" s="48"/>
      <c r="E822" s="48"/>
      <c r="F822" s="48"/>
      <c r="G822" s="48"/>
      <c r="H822" s="99" t="s">
        <v>14</v>
      </c>
      <c r="I822" s="99"/>
      <c r="J822" s="99"/>
      <c r="K822" s="99"/>
      <c r="L822" s="99"/>
    </row>
    <row r="823" spans="1:12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" x14ac:dyDescent="0.25">
      <c r="A825" s="1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"/>
    </row>
    <row r="826" spans="1:12" ht="15" x14ac:dyDescent="0.25">
      <c r="A826" s="1"/>
      <c r="K826" s="103"/>
      <c r="L826" s="1"/>
    </row>
    <row r="827" spans="1:12" ht="15" x14ac:dyDescent="0.25">
      <c r="A827" s="1"/>
      <c r="B827" s="272" t="s">
        <v>644</v>
      </c>
      <c r="H827" s="37" t="str">
        <f>D800</f>
        <v xml:space="preserve">Nurleli, S.E </v>
      </c>
      <c r="I827" s="95"/>
      <c r="J827" s="92"/>
      <c r="K827" s="103"/>
      <c r="L827" s="1"/>
    </row>
    <row r="828" spans="1:12" ht="15" x14ac:dyDescent="0.25">
      <c r="A828" s="1"/>
      <c r="B828" s="273" t="s">
        <v>638</v>
      </c>
      <c r="C828" s="57"/>
      <c r="H828" s="269" t="s">
        <v>27</v>
      </c>
      <c r="K828" s="103"/>
    </row>
    <row r="829" spans="1:12" ht="12.75" x14ac:dyDescent="0.2"/>
    <row r="830" spans="1:12" ht="12.75" x14ac:dyDescent="0.2"/>
    <row r="831" spans="1:12" ht="15.75" x14ac:dyDescent="0.25">
      <c r="A831" s="3" t="s">
        <v>22</v>
      </c>
    </row>
    <row r="832" spans="1:12" ht="15.75" x14ac:dyDescent="0.2">
      <c r="A832" s="122" t="s">
        <v>694</v>
      </c>
    </row>
    <row r="833" spans="1:12" ht="15.75" x14ac:dyDescent="0.2">
      <c r="A833" s="122" t="s">
        <v>21</v>
      </c>
    </row>
    <row r="834" spans="1:12" ht="15.75" x14ac:dyDescent="0.2">
      <c r="A834" s="122"/>
    </row>
    <row r="835" spans="1:12" ht="12.75" x14ac:dyDescent="0.2"/>
    <row r="836" spans="1:12" ht="18.75" x14ac:dyDescent="0.3">
      <c r="A836" s="276" t="s">
        <v>6</v>
      </c>
      <c r="B836" s="276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</row>
    <row r="837" spans="1:12" ht="18.75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</row>
    <row r="838" spans="1:12" ht="15" x14ac:dyDescent="0.25">
      <c r="A838" s="1"/>
      <c r="B838" s="1"/>
    </row>
    <row r="839" spans="1:12" ht="15" x14ac:dyDescent="0.25">
      <c r="A839" s="1" t="s">
        <v>7</v>
      </c>
      <c r="B839" s="1"/>
    </row>
    <row r="840" spans="1:12" ht="15" x14ac:dyDescent="0.25">
      <c r="A840" s="1"/>
      <c r="B840" s="1"/>
    </row>
    <row r="841" spans="1:12" ht="15" x14ac:dyDescent="0.25">
      <c r="A841" s="1" t="s">
        <v>8</v>
      </c>
      <c r="C841" s="9" t="s">
        <v>1</v>
      </c>
      <c r="D841" s="37" t="s">
        <v>702</v>
      </c>
      <c r="E841" s="76"/>
      <c r="F841" s="76"/>
      <c r="G841" s="76"/>
      <c r="H841" s="76"/>
    </row>
    <row r="842" spans="1:12" ht="15" x14ac:dyDescent="0.25">
      <c r="A842" s="1" t="s">
        <v>9</v>
      </c>
      <c r="C842" s="9" t="s">
        <v>1</v>
      </c>
      <c r="D842" s="1" t="s">
        <v>703</v>
      </c>
      <c r="E842" s="76"/>
      <c r="F842" s="76"/>
      <c r="G842" s="76"/>
      <c r="H842" s="76"/>
    </row>
    <row r="843" spans="1:12" ht="15" x14ac:dyDescent="0.25">
      <c r="A843" s="50" t="s">
        <v>10</v>
      </c>
      <c r="B843" s="76"/>
      <c r="C843" s="91" t="s">
        <v>1</v>
      </c>
      <c r="D843" s="1" t="s">
        <v>704</v>
      </c>
      <c r="E843" s="76"/>
      <c r="F843" s="76"/>
      <c r="G843" s="76"/>
      <c r="H843" s="76"/>
      <c r="I843" s="76"/>
      <c r="J843" s="76"/>
      <c r="K843" s="76"/>
      <c r="L843" s="76"/>
    </row>
    <row r="844" spans="1:12" ht="15" x14ac:dyDescent="0.25">
      <c r="A844" s="1"/>
      <c r="B844" s="1"/>
      <c r="D844" s="1"/>
    </row>
    <row r="845" spans="1:12" ht="12.75" x14ac:dyDescent="0.2">
      <c r="A845" s="277" t="s">
        <v>701</v>
      </c>
      <c r="B845" s="277"/>
      <c r="C845" s="277"/>
      <c r="D845" s="277"/>
      <c r="E845" s="277"/>
      <c r="F845" s="277"/>
      <c r="G845" s="277"/>
      <c r="H845" s="277"/>
      <c r="I845" s="277"/>
      <c r="J845" s="277"/>
      <c r="K845" s="277"/>
      <c r="L845" s="277"/>
    </row>
    <row r="846" spans="1:12" ht="15" x14ac:dyDescent="0.25">
      <c r="A846" s="1"/>
      <c r="B846" s="1"/>
    </row>
    <row r="847" spans="1:12" ht="15.75" thickBot="1" x14ac:dyDescent="0.25">
      <c r="A847" s="10" t="s">
        <v>0</v>
      </c>
      <c r="B847" s="278" t="s">
        <v>91</v>
      </c>
      <c r="C847" s="278"/>
      <c r="D847" s="278"/>
      <c r="E847" s="278"/>
      <c r="F847" s="278"/>
      <c r="G847" s="278"/>
      <c r="H847" s="278"/>
      <c r="I847" s="278"/>
      <c r="J847" s="278"/>
      <c r="K847" s="278"/>
      <c r="L847" s="278"/>
    </row>
    <row r="848" spans="1:12" ht="15.75" thickTop="1" x14ac:dyDescent="0.25">
      <c r="A848" s="1"/>
      <c r="B848" s="11" t="s">
        <v>3</v>
      </c>
      <c r="C848" s="12" t="s">
        <v>4</v>
      </c>
      <c r="D848" s="13"/>
      <c r="E848" s="13"/>
      <c r="F848" s="13"/>
      <c r="G848" s="13"/>
      <c r="H848" s="14"/>
      <c r="I848" s="15" t="s">
        <v>5</v>
      </c>
      <c r="J848" s="12" t="s">
        <v>17</v>
      </c>
      <c r="K848" s="13"/>
      <c r="L848" s="14"/>
    </row>
    <row r="849" spans="1:12" ht="15" x14ac:dyDescent="0.2">
      <c r="A849" s="50"/>
      <c r="B849" s="143">
        <v>1</v>
      </c>
      <c r="C849" s="129" t="s">
        <v>699</v>
      </c>
      <c r="D849" s="130"/>
      <c r="E849" s="130"/>
      <c r="F849" s="217"/>
      <c r="G849" s="76"/>
      <c r="H849" s="79"/>
      <c r="I849" s="56">
        <v>150000</v>
      </c>
      <c r="J849" s="76" t="s">
        <v>204</v>
      </c>
      <c r="K849" s="76"/>
      <c r="L849" s="79"/>
    </row>
    <row r="850" spans="1:12" ht="15" x14ac:dyDescent="0.2">
      <c r="A850" s="50"/>
      <c r="B850" s="100"/>
      <c r="C850" s="76"/>
      <c r="D850" s="76"/>
      <c r="E850" s="76"/>
      <c r="F850" s="169"/>
      <c r="G850" s="76"/>
      <c r="H850" s="76"/>
      <c r="I850" s="56"/>
      <c r="J850" s="76"/>
      <c r="K850" s="76"/>
      <c r="L850" s="79"/>
    </row>
    <row r="851" spans="1:12" ht="15" x14ac:dyDescent="0.2">
      <c r="A851" s="50"/>
      <c r="B851" s="100"/>
      <c r="C851" s="76"/>
      <c r="D851" s="76"/>
      <c r="E851" s="76"/>
      <c r="F851" s="169"/>
      <c r="G851" s="76"/>
      <c r="H851" s="76"/>
      <c r="I851" s="56"/>
      <c r="J851" s="76"/>
      <c r="K851" s="76"/>
      <c r="L851" s="79"/>
    </row>
    <row r="852" spans="1:12" ht="15" x14ac:dyDescent="0.2">
      <c r="A852" s="50"/>
      <c r="B852" s="100"/>
      <c r="C852" s="76"/>
      <c r="D852" s="76"/>
      <c r="E852" s="76"/>
      <c r="F852" s="169"/>
      <c r="G852" s="76"/>
      <c r="H852" s="76"/>
      <c r="I852" s="56"/>
      <c r="J852" s="76"/>
      <c r="K852" s="76"/>
      <c r="L852" s="79"/>
    </row>
    <row r="853" spans="1:12" ht="15" x14ac:dyDescent="0.25">
      <c r="A853" s="1"/>
      <c r="B853" s="39"/>
      <c r="C853" s="1"/>
      <c r="D853" s="1"/>
      <c r="E853" s="1"/>
      <c r="F853" s="40" t="s">
        <v>5</v>
      </c>
      <c r="G853" s="40"/>
      <c r="H853" s="1"/>
      <c r="I853" s="41">
        <f>I849</f>
        <v>150000</v>
      </c>
      <c r="J853" s="1"/>
      <c r="K853" s="1"/>
      <c r="L853" s="42"/>
    </row>
    <row r="854" spans="1:12" ht="15.75" thickBot="1" x14ac:dyDescent="0.3">
      <c r="A854" s="1"/>
      <c r="B854" s="43"/>
      <c r="C854" s="44"/>
      <c r="D854" s="44"/>
      <c r="E854" s="44"/>
      <c r="F854" s="45"/>
      <c r="G854" s="45"/>
      <c r="H854" s="44"/>
      <c r="I854" s="46"/>
      <c r="J854" s="44"/>
      <c r="K854" s="44"/>
      <c r="L854" s="47"/>
    </row>
    <row r="855" spans="1:12" ht="15.75" thickTop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" x14ac:dyDescent="0.2">
      <c r="A856" s="10" t="s">
        <v>2</v>
      </c>
      <c r="B856" s="279" t="s">
        <v>11</v>
      </c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</row>
    <row r="857" spans="1:12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" x14ac:dyDescent="0.2">
      <c r="A858" s="280" t="s">
        <v>12</v>
      </c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</row>
    <row r="859" spans="1:12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" x14ac:dyDescent="0.25">
      <c r="A861" s="1"/>
      <c r="B861" s="1"/>
      <c r="C861" s="1"/>
      <c r="D861" s="1"/>
      <c r="E861" s="1"/>
      <c r="F861" s="1"/>
      <c r="G861" s="1"/>
      <c r="H861" s="4" t="s">
        <v>700</v>
      </c>
    </row>
    <row r="862" spans="1:12" ht="15" x14ac:dyDescent="0.25">
      <c r="A862" s="1"/>
      <c r="B862" s="1" t="s">
        <v>15</v>
      </c>
      <c r="C862" s="1"/>
      <c r="D862" s="1"/>
      <c r="E862" s="1"/>
      <c r="F862" s="1"/>
      <c r="G862" s="1"/>
      <c r="H862" s="4" t="s">
        <v>13</v>
      </c>
    </row>
    <row r="863" spans="1:12" ht="15" x14ac:dyDescent="0.2">
      <c r="A863" s="48"/>
      <c r="B863" s="48" t="s">
        <v>18</v>
      </c>
      <c r="C863" s="48"/>
      <c r="D863" s="48"/>
      <c r="E863" s="48"/>
      <c r="F863" s="48"/>
      <c r="G863" s="48"/>
      <c r="H863" s="99" t="s">
        <v>14</v>
      </c>
      <c r="I863" s="99"/>
      <c r="J863" s="99"/>
      <c r="K863" s="99"/>
      <c r="L863" s="99"/>
    </row>
    <row r="864" spans="1:12" ht="21.9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21.9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21.95" customHeight="1" x14ac:dyDescent="0.25">
      <c r="A866" s="1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"/>
    </row>
    <row r="867" spans="1:12" ht="21.95" customHeight="1" x14ac:dyDescent="0.25">
      <c r="A867" s="1"/>
      <c r="K867" s="103"/>
      <c r="L867" s="1"/>
    </row>
    <row r="868" spans="1:12" ht="21.95" customHeight="1" x14ac:dyDescent="0.25">
      <c r="A868" s="1"/>
      <c r="B868" s="272" t="s">
        <v>644</v>
      </c>
      <c r="H868" s="37" t="str">
        <f>D841</f>
        <v>Zuria Mitra, S.AB</v>
      </c>
      <c r="I868" s="95"/>
      <c r="J868" s="92"/>
      <c r="K868" s="103"/>
      <c r="L868" s="1"/>
    </row>
    <row r="869" spans="1:12" ht="21.95" customHeight="1" x14ac:dyDescent="0.25">
      <c r="A869" s="1"/>
      <c r="B869" s="273" t="s">
        <v>638</v>
      </c>
      <c r="C869" s="57"/>
      <c r="H869" s="269" t="s">
        <v>27</v>
      </c>
      <c r="K869" s="103"/>
    </row>
    <row r="876" spans="1:12" ht="21.95" customHeight="1" x14ac:dyDescent="0.25">
      <c r="A876" s="3" t="s">
        <v>22</v>
      </c>
    </row>
    <row r="877" spans="1:12" ht="21.95" customHeight="1" x14ac:dyDescent="0.2">
      <c r="A877" s="122" t="s">
        <v>694</v>
      </c>
    </row>
    <row r="878" spans="1:12" ht="21.95" customHeight="1" x14ac:dyDescent="0.2">
      <c r="A878" s="122" t="s">
        <v>21</v>
      </c>
    </row>
    <row r="879" spans="1:12" ht="21.95" customHeight="1" x14ac:dyDescent="0.2">
      <c r="A879" s="122"/>
    </row>
    <row r="881" spans="1:12" ht="21.95" customHeight="1" x14ac:dyDescent="0.3">
      <c r="A881" s="276" t="s">
        <v>6</v>
      </c>
      <c r="B881" s="276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</row>
    <row r="882" spans="1:12" ht="21.95" customHeight="1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</row>
    <row r="883" spans="1:12" ht="21.95" customHeight="1" x14ac:dyDescent="0.25">
      <c r="A883" s="1"/>
      <c r="B883" s="1"/>
    </row>
    <row r="884" spans="1:12" ht="21.95" customHeight="1" x14ac:dyDescent="0.25">
      <c r="A884" s="1" t="s">
        <v>7</v>
      </c>
      <c r="B884" s="1"/>
    </row>
    <row r="885" spans="1:12" ht="21.95" customHeight="1" x14ac:dyDescent="0.25">
      <c r="A885" s="1"/>
      <c r="B885" s="1"/>
    </row>
    <row r="886" spans="1:12" ht="21.95" customHeight="1" x14ac:dyDescent="0.25">
      <c r="A886" s="1" t="s">
        <v>8</v>
      </c>
      <c r="C886" s="9" t="s">
        <v>1</v>
      </c>
      <c r="D886" s="37" t="s">
        <v>107</v>
      </c>
      <c r="E886" s="76"/>
      <c r="F886" s="76"/>
      <c r="G886" s="76"/>
      <c r="H886" s="76"/>
    </row>
    <row r="887" spans="1:12" ht="21.95" customHeight="1" x14ac:dyDescent="0.25">
      <c r="A887" s="1" t="s">
        <v>9</v>
      </c>
      <c r="C887" s="9" t="s">
        <v>1</v>
      </c>
      <c r="D887" s="1" t="s">
        <v>72</v>
      </c>
      <c r="E887" s="76"/>
      <c r="F887" s="76"/>
      <c r="G887" s="76"/>
      <c r="H887" s="76"/>
    </row>
    <row r="888" spans="1:12" ht="21.95" customHeight="1" x14ac:dyDescent="0.25">
      <c r="A888" s="50" t="s">
        <v>10</v>
      </c>
      <c r="B888" s="76"/>
      <c r="C888" s="91" t="s">
        <v>1</v>
      </c>
      <c r="D888" s="1" t="s">
        <v>250</v>
      </c>
      <c r="E888" s="76"/>
      <c r="F888" s="76"/>
      <c r="G888" s="76"/>
      <c r="H888" s="76"/>
      <c r="I888" s="76"/>
      <c r="J888" s="76"/>
      <c r="K888" s="76"/>
      <c r="L888" s="76"/>
    </row>
    <row r="889" spans="1:12" ht="21.95" customHeight="1" x14ac:dyDescent="0.25">
      <c r="A889" s="1"/>
      <c r="B889" s="1"/>
      <c r="D889" s="1"/>
    </row>
    <row r="890" spans="1:12" ht="26.25" customHeight="1" x14ac:dyDescent="0.2">
      <c r="A890" s="277" t="s">
        <v>707</v>
      </c>
      <c r="B890" s="277"/>
      <c r="C890" s="277"/>
      <c r="D890" s="277"/>
      <c r="E890" s="277"/>
      <c r="F890" s="277"/>
      <c r="G890" s="277"/>
      <c r="H890" s="277"/>
      <c r="I890" s="277"/>
      <c r="J890" s="277"/>
      <c r="K890" s="277"/>
      <c r="L890" s="277"/>
    </row>
    <row r="891" spans="1:12" ht="21.95" customHeight="1" x14ac:dyDescent="0.25">
      <c r="A891" s="1"/>
      <c r="B891" s="1"/>
    </row>
    <row r="892" spans="1:12" ht="37.5" customHeight="1" thickBot="1" x14ac:dyDescent="0.25">
      <c r="A892" s="10" t="s">
        <v>0</v>
      </c>
      <c r="B892" s="278" t="s">
        <v>91</v>
      </c>
      <c r="C892" s="278"/>
      <c r="D892" s="278"/>
      <c r="E892" s="278"/>
      <c r="F892" s="278"/>
      <c r="G892" s="278"/>
      <c r="H892" s="278"/>
      <c r="I892" s="278"/>
      <c r="J892" s="278"/>
      <c r="K892" s="278"/>
      <c r="L892" s="278"/>
    </row>
    <row r="893" spans="1:12" ht="21.95" customHeight="1" thickTop="1" x14ac:dyDescent="0.25">
      <c r="A893" s="1"/>
      <c r="B893" s="11" t="s">
        <v>3</v>
      </c>
      <c r="C893" s="12" t="s">
        <v>4</v>
      </c>
      <c r="D893" s="13"/>
      <c r="E893" s="13"/>
      <c r="F893" s="13"/>
      <c r="G893" s="13"/>
      <c r="H893" s="14"/>
      <c r="I893" s="15" t="s">
        <v>5</v>
      </c>
      <c r="J893" s="12" t="s">
        <v>17</v>
      </c>
      <c r="K893" s="13"/>
      <c r="L893" s="14"/>
    </row>
    <row r="894" spans="1:12" ht="21.95" customHeight="1" x14ac:dyDescent="0.2">
      <c r="A894" s="50"/>
      <c r="B894" s="143">
        <v>1</v>
      </c>
      <c r="C894" s="129" t="s">
        <v>708</v>
      </c>
      <c r="D894" s="130"/>
      <c r="E894" s="130"/>
      <c r="F894" s="217"/>
      <c r="G894" s="76"/>
      <c r="H894" s="79"/>
      <c r="I894" s="56">
        <v>868800</v>
      </c>
      <c r="J894" s="76" t="s">
        <v>709</v>
      </c>
      <c r="K894" s="76"/>
      <c r="L894" s="79"/>
    </row>
    <row r="895" spans="1:12" ht="21.95" customHeight="1" x14ac:dyDescent="0.2">
      <c r="A895" s="50"/>
      <c r="B895" s="100"/>
      <c r="C895" s="76"/>
      <c r="D895" s="76"/>
      <c r="E895" s="76"/>
      <c r="F895" s="169"/>
      <c r="G895" s="76"/>
      <c r="H895" s="76"/>
      <c r="I895" s="56"/>
      <c r="J895" s="76"/>
      <c r="K895" s="76"/>
      <c r="L895" s="79"/>
    </row>
    <row r="896" spans="1:12" ht="21.95" customHeight="1" x14ac:dyDescent="0.2">
      <c r="A896" s="50"/>
      <c r="B896" s="100"/>
      <c r="C896" s="76"/>
      <c r="D896" s="76"/>
      <c r="E896" s="76"/>
      <c r="F896" s="169"/>
      <c r="G896" s="76"/>
      <c r="H896" s="76"/>
      <c r="I896" s="56"/>
      <c r="J896" s="76"/>
      <c r="K896" s="76"/>
      <c r="L896" s="79"/>
    </row>
    <row r="897" spans="1:12" ht="21.95" customHeight="1" x14ac:dyDescent="0.2">
      <c r="A897" s="50"/>
      <c r="B897" s="100"/>
      <c r="C897" s="76"/>
      <c r="D897" s="76"/>
      <c r="E897" s="76"/>
      <c r="F897" s="169"/>
      <c r="G897" s="76"/>
      <c r="H897" s="76"/>
      <c r="I897" s="56"/>
      <c r="J897" s="76"/>
      <c r="K897" s="76"/>
      <c r="L897" s="79"/>
    </row>
    <row r="898" spans="1:12" ht="21.95" customHeight="1" x14ac:dyDescent="0.25">
      <c r="A898" s="1"/>
      <c r="B898" s="39"/>
      <c r="C898" s="1"/>
      <c r="D898" s="1"/>
      <c r="E898" s="1"/>
      <c r="F898" s="40" t="s">
        <v>5</v>
      </c>
      <c r="G898" s="40"/>
      <c r="H898" s="1"/>
      <c r="I898" s="41">
        <f>I894</f>
        <v>868800</v>
      </c>
      <c r="J898" s="1"/>
      <c r="K898" s="1"/>
      <c r="L898" s="42"/>
    </row>
    <row r="899" spans="1:12" ht="21.95" customHeight="1" thickBot="1" x14ac:dyDescent="0.3">
      <c r="A899" s="1"/>
      <c r="B899" s="43"/>
      <c r="C899" s="44"/>
      <c r="D899" s="44"/>
      <c r="E899" s="44"/>
      <c r="F899" s="45"/>
      <c r="G899" s="45"/>
      <c r="H899" s="44"/>
      <c r="I899" s="46"/>
      <c r="J899" s="44"/>
      <c r="K899" s="44"/>
      <c r="L899" s="47"/>
    </row>
    <row r="900" spans="1:12" ht="21.95" customHeight="1" thickTop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45" customHeight="1" x14ac:dyDescent="0.2">
      <c r="A901" s="10" t="s">
        <v>2</v>
      </c>
      <c r="B901" s="279" t="s">
        <v>11</v>
      </c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</row>
    <row r="902" spans="1:12" ht="21.9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21.95" customHeight="1" x14ac:dyDescent="0.2">
      <c r="A903" s="280" t="s">
        <v>12</v>
      </c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</row>
    <row r="904" spans="1:12" ht="21.9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21.9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21.95" customHeight="1" x14ac:dyDescent="0.25">
      <c r="A906" s="1"/>
      <c r="B906" s="1"/>
      <c r="C906" s="1"/>
      <c r="D906" s="1"/>
      <c r="E906" s="1"/>
      <c r="F906" s="1"/>
      <c r="G906" s="1"/>
      <c r="H906" s="4" t="s">
        <v>710</v>
      </c>
    </row>
    <row r="907" spans="1:12" ht="21.95" customHeight="1" x14ac:dyDescent="0.25">
      <c r="A907" s="1"/>
      <c r="B907" s="1" t="s">
        <v>15</v>
      </c>
      <c r="C907" s="1"/>
      <c r="D907" s="1"/>
      <c r="E907" s="1"/>
      <c r="F907" s="1"/>
      <c r="G907" s="1"/>
      <c r="H907" s="4" t="s">
        <v>13</v>
      </c>
    </row>
    <row r="908" spans="1:12" ht="21.95" customHeight="1" x14ac:dyDescent="0.2">
      <c r="A908" s="48"/>
      <c r="B908" s="48" t="s">
        <v>18</v>
      </c>
      <c r="C908" s="48"/>
      <c r="D908" s="48"/>
      <c r="E908" s="48"/>
      <c r="F908" s="48"/>
      <c r="G908" s="48"/>
      <c r="H908" s="99" t="s">
        <v>14</v>
      </c>
      <c r="I908" s="99"/>
      <c r="J908" s="99"/>
      <c r="K908" s="99"/>
      <c r="L908" s="99"/>
    </row>
    <row r="909" spans="1:12" ht="21.9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21.9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21.95" customHeight="1" x14ac:dyDescent="0.25">
      <c r="A911" s="1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"/>
    </row>
    <row r="912" spans="1:12" ht="21.95" customHeight="1" x14ac:dyDescent="0.25">
      <c r="A912" s="1"/>
      <c r="K912" s="103"/>
      <c r="L912" s="1"/>
    </row>
    <row r="913" spans="1:12" ht="21.95" customHeight="1" x14ac:dyDescent="0.25">
      <c r="A913" s="1"/>
      <c r="B913" s="272" t="s">
        <v>644</v>
      </c>
      <c r="H913" s="37" t="str">
        <f>D886</f>
        <v>Ade Yan Emerson, S.Kom</v>
      </c>
      <c r="I913" s="95"/>
      <c r="J913" s="92"/>
      <c r="K913" s="103"/>
      <c r="L913" s="1"/>
    </row>
    <row r="914" spans="1:12" ht="21.95" customHeight="1" x14ac:dyDescent="0.25">
      <c r="A914" s="1"/>
      <c r="B914" s="273" t="s">
        <v>638</v>
      </c>
      <c r="C914" s="57"/>
      <c r="H914" s="1" t="str">
        <f>D887</f>
        <v>NIP. 19880114 201012 1 002</v>
      </c>
      <c r="K914" s="103"/>
    </row>
  </sheetData>
  <mergeCells count="105">
    <mergeCell ref="A881:L881"/>
    <mergeCell ref="A890:L890"/>
    <mergeCell ref="B892:L892"/>
    <mergeCell ref="B901:L901"/>
    <mergeCell ref="A903:L903"/>
    <mergeCell ref="A836:L836"/>
    <mergeCell ref="A845:L845"/>
    <mergeCell ref="B847:L847"/>
    <mergeCell ref="B856:L856"/>
    <mergeCell ref="A858:L858"/>
    <mergeCell ref="A795:L795"/>
    <mergeCell ref="A804:L804"/>
    <mergeCell ref="B806:L806"/>
    <mergeCell ref="B815:L815"/>
    <mergeCell ref="A817:L817"/>
    <mergeCell ref="A615:L615"/>
    <mergeCell ref="A624:L624"/>
    <mergeCell ref="B626:L626"/>
    <mergeCell ref="B635:L635"/>
    <mergeCell ref="A637:L637"/>
    <mergeCell ref="A572:L572"/>
    <mergeCell ref="A581:L581"/>
    <mergeCell ref="B583:L583"/>
    <mergeCell ref="B592:L592"/>
    <mergeCell ref="A594:L594"/>
    <mergeCell ref="A529:L529"/>
    <mergeCell ref="A538:L538"/>
    <mergeCell ref="B540:L540"/>
    <mergeCell ref="B549:L549"/>
    <mergeCell ref="A551:L551"/>
    <mergeCell ref="A508:L508"/>
    <mergeCell ref="B421:L421"/>
    <mergeCell ref="A423:L423"/>
    <mergeCell ref="A443:L443"/>
    <mergeCell ref="A452:L452"/>
    <mergeCell ref="B454:L454"/>
    <mergeCell ref="B463:L463"/>
    <mergeCell ref="A465:L465"/>
    <mergeCell ref="A486:L486"/>
    <mergeCell ref="A495:L495"/>
    <mergeCell ref="B497:L497"/>
    <mergeCell ref="B506:L506"/>
    <mergeCell ref="B412:L412"/>
    <mergeCell ref="A325:L325"/>
    <mergeCell ref="B327:L327"/>
    <mergeCell ref="B336:L336"/>
    <mergeCell ref="A338:L338"/>
    <mergeCell ref="A358:L358"/>
    <mergeCell ref="A367:L367"/>
    <mergeCell ref="B369:L369"/>
    <mergeCell ref="B378:L378"/>
    <mergeCell ref="A380:L380"/>
    <mergeCell ref="A401:L401"/>
    <mergeCell ref="A410:L410"/>
    <mergeCell ref="A316:L316"/>
    <mergeCell ref="A208:L208"/>
    <mergeCell ref="A230:L230"/>
    <mergeCell ref="A239:L239"/>
    <mergeCell ref="B241:L241"/>
    <mergeCell ref="B250:L250"/>
    <mergeCell ref="A252:L252"/>
    <mergeCell ref="A273:L273"/>
    <mergeCell ref="A282:L282"/>
    <mergeCell ref="B284:L284"/>
    <mergeCell ref="B293:L293"/>
    <mergeCell ref="A295:L295"/>
    <mergeCell ref="B206:L206"/>
    <mergeCell ref="B111:L111"/>
    <mergeCell ref="B120:L120"/>
    <mergeCell ref="A122:L122"/>
    <mergeCell ref="A143:L143"/>
    <mergeCell ref="A152:L152"/>
    <mergeCell ref="B154:L154"/>
    <mergeCell ref="B163:L163"/>
    <mergeCell ref="A165:L165"/>
    <mergeCell ref="A186:L186"/>
    <mergeCell ref="A195:L195"/>
    <mergeCell ref="B197:L197"/>
    <mergeCell ref="A109:L109"/>
    <mergeCell ref="A6:L6"/>
    <mergeCell ref="A15:L15"/>
    <mergeCell ref="B17:L17"/>
    <mergeCell ref="B26:L26"/>
    <mergeCell ref="A28:L28"/>
    <mergeCell ref="A55:L55"/>
    <mergeCell ref="A64:L64"/>
    <mergeCell ref="B66:L66"/>
    <mergeCell ref="B75:L75"/>
    <mergeCell ref="A77:L77"/>
    <mergeCell ref="A100:L100"/>
    <mergeCell ref="A658:L658"/>
    <mergeCell ref="A667:L667"/>
    <mergeCell ref="B669:L669"/>
    <mergeCell ref="B678:L678"/>
    <mergeCell ref="A680:L680"/>
    <mergeCell ref="A705:L705"/>
    <mergeCell ref="A714:L714"/>
    <mergeCell ref="B716:L716"/>
    <mergeCell ref="B725:L725"/>
    <mergeCell ref="A727:L727"/>
    <mergeCell ref="A752:L752"/>
    <mergeCell ref="A761:L761"/>
    <mergeCell ref="B763:L763"/>
    <mergeCell ref="B772:L772"/>
    <mergeCell ref="A774:L774"/>
  </mergeCells>
  <pageMargins left="0.5" right="0.2" top="0.75" bottom="1" header="0.5" footer="0.5"/>
  <pageSetup paperSize="5"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126B-4913-4031-9345-DFAD857A55FB}">
  <dimension ref="A3:Y731"/>
  <sheetViews>
    <sheetView topLeftCell="A43" zoomScale="98" zoomScaleNormal="98" zoomScaleSheetLayoutView="100" workbookViewId="0">
      <selection activeCell="A454" sqref="A454:M497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22.7109375" style="4" customWidth="1"/>
    <col min="6" max="6" width="13" style="4" customWidth="1"/>
    <col min="7" max="7" width="2.85546875" style="4" customWidth="1"/>
    <col min="8" max="8" width="7.5703125" style="4" customWidth="1"/>
    <col min="9" max="9" width="18.140625" style="4" customWidth="1"/>
    <col min="10" max="10" width="6.28515625" style="4" customWidth="1"/>
    <col min="11" max="11" width="16.140625" style="4" customWidth="1"/>
    <col min="12" max="12" width="2.140625" style="4" customWidth="1"/>
    <col min="13" max="13" width="4.140625" style="4" customWidth="1"/>
    <col min="14" max="14" width="4.28515625" style="4" customWidth="1"/>
    <col min="15" max="15" width="3.7109375" style="4" customWidth="1"/>
    <col min="16" max="16" width="2.42578125" style="4" customWidth="1"/>
    <col min="17" max="17" width="11" style="4" customWidth="1"/>
    <col min="18" max="18" width="21.7109375" style="4" customWidth="1"/>
    <col min="19" max="19" width="9.140625" style="4"/>
    <col min="20" max="20" width="6.7109375" style="4" customWidth="1"/>
    <col min="21" max="21" width="13.5703125" style="4" customWidth="1"/>
    <col min="22" max="22" width="13.7109375" style="4" customWidth="1"/>
    <col min="23" max="23" width="12.5703125" style="4" bestFit="1" customWidth="1"/>
    <col min="24" max="16384" width="9.140625" style="4"/>
  </cols>
  <sheetData>
    <row r="3" spans="1:12" ht="21.95" customHeight="1" x14ac:dyDescent="0.25">
      <c r="A3" s="3" t="s">
        <v>22</v>
      </c>
    </row>
    <row r="4" spans="1:12" ht="21.95" customHeight="1" x14ac:dyDescent="0.2">
      <c r="A4" s="122" t="s">
        <v>20</v>
      </c>
    </row>
    <row r="5" spans="1:12" ht="21.95" customHeight="1" x14ac:dyDescent="0.2">
      <c r="A5" s="122" t="s">
        <v>21</v>
      </c>
    </row>
    <row r="9" spans="1:12" ht="21.9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21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21.9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21.95" customHeight="1" x14ac:dyDescent="0.25">
      <c r="A12" s="1"/>
      <c r="B12" s="1"/>
    </row>
    <row r="13" spans="1:12" ht="21.95" customHeight="1" x14ac:dyDescent="0.25">
      <c r="A13" s="1" t="s">
        <v>7</v>
      </c>
      <c r="B13" s="1"/>
    </row>
    <row r="14" spans="1:12" s="76" customFormat="1" ht="21.95" customHeight="1" x14ac:dyDescent="0.25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21.95" customHeight="1" x14ac:dyDescent="0.25">
      <c r="A15" s="1" t="s">
        <v>8</v>
      </c>
      <c r="C15" s="9" t="s">
        <v>1</v>
      </c>
      <c r="D15" s="92" t="s">
        <v>529</v>
      </c>
      <c r="E15" s="76"/>
      <c r="F15" s="76"/>
      <c r="G15" s="76"/>
      <c r="H15" s="76"/>
    </row>
    <row r="16" spans="1:12" ht="21.95" customHeight="1" x14ac:dyDescent="0.25">
      <c r="A16" s="1" t="s">
        <v>9</v>
      </c>
      <c r="C16" s="9" t="s">
        <v>1</v>
      </c>
      <c r="D16" s="57" t="s">
        <v>540</v>
      </c>
      <c r="E16" s="76"/>
      <c r="F16" s="76"/>
      <c r="G16" s="76"/>
      <c r="H16" s="76"/>
    </row>
    <row r="17" spans="1:12" ht="21.95" customHeight="1" x14ac:dyDescent="0.2">
      <c r="A17" s="50" t="s">
        <v>10</v>
      </c>
      <c r="B17" s="76"/>
      <c r="C17" s="91" t="s">
        <v>1</v>
      </c>
      <c r="D17" s="50" t="s">
        <v>530</v>
      </c>
      <c r="E17" s="76"/>
      <c r="F17" s="76"/>
      <c r="G17" s="76"/>
      <c r="H17" s="76"/>
      <c r="I17" s="76"/>
      <c r="J17" s="76"/>
      <c r="K17" s="76"/>
      <c r="L17" s="76"/>
    </row>
    <row r="18" spans="1:12" ht="21.95" customHeight="1" x14ac:dyDescent="0.25">
      <c r="A18" s="1"/>
      <c r="B18" s="1"/>
      <c r="D18" s="1"/>
    </row>
    <row r="19" spans="1:12" s="148" customFormat="1" ht="32.25" customHeight="1" x14ac:dyDescent="0.2">
      <c r="A19" s="277" t="s">
        <v>526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</row>
    <row r="20" spans="1:12" ht="21.95" customHeight="1" x14ac:dyDescent="0.25">
      <c r="A20" s="1"/>
      <c r="B20" s="1"/>
    </row>
    <row r="21" spans="1:12" ht="43.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21.9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21.95" customHeight="1" x14ac:dyDescent="0.2">
      <c r="A23" s="50"/>
      <c r="B23" s="143">
        <v>1</v>
      </c>
      <c r="C23" s="284" t="s">
        <v>527</v>
      </c>
      <c r="D23" s="285"/>
      <c r="E23" s="285"/>
      <c r="F23" s="285"/>
      <c r="G23" s="76"/>
      <c r="H23" s="79"/>
      <c r="I23" s="56">
        <v>150000</v>
      </c>
      <c r="J23" s="76"/>
      <c r="K23" s="76"/>
      <c r="L23" s="79"/>
    </row>
    <row r="24" spans="1:12" ht="21.95" customHeight="1" x14ac:dyDescent="0.2">
      <c r="B24" s="96"/>
      <c r="C24" s="124"/>
      <c r="D24" s="124"/>
      <c r="E24" s="127"/>
      <c r="F24" s="125"/>
      <c r="G24" s="124"/>
      <c r="H24" s="124"/>
      <c r="I24" s="23"/>
      <c r="L24" s="17"/>
    </row>
    <row r="25" spans="1:12" ht="21.9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f>I23</f>
        <v>150000</v>
      </c>
      <c r="J25" s="1"/>
      <c r="K25" s="1"/>
      <c r="L25" s="42"/>
    </row>
    <row r="26" spans="1:12" ht="21.9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</row>
    <row r="27" spans="1:12" ht="21.9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6.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</row>
    <row r="29" spans="1:12" ht="21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1.95" customHeight="1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</row>
    <row r="31" spans="1:12" ht="21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1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1.95" customHeight="1" x14ac:dyDescent="0.25">
      <c r="A33" s="1"/>
      <c r="B33" s="1"/>
      <c r="C33" s="1"/>
      <c r="D33" s="1"/>
      <c r="E33" s="1"/>
      <c r="F33" s="1"/>
      <c r="G33" s="1"/>
      <c r="H33" s="4" t="s">
        <v>533</v>
      </c>
      <c r="J33" s="286" t="s">
        <v>528</v>
      </c>
      <c r="K33" s="286"/>
      <c r="L33" s="286"/>
    </row>
    <row r="34" spans="1:12" ht="15" customHeight="1" x14ac:dyDescent="0.25">
      <c r="A34" s="1"/>
      <c r="B34" s="1" t="s">
        <v>15</v>
      </c>
      <c r="C34" s="1"/>
      <c r="D34" s="1"/>
      <c r="E34" s="1"/>
      <c r="F34" s="1"/>
      <c r="G34" s="1"/>
      <c r="H34" s="4" t="s">
        <v>13</v>
      </c>
    </row>
    <row r="35" spans="1:12" ht="16.5" customHeight="1" x14ac:dyDescent="0.25">
      <c r="A35" s="1"/>
      <c r="B35" s="1" t="s">
        <v>18</v>
      </c>
      <c r="C35" s="1"/>
      <c r="D35" s="1"/>
      <c r="E35" s="1"/>
      <c r="F35" s="1"/>
      <c r="G35" s="1"/>
      <c r="H35" s="4" t="s">
        <v>14</v>
      </c>
    </row>
    <row r="36" spans="1:12" ht="2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1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1.75" hidden="1" customHeight="1" x14ac:dyDescent="0.25">
      <c r="A38" s="1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"/>
    </row>
    <row r="39" spans="1:12" ht="21.95" customHeight="1" x14ac:dyDescent="0.25">
      <c r="A39" s="1"/>
      <c r="K39" s="103"/>
      <c r="L39" s="1"/>
    </row>
    <row r="40" spans="1:12" ht="21.95" customHeight="1" x14ac:dyDescent="0.25">
      <c r="A40" s="1"/>
      <c r="B40" s="95" t="s">
        <v>77</v>
      </c>
      <c r="H40" s="95" t="str">
        <f>D15</f>
        <v>YAUMA FITRIA, AMKL</v>
      </c>
      <c r="I40" s="95"/>
      <c r="J40" s="92"/>
      <c r="K40" s="103"/>
      <c r="L40" s="1"/>
    </row>
    <row r="41" spans="1:12" ht="21.95" customHeight="1" x14ac:dyDescent="0.25">
      <c r="A41" s="1"/>
      <c r="B41" s="99" t="s">
        <v>27</v>
      </c>
      <c r="C41" s="57"/>
      <c r="H41" s="99" t="s">
        <v>542</v>
      </c>
      <c r="K41" s="103"/>
    </row>
    <row r="46" spans="1:12" ht="21.95" customHeight="1" x14ac:dyDescent="0.25">
      <c r="A46" s="3" t="s">
        <v>22</v>
      </c>
    </row>
    <row r="47" spans="1:12" ht="21.95" customHeight="1" x14ac:dyDescent="0.2">
      <c r="A47" s="122" t="s">
        <v>20</v>
      </c>
    </row>
    <row r="48" spans="1:12" ht="21.95" customHeight="1" x14ac:dyDescent="0.2">
      <c r="A48" s="122" t="s">
        <v>21</v>
      </c>
    </row>
    <row r="52" spans="1:12" ht="21.95" customHeight="1" x14ac:dyDescent="0.3">
      <c r="A52" s="276" t="s">
        <v>6</v>
      </c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6"/>
    </row>
    <row r="53" spans="1:12" ht="21.95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21.95" customHeigh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21.95" customHeight="1" x14ac:dyDescent="0.25">
      <c r="A55" s="1"/>
      <c r="B55" s="1"/>
    </row>
    <row r="56" spans="1:12" ht="21.95" customHeight="1" x14ac:dyDescent="0.25">
      <c r="A56" s="1" t="s">
        <v>7</v>
      </c>
      <c r="B56" s="1"/>
    </row>
    <row r="57" spans="1:12" ht="21.95" customHeight="1" x14ac:dyDescent="0.25">
      <c r="A57" s="1"/>
      <c r="B57" s="1"/>
    </row>
    <row r="58" spans="1:12" ht="21.95" customHeight="1" x14ac:dyDescent="0.25">
      <c r="A58" s="1" t="s">
        <v>8</v>
      </c>
      <c r="C58" s="9" t="s">
        <v>1</v>
      </c>
      <c r="D58" s="92" t="s">
        <v>531</v>
      </c>
      <c r="E58" s="76"/>
      <c r="F58" s="76"/>
      <c r="G58" s="76"/>
      <c r="H58" s="76"/>
    </row>
    <row r="59" spans="1:12" ht="21.95" customHeight="1" x14ac:dyDescent="0.25">
      <c r="A59" s="1" t="s">
        <v>9</v>
      </c>
      <c r="C59" s="9" t="s">
        <v>1</v>
      </c>
      <c r="D59" s="57" t="s">
        <v>541</v>
      </c>
      <c r="E59" s="76"/>
      <c r="F59" s="76"/>
      <c r="G59" s="76"/>
      <c r="H59" s="76"/>
    </row>
    <row r="60" spans="1:12" ht="21.95" customHeight="1" x14ac:dyDescent="0.2">
      <c r="A60" s="50" t="s">
        <v>10</v>
      </c>
      <c r="B60" s="76"/>
      <c r="C60" s="91" t="s">
        <v>1</v>
      </c>
      <c r="D60" s="50" t="s">
        <v>532</v>
      </c>
      <c r="E60" s="76"/>
      <c r="F60" s="76"/>
      <c r="G60" s="76"/>
      <c r="H60" s="76"/>
      <c r="I60" s="76"/>
      <c r="J60" s="76"/>
      <c r="K60" s="76"/>
      <c r="L60" s="76"/>
    </row>
    <row r="61" spans="1:12" ht="21.95" customHeight="1" x14ac:dyDescent="0.25">
      <c r="A61" s="1"/>
      <c r="B61" s="1"/>
      <c r="D61" s="1"/>
    </row>
    <row r="62" spans="1:12" ht="27.75" customHeight="1" x14ac:dyDescent="0.2">
      <c r="A62" s="277" t="s">
        <v>526</v>
      </c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</row>
    <row r="63" spans="1:12" ht="21.95" customHeight="1" x14ac:dyDescent="0.25">
      <c r="A63" s="1"/>
      <c r="B63" s="1"/>
    </row>
    <row r="64" spans="1:12" ht="42" customHeight="1" thickBot="1" x14ac:dyDescent="0.25">
      <c r="A64" s="10" t="s">
        <v>0</v>
      </c>
      <c r="B64" s="278" t="s">
        <v>91</v>
      </c>
      <c r="C64" s="278"/>
      <c r="D64" s="278"/>
      <c r="E64" s="278"/>
      <c r="F64" s="278"/>
      <c r="G64" s="278"/>
      <c r="H64" s="278"/>
      <c r="I64" s="278"/>
      <c r="J64" s="278"/>
      <c r="K64" s="278"/>
      <c r="L64" s="278"/>
    </row>
    <row r="65" spans="1:12" ht="21.95" customHeight="1" thickTop="1" x14ac:dyDescent="0.25">
      <c r="A65" s="1"/>
      <c r="B65" s="11" t="s">
        <v>3</v>
      </c>
      <c r="C65" s="12" t="s">
        <v>4</v>
      </c>
      <c r="D65" s="13"/>
      <c r="E65" s="13"/>
      <c r="F65" s="13"/>
      <c r="G65" s="13"/>
      <c r="H65" s="14"/>
      <c r="I65" s="15" t="s">
        <v>5</v>
      </c>
      <c r="J65" s="12" t="s">
        <v>17</v>
      </c>
      <c r="K65" s="13"/>
      <c r="L65" s="14"/>
    </row>
    <row r="66" spans="1:12" ht="21.95" customHeight="1" x14ac:dyDescent="0.2">
      <c r="A66" s="50"/>
      <c r="B66" s="143">
        <v>1</v>
      </c>
      <c r="C66" s="284" t="s">
        <v>527</v>
      </c>
      <c r="D66" s="285"/>
      <c r="E66" s="285"/>
      <c r="F66" s="285"/>
      <c r="G66" s="76"/>
      <c r="H66" s="79"/>
      <c r="I66" s="56">
        <v>150000</v>
      </c>
      <c r="J66" s="76"/>
      <c r="K66" s="76"/>
      <c r="L66" s="79"/>
    </row>
    <row r="67" spans="1:12" ht="21.95" customHeight="1" x14ac:dyDescent="0.2">
      <c r="B67" s="96"/>
      <c r="C67" s="124"/>
      <c r="D67" s="124"/>
      <c r="E67" s="127"/>
      <c r="F67" s="125"/>
      <c r="G67" s="124"/>
      <c r="H67" s="124"/>
      <c r="I67" s="23"/>
      <c r="L67" s="17"/>
    </row>
    <row r="68" spans="1:12" ht="21.95" customHeight="1" x14ac:dyDescent="0.25">
      <c r="A68" s="1"/>
      <c r="B68" s="39"/>
      <c r="C68" s="1"/>
      <c r="D68" s="1"/>
      <c r="E68" s="1"/>
      <c r="F68" s="40" t="s">
        <v>5</v>
      </c>
      <c r="G68" s="40"/>
      <c r="H68" s="1"/>
      <c r="I68" s="41">
        <f>I66</f>
        <v>150000</v>
      </c>
      <c r="J68" s="1"/>
      <c r="K68" s="1"/>
      <c r="L68" s="42"/>
    </row>
    <row r="69" spans="1:12" ht="21.95" customHeight="1" thickBot="1" x14ac:dyDescent="0.3">
      <c r="A69" s="1"/>
      <c r="B69" s="43"/>
      <c r="C69" s="44"/>
      <c r="D69" s="44"/>
      <c r="E69" s="44"/>
      <c r="F69" s="45"/>
      <c r="G69" s="45"/>
      <c r="H69" s="44"/>
      <c r="I69" s="46"/>
      <c r="J69" s="44"/>
      <c r="K69" s="44"/>
      <c r="L69" s="47"/>
    </row>
    <row r="70" spans="1:12" ht="21.95" customHeight="1" thickTop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48.75" customHeight="1" x14ac:dyDescent="0.2">
      <c r="A71" s="10" t="s">
        <v>2</v>
      </c>
      <c r="B71" s="279" t="s">
        <v>11</v>
      </c>
      <c r="C71" s="279"/>
      <c r="D71" s="279"/>
      <c r="E71" s="279"/>
      <c r="F71" s="279"/>
      <c r="G71" s="279"/>
      <c r="H71" s="279"/>
      <c r="I71" s="279"/>
      <c r="J71" s="279"/>
      <c r="K71" s="279"/>
      <c r="L71" s="279"/>
    </row>
    <row r="72" spans="1:12" ht="21.9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1.95" customHeight="1" x14ac:dyDescent="0.2">
      <c r="A73" s="280" t="s">
        <v>12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</row>
    <row r="74" spans="1:12" ht="21.9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1.9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1.95" customHeight="1" x14ac:dyDescent="0.25">
      <c r="A76" s="1"/>
      <c r="B76" s="1"/>
      <c r="C76" s="1"/>
      <c r="D76" s="1"/>
      <c r="E76" s="1"/>
      <c r="F76" s="1"/>
      <c r="G76" s="1"/>
      <c r="H76" s="4" t="s">
        <v>533</v>
      </c>
      <c r="J76" s="286" t="s">
        <v>528</v>
      </c>
      <c r="K76" s="286"/>
      <c r="L76" s="286"/>
    </row>
    <row r="77" spans="1:12" ht="15" x14ac:dyDescent="0.25">
      <c r="A77" s="1"/>
      <c r="B77" s="1" t="s">
        <v>15</v>
      </c>
      <c r="C77" s="1"/>
      <c r="D77" s="1"/>
      <c r="E77" s="1"/>
      <c r="F77" s="1"/>
      <c r="G77" s="1"/>
      <c r="H77" s="4" t="s">
        <v>13</v>
      </c>
    </row>
    <row r="78" spans="1:12" ht="15" x14ac:dyDescent="0.25">
      <c r="A78" s="1"/>
      <c r="B78" s="1" t="s">
        <v>18</v>
      </c>
      <c r="C78" s="1"/>
      <c r="D78" s="1"/>
      <c r="E78" s="1"/>
      <c r="F78" s="1"/>
      <c r="G78" s="1"/>
      <c r="H78" s="4" t="s">
        <v>14</v>
      </c>
    </row>
    <row r="79" spans="1:12" ht="21.9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8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1.75" hidden="1" customHeight="1" x14ac:dyDescent="0.25">
      <c r="A81" s="1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"/>
    </row>
    <row r="82" spans="1:12" ht="21.95" customHeight="1" x14ac:dyDescent="0.25">
      <c r="A82" s="1"/>
      <c r="K82" s="103"/>
      <c r="L82" s="1"/>
    </row>
    <row r="83" spans="1:12" ht="21.95" customHeight="1" x14ac:dyDescent="0.25">
      <c r="A83" s="1"/>
      <c r="B83" s="95" t="s">
        <v>77</v>
      </c>
      <c r="H83" s="95" t="str">
        <f>D58</f>
        <v>CINTIA RAHMAWATI, A. Md. KL</v>
      </c>
      <c r="I83" s="95"/>
      <c r="J83" s="92"/>
      <c r="K83" s="103"/>
      <c r="L83" s="1"/>
    </row>
    <row r="84" spans="1:12" ht="21.95" customHeight="1" x14ac:dyDescent="0.25">
      <c r="A84" s="1"/>
      <c r="B84" s="99" t="s">
        <v>27</v>
      </c>
      <c r="C84" s="57"/>
      <c r="H84" s="99" t="s">
        <v>543</v>
      </c>
      <c r="K84" s="103"/>
    </row>
    <row r="90" spans="1:12" ht="21.95" customHeight="1" x14ac:dyDescent="0.25">
      <c r="A90" s="3" t="s">
        <v>22</v>
      </c>
    </row>
    <row r="91" spans="1:12" ht="21.95" customHeight="1" x14ac:dyDescent="0.2">
      <c r="A91" s="122" t="s">
        <v>20</v>
      </c>
    </row>
    <row r="92" spans="1:12" ht="21.95" customHeight="1" x14ac:dyDescent="0.2">
      <c r="A92" s="122" t="s">
        <v>21</v>
      </c>
    </row>
    <row r="96" spans="1:12" ht="21.95" customHeight="1" x14ac:dyDescent="0.3">
      <c r="A96" s="276" t="s">
        <v>6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</row>
    <row r="97" spans="1:12" ht="21.95" customHeigh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</row>
    <row r="98" spans="1:12" ht="21.95" customHeigh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1:12" ht="21.95" customHeight="1" x14ac:dyDescent="0.25">
      <c r="A99" s="1"/>
      <c r="B99" s="1"/>
    </row>
    <row r="100" spans="1:12" ht="21.95" customHeight="1" x14ac:dyDescent="0.25">
      <c r="A100" s="1" t="s">
        <v>7</v>
      </c>
      <c r="B100" s="1"/>
    </row>
    <row r="101" spans="1:12" ht="21.95" customHeight="1" x14ac:dyDescent="0.25">
      <c r="A101" s="1"/>
      <c r="B101" s="1"/>
    </row>
    <row r="102" spans="1:12" ht="21.95" customHeight="1" x14ac:dyDescent="0.25">
      <c r="A102" s="1" t="s">
        <v>8</v>
      </c>
      <c r="C102" s="9" t="s">
        <v>1</v>
      </c>
      <c r="D102" s="92" t="s">
        <v>535</v>
      </c>
      <c r="E102" s="76"/>
      <c r="F102" s="76"/>
      <c r="G102" s="76"/>
      <c r="H102" s="76"/>
    </row>
    <row r="103" spans="1:12" ht="21.95" customHeight="1" x14ac:dyDescent="0.25">
      <c r="A103" s="1" t="s">
        <v>9</v>
      </c>
      <c r="C103" s="9" t="s">
        <v>1</v>
      </c>
      <c r="D103" s="57"/>
      <c r="E103" s="76"/>
      <c r="F103" s="76"/>
      <c r="G103" s="76"/>
      <c r="H103" s="76"/>
    </row>
    <row r="104" spans="1:12" ht="21.95" customHeight="1" x14ac:dyDescent="0.2">
      <c r="A104" s="50" t="s">
        <v>10</v>
      </c>
      <c r="B104" s="76"/>
      <c r="C104" s="91" t="s">
        <v>1</v>
      </c>
      <c r="D104" s="50" t="s">
        <v>536</v>
      </c>
      <c r="E104" s="76"/>
      <c r="F104" s="76"/>
      <c r="G104" s="76"/>
      <c r="H104" s="76"/>
      <c r="I104" s="76"/>
      <c r="J104" s="76"/>
      <c r="K104" s="76"/>
      <c r="L104" s="76"/>
    </row>
    <row r="105" spans="1:12" ht="21.95" customHeight="1" x14ac:dyDescent="0.25">
      <c r="A105" s="1"/>
      <c r="B105" s="1"/>
      <c r="D105" s="1"/>
    </row>
    <row r="106" spans="1:12" ht="33" customHeight="1" x14ac:dyDescent="0.2">
      <c r="A106" s="277" t="s">
        <v>526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</row>
    <row r="107" spans="1:12" ht="21.95" customHeight="1" x14ac:dyDescent="0.25">
      <c r="A107" s="1"/>
      <c r="B107" s="1"/>
    </row>
    <row r="108" spans="1:12" ht="34.5" customHeight="1" thickBot="1" x14ac:dyDescent="0.25">
      <c r="A108" s="10" t="s">
        <v>0</v>
      </c>
      <c r="B108" s="278" t="s">
        <v>91</v>
      </c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</row>
    <row r="109" spans="1:12" ht="21.95" customHeight="1" thickTop="1" x14ac:dyDescent="0.25">
      <c r="A109" s="1"/>
      <c r="B109" s="11" t="s">
        <v>3</v>
      </c>
      <c r="C109" s="12" t="s">
        <v>4</v>
      </c>
      <c r="D109" s="13"/>
      <c r="E109" s="13"/>
      <c r="F109" s="13"/>
      <c r="G109" s="13"/>
      <c r="H109" s="14"/>
      <c r="I109" s="15" t="s">
        <v>5</v>
      </c>
      <c r="J109" s="12" t="s">
        <v>17</v>
      </c>
      <c r="K109" s="13"/>
      <c r="L109" s="14"/>
    </row>
    <row r="110" spans="1:12" ht="21.95" customHeight="1" x14ac:dyDescent="0.2">
      <c r="A110" s="50"/>
      <c r="B110" s="143">
        <v>1</v>
      </c>
      <c r="C110" s="284" t="s">
        <v>527</v>
      </c>
      <c r="D110" s="285"/>
      <c r="E110" s="285"/>
      <c r="F110" s="285"/>
      <c r="G110" s="76"/>
      <c r="H110" s="79"/>
      <c r="I110" s="56">
        <v>150000</v>
      </c>
      <c r="J110" s="76"/>
      <c r="K110" s="76"/>
      <c r="L110" s="79"/>
    </row>
    <row r="111" spans="1:12" ht="21.95" customHeight="1" x14ac:dyDescent="0.2">
      <c r="B111" s="96"/>
      <c r="C111" s="124"/>
      <c r="D111" s="124"/>
      <c r="E111" s="127"/>
      <c r="F111" s="125"/>
      <c r="G111" s="124"/>
      <c r="H111" s="124"/>
      <c r="I111" s="23"/>
      <c r="L111" s="17"/>
    </row>
    <row r="112" spans="1:12" ht="21.95" customHeight="1" x14ac:dyDescent="0.25">
      <c r="A112" s="1"/>
      <c r="B112" s="39"/>
      <c r="C112" s="1"/>
      <c r="D112" s="1"/>
      <c r="E112" s="1"/>
      <c r="F112" s="40" t="s">
        <v>5</v>
      </c>
      <c r="G112" s="40"/>
      <c r="H112" s="1"/>
      <c r="I112" s="41">
        <f>I110</f>
        <v>150000</v>
      </c>
      <c r="J112" s="1"/>
      <c r="K112" s="1"/>
      <c r="L112" s="42"/>
    </row>
    <row r="113" spans="1:12" ht="21.95" customHeight="1" thickBot="1" x14ac:dyDescent="0.3">
      <c r="A113" s="1"/>
      <c r="B113" s="43"/>
      <c r="C113" s="44"/>
      <c r="D113" s="44"/>
      <c r="E113" s="44"/>
      <c r="F113" s="45"/>
      <c r="G113" s="45"/>
      <c r="H113" s="44"/>
      <c r="I113" s="46"/>
      <c r="J113" s="44"/>
      <c r="K113" s="44"/>
      <c r="L113" s="47"/>
    </row>
    <row r="114" spans="1:12" ht="21.95" customHeight="1" thickTop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66.75" customHeight="1" x14ac:dyDescent="0.2">
      <c r="A115" s="10" t="s">
        <v>2</v>
      </c>
      <c r="B115" s="279" t="s">
        <v>11</v>
      </c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</row>
    <row r="116" spans="1:12" ht="21.9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21.95" customHeight="1" x14ac:dyDescent="0.2">
      <c r="A117" s="280" t="s">
        <v>12</v>
      </c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</row>
    <row r="118" spans="1:12" ht="21.9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21.9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1.95" customHeight="1" x14ac:dyDescent="0.25">
      <c r="A120" s="1"/>
      <c r="B120" s="1"/>
      <c r="C120" s="1"/>
      <c r="D120" s="1"/>
      <c r="E120" s="1"/>
      <c r="F120" s="1"/>
      <c r="G120" s="1"/>
      <c r="H120" s="4" t="s">
        <v>533</v>
      </c>
      <c r="J120" s="286" t="s">
        <v>534</v>
      </c>
      <c r="K120" s="286"/>
      <c r="L120" s="286"/>
    </row>
    <row r="121" spans="1:12" ht="15" x14ac:dyDescent="0.25">
      <c r="A121" s="1"/>
      <c r="B121" s="1" t="s">
        <v>15</v>
      </c>
      <c r="C121" s="1"/>
      <c r="D121" s="1"/>
      <c r="E121" s="1"/>
      <c r="F121" s="1"/>
      <c r="G121" s="1"/>
      <c r="H121" s="4" t="s">
        <v>13</v>
      </c>
    </row>
    <row r="122" spans="1:12" ht="15.75" customHeight="1" x14ac:dyDescent="0.25">
      <c r="A122" s="1"/>
      <c r="B122" s="1" t="s">
        <v>18</v>
      </c>
      <c r="C122" s="1"/>
      <c r="D122" s="1"/>
      <c r="E122" s="1"/>
      <c r="F122" s="1"/>
      <c r="G122" s="1"/>
      <c r="H122" s="4" t="s">
        <v>14</v>
      </c>
    </row>
    <row r="123" spans="1:12" ht="21.9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21.75" hidden="1" customHeight="1" x14ac:dyDescent="0.25">
      <c r="A125" s="1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"/>
    </row>
    <row r="126" spans="1:12" ht="21.95" customHeight="1" x14ac:dyDescent="0.25">
      <c r="A126" s="1"/>
      <c r="K126" s="103"/>
      <c r="L126" s="1"/>
    </row>
    <row r="127" spans="1:12" ht="21.95" customHeight="1" x14ac:dyDescent="0.25">
      <c r="A127" s="1"/>
      <c r="B127" s="95" t="s">
        <v>77</v>
      </c>
      <c r="H127" s="95" t="str">
        <f>D102</f>
        <v>PARIYANTO</v>
      </c>
      <c r="I127" s="95"/>
      <c r="J127" s="92"/>
      <c r="K127" s="103"/>
      <c r="L127" s="1"/>
    </row>
    <row r="128" spans="1:12" ht="21.95" customHeight="1" x14ac:dyDescent="0.25">
      <c r="A128" s="1"/>
      <c r="B128" s="99" t="s">
        <v>27</v>
      </c>
      <c r="C128" s="57"/>
      <c r="H128" s="99"/>
      <c r="K128" s="103"/>
    </row>
    <row r="133" spans="1:12" ht="21.95" customHeight="1" x14ac:dyDescent="0.25">
      <c r="A133" s="3" t="s">
        <v>22</v>
      </c>
    </row>
    <row r="134" spans="1:12" ht="21.95" customHeight="1" x14ac:dyDescent="0.2">
      <c r="A134" s="122" t="s">
        <v>20</v>
      </c>
    </row>
    <row r="135" spans="1:12" ht="21.95" customHeight="1" x14ac:dyDescent="0.2">
      <c r="A135" s="122" t="s">
        <v>21</v>
      </c>
    </row>
    <row r="139" spans="1:12" ht="21.95" customHeight="1" x14ac:dyDescent="0.3">
      <c r="A139" s="276" t="s">
        <v>6</v>
      </c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</row>
    <row r="140" spans="1:12" ht="21.95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1:12" ht="21.9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21.95" customHeight="1" x14ac:dyDescent="0.25">
      <c r="A142" s="1"/>
      <c r="B142" s="1"/>
    </row>
    <row r="143" spans="1:12" ht="21.95" customHeight="1" x14ac:dyDescent="0.25">
      <c r="A143" s="1" t="s">
        <v>7</v>
      </c>
      <c r="B143" s="1"/>
    </row>
    <row r="144" spans="1:12" ht="21.95" customHeight="1" x14ac:dyDescent="0.25">
      <c r="A144" s="1"/>
      <c r="B144" s="1"/>
    </row>
    <row r="145" spans="1:12" ht="21.95" customHeight="1" x14ac:dyDescent="0.25">
      <c r="A145" s="1" t="s">
        <v>8</v>
      </c>
      <c r="C145" s="9" t="s">
        <v>1</v>
      </c>
      <c r="D145" s="92" t="s">
        <v>537</v>
      </c>
      <c r="E145" s="76"/>
      <c r="F145" s="76"/>
      <c r="G145" s="76"/>
      <c r="H145" s="76"/>
    </row>
    <row r="146" spans="1:12" ht="21.95" customHeight="1" x14ac:dyDescent="0.25">
      <c r="A146" s="1" t="s">
        <v>9</v>
      </c>
      <c r="C146" s="9" t="s">
        <v>1</v>
      </c>
      <c r="D146" s="57"/>
      <c r="E146" s="76"/>
      <c r="F146" s="76"/>
      <c r="G146" s="76"/>
      <c r="H146" s="76"/>
    </row>
    <row r="147" spans="1:12" ht="21.95" customHeight="1" x14ac:dyDescent="0.2">
      <c r="A147" s="50" t="s">
        <v>10</v>
      </c>
      <c r="B147" s="76"/>
      <c r="C147" s="91" t="s">
        <v>1</v>
      </c>
      <c r="D147" s="50" t="s">
        <v>538</v>
      </c>
      <c r="E147" s="76"/>
      <c r="F147" s="76"/>
      <c r="G147" s="76"/>
      <c r="H147" s="76"/>
      <c r="I147" s="76"/>
      <c r="J147" s="76"/>
      <c r="K147" s="76"/>
      <c r="L147" s="76"/>
    </row>
    <row r="148" spans="1:12" ht="21.95" customHeight="1" x14ac:dyDescent="0.25">
      <c r="A148" s="1"/>
      <c r="B148" s="1"/>
      <c r="D148" s="1"/>
    </row>
    <row r="149" spans="1:12" ht="32.25" customHeight="1" x14ac:dyDescent="0.2">
      <c r="A149" s="277" t="s">
        <v>526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</row>
    <row r="150" spans="1:12" ht="21.95" customHeight="1" x14ac:dyDescent="0.25">
      <c r="A150" s="1"/>
      <c r="B150" s="1"/>
    </row>
    <row r="151" spans="1:12" ht="35.25" customHeight="1" thickBot="1" x14ac:dyDescent="0.25">
      <c r="A151" s="10" t="s">
        <v>0</v>
      </c>
      <c r="B151" s="278" t="s">
        <v>91</v>
      </c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</row>
    <row r="152" spans="1:12" ht="21.95" customHeight="1" thickTop="1" x14ac:dyDescent="0.25">
      <c r="A152" s="1"/>
      <c r="B152" s="11" t="s">
        <v>3</v>
      </c>
      <c r="C152" s="12" t="s">
        <v>4</v>
      </c>
      <c r="D152" s="13"/>
      <c r="E152" s="13"/>
      <c r="F152" s="13"/>
      <c r="G152" s="13"/>
      <c r="H152" s="14"/>
      <c r="I152" s="15" t="s">
        <v>5</v>
      </c>
      <c r="J152" s="12" t="s">
        <v>17</v>
      </c>
      <c r="K152" s="13"/>
      <c r="L152" s="14"/>
    </row>
    <row r="153" spans="1:12" ht="21.95" customHeight="1" x14ac:dyDescent="0.2">
      <c r="A153" s="50"/>
      <c r="B153" s="143">
        <v>1</v>
      </c>
      <c r="C153" s="284" t="s">
        <v>527</v>
      </c>
      <c r="D153" s="285"/>
      <c r="E153" s="285"/>
      <c r="F153" s="285"/>
      <c r="G153" s="76"/>
      <c r="H153" s="79"/>
      <c r="I153" s="56">
        <v>150000</v>
      </c>
      <c r="J153" s="76"/>
      <c r="K153" s="76"/>
      <c r="L153" s="79"/>
    </row>
    <row r="154" spans="1:12" ht="21.95" customHeight="1" x14ac:dyDescent="0.2">
      <c r="B154" s="96"/>
      <c r="C154" s="124"/>
      <c r="D154" s="124"/>
      <c r="E154" s="127"/>
      <c r="F154" s="125"/>
      <c r="G154" s="124"/>
      <c r="H154" s="124"/>
      <c r="I154" s="23"/>
      <c r="L154" s="17"/>
    </row>
    <row r="155" spans="1:12" ht="21.95" customHeight="1" x14ac:dyDescent="0.25">
      <c r="A155" s="1"/>
      <c r="B155" s="39"/>
      <c r="C155" s="1"/>
      <c r="D155" s="1"/>
      <c r="E155" s="1"/>
      <c r="F155" s="40" t="s">
        <v>5</v>
      </c>
      <c r="G155" s="40"/>
      <c r="H155" s="1"/>
      <c r="I155" s="41">
        <f>I153</f>
        <v>150000</v>
      </c>
      <c r="J155" s="1"/>
      <c r="K155" s="1"/>
      <c r="L155" s="42"/>
    </row>
    <row r="156" spans="1:12" ht="21.95" customHeight="1" thickBot="1" x14ac:dyDescent="0.3">
      <c r="A156" s="1"/>
      <c r="B156" s="43"/>
      <c r="C156" s="44"/>
      <c r="D156" s="44"/>
      <c r="E156" s="44"/>
      <c r="F156" s="45"/>
      <c r="G156" s="45"/>
      <c r="H156" s="44"/>
      <c r="I156" s="46"/>
      <c r="J156" s="44"/>
      <c r="K156" s="44"/>
      <c r="L156" s="47"/>
    </row>
    <row r="157" spans="1:12" ht="21.95" customHeight="1" thickTop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47.25" customHeight="1" x14ac:dyDescent="0.2">
      <c r="A158" s="10" t="s">
        <v>2</v>
      </c>
      <c r="B158" s="279" t="s">
        <v>11</v>
      </c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</row>
    <row r="159" spans="1:12" ht="21.9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21.95" customHeight="1" x14ac:dyDescent="0.2">
      <c r="A160" s="280" t="s">
        <v>12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</row>
    <row r="161" spans="1:12" ht="21.9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21.9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7.25" customHeight="1" x14ac:dyDescent="0.25">
      <c r="A163" s="1"/>
      <c r="B163" s="1"/>
      <c r="C163" s="1"/>
      <c r="D163" s="1"/>
      <c r="E163" s="1"/>
      <c r="F163" s="1"/>
      <c r="G163" s="1"/>
      <c r="H163" s="4" t="s">
        <v>533</v>
      </c>
      <c r="J163" s="286" t="s">
        <v>534</v>
      </c>
      <c r="K163" s="286"/>
      <c r="L163" s="286"/>
    </row>
    <row r="164" spans="1:12" ht="15.75" customHeight="1" x14ac:dyDescent="0.25">
      <c r="A164" s="1"/>
      <c r="B164" s="1" t="s">
        <v>15</v>
      </c>
      <c r="C164" s="1"/>
      <c r="D164" s="1"/>
      <c r="E164" s="1"/>
      <c r="F164" s="1"/>
      <c r="G164" s="1"/>
      <c r="H164" s="4" t="s">
        <v>13</v>
      </c>
    </row>
    <row r="165" spans="1:12" ht="18.75" customHeight="1" x14ac:dyDescent="0.25">
      <c r="A165" s="1"/>
      <c r="B165" s="1" t="s">
        <v>18</v>
      </c>
      <c r="C165" s="1"/>
      <c r="D165" s="1"/>
      <c r="E165" s="1"/>
      <c r="F165" s="1"/>
      <c r="G165" s="1"/>
      <c r="H165" s="4" t="s">
        <v>14</v>
      </c>
    </row>
    <row r="166" spans="1:12" ht="21.9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21.75" hidden="1" customHeight="1" x14ac:dyDescent="0.25">
      <c r="A168" s="1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"/>
    </row>
    <row r="169" spans="1:12" ht="21.95" customHeight="1" x14ac:dyDescent="0.25">
      <c r="A169" s="1"/>
      <c r="K169" s="103"/>
      <c r="L169" s="1"/>
    </row>
    <row r="170" spans="1:12" ht="21.95" customHeight="1" x14ac:dyDescent="0.25">
      <c r="A170" s="1"/>
      <c r="B170" s="95" t="s">
        <v>77</v>
      </c>
      <c r="H170" s="95" t="str">
        <f>D145</f>
        <v xml:space="preserve">RIKI </v>
      </c>
      <c r="I170" s="95"/>
      <c r="J170" s="92"/>
      <c r="K170" s="103"/>
      <c r="L170" s="1"/>
    </row>
    <row r="171" spans="1:12" ht="21.95" customHeight="1" x14ac:dyDescent="0.25">
      <c r="A171" s="1"/>
      <c r="B171" s="99" t="s">
        <v>27</v>
      </c>
      <c r="C171" s="57"/>
      <c r="H171" s="99"/>
      <c r="K171" s="103"/>
    </row>
    <row r="174" spans="1:12" ht="21.95" customHeight="1" x14ac:dyDescent="0.25">
      <c r="A174" s="3" t="s">
        <v>22</v>
      </c>
    </row>
    <row r="175" spans="1:12" ht="21.95" customHeight="1" x14ac:dyDescent="0.2">
      <c r="A175" s="122" t="s">
        <v>20</v>
      </c>
    </row>
    <row r="176" spans="1:12" ht="21.95" customHeight="1" x14ac:dyDescent="0.2">
      <c r="A176" s="122" t="s">
        <v>21</v>
      </c>
    </row>
    <row r="180" spans="1:12" ht="21.95" customHeight="1" x14ac:dyDescent="0.3">
      <c r="A180" s="276" t="s">
        <v>6</v>
      </c>
      <c r="B180" s="276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</row>
    <row r="181" spans="1:12" ht="21.95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</row>
    <row r="182" spans="1:12" ht="21.95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</row>
    <row r="183" spans="1:12" ht="21.95" customHeight="1" x14ac:dyDescent="0.25">
      <c r="A183" s="1"/>
      <c r="B183" s="1"/>
    </row>
    <row r="184" spans="1:12" ht="21.95" customHeight="1" x14ac:dyDescent="0.25">
      <c r="A184" s="1" t="s">
        <v>7</v>
      </c>
      <c r="B184" s="1"/>
    </row>
    <row r="185" spans="1:12" ht="21.95" customHeight="1" x14ac:dyDescent="0.25">
      <c r="A185" s="1"/>
      <c r="B185" s="1"/>
    </row>
    <row r="186" spans="1:12" ht="21.95" customHeight="1" x14ac:dyDescent="0.25">
      <c r="A186" s="1" t="s">
        <v>8</v>
      </c>
      <c r="C186" s="9" t="s">
        <v>1</v>
      </c>
      <c r="D186" s="92" t="s">
        <v>539</v>
      </c>
      <c r="E186" s="76"/>
      <c r="F186" s="76"/>
      <c r="G186" s="76"/>
      <c r="H186" s="76"/>
    </row>
    <row r="187" spans="1:12" ht="21.95" customHeight="1" x14ac:dyDescent="0.25">
      <c r="A187" s="1" t="s">
        <v>9</v>
      </c>
      <c r="C187" s="9" t="s">
        <v>1</v>
      </c>
      <c r="D187" s="57"/>
      <c r="E187" s="76"/>
      <c r="F187" s="76"/>
      <c r="G187" s="76"/>
      <c r="H187" s="76"/>
    </row>
    <row r="188" spans="1:12" ht="21.95" customHeight="1" x14ac:dyDescent="0.2">
      <c r="A188" s="50" t="s">
        <v>10</v>
      </c>
      <c r="B188" s="76"/>
      <c r="C188" s="91" t="s">
        <v>1</v>
      </c>
      <c r="D188" s="50"/>
      <c r="E188" s="76"/>
      <c r="F188" s="76"/>
      <c r="G188" s="76"/>
      <c r="H188" s="76"/>
      <c r="I188" s="76"/>
      <c r="J188" s="76"/>
      <c r="K188" s="76"/>
      <c r="L188" s="76"/>
    </row>
    <row r="189" spans="1:12" ht="21.95" customHeight="1" x14ac:dyDescent="0.25">
      <c r="A189" s="1"/>
      <c r="B189" s="1"/>
      <c r="D189" s="1"/>
    </row>
    <row r="190" spans="1:12" ht="29.25" customHeight="1" x14ac:dyDescent="0.2">
      <c r="A190" s="277" t="s">
        <v>526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</row>
    <row r="191" spans="1:12" ht="21.95" customHeight="1" x14ac:dyDescent="0.25">
      <c r="A191" s="1"/>
      <c r="B191" s="1"/>
    </row>
    <row r="192" spans="1:12" ht="38.25" customHeight="1" thickBot="1" x14ac:dyDescent="0.25">
      <c r="A192" s="10" t="s">
        <v>0</v>
      </c>
      <c r="B192" s="278" t="s">
        <v>91</v>
      </c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</row>
    <row r="193" spans="1:12" ht="21.95" customHeight="1" thickTop="1" x14ac:dyDescent="0.25">
      <c r="A193" s="1"/>
      <c r="B193" s="11" t="s">
        <v>3</v>
      </c>
      <c r="C193" s="12" t="s">
        <v>4</v>
      </c>
      <c r="D193" s="13"/>
      <c r="E193" s="13"/>
      <c r="F193" s="13"/>
      <c r="G193" s="13"/>
      <c r="H193" s="14"/>
      <c r="I193" s="15" t="s">
        <v>5</v>
      </c>
      <c r="J193" s="12" t="s">
        <v>17</v>
      </c>
      <c r="K193" s="13"/>
      <c r="L193" s="14"/>
    </row>
    <row r="194" spans="1:12" ht="21.95" customHeight="1" x14ac:dyDescent="0.2">
      <c r="A194" s="50"/>
      <c r="B194" s="143">
        <v>1</v>
      </c>
      <c r="C194" s="284" t="s">
        <v>527</v>
      </c>
      <c r="D194" s="285"/>
      <c r="E194" s="285"/>
      <c r="F194" s="285"/>
      <c r="G194" s="76"/>
      <c r="H194" s="79"/>
      <c r="I194" s="56">
        <v>150000</v>
      </c>
      <c r="J194" s="76"/>
      <c r="K194" s="76"/>
      <c r="L194" s="79"/>
    </row>
    <row r="195" spans="1:12" ht="21.95" customHeight="1" x14ac:dyDescent="0.2">
      <c r="B195" s="96"/>
      <c r="C195" s="124"/>
      <c r="D195" s="124"/>
      <c r="E195" s="127"/>
      <c r="F195" s="125"/>
      <c r="G195" s="124"/>
      <c r="H195" s="124"/>
      <c r="I195" s="23"/>
      <c r="L195" s="17"/>
    </row>
    <row r="196" spans="1:12" ht="21.95" customHeight="1" x14ac:dyDescent="0.25">
      <c r="A196" s="1"/>
      <c r="B196" s="39"/>
      <c r="C196" s="1"/>
      <c r="D196" s="1"/>
      <c r="E196" s="1"/>
      <c r="F196" s="40" t="s">
        <v>5</v>
      </c>
      <c r="G196" s="40"/>
      <c r="H196" s="1"/>
      <c r="I196" s="41">
        <f>I194</f>
        <v>150000</v>
      </c>
      <c r="J196" s="1"/>
      <c r="K196" s="1"/>
      <c r="L196" s="42"/>
    </row>
    <row r="197" spans="1:12" ht="21.95" customHeight="1" thickBot="1" x14ac:dyDescent="0.3">
      <c r="A197" s="1"/>
      <c r="B197" s="43"/>
      <c r="C197" s="44"/>
      <c r="D197" s="44"/>
      <c r="E197" s="44"/>
      <c r="F197" s="45"/>
      <c r="G197" s="45"/>
      <c r="H197" s="44"/>
      <c r="I197" s="46"/>
      <c r="J197" s="44"/>
      <c r="K197" s="44"/>
      <c r="L197" s="47"/>
    </row>
    <row r="198" spans="1:12" ht="21.95" customHeight="1" thickTop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56.25" customHeight="1" x14ac:dyDescent="0.2">
      <c r="A199" s="10" t="s">
        <v>2</v>
      </c>
      <c r="B199" s="279" t="s">
        <v>11</v>
      </c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</row>
    <row r="200" spans="1:12" ht="21.9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21.95" customHeight="1" x14ac:dyDescent="0.2">
      <c r="A201" s="280" t="s">
        <v>12</v>
      </c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</row>
    <row r="202" spans="1:12" ht="21.9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21.9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21.95" customHeight="1" x14ac:dyDescent="0.25">
      <c r="A204" s="1"/>
      <c r="B204" s="1"/>
      <c r="C204" s="1"/>
      <c r="D204" s="1"/>
      <c r="E204" s="1"/>
      <c r="F204" s="1"/>
      <c r="G204" s="1"/>
      <c r="H204" s="4" t="s">
        <v>533</v>
      </c>
      <c r="J204" s="286" t="s">
        <v>534</v>
      </c>
      <c r="K204" s="286"/>
      <c r="L204" s="286"/>
    </row>
    <row r="205" spans="1:12" ht="15" x14ac:dyDescent="0.25">
      <c r="A205" s="1"/>
      <c r="B205" s="1" t="s">
        <v>15</v>
      </c>
      <c r="C205" s="1"/>
      <c r="D205" s="1"/>
      <c r="E205" s="1"/>
      <c r="F205" s="1"/>
      <c r="G205" s="1"/>
      <c r="H205" s="4" t="s">
        <v>13</v>
      </c>
    </row>
    <row r="206" spans="1:12" ht="15" x14ac:dyDescent="0.25">
      <c r="A206" s="1"/>
      <c r="B206" s="1" t="s">
        <v>18</v>
      </c>
      <c r="C206" s="1"/>
      <c r="D206" s="1"/>
      <c r="E206" s="1"/>
      <c r="F206" s="1"/>
      <c r="G206" s="1"/>
      <c r="H206" s="4" t="s">
        <v>14</v>
      </c>
    </row>
    <row r="207" spans="1:12" ht="21.9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8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24" ht="21.75" hidden="1" customHeight="1" x14ac:dyDescent="0.25">
      <c r="A209" s="1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"/>
    </row>
    <row r="210" spans="1:24" ht="21.95" customHeight="1" x14ac:dyDescent="0.25">
      <c r="A210" s="1"/>
      <c r="K210" s="103"/>
      <c r="L210" s="1"/>
    </row>
    <row r="211" spans="1:24" ht="21.95" customHeight="1" x14ac:dyDescent="0.25">
      <c r="A211" s="1"/>
      <c r="B211" s="95" t="s">
        <v>77</v>
      </c>
      <c r="H211" s="95" t="str">
        <f>D186</f>
        <v>Karlinda</v>
      </c>
      <c r="I211" s="95"/>
      <c r="J211" s="92"/>
      <c r="K211" s="103"/>
      <c r="L211" s="1"/>
    </row>
    <row r="212" spans="1:24" ht="21.95" customHeight="1" x14ac:dyDescent="0.25">
      <c r="A212" s="1"/>
      <c r="B212" s="99" t="s">
        <v>27</v>
      </c>
      <c r="C212" s="57"/>
      <c r="H212" s="99"/>
      <c r="K212" s="103"/>
    </row>
    <row r="217" spans="1:24" ht="21.95" customHeight="1" x14ac:dyDescent="0.25">
      <c r="A217" s="3" t="s">
        <v>22</v>
      </c>
      <c r="M217" s="3" t="s">
        <v>22</v>
      </c>
    </row>
    <row r="218" spans="1:24" ht="21.95" customHeight="1" x14ac:dyDescent="0.2">
      <c r="A218" s="122" t="s">
        <v>20</v>
      </c>
      <c r="M218" s="122" t="s">
        <v>20</v>
      </c>
    </row>
    <row r="219" spans="1:24" ht="21.95" customHeight="1" x14ac:dyDescent="0.2">
      <c r="A219" s="122" t="s">
        <v>21</v>
      </c>
      <c r="M219" s="122" t="s">
        <v>21</v>
      </c>
    </row>
    <row r="223" spans="1:24" ht="21.95" customHeight="1" x14ac:dyDescent="0.3">
      <c r="A223" s="276" t="s">
        <v>6</v>
      </c>
      <c r="B223" s="276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 t="s">
        <v>6</v>
      </c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</row>
    <row r="224" spans="1:24" ht="21.95" customHeigh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21.95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21.95" customHeight="1" x14ac:dyDescent="0.25">
      <c r="A226" s="1"/>
      <c r="B226" s="1"/>
      <c r="M226" s="1"/>
      <c r="N226" s="1"/>
    </row>
    <row r="227" spans="1:24" ht="21.95" customHeight="1" x14ac:dyDescent="0.25">
      <c r="A227" s="1" t="s">
        <v>7</v>
      </c>
      <c r="B227" s="1"/>
      <c r="M227" s="1" t="s">
        <v>7</v>
      </c>
      <c r="N227" s="1"/>
    </row>
    <row r="228" spans="1:24" ht="21.95" customHeight="1" x14ac:dyDescent="0.25">
      <c r="A228" s="1"/>
      <c r="B228" s="1"/>
      <c r="M228" s="1"/>
      <c r="N228" s="1"/>
    </row>
    <row r="229" spans="1:24" ht="21.95" customHeight="1" x14ac:dyDescent="0.25">
      <c r="A229" s="1" t="s">
        <v>8</v>
      </c>
      <c r="C229" s="9" t="s">
        <v>1</v>
      </c>
      <c r="D229" s="92" t="s">
        <v>567</v>
      </c>
      <c r="E229" s="76"/>
      <c r="F229" s="76"/>
      <c r="G229" s="76"/>
      <c r="H229" s="76"/>
      <c r="M229" s="1" t="s">
        <v>8</v>
      </c>
      <c r="O229" s="9" t="s">
        <v>1</v>
      </c>
      <c r="P229" s="92"/>
      <c r="Q229" s="76"/>
      <c r="R229" s="76"/>
      <c r="S229" s="76"/>
      <c r="T229" s="76"/>
    </row>
    <row r="230" spans="1:24" ht="21.95" customHeight="1" x14ac:dyDescent="0.25">
      <c r="A230" s="1" t="s">
        <v>9</v>
      </c>
      <c r="C230" s="9" t="s">
        <v>1</v>
      </c>
      <c r="D230" s="57" t="s">
        <v>74</v>
      </c>
      <c r="E230" s="76"/>
      <c r="F230" s="76"/>
      <c r="G230" s="76"/>
      <c r="H230" s="76"/>
      <c r="M230" s="1" t="s">
        <v>9</v>
      </c>
      <c r="O230" s="9" t="s">
        <v>1</v>
      </c>
      <c r="P230" s="57"/>
      <c r="Q230" s="76"/>
      <c r="R230" s="76"/>
      <c r="S230" s="76"/>
      <c r="T230" s="76"/>
    </row>
    <row r="231" spans="1:24" ht="21.95" customHeight="1" x14ac:dyDescent="0.2">
      <c r="A231" s="50" t="s">
        <v>10</v>
      </c>
      <c r="B231" s="76"/>
      <c r="C231" s="91" t="s">
        <v>1</v>
      </c>
      <c r="D231" s="50" t="s">
        <v>568</v>
      </c>
      <c r="E231" s="76"/>
      <c r="F231" s="76"/>
      <c r="G231" s="76"/>
      <c r="H231" s="76"/>
      <c r="I231" s="76"/>
      <c r="J231" s="76"/>
      <c r="K231" s="76"/>
      <c r="L231" s="76"/>
      <c r="M231" s="50" t="s">
        <v>10</v>
      </c>
      <c r="N231" s="76"/>
      <c r="O231" s="91" t="s">
        <v>1</v>
      </c>
      <c r="P231" s="50"/>
      <c r="Q231" s="76"/>
      <c r="R231" s="76"/>
      <c r="S231" s="76"/>
      <c r="T231" s="76"/>
      <c r="U231" s="76"/>
      <c r="V231" s="76"/>
      <c r="W231" s="76"/>
      <c r="X231" s="76"/>
    </row>
    <row r="232" spans="1:24" ht="21.95" customHeight="1" x14ac:dyDescent="0.25">
      <c r="A232" s="1"/>
      <c r="B232" s="1"/>
      <c r="D232" s="1"/>
      <c r="M232" s="1"/>
      <c r="N232" s="1"/>
      <c r="P232" s="1"/>
    </row>
    <row r="233" spans="1:24" ht="33" customHeight="1" x14ac:dyDescent="0.2">
      <c r="A233" s="277" t="s">
        <v>566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 t="s">
        <v>569</v>
      </c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</row>
    <row r="234" spans="1:24" ht="21.95" customHeight="1" x14ac:dyDescent="0.25">
      <c r="A234" s="1"/>
      <c r="B234" s="1"/>
      <c r="M234" s="1"/>
      <c r="N234" s="1"/>
    </row>
    <row r="235" spans="1:24" ht="35.25" customHeight="1" thickBot="1" x14ac:dyDescent="0.25">
      <c r="A235" s="10" t="s">
        <v>0</v>
      </c>
      <c r="B235" s="278" t="s">
        <v>91</v>
      </c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10" t="s">
        <v>0</v>
      </c>
      <c r="N235" s="278" t="s">
        <v>91</v>
      </c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</row>
    <row r="236" spans="1:24" ht="21.95" customHeight="1" thickTop="1" x14ac:dyDescent="0.25">
      <c r="A236" s="1"/>
      <c r="B236" s="11" t="s">
        <v>3</v>
      </c>
      <c r="C236" s="12" t="s">
        <v>4</v>
      </c>
      <c r="D236" s="13"/>
      <c r="E236" s="13"/>
      <c r="F236" s="13"/>
      <c r="G236" s="13"/>
      <c r="H236" s="14"/>
      <c r="I236" s="15" t="s">
        <v>5</v>
      </c>
      <c r="J236" s="12" t="s">
        <v>17</v>
      </c>
      <c r="K236" s="13"/>
      <c r="L236" s="14"/>
      <c r="M236" s="1"/>
      <c r="N236" s="11" t="s">
        <v>3</v>
      </c>
      <c r="O236" s="12" t="s">
        <v>4</v>
      </c>
      <c r="P236" s="13"/>
      <c r="Q236" s="13"/>
      <c r="R236" s="13"/>
      <c r="S236" s="13"/>
      <c r="T236" s="14"/>
      <c r="U236" s="15" t="s">
        <v>5</v>
      </c>
      <c r="V236" s="12" t="s">
        <v>17</v>
      </c>
      <c r="W236" s="13"/>
      <c r="X236" s="14"/>
    </row>
    <row r="237" spans="1:24" ht="32.25" customHeight="1" x14ac:dyDescent="0.2">
      <c r="A237" s="50"/>
      <c r="B237" s="143">
        <v>1</v>
      </c>
      <c r="C237" s="284" t="s">
        <v>549</v>
      </c>
      <c r="D237" s="285"/>
      <c r="E237" s="285"/>
      <c r="F237" s="285"/>
      <c r="G237" s="76"/>
      <c r="H237" s="79"/>
      <c r="I237" s="56">
        <v>150000</v>
      </c>
      <c r="J237" s="76" t="s">
        <v>204</v>
      </c>
      <c r="K237" s="76"/>
      <c r="L237" s="79"/>
      <c r="M237" s="50"/>
      <c r="N237" s="143">
        <v>1</v>
      </c>
      <c r="O237" s="129" t="s">
        <v>549</v>
      </c>
      <c r="P237" s="130"/>
      <c r="Q237" s="130"/>
      <c r="R237" s="130"/>
      <c r="S237" s="76"/>
      <c r="T237" s="79"/>
      <c r="U237" s="56">
        <v>150000</v>
      </c>
      <c r="V237" s="76" t="s">
        <v>204</v>
      </c>
      <c r="W237" s="76"/>
      <c r="X237" s="79"/>
    </row>
    <row r="238" spans="1:24" ht="21.95" customHeight="1" x14ac:dyDescent="0.2">
      <c r="B238" s="96"/>
      <c r="C238" s="124"/>
      <c r="D238" s="124"/>
      <c r="E238" s="127"/>
      <c r="F238" s="125"/>
      <c r="G238" s="124"/>
      <c r="H238" s="124"/>
      <c r="I238" s="23"/>
      <c r="L238" s="17"/>
      <c r="N238" s="96"/>
      <c r="O238" s="124"/>
      <c r="P238" s="124"/>
      <c r="Q238" s="127"/>
      <c r="R238" s="125"/>
      <c r="S238" s="124"/>
      <c r="T238" s="124"/>
      <c r="U238" s="23"/>
      <c r="X238" s="17"/>
    </row>
    <row r="239" spans="1:24" ht="21.95" customHeight="1" x14ac:dyDescent="0.25">
      <c r="A239" s="1"/>
      <c r="B239" s="39"/>
      <c r="C239" s="1"/>
      <c r="D239" s="1"/>
      <c r="E239" s="1"/>
      <c r="F239" s="40" t="s">
        <v>5</v>
      </c>
      <c r="G239" s="40"/>
      <c r="H239" s="1"/>
      <c r="I239" s="41">
        <f>I237</f>
        <v>150000</v>
      </c>
      <c r="J239" s="1"/>
      <c r="K239" s="1"/>
      <c r="L239" s="42"/>
      <c r="M239" s="1"/>
      <c r="N239" s="39"/>
      <c r="O239" s="1"/>
      <c r="P239" s="1"/>
      <c r="Q239" s="1"/>
      <c r="R239" s="40" t="s">
        <v>5</v>
      </c>
      <c r="S239" s="40"/>
      <c r="T239" s="1"/>
      <c r="U239" s="41">
        <f>U237</f>
        <v>150000</v>
      </c>
      <c r="V239" s="1"/>
      <c r="W239" s="1"/>
      <c r="X239" s="42"/>
    </row>
    <row r="240" spans="1:24" ht="21.95" customHeight="1" thickBot="1" x14ac:dyDescent="0.3">
      <c r="A240" s="1"/>
      <c r="B240" s="43"/>
      <c r="C240" s="44"/>
      <c r="D240" s="44"/>
      <c r="E240" s="44"/>
      <c r="F240" s="45"/>
      <c r="G240" s="45"/>
      <c r="H240" s="44"/>
      <c r="I240" s="46"/>
      <c r="J240" s="44"/>
      <c r="K240" s="44"/>
      <c r="L240" s="47"/>
      <c r="M240" s="1"/>
      <c r="N240" s="43"/>
      <c r="O240" s="44"/>
      <c r="P240" s="44"/>
      <c r="Q240" s="44"/>
      <c r="R240" s="45"/>
      <c r="S240" s="45"/>
      <c r="T240" s="44"/>
      <c r="U240" s="46"/>
      <c r="V240" s="44"/>
      <c r="W240" s="44"/>
      <c r="X240" s="47"/>
    </row>
    <row r="241" spans="1:24" ht="21.95" customHeight="1" thickTop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48" customHeight="1" x14ac:dyDescent="0.2">
      <c r="A242" s="10" t="s">
        <v>2</v>
      </c>
      <c r="B242" s="279" t="s">
        <v>11</v>
      </c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10" t="s">
        <v>2</v>
      </c>
      <c r="N242" s="279" t="s">
        <v>11</v>
      </c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</row>
    <row r="243" spans="1:24" ht="21.9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.95" customHeight="1" x14ac:dyDescent="0.2">
      <c r="A244" s="280" t="s">
        <v>12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 t="s">
        <v>12</v>
      </c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</row>
    <row r="245" spans="1:24" ht="21.9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.9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.95" customHeight="1" x14ac:dyDescent="0.25">
      <c r="A247" s="1"/>
      <c r="B247" s="1"/>
      <c r="C247" s="1"/>
      <c r="D247" s="1"/>
      <c r="E247" s="1"/>
      <c r="F247" s="1"/>
      <c r="G247" s="1"/>
      <c r="H247" s="4" t="s">
        <v>550</v>
      </c>
      <c r="J247" s="286" t="s">
        <v>565</v>
      </c>
      <c r="K247" s="286"/>
      <c r="L247" s="286"/>
      <c r="M247" s="1"/>
      <c r="N247" s="1"/>
      <c r="O247" s="1"/>
      <c r="P247" s="1"/>
      <c r="Q247" s="1"/>
      <c r="R247" s="1"/>
      <c r="S247" s="1"/>
      <c r="T247" s="4" t="s">
        <v>550</v>
      </c>
      <c r="V247" s="286" t="s">
        <v>565</v>
      </c>
      <c r="W247" s="286"/>
      <c r="X247" s="286"/>
    </row>
    <row r="248" spans="1:24" ht="15" x14ac:dyDescent="0.25">
      <c r="A248" s="1"/>
      <c r="B248" s="1" t="s">
        <v>15</v>
      </c>
      <c r="C248" s="1"/>
      <c r="D248" s="1"/>
      <c r="E248" s="1"/>
      <c r="F248" s="1"/>
      <c r="G248" s="1"/>
      <c r="H248" s="4" t="s">
        <v>13</v>
      </c>
      <c r="M248" s="1"/>
      <c r="N248" s="1" t="s">
        <v>15</v>
      </c>
      <c r="O248" s="1"/>
      <c r="P248" s="1"/>
      <c r="Q248" s="1"/>
      <c r="R248" s="1"/>
      <c r="S248" s="1"/>
      <c r="T248" s="4" t="s">
        <v>13</v>
      </c>
    </row>
    <row r="249" spans="1:24" ht="15" x14ac:dyDescent="0.25">
      <c r="A249" s="1"/>
      <c r="B249" s="1" t="s">
        <v>18</v>
      </c>
      <c r="C249" s="1"/>
      <c r="D249" s="1"/>
      <c r="E249" s="1"/>
      <c r="F249" s="1"/>
      <c r="G249" s="1"/>
      <c r="H249" s="4" t="s">
        <v>14</v>
      </c>
      <c r="M249" s="1"/>
      <c r="N249" s="1" t="s">
        <v>18</v>
      </c>
      <c r="O249" s="1"/>
      <c r="P249" s="1"/>
      <c r="Q249" s="1"/>
      <c r="R249" s="1"/>
      <c r="S249" s="1"/>
      <c r="T249" s="4" t="s">
        <v>14</v>
      </c>
    </row>
    <row r="250" spans="1:24" ht="21.9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.75" hidden="1" customHeight="1" x14ac:dyDescent="0.25">
      <c r="A252" s="1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"/>
      <c r="M252" s="1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"/>
    </row>
    <row r="253" spans="1:24" ht="10.5" customHeight="1" x14ac:dyDescent="0.25">
      <c r="A253" s="1"/>
      <c r="K253" s="103"/>
      <c r="L253" s="1"/>
      <c r="M253" s="1"/>
      <c r="W253" s="103"/>
      <c r="X253" s="1"/>
    </row>
    <row r="254" spans="1:24" ht="21.95" customHeight="1" x14ac:dyDescent="0.25">
      <c r="A254" s="1"/>
      <c r="B254" s="95" t="s">
        <v>77</v>
      </c>
      <c r="H254" s="95" t="str">
        <f>D229</f>
        <v>Hardiyanti</v>
      </c>
      <c r="I254" s="95"/>
      <c r="J254" s="92"/>
      <c r="K254" s="103"/>
      <c r="L254" s="1"/>
      <c r="M254" s="1"/>
      <c r="N254" s="95" t="s">
        <v>77</v>
      </c>
      <c r="T254" s="95"/>
      <c r="U254" s="95"/>
      <c r="V254" s="92"/>
      <c r="W254" s="103"/>
      <c r="X254" s="1"/>
    </row>
    <row r="255" spans="1:24" ht="21.95" customHeight="1" x14ac:dyDescent="0.25">
      <c r="A255" s="1"/>
      <c r="B255" s="99" t="s">
        <v>27</v>
      </c>
      <c r="C255" s="57"/>
      <c r="H255" s="99"/>
      <c r="K255" s="103"/>
      <c r="M255" s="1"/>
      <c r="N255" s="99" t="s">
        <v>27</v>
      </c>
      <c r="O255" s="57"/>
      <c r="T255" s="99"/>
      <c r="W255" s="103"/>
    </row>
    <row r="258" spans="1:24" ht="21.95" customHeight="1" x14ac:dyDescent="0.25">
      <c r="A258" s="3" t="s">
        <v>22</v>
      </c>
      <c r="M258" s="3" t="s">
        <v>22</v>
      </c>
    </row>
    <row r="259" spans="1:24" ht="21.95" customHeight="1" x14ac:dyDescent="0.2">
      <c r="A259" s="122" t="s">
        <v>20</v>
      </c>
      <c r="M259" s="122" t="s">
        <v>20</v>
      </c>
    </row>
    <row r="260" spans="1:24" ht="21.95" customHeight="1" x14ac:dyDescent="0.2">
      <c r="A260" s="122" t="s">
        <v>21</v>
      </c>
      <c r="M260" s="122" t="s">
        <v>21</v>
      </c>
    </row>
    <row r="264" spans="1:24" ht="21.95" customHeight="1" x14ac:dyDescent="0.3">
      <c r="A264" s="276" t="s">
        <v>6</v>
      </c>
      <c r="B264" s="276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 t="s">
        <v>6</v>
      </c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</row>
    <row r="265" spans="1:24" ht="21.95" customHeight="1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spans="1:24" ht="21.95" customHeigh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spans="1:24" ht="21.95" customHeight="1" x14ac:dyDescent="0.25">
      <c r="A267" s="1"/>
      <c r="B267" s="1"/>
      <c r="M267" s="1"/>
      <c r="N267" s="1"/>
    </row>
    <row r="268" spans="1:24" ht="21.95" customHeight="1" x14ac:dyDescent="0.25">
      <c r="A268" s="1" t="s">
        <v>7</v>
      </c>
      <c r="B268" s="1"/>
      <c r="M268" s="1" t="s">
        <v>7</v>
      </c>
      <c r="N268" s="1"/>
    </row>
    <row r="269" spans="1:24" ht="21.95" customHeight="1" x14ac:dyDescent="0.25">
      <c r="A269" s="1"/>
      <c r="B269" s="1"/>
      <c r="M269" s="1"/>
      <c r="N269" s="1"/>
    </row>
    <row r="270" spans="1:24" ht="21.95" customHeight="1" x14ac:dyDescent="0.25">
      <c r="A270" s="1" t="s">
        <v>8</v>
      </c>
      <c r="C270" s="9" t="s">
        <v>1</v>
      </c>
      <c r="D270" s="92" t="s">
        <v>570</v>
      </c>
      <c r="E270" s="76"/>
      <c r="F270" s="76"/>
      <c r="G270" s="76"/>
      <c r="H270" s="76"/>
      <c r="M270" s="1" t="s">
        <v>8</v>
      </c>
      <c r="O270" s="9" t="s">
        <v>1</v>
      </c>
      <c r="P270" s="92" t="s">
        <v>572</v>
      </c>
      <c r="Q270" s="76"/>
      <c r="R270" s="76"/>
      <c r="S270" s="76"/>
      <c r="T270" s="76"/>
    </row>
    <row r="271" spans="1:24" ht="21.95" customHeight="1" x14ac:dyDescent="0.25">
      <c r="A271" s="1" t="s">
        <v>9</v>
      </c>
      <c r="C271" s="9" t="s">
        <v>1</v>
      </c>
      <c r="D271" s="57" t="s">
        <v>74</v>
      </c>
      <c r="E271" s="76"/>
      <c r="F271" s="76"/>
      <c r="G271" s="76"/>
      <c r="H271" s="76"/>
      <c r="M271" s="1" t="s">
        <v>9</v>
      </c>
      <c r="O271" s="9" t="s">
        <v>1</v>
      </c>
      <c r="P271" s="57" t="s">
        <v>74</v>
      </c>
      <c r="Q271" s="76"/>
      <c r="R271" s="76"/>
      <c r="S271" s="76"/>
      <c r="T271" s="76"/>
    </row>
    <row r="272" spans="1:24" ht="21.95" customHeight="1" x14ac:dyDescent="0.2">
      <c r="A272" s="50" t="s">
        <v>10</v>
      </c>
      <c r="B272" s="76"/>
      <c r="C272" s="91" t="s">
        <v>1</v>
      </c>
      <c r="D272" s="50" t="s">
        <v>571</v>
      </c>
      <c r="E272" s="76"/>
      <c r="F272" s="76"/>
      <c r="G272" s="76"/>
      <c r="H272" s="76"/>
      <c r="I272" s="76"/>
      <c r="J272" s="76"/>
      <c r="K272" s="76"/>
      <c r="L272" s="76"/>
      <c r="M272" s="50" t="s">
        <v>10</v>
      </c>
      <c r="N272" s="76"/>
      <c r="O272" s="91" t="s">
        <v>1</v>
      </c>
      <c r="P272" s="50" t="s">
        <v>571</v>
      </c>
      <c r="Q272" s="76"/>
      <c r="R272" s="76"/>
      <c r="S272" s="76"/>
      <c r="T272" s="76"/>
      <c r="U272" s="76"/>
      <c r="V272" s="76"/>
      <c r="W272" s="76"/>
      <c r="X272" s="76"/>
    </row>
    <row r="273" spans="1:24" ht="21.95" customHeight="1" x14ac:dyDescent="0.25">
      <c r="A273" s="1"/>
      <c r="B273" s="1"/>
      <c r="D273" s="1"/>
      <c r="M273" s="1"/>
      <c r="N273" s="1"/>
      <c r="P273" s="1"/>
    </row>
    <row r="274" spans="1:24" ht="30" customHeight="1" x14ac:dyDescent="0.2">
      <c r="A274" s="277" t="s">
        <v>569</v>
      </c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 t="s">
        <v>569</v>
      </c>
      <c r="N274" s="277"/>
      <c r="O274" s="277"/>
      <c r="P274" s="277"/>
      <c r="Q274" s="277"/>
      <c r="R274" s="277"/>
      <c r="S274" s="277"/>
      <c r="T274" s="277"/>
      <c r="U274" s="277"/>
      <c r="V274" s="277"/>
      <c r="W274" s="277"/>
      <c r="X274" s="277"/>
    </row>
    <row r="275" spans="1:24" ht="21.95" customHeight="1" x14ac:dyDescent="0.25">
      <c r="A275" s="1"/>
      <c r="B275" s="1"/>
      <c r="M275" s="1"/>
      <c r="N275" s="1"/>
    </row>
    <row r="276" spans="1:24" ht="34.5" customHeight="1" thickBot="1" x14ac:dyDescent="0.25">
      <c r="A276" s="10" t="s">
        <v>0</v>
      </c>
      <c r="B276" s="278" t="s">
        <v>91</v>
      </c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10" t="s">
        <v>0</v>
      </c>
      <c r="N276" s="278" t="s">
        <v>91</v>
      </c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</row>
    <row r="277" spans="1:24" ht="21.95" customHeight="1" thickTop="1" x14ac:dyDescent="0.25">
      <c r="A277" s="1"/>
      <c r="B277" s="11" t="s">
        <v>3</v>
      </c>
      <c r="C277" s="12" t="s">
        <v>4</v>
      </c>
      <c r="D277" s="13"/>
      <c r="E277" s="13"/>
      <c r="F277" s="13"/>
      <c r="G277" s="13"/>
      <c r="H277" s="14"/>
      <c r="I277" s="15" t="s">
        <v>5</v>
      </c>
      <c r="J277" s="12" t="s">
        <v>17</v>
      </c>
      <c r="K277" s="13"/>
      <c r="L277" s="14"/>
      <c r="M277" s="1"/>
      <c r="N277" s="11" t="s">
        <v>3</v>
      </c>
      <c r="O277" s="12" t="s">
        <v>4</v>
      </c>
      <c r="P277" s="13"/>
      <c r="Q277" s="13"/>
      <c r="R277" s="13"/>
      <c r="S277" s="13"/>
      <c r="T277" s="14"/>
      <c r="U277" s="15" t="s">
        <v>5</v>
      </c>
      <c r="V277" s="12" t="s">
        <v>17</v>
      </c>
      <c r="W277" s="13"/>
      <c r="X277" s="14"/>
    </row>
    <row r="278" spans="1:24" ht="21.95" customHeight="1" x14ac:dyDescent="0.2">
      <c r="A278" s="50"/>
      <c r="B278" s="143">
        <v>1</v>
      </c>
      <c r="C278" s="129" t="s">
        <v>549</v>
      </c>
      <c r="D278" s="130"/>
      <c r="E278" s="130"/>
      <c r="F278" s="130"/>
      <c r="G278" s="76"/>
      <c r="H278" s="79"/>
      <c r="I278" s="56">
        <v>150000</v>
      </c>
      <c r="J278" s="76" t="s">
        <v>204</v>
      </c>
      <c r="K278" s="76"/>
      <c r="L278" s="79"/>
      <c r="M278" s="50"/>
      <c r="N278" s="143">
        <v>1</v>
      </c>
      <c r="O278" s="129" t="s">
        <v>549</v>
      </c>
      <c r="P278" s="130"/>
      <c r="Q278" s="130"/>
      <c r="R278" s="130"/>
      <c r="S278" s="76"/>
      <c r="T278" s="79"/>
      <c r="U278" s="56">
        <v>150000</v>
      </c>
      <c r="V278" s="76" t="s">
        <v>204</v>
      </c>
      <c r="W278" s="76"/>
      <c r="X278" s="79"/>
    </row>
    <row r="279" spans="1:24" ht="21.95" customHeight="1" x14ac:dyDescent="0.2">
      <c r="B279" s="96"/>
      <c r="C279" s="124"/>
      <c r="D279" s="124"/>
      <c r="E279" s="127"/>
      <c r="F279" s="125"/>
      <c r="G279" s="124"/>
      <c r="H279" s="124"/>
      <c r="I279" s="23"/>
      <c r="L279" s="17"/>
      <c r="N279" s="96"/>
      <c r="O279" s="124"/>
      <c r="P279" s="124"/>
      <c r="Q279" s="127"/>
      <c r="R279" s="125"/>
      <c r="S279" s="124"/>
      <c r="T279" s="124"/>
      <c r="U279" s="23"/>
      <c r="X279" s="17"/>
    </row>
    <row r="280" spans="1:24" ht="21.95" customHeight="1" x14ac:dyDescent="0.25">
      <c r="A280" s="1"/>
      <c r="B280" s="39"/>
      <c r="C280" s="1"/>
      <c r="D280" s="1"/>
      <c r="E280" s="1"/>
      <c r="F280" s="40" t="s">
        <v>5</v>
      </c>
      <c r="G280" s="40"/>
      <c r="H280" s="1"/>
      <c r="I280" s="41">
        <f>I278</f>
        <v>150000</v>
      </c>
      <c r="J280" s="1"/>
      <c r="K280" s="1"/>
      <c r="L280" s="42"/>
      <c r="M280" s="1"/>
      <c r="N280" s="39"/>
      <c r="O280" s="1"/>
      <c r="P280" s="1"/>
      <c r="Q280" s="1"/>
      <c r="R280" s="40" t="s">
        <v>5</v>
      </c>
      <c r="S280" s="40"/>
      <c r="T280" s="1"/>
      <c r="U280" s="41">
        <f>U278</f>
        <v>150000</v>
      </c>
      <c r="V280" s="1"/>
      <c r="W280" s="1"/>
      <c r="X280" s="42"/>
    </row>
    <row r="281" spans="1:24" ht="21.95" customHeight="1" thickBot="1" x14ac:dyDescent="0.3">
      <c r="A281" s="1"/>
      <c r="B281" s="43"/>
      <c r="C281" s="44"/>
      <c r="D281" s="44"/>
      <c r="E281" s="44"/>
      <c r="F281" s="45"/>
      <c r="G281" s="45"/>
      <c r="H281" s="44"/>
      <c r="I281" s="46"/>
      <c r="J281" s="44"/>
      <c r="K281" s="44"/>
      <c r="L281" s="47"/>
      <c r="M281" s="1"/>
      <c r="N281" s="43"/>
      <c r="O281" s="44"/>
      <c r="P281" s="44"/>
      <c r="Q281" s="44"/>
      <c r="R281" s="45"/>
      <c r="S281" s="45"/>
      <c r="T281" s="44"/>
      <c r="U281" s="46"/>
      <c r="V281" s="44"/>
      <c r="W281" s="44"/>
      <c r="X281" s="47"/>
    </row>
    <row r="282" spans="1:24" ht="21.95" customHeight="1" thickTop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54" customHeight="1" x14ac:dyDescent="0.2">
      <c r="A283" s="10" t="s">
        <v>2</v>
      </c>
      <c r="B283" s="279" t="s">
        <v>11</v>
      </c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10" t="s">
        <v>2</v>
      </c>
      <c r="N283" s="279" t="s">
        <v>11</v>
      </c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</row>
    <row r="284" spans="1:24" ht="21.9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1.95" customHeight="1" x14ac:dyDescent="0.2">
      <c r="A285" s="280" t="s">
        <v>12</v>
      </c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 t="s">
        <v>12</v>
      </c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</row>
    <row r="286" spans="1:24" ht="21.9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1.9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" x14ac:dyDescent="0.25">
      <c r="A288" s="1"/>
      <c r="B288" s="1"/>
      <c r="C288" s="1"/>
      <c r="D288" s="1"/>
      <c r="E288" s="1"/>
      <c r="F288" s="1"/>
      <c r="G288" s="1"/>
      <c r="H288" s="4" t="s">
        <v>550</v>
      </c>
      <c r="J288" s="286" t="s">
        <v>565</v>
      </c>
      <c r="K288" s="286"/>
      <c r="L288" s="286"/>
      <c r="M288" s="1"/>
      <c r="N288" s="1"/>
      <c r="O288" s="1"/>
      <c r="P288" s="1"/>
      <c r="Q288" s="1"/>
      <c r="R288" s="1"/>
      <c r="S288" s="1"/>
      <c r="T288" s="4" t="s">
        <v>550</v>
      </c>
      <c r="V288" s="286" t="s">
        <v>565</v>
      </c>
      <c r="W288" s="286"/>
      <c r="X288" s="286"/>
    </row>
    <row r="289" spans="1:24" ht="15" x14ac:dyDescent="0.25">
      <c r="A289" s="1"/>
      <c r="B289" s="1" t="s">
        <v>15</v>
      </c>
      <c r="C289" s="1"/>
      <c r="D289" s="1"/>
      <c r="E289" s="1"/>
      <c r="F289" s="1"/>
      <c r="G289" s="1"/>
      <c r="H289" s="4" t="s">
        <v>13</v>
      </c>
      <c r="M289" s="1"/>
      <c r="N289" s="1" t="s">
        <v>15</v>
      </c>
      <c r="O289" s="1"/>
      <c r="P289" s="1"/>
      <c r="Q289" s="1"/>
      <c r="R289" s="1"/>
      <c r="S289" s="1"/>
      <c r="T289" s="4" t="s">
        <v>13</v>
      </c>
    </row>
    <row r="290" spans="1:24" ht="15" x14ac:dyDescent="0.25">
      <c r="A290" s="1"/>
      <c r="B290" s="1" t="s">
        <v>18</v>
      </c>
      <c r="C290" s="1"/>
      <c r="D290" s="1"/>
      <c r="E290" s="1"/>
      <c r="F290" s="1"/>
      <c r="G290" s="1"/>
      <c r="H290" s="4" t="s">
        <v>14</v>
      </c>
      <c r="M290" s="1"/>
      <c r="N290" s="1" t="s">
        <v>18</v>
      </c>
      <c r="O290" s="1"/>
      <c r="P290" s="1"/>
      <c r="Q290" s="1"/>
      <c r="R290" s="1"/>
      <c r="S290" s="1"/>
      <c r="T290" s="4" t="s">
        <v>14</v>
      </c>
    </row>
    <row r="291" spans="1:24" ht="21.9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5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1.75" hidden="1" customHeight="1" x14ac:dyDescent="0.25">
      <c r="A293" s="1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"/>
      <c r="M293" s="1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"/>
    </row>
    <row r="294" spans="1:24" ht="21.95" customHeight="1" x14ac:dyDescent="0.25">
      <c r="A294" s="1"/>
      <c r="K294" s="103"/>
      <c r="L294" s="1"/>
      <c r="M294" s="1"/>
      <c r="W294" s="103"/>
      <c r="X294" s="1"/>
    </row>
    <row r="295" spans="1:24" ht="21.95" customHeight="1" x14ac:dyDescent="0.25">
      <c r="A295" s="1"/>
      <c r="B295" s="95" t="s">
        <v>77</v>
      </c>
      <c r="H295" s="95" t="str">
        <f>D270</f>
        <v>Faridian Dwi Noor</v>
      </c>
      <c r="I295" s="95"/>
      <c r="J295" s="92"/>
      <c r="K295" s="103"/>
      <c r="L295" s="1"/>
      <c r="M295" s="1"/>
      <c r="N295" s="95" t="s">
        <v>77</v>
      </c>
      <c r="T295" s="95" t="str">
        <f>P270</f>
        <v>Noza Fiqri</v>
      </c>
      <c r="U295" s="95"/>
      <c r="V295" s="92"/>
      <c r="W295" s="103"/>
      <c r="X295" s="1"/>
    </row>
    <row r="296" spans="1:24" ht="21.95" customHeight="1" x14ac:dyDescent="0.25">
      <c r="A296" s="1"/>
      <c r="B296" s="99" t="s">
        <v>27</v>
      </c>
      <c r="C296" s="57"/>
      <c r="H296" s="99"/>
      <c r="K296" s="103"/>
      <c r="M296" s="1"/>
      <c r="N296" s="99" t="s">
        <v>27</v>
      </c>
      <c r="O296" s="57"/>
      <c r="T296" s="99"/>
      <c r="W296" s="103"/>
    </row>
    <row r="300" spans="1:24" ht="21.95" customHeight="1" x14ac:dyDescent="0.25">
      <c r="A300" s="3" t="s">
        <v>22</v>
      </c>
    </row>
    <row r="301" spans="1:24" ht="21.95" customHeight="1" x14ac:dyDescent="0.2">
      <c r="A301" s="122" t="s">
        <v>20</v>
      </c>
    </row>
    <row r="302" spans="1:24" ht="21.95" customHeight="1" x14ac:dyDescent="0.2">
      <c r="A302" s="122" t="s">
        <v>21</v>
      </c>
    </row>
    <row r="306" spans="1:12" ht="21.95" customHeight="1" x14ac:dyDescent="0.3">
      <c r="A306" s="276" t="s">
        <v>6</v>
      </c>
      <c r="B306" s="276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</row>
    <row r="307" spans="1:12" ht="21.95" customHeight="1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 spans="1:12" ht="21.95" customHeight="1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</row>
    <row r="309" spans="1:12" ht="21.95" customHeight="1" x14ac:dyDescent="0.25">
      <c r="A309" s="1"/>
      <c r="B309" s="1"/>
    </row>
    <row r="310" spans="1:12" ht="21.95" customHeight="1" x14ac:dyDescent="0.25">
      <c r="A310" s="1" t="s">
        <v>7</v>
      </c>
      <c r="B310" s="1"/>
    </row>
    <row r="311" spans="1:12" ht="21.95" customHeight="1" x14ac:dyDescent="0.25">
      <c r="A311" s="1"/>
      <c r="B311" s="1"/>
    </row>
    <row r="312" spans="1:12" ht="21.95" customHeight="1" x14ac:dyDescent="0.25">
      <c r="A312" s="1" t="s">
        <v>8</v>
      </c>
      <c r="C312" s="9" t="s">
        <v>1</v>
      </c>
      <c r="D312" s="184" t="s">
        <v>570</v>
      </c>
      <c r="E312" s="76"/>
      <c r="F312" s="76"/>
      <c r="G312" s="76"/>
      <c r="H312" s="76"/>
    </row>
    <row r="313" spans="1:12" ht="21.95" customHeight="1" x14ac:dyDescent="0.25">
      <c r="A313" s="1" t="s">
        <v>9</v>
      </c>
      <c r="C313" s="9" t="s">
        <v>1</v>
      </c>
      <c r="D313" s="185" t="s">
        <v>74</v>
      </c>
      <c r="E313" s="76"/>
      <c r="F313" s="76"/>
      <c r="G313" s="76"/>
      <c r="H313" s="76"/>
    </row>
    <row r="314" spans="1:12" ht="21.95" customHeight="1" x14ac:dyDescent="0.2">
      <c r="A314" s="50" t="s">
        <v>10</v>
      </c>
      <c r="B314" s="76"/>
      <c r="C314" s="91" t="s">
        <v>1</v>
      </c>
      <c r="D314" s="186" t="s">
        <v>571</v>
      </c>
      <c r="E314" s="76"/>
      <c r="F314" s="76"/>
      <c r="G314" s="76"/>
      <c r="H314" s="76"/>
      <c r="I314" s="76"/>
      <c r="J314" s="76"/>
      <c r="K314" s="76"/>
      <c r="L314" s="76"/>
    </row>
    <row r="315" spans="1:12" ht="21.95" customHeight="1" x14ac:dyDescent="0.25">
      <c r="A315" s="1"/>
      <c r="B315" s="1"/>
      <c r="D315" s="1"/>
    </row>
    <row r="316" spans="1:12" ht="28.5" customHeight="1" x14ac:dyDescent="0.2">
      <c r="A316" s="294" t="s">
        <v>574</v>
      </c>
      <c r="B316" s="294"/>
      <c r="C316" s="294"/>
      <c r="D316" s="294"/>
      <c r="E316" s="294"/>
      <c r="F316" s="294"/>
      <c r="G316" s="294"/>
      <c r="H316" s="294"/>
      <c r="I316" s="294"/>
      <c r="J316" s="294"/>
      <c r="K316" s="294"/>
      <c r="L316" s="294"/>
    </row>
    <row r="317" spans="1:12" ht="21.95" customHeight="1" x14ac:dyDescent="0.25">
      <c r="A317" s="1"/>
      <c r="B317" s="1"/>
    </row>
    <row r="318" spans="1:12" ht="21.95" customHeight="1" thickBot="1" x14ac:dyDescent="0.25">
      <c r="A318" s="10" t="s">
        <v>0</v>
      </c>
      <c r="B318" s="278" t="s">
        <v>91</v>
      </c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</row>
    <row r="319" spans="1:12" ht="21.95" customHeight="1" thickTop="1" x14ac:dyDescent="0.25">
      <c r="A319" s="1"/>
      <c r="B319" s="11" t="s">
        <v>3</v>
      </c>
      <c r="C319" s="12" t="s">
        <v>4</v>
      </c>
      <c r="D319" s="13"/>
      <c r="E319" s="13"/>
      <c r="F319" s="13"/>
      <c r="G319" s="13"/>
      <c r="H319" s="14"/>
      <c r="I319" s="15" t="s">
        <v>5</v>
      </c>
      <c r="J319" s="12" t="s">
        <v>17</v>
      </c>
      <c r="K319" s="13"/>
      <c r="L319" s="14"/>
    </row>
    <row r="320" spans="1:12" ht="21.95" customHeight="1" x14ac:dyDescent="0.2">
      <c r="A320" s="50"/>
      <c r="B320" s="143">
        <v>1</v>
      </c>
      <c r="C320" s="129" t="s">
        <v>573</v>
      </c>
      <c r="D320" s="130"/>
      <c r="E320" s="130"/>
      <c r="F320" s="130"/>
      <c r="G320" s="76"/>
      <c r="H320" s="79"/>
      <c r="I320" s="56">
        <v>150000</v>
      </c>
      <c r="J320" s="76" t="s">
        <v>204</v>
      </c>
      <c r="K320" s="76"/>
      <c r="L320" s="79"/>
    </row>
    <row r="321" spans="1:12" ht="21.95" customHeight="1" x14ac:dyDescent="0.2">
      <c r="B321" s="96"/>
      <c r="C321" s="124"/>
      <c r="D321" s="124"/>
      <c r="E321" s="127"/>
      <c r="F321" s="125"/>
      <c r="G321" s="124"/>
      <c r="H321" s="124"/>
      <c r="I321" s="23"/>
      <c r="L321" s="17"/>
    </row>
    <row r="322" spans="1:12" ht="21.95" customHeight="1" x14ac:dyDescent="0.25">
      <c r="A322" s="1"/>
      <c r="B322" s="39"/>
      <c r="C322" s="1"/>
      <c r="D322" s="1"/>
      <c r="E322" s="1"/>
      <c r="F322" s="40" t="s">
        <v>5</v>
      </c>
      <c r="G322" s="40"/>
      <c r="H322" s="1"/>
      <c r="I322" s="41">
        <f>I320</f>
        <v>150000</v>
      </c>
      <c r="J322" s="1"/>
      <c r="K322" s="1"/>
      <c r="L322" s="42"/>
    </row>
    <row r="323" spans="1:12" ht="21.95" customHeight="1" thickBot="1" x14ac:dyDescent="0.3">
      <c r="A323" s="1"/>
      <c r="B323" s="43"/>
      <c r="C323" s="44"/>
      <c r="D323" s="44"/>
      <c r="E323" s="44"/>
      <c r="F323" s="45"/>
      <c r="G323" s="45"/>
      <c r="H323" s="44"/>
      <c r="I323" s="46"/>
      <c r="J323" s="44"/>
      <c r="K323" s="44"/>
      <c r="L323" s="47"/>
    </row>
    <row r="324" spans="1:12" ht="21.95" customHeight="1" thickTop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61.5" customHeight="1" x14ac:dyDescent="0.2">
      <c r="A325" s="10" t="s">
        <v>2</v>
      </c>
      <c r="B325" s="279" t="s">
        <v>11</v>
      </c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</row>
    <row r="326" spans="1:12" ht="21.9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21.95" customHeight="1" x14ac:dyDescent="0.2">
      <c r="A327" s="280" t="s">
        <v>12</v>
      </c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</row>
    <row r="328" spans="1:12" ht="21.9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21.9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21.95" customHeight="1" x14ac:dyDescent="0.25">
      <c r="A330" s="1"/>
      <c r="B330" s="1"/>
      <c r="C330" s="1"/>
      <c r="D330" s="1"/>
      <c r="E330" s="1"/>
      <c r="F330" s="1"/>
      <c r="G330" s="1"/>
      <c r="H330" s="4" t="s">
        <v>533</v>
      </c>
      <c r="J330" s="286" t="s">
        <v>565</v>
      </c>
      <c r="K330" s="286"/>
      <c r="L330" s="286"/>
    </row>
    <row r="331" spans="1:12" ht="21.95" customHeight="1" x14ac:dyDescent="0.25">
      <c r="A331" s="1"/>
      <c r="B331" s="1" t="s">
        <v>15</v>
      </c>
      <c r="C331" s="1"/>
      <c r="D331" s="1"/>
      <c r="E331" s="1"/>
      <c r="F331" s="1"/>
      <c r="G331" s="1"/>
      <c r="H331" s="4" t="s">
        <v>13</v>
      </c>
    </row>
    <row r="332" spans="1:12" ht="21.95" customHeight="1" x14ac:dyDescent="0.25">
      <c r="A332" s="1"/>
      <c r="B332" s="1" t="s">
        <v>18</v>
      </c>
      <c r="C332" s="1"/>
      <c r="D332" s="1"/>
      <c r="E332" s="1"/>
      <c r="F332" s="1"/>
      <c r="G332" s="1"/>
      <c r="H332" s="4" t="s">
        <v>14</v>
      </c>
    </row>
    <row r="333" spans="1:12" ht="21.9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6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0.5" customHeight="1" x14ac:dyDescent="0.25">
      <c r="A335" s="1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"/>
    </row>
    <row r="336" spans="1:12" ht="9.75" customHeight="1" x14ac:dyDescent="0.25">
      <c r="A336" s="1"/>
      <c r="K336" s="103"/>
      <c r="L336" s="1"/>
    </row>
    <row r="337" spans="1:12" ht="21.95" customHeight="1" x14ac:dyDescent="0.25">
      <c r="A337" s="1"/>
      <c r="B337" s="95" t="s">
        <v>77</v>
      </c>
      <c r="H337" s="187" t="str">
        <f>D312</f>
        <v>Faridian Dwi Noor</v>
      </c>
      <c r="I337" s="95"/>
      <c r="J337" s="92"/>
      <c r="K337" s="103"/>
      <c r="L337" s="1"/>
    </row>
    <row r="338" spans="1:12" ht="21.95" customHeight="1" x14ac:dyDescent="0.25">
      <c r="A338" s="1"/>
      <c r="B338" s="99" t="s">
        <v>27</v>
      </c>
      <c r="C338" s="57"/>
      <c r="H338" s="188"/>
      <c r="K338" s="103"/>
    </row>
    <row r="341" spans="1:12" ht="21.95" customHeight="1" x14ac:dyDescent="0.25">
      <c r="A341" s="3" t="s">
        <v>22</v>
      </c>
    </row>
    <row r="342" spans="1:12" ht="21.95" customHeight="1" x14ac:dyDescent="0.2">
      <c r="A342" s="122" t="s">
        <v>20</v>
      </c>
    </row>
    <row r="343" spans="1:12" ht="21.95" customHeight="1" x14ac:dyDescent="0.2">
      <c r="A343" s="122" t="s">
        <v>21</v>
      </c>
    </row>
    <row r="347" spans="1:12" ht="21.95" customHeight="1" x14ac:dyDescent="0.3">
      <c r="A347" s="276" t="s">
        <v>6</v>
      </c>
      <c r="B347" s="276"/>
      <c r="C347" s="276"/>
      <c r="D347" s="276"/>
      <c r="E347" s="276"/>
      <c r="F347" s="276"/>
      <c r="G347" s="276"/>
      <c r="H347" s="276"/>
      <c r="I347" s="276"/>
      <c r="J347" s="276"/>
      <c r="K347" s="276"/>
      <c r="L347" s="276"/>
    </row>
    <row r="348" spans="1:12" ht="21.95" customHeight="1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</row>
    <row r="349" spans="1:12" ht="21.95" customHeight="1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</row>
    <row r="350" spans="1:12" ht="21.95" customHeight="1" x14ac:dyDescent="0.25">
      <c r="A350" s="1"/>
      <c r="B350" s="1"/>
    </row>
    <row r="351" spans="1:12" ht="34.5" customHeight="1" x14ac:dyDescent="0.25">
      <c r="A351" s="1" t="s">
        <v>7</v>
      </c>
      <c r="B351" s="1"/>
    </row>
    <row r="352" spans="1:12" ht="21.95" customHeight="1" x14ac:dyDescent="0.25">
      <c r="A352" s="1"/>
      <c r="B352" s="1"/>
    </row>
    <row r="353" spans="1:15" ht="43.5" customHeight="1" x14ac:dyDescent="0.25">
      <c r="A353" s="1" t="s">
        <v>8</v>
      </c>
      <c r="C353" s="9" t="s">
        <v>1</v>
      </c>
      <c r="D353" s="207" t="s">
        <v>587</v>
      </c>
      <c r="E353" s="76"/>
      <c r="F353" s="76"/>
      <c r="G353" s="76"/>
      <c r="H353" s="76"/>
    </row>
    <row r="354" spans="1:15" ht="21.95" customHeight="1" x14ac:dyDescent="0.25">
      <c r="A354" s="1" t="s">
        <v>9</v>
      </c>
      <c r="C354" s="9" t="s">
        <v>1</v>
      </c>
      <c r="D354" s="208" t="s">
        <v>588</v>
      </c>
      <c r="E354" s="76"/>
      <c r="F354" s="76"/>
      <c r="G354" s="76"/>
      <c r="H354" s="76"/>
    </row>
    <row r="355" spans="1:15" ht="21.95" customHeight="1" x14ac:dyDescent="0.2">
      <c r="A355" s="50" t="s">
        <v>10</v>
      </c>
      <c r="B355" s="76"/>
      <c r="C355" s="91" t="s">
        <v>1</v>
      </c>
      <c r="D355" s="209" t="s">
        <v>589</v>
      </c>
      <c r="E355" s="76"/>
      <c r="F355" s="76"/>
      <c r="G355" s="76"/>
      <c r="H355" s="76"/>
      <c r="I355" s="76"/>
      <c r="J355" s="76"/>
      <c r="K355" s="76"/>
      <c r="L355" s="76"/>
    </row>
    <row r="356" spans="1:15" ht="21.95" customHeight="1" x14ac:dyDescent="0.3">
      <c r="A356" s="292" t="s">
        <v>6</v>
      </c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</row>
    <row r="357" spans="1:15" ht="21.95" customHeight="1" x14ac:dyDescent="0.3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7"/>
      <c r="N357" s="107"/>
      <c r="O357" s="107"/>
    </row>
    <row r="358" spans="1:15" ht="21.95" customHeight="1" x14ac:dyDescent="0.2">
      <c r="A358" s="308" t="s">
        <v>586</v>
      </c>
      <c r="B358" s="308"/>
      <c r="C358" s="308"/>
      <c r="D358" s="308"/>
      <c r="E358" s="308"/>
      <c r="F358" s="308"/>
      <c r="G358" s="308"/>
      <c r="H358" s="308"/>
      <c r="I358" s="308"/>
      <c r="J358" s="308"/>
      <c r="K358" s="308"/>
      <c r="L358" s="308"/>
      <c r="M358" s="107"/>
      <c r="N358" s="107"/>
      <c r="O358" s="107"/>
    </row>
    <row r="359" spans="1:15" ht="21.95" customHeight="1" x14ac:dyDescent="0.2">
      <c r="A359" s="308"/>
      <c r="B359" s="308"/>
      <c r="C359" s="308"/>
      <c r="D359" s="308"/>
      <c r="E359" s="308"/>
      <c r="F359" s="308"/>
      <c r="G359" s="308"/>
      <c r="H359" s="308"/>
      <c r="I359" s="308"/>
      <c r="J359" s="308"/>
      <c r="K359" s="308"/>
      <c r="L359" s="308"/>
      <c r="M359" s="107"/>
      <c r="N359" s="107"/>
      <c r="O359" s="107"/>
    </row>
    <row r="360" spans="1:15" ht="21.95" customHeight="1" x14ac:dyDescent="0.25">
      <c r="A360" s="109"/>
      <c r="B360" s="109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</row>
    <row r="361" spans="1:15" ht="43.5" customHeight="1" thickBot="1" x14ac:dyDescent="0.25">
      <c r="A361" s="10" t="s">
        <v>0</v>
      </c>
      <c r="B361" s="278" t="s">
        <v>91</v>
      </c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</row>
    <row r="362" spans="1:15" ht="21.95" customHeight="1" thickTop="1" x14ac:dyDescent="0.25">
      <c r="A362" s="1"/>
      <c r="B362" s="11" t="s">
        <v>3</v>
      </c>
      <c r="C362" s="12" t="s">
        <v>4</v>
      </c>
      <c r="D362" s="13"/>
      <c r="E362" s="13"/>
      <c r="F362" s="13"/>
      <c r="G362" s="13"/>
      <c r="H362" s="14"/>
      <c r="I362" s="15" t="s">
        <v>5</v>
      </c>
      <c r="J362" s="12" t="s">
        <v>17</v>
      </c>
      <c r="K362" s="13"/>
      <c r="L362" s="14"/>
    </row>
    <row r="363" spans="1:15" ht="16.5" customHeight="1" x14ac:dyDescent="0.2">
      <c r="A363" s="50"/>
      <c r="B363" s="143">
        <v>1</v>
      </c>
      <c r="C363" s="309" t="s">
        <v>527</v>
      </c>
      <c r="D363" s="310"/>
      <c r="E363" s="310"/>
      <c r="F363" s="189"/>
      <c r="G363" s="146"/>
      <c r="H363" s="79"/>
      <c r="I363" s="56">
        <v>150000</v>
      </c>
      <c r="J363" s="76"/>
      <c r="K363" s="76"/>
      <c r="L363" s="79"/>
    </row>
    <row r="364" spans="1:15" ht="9.75" customHeight="1" x14ac:dyDescent="0.2">
      <c r="B364" s="96"/>
      <c r="C364" s="311"/>
      <c r="D364" s="312"/>
      <c r="E364" s="312"/>
      <c r="F364" s="125"/>
      <c r="G364" s="124"/>
      <c r="H364" s="124"/>
      <c r="I364" s="23"/>
      <c r="L364" s="17"/>
    </row>
    <row r="365" spans="1:15" ht="21.95" customHeight="1" x14ac:dyDescent="0.25">
      <c r="A365" s="1"/>
      <c r="B365" s="39"/>
      <c r="C365" s="1"/>
      <c r="D365" s="1"/>
      <c r="E365" s="1"/>
      <c r="F365" s="40" t="s">
        <v>5</v>
      </c>
      <c r="G365" s="40"/>
      <c r="H365" s="1"/>
      <c r="I365" s="41">
        <f>I363</f>
        <v>150000</v>
      </c>
      <c r="J365" s="1"/>
      <c r="K365" s="1"/>
      <c r="L365" s="42"/>
    </row>
    <row r="366" spans="1:15" ht="21.95" customHeight="1" thickBot="1" x14ac:dyDescent="0.3">
      <c r="A366" s="1"/>
      <c r="B366" s="43"/>
      <c r="C366" s="44"/>
      <c r="D366" s="44"/>
      <c r="E366" s="44"/>
      <c r="F366" s="45"/>
      <c r="G366" s="45"/>
      <c r="H366" s="44"/>
      <c r="I366" s="46"/>
      <c r="J366" s="44"/>
      <c r="K366" s="44"/>
      <c r="L366" s="47"/>
    </row>
    <row r="367" spans="1:15" ht="21.95" customHeight="1" thickTop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5" ht="50.25" customHeight="1" x14ac:dyDescent="0.2">
      <c r="A368" s="10" t="s">
        <v>2</v>
      </c>
      <c r="B368" s="279" t="s">
        <v>11</v>
      </c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</row>
    <row r="369" spans="1:12" ht="21.9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21.95" customHeight="1" x14ac:dyDescent="0.2">
      <c r="A370" s="280" t="s">
        <v>12</v>
      </c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</row>
    <row r="371" spans="1:12" ht="21.9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21.9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21.95" customHeight="1" x14ac:dyDescent="0.25">
      <c r="A373" s="1"/>
      <c r="B373" s="1"/>
      <c r="C373" s="1"/>
      <c r="D373" s="1"/>
      <c r="E373" s="1"/>
      <c r="F373" s="1"/>
      <c r="G373" s="1"/>
      <c r="H373" s="4" t="s">
        <v>533</v>
      </c>
      <c r="J373" s="286" t="s">
        <v>584</v>
      </c>
      <c r="K373" s="286"/>
      <c r="L373" s="286"/>
    </row>
    <row r="374" spans="1:12" ht="21.95" customHeight="1" x14ac:dyDescent="0.25">
      <c r="A374" s="1"/>
      <c r="B374" s="1" t="s">
        <v>15</v>
      </c>
      <c r="C374" s="1"/>
      <c r="D374" s="1"/>
      <c r="E374" s="1"/>
      <c r="F374" s="1"/>
      <c r="G374" s="1"/>
      <c r="H374" s="4" t="s">
        <v>13</v>
      </c>
    </row>
    <row r="375" spans="1:12" ht="21.95" customHeight="1" x14ac:dyDescent="0.25">
      <c r="A375" s="1"/>
      <c r="B375" s="1" t="s">
        <v>18</v>
      </c>
      <c r="C375" s="1"/>
      <c r="D375" s="1"/>
      <c r="E375" s="1"/>
      <c r="F375" s="1"/>
      <c r="G375" s="1"/>
      <c r="H375" s="4" t="s">
        <v>14</v>
      </c>
    </row>
    <row r="376" spans="1:12" ht="21.9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21.75" hidden="1" customHeight="1" x14ac:dyDescent="0.25">
      <c r="A378" s="1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"/>
    </row>
    <row r="379" spans="1:12" ht="21.95" customHeight="1" x14ac:dyDescent="0.25">
      <c r="A379" s="1"/>
      <c r="K379" s="103"/>
      <c r="L379" s="1"/>
    </row>
    <row r="380" spans="1:12" ht="21.95" customHeight="1" x14ac:dyDescent="0.25">
      <c r="A380" s="1"/>
      <c r="B380" s="95" t="s">
        <v>77</v>
      </c>
      <c r="H380" s="210" t="s">
        <v>575</v>
      </c>
      <c r="I380" s="95"/>
      <c r="J380" s="92"/>
      <c r="K380" s="103"/>
      <c r="L380" s="1"/>
    </row>
    <row r="381" spans="1:12" ht="21.95" customHeight="1" x14ac:dyDescent="0.25">
      <c r="A381" s="1"/>
      <c r="B381" s="99" t="s">
        <v>27</v>
      </c>
      <c r="C381" s="57"/>
      <c r="I381" s="210"/>
      <c r="K381" s="103"/>
    </row>
    <row r="387" spans="1:12" ht="33" customHeight="1" x14ac:dyDescent="0.25">
      <c r="A387" s="3" t="s">
        <v>22</v>
      </c>
    </row>
    <row r="388" spans="1:12" ht="21.95" customHeight="1" x14ac:dyDescent="0.2">
      <c r="A388" s="122" t="s">
        <v>20</v>
      </c>
    </row>
    <row r="389" spans="1:12" ht="21.95" customHeight="1" x14ac:dyDescent="0.2">
      <c r="A389" s="122" t="s">
        <v>21</v>
      </c>
    </row>
    <row r="393" spans="1:12" ht="21.95" customHeight="1" x14ac:dyDescent="0.3">
      <c r="A393" s="276" t="s">
        <v>6</v>
      </c>
      <c r="B393" s="276"/>
      <c r="C393" s="276"/>
      <c r="D393" s="276"/>
      <c r="E393" s="276"/>
      <c r="F393" s="276"/>
      <c r="G393" s="276"/>
      <c r="H393" s="276"/>
      <c r="I393" s="276"/>
      <c r="J393" s="276"/>
      <c r="K393" s="276"/>
      <c r="L393" s="276"/>
    </row>
    <row r="394" spans="1:12" ht="21.95" customHeight="1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</row>
    <row r="395" spans="1:12" ht="21.95" customHeight="1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</row>
    <row r="396" spans="1:12" ht="11.25" customHeight="1" x14ac:dyDescent="0.25">
      <c r="A396" s="1"/>
      <c r="B396" s="1"/>
    </row>
    <row r="397" spans="1:12" ht="21" customHeight="1" x14ac:dyDescent="0.25">
      <c r="A397" s="1" t="s">
        <v>7</v>
      </c>
      <c r="B397" s="1"/>
    </row>
    <row r="398" spans="1:12" ht="21.75" hidden="1" customHeight="1" x14ac:dyDescent="0.25">
      <c r="A398" s="1"/>
      <c r="B398" s="1"/>
    </row>
    <row r="399" spans="1:12" ht="21.95" customHeight="1" x14ac:dyDescent="0.25">
      <c r="A399" s="1" t="s">
        <v>8</v>
      </c>
      <c r="C399" s="9" t="s">
        <v>1</v>
      </c>
      <c r="D399" s="207" t="s">
        <v>539</v>
      </c>
      <c r="E399" s="76"/>
      <c r="F399" s="76"/>
      <c r="G399" s="76"/>
      <c r="H399" s="76"/>
    </row>
    <row r="400" spans="1:12" ht="21.95" customHeight="1" x14ac:dyDescent="0.25">
      <c r="A400" s="1" t="s">
        <v>9</v>
      </c>
      <c r="C400" s="9" t="s">
        <v>1</v>
      </c>
      <c r="D400" s="208" t="s">
        <v>74</v>
      </c>
      <c r="E400" s="76"/>
      <c r="F400" s="76"/>
      <c r="G400" s="76"/>
      <c r="H400" s="76"/>
    </row>
    <row r="401" spans="1:12" ht="21.95" customHeight="1" x14ac:dyDescent="0.2">
      <c r="A401" s="50" t="s">
        <v>10</v>
      </c>
      <c r="B401" s="76"/>
      <c r="C401" s="91" t="s">
        <v>1</v>
      </c>
      <c r="D401" s="209" t="s">
        <v>590</v>
      </c>
      <c r="E401" s="76"/>
      <c r="F401" s="76"/>
      <c r="G401" s="76"/>
      <c r="H401" s="76"/>
      <c r="I401" s="76"/>
      <c r="J401" s="76"/>
      <c r="K401" s="76"/>
      <c r="L401" s="76"/>
    </row>
    <row r="402" spans="1:12" ht="21.95" customHeight="1" x14ac:dyDescent="0.3">
      <c r="A402" s="292" t="s">
        <v>6</v>
      </c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</row>
    <row r="403" spans="1:12" ht="21.95" customHeight="1" x14ac:dyDescent="0.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</row>
    <row r="404" spans="1:12" ht="21.95" customHeight="1" x14ac:dyDescent="0.2">
      <c r="A404" s="308" t="s">
        <v>591</v>
      </c>
      <c r="B404" s="308"/>
      <c r="C404" s="308"/>
      <c r="D404" s="308"/>
      <c r="E404" s="308"/>
      <c r="F404" s="308"/>
      <c r="G404" s="308"/>
      <c r="H404" s="308"/>
      <c r="I404" s="308"/>
      <c r="J404" s="308"/>
      <c r="K404" s="308"/>
      <c r="L404" s="308"/>
    </row>
    <row r="405" spans="1:12" ht="21.95" customHeight="1" x14ac:dyDescent="0.2">
      <c r="A405" s="308"/>
      <c r="B405" s="308"/>
      <c r="C405" s="308"/>
      <c r="D405" s="308"/>
      <c r="E405" s="308"/>
      <c r="F405" s="308"/>
      <c r="G405" s="308"/>
      <c r="H405" s="308"/>
      <c r="I405" s="308"/>
      <c r="J405" s="308"/>
      <c r="K405" s="308"/>
      <c r="L405" s="308"/>
    </row>
    <row r="406" spans="1:12" ht="21.95" customHeight="1" x14ac:dyDescent="0.25">
      <c r="A406" s="109"/>
      <c r="B406" s="109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</row>
    <row r="407" spans="1:12" ht="36" customHeight="1" thickBot="1" x14ac:dyDescent="0.25">
      <c r="A407" s="10" t="s">
        <v>0</v>
      </c>
      <c r="B407" s="278" t="s">
        <v>91</v>
      </c>
      <c r="C407" s="278"/>
      <c r="D407" s="278"/>
      <c r="E407" s="278"/>
      <c r="F407" s="278"/>
      <c r="G407" s="278"/>
      <c r="H407" s="278"/>
      <c r="I407" s="278"/>
      <c r="J407" s="278"/>
      <c r="K407" s="278"/>
      <c r="L407" s="278"/>
    </row>
    <row r="408" spans="1:12" ht="21.95" customHeight="1" thickTop="1" x14ac:dyDescent="0.25">
      <c r="A408" s="1"/>
      <c r="B408" s="11" t="s">
        <v>3</v>
      </c>
      <c r="C408" s="12" t="s">
        <v>4</v>
      </c>
      <c r="D408" s="13"/>
      <c r="E408" s="13"/>
      <c r="F408" s="13"/>
      <c r="G408" s="13"/>
      <c r="H408" s="14"/>
      <c r="I408" s="15" t="s">
        <v>5</v>
      </c>
      <c r="J408" s="12" t="s">
        <v>17</v>
      </c>
      <c r="K408" s="13"/>
      <c r="L408" s="14"/>
    </row>
    <row r="409" spans="1:12" ht="21.95" customHeight="1" x14ac:dyDescent="0.2">
      <c r="A409" s="50"/>
      <c r="B409" s="143">
        <v>1</v>
      </c>
      <c r="C409" s="309" t="s">
        <v>527</v>
      </c>
      <c r="D409" s="310"/>
      <c r="E409" s="310"/>
      <c r="F409" s="189"/>
      <c r="G409" s="146"/>
      <c r="H409" s="79"/>
      <c r="I409" s="56">
        <v>150000</v>
      </c>
      <c r="J409" s="76"/>
      <c r="K409" s="76"/>
      <c r="L409" s="79"/>
    </row>
    <row r="410" spans="1:12" ht="21.95" customHeight="1" x14ac:dyDescent="0.2">
      <c r="B410" s="96"/>
      <c r="C410" s="311"/>
      <c r="D410" s="312"/>
      <c r="E410" s="312"/>
      <c r="F410" s="125"/>
      <c r="G410" s="124"/>
      <c r="H410" s="124"/>
      <c r="I410" s="23"/>
      <c r="L410" s="17"/>
    </row>
    <row r="411" spans="1:12" ht="21.95" customHeight="1" x14ac:dyDescent="0.25">
      <c r="A411" s="1"/>
      <c r="B411" s="39"/>
      <c r="C411" s="1"/>
      <c r="D411" s="1"/>
      <c r="E411" s="1"/>
      <c r="F411" s="40" t="s">
        <v>5</v>
      </c>
      <c r="G411" s="40"/>
      <c r="H411" s="1"/>
      <c r="I411" s="41">
        <f>I409</f>
        <v>150000</v>
      </c>
      <c r="J411" s="1"/>
      <c r="K411" s="1"/>
      <c r="L411" s="42"/>
    </row>
    <row r="412" spans="1:12" ht="21.95" customHeight="1" thickBot="1" x14ac:dyDescent="0.3">
      <c r="A412" s="1"/>
      <c r="B412" s="43"/>
      <c r="C412" s="44"/>
      <c r="D412" s="44"/>
      <c r="E412" s="44"/>
      <c r="F412" s="45"/>
      <c r="G412" s="45"/>
      <c r="H412" s="44"/>
      <c r="I412" s="46"/>
      <c r="J412" s="44"/>
      <c r="K412" s="44"/>
      <c r="L412" s="47"/>
    </row>
    <row r="413" spans="1:12" ht="21.95" customHeight="1" thickTop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54.75" customHeight="1" x14ac:dyDescent="0.2">
      <c r="A414" s="10" t="s">
        <v>2</v>
      </c>
      <c r="B414" s="279" t="s">
        <v>11</v>
      </c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</row>
    <row r="415" spans="1:12" ht="21.9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21.95" customHeight="1" x14ac:dyDescent="0.2">
      <c r="A416" s="280" t="s">
        <v>12</v>
      </c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</row>
    <row r="417" spans="1:12" ht="21.9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21.9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21.95" customHeight="1" x14ac:dyDescent="0.25">
      <c r="A419" s="1"/>
      <c r="B419" s="1"/>
      <c r="C419" s="1"/>
      <c r="D419" s="1"/>
      <c r="E419" s="1"/>
      <c r="F419" s="1"/>
      <c r="G419" s="1"/>
      <c r="H419" s="4" t="s">
        <v>533</v>
      </c>
      <c r="J419" s="286" t="s">
        <v>584</v>
      </c>
      <c r="K419" s="286"/>
      <c r="L419" s="286"/>
    </row>
    <row r="420" spans="1:12" ht="15" x14ac:dyDescent="0.25">
      <c r="A420" s="1"/>
      <c r="B420" s="1" t="s">
        <v>15</v>
      </c>
      <c r="C420" s="1"/>
      <c r="D420" s="1"/>
      <c r="E420" s="1"/>
      <c r="F420" s="1"/>
      <c r="G420" s="1"/>
      <c r="H420" s="4" t="s">
        <v>13</v>
      </c>
    </row>
    <row r="421" spans="1:12" ht="15" x14ac:dyDescent="0.25">
      <c r="A421" s="1"/>
      <c r="B421" s="1" t="s">
        <v>18</v>
      </c>
      <c r="C421" s="1"/>
      <c r="D421" s="1"/>
      <c r="E421" s="1"/>
      <c r="F421" s="1"/>
      <c r="G421" s="1"/>
      <c r="H421" s="4" t="s">
        <v>14</v>
      </c>
    </row>
    <row r="422" spans="1:12" ht="21.9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20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21.75" hidden="1" customHeight="1" x14ac:dyDescent="0.25">
      <c r="A424" s="1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"/>
    </row>
    <row r="425" spans="1:12" ht="21.95" customHeight="1" x14ac:dyDescent="0.25">
      <c r="A425" s="1"/>
      <c r="K425" s="103"/>
      <c r="L425" s="1"/>
    </row>
    <row r="426" spans="1:12" ht="21.95" customHeight="1" x14ac:dyDescent="0.25">
      <c r="A426" s="1"/>
      <c r="B426" s="95" t="s">
        <v>77</v>
      </c>
      <c r="H426" s="210" t="s">
        <v>539</v>
      </c>
      <c r="I426" s="95"/>
      <c r="J426" s="92"/>
      <c r="K426" s="103"/>
      <c r="L426" s="1"/>
    </row>
    <row r="427" spans="1:12" ht="21.95" customHeight="1" x14ac:dyDescent="0.25">
      <c r="A427" s="1"/>
      <c r="B427" s="99" t="s">
        <v>27</v>
      </c>
      <c r="C427" s="57"/>
      <c r="I427" s="210"/>
      <c r="K427" s="103"/>
    </row>
    <row r="430" spans="1:12" ht="21.95" customHeight="1" x14ac:dyDescent="0.25">
      <c r="A430" s="3" t="s">
        <v>22</v>
      </c>
    </row>
    <row r="431" spans="1:12" ht="21.95" customHeight="1" x14ac:dyDescent="0.2">
      <c r="A431" s="122" t="s">
        <v>20</v>
      </c>
    </row>
    <row r="432" spans="1:12" ht="21.95" customHeight="1" x14ac:dyDescent="0.2">
      <c r="A432" s="122" t="s">
        <v>21</v>
      </c>
    </row>
    <row r="436" spans="1:12" ht="21.95" customHeight="1" x14ac:dyDescent="0.3">
      <c r="A436" s="276" t="s">
        <v>6</v>
      </c>
      <c r="B436" s="276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</row>
    <row r="437" spans="1:12" ht="21.95" customHeight="1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</row>
    <row r="438" spans="1:12" ht="21.95" customHeight="1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</row>
    <row r="439" spans="1:12" ht="21.95" customHeight="1" x14ac:dyDescent="0.25">
      <c r="A439" s="1"/>
      <c r="B439" s="1"/>
    </row>
    <row r="440" spans="1:12" ht="21.95" customHeight="1" x14ac:dyDescent="0.25">
      <c r="A440" s="1" t="s">
        <v>7</v>
      </c>
      <c r="B440" s="1"/>
    </row>
    <row r="441" spans="1:12" ht="21.95" customHeight="1" x14ac:dyDescent="0.25">
      <c r="A441" s="1"/>
      <c r="B441" s="1"/>
    </row>
    <row r="442" spans="1:12" ht="21.95" customHeight="1" x14ac:dyDescent="0.25">
      <c r="A442" s="1" t="s">
        <v>8</v>
      </c>
      <c r="C442" s="9" t="s">
        <v>1</v>
      </c>
      <c r="D442" s="218" t="s">
        <v>539</v>
      </c>
      <c r="E442" s="76"/>
      <c r="F442" s="76"/>
      <c r="G442" s="76"/>
      <c r="H442" s="76"/>
    </row>
    <row r="443" spans="1:12" ht="21.95" customHeight="1" x14ac:dyDescent="0.25">
      <c r="A443" s="1" t="s">
        <v>9</v>
      </c>
      <c r="C443" s="9" t="s">
        <v>1</v>
      </c>
      <c r="D443" s="219" t="s">
        <v>74</v>
      </c>
      <c r="E443" s="76"/>
      <c r="F443" s="76"/>
      <c r="G443" s="76"/>
      <c r="H443" s="76"/>
    </row>
    <row r="444" spans="1:12" ht="21.95" customHeight="1" x14ac:dyDescent="0.2">
      <c r="A444" s="50" t="s">
        <v>10</v>
      </c>
      <c r="B444" s="76"/>
      <c r="C444" s="91" t="s">
        <v>1</v>
      </c>
      <c r="D444" s="220" t="s">
        <v>590</v>
      </c>
      <c r="E444" s="76"/>
      <c r="F444" s="76"/>
      <c r="G444" s="76"/>
      <c r="H444" s="76"/>
      <c r="I444" s="76"/>
      <c r="J444" s="76"/>
      <c r="K444" s="76"/>
      <c r="L444" s="76"/>
    </row>
    <row r="445" spans="1:12" ht="21.95" customHeight="1" x14ac:dyDescent="0.3">
      <c r="A445" s="292" t="s">
        <v>6</v>
      </c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</row>
    <row r="446" spans="1:12" ht="21.95" customHeight="1" x14ac:dyDescent="0.3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</row>
    <row r="447" spans="1:12" ht="21.95" customHeight="1" x14ac:dyDescent="0.2">
      <c r="A447" s="308" t="s">
        <v>641</v>
      </c>
      <c r="B447" s="308"/>
      <c r="C447" s="308"/>
      <c r="D447" s="308"/>
      <c r="E447" s="308"/>
      <c r="F447" s="308"/>
      <c r="G447" s="308"/>
      <c r="H447" s="308"/>
      <c r="I447" s="308"/>
      <c r="J447" s="308"/>
      <c r="K447" s="308"/>
      <c r="L447" s="308"/>
    </row>
    <row r="448" spans="1:12" ht="21.95" customHeight="1" x14ac:dyDescent="0.2">
      <c r="A448" s="308"/>
      <c r="B448" s="308"/>
      <c r="C448" s="308"/>
      <c r="D448" s="308"/>
      <c r="E448" s="308"/>
      <c r="F448" s="308"/>
      <c r="G448" s="308"/>
      <c r="H448" s="308"/>
      <c r="I448" s="308"/>
      <c r="J448" s="308"/>
      <c r="K448" s="308"/>
      <c r="L448" s="308"/>
    </row>
    <row r="449" spans="1:12" ht="21.95" customHeight="1" x14ac:dyDescent="0.25">
      <c r="A449" s="109"/>
      <c r="B449" s="109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</row>
    <row r="450" spans="1:12" ht="36.6" customHeight="1" thickBot="1" x14ac:dyDescent="0.25">
      <c r="A450" s="10" t="s">
        <v>0</v>
      </c>
      <c r="B450" s="278" t="s">
        <v>91</v>
      </c>
      <c r="C450" s="278"/>
      <c r="D450" s="278"/>
      <c r="E450" s="278"/>
      <c r="F450" s="278"/>
      <c r="G450" s="278"/>
      <c r="H450" s="278"/>
      <c r="I450" s="278"/>
      <c r="J450" s="278"/>
      <c r="K450" s="278"/>
      <c r="L450" s="278"/>
    </row>
    <row r="451" spans="1:12" ht="21.95" customHeight="1" thickTop="1" x14ac:dyDescent="0.25">
      <c r="A451" s="1"/>
      <c r="B451" s="11" t="s">
        <v>3</v>
      </c>
      <c r="C451" s="12" t="s">
        <v>4</v>
      </c>
      <c r="D451" s="13"/>
      <c r="E451" s="13"/>
      <c r="F451" s="13"/>
      <c r="G451" s="13"/>
      <c r="H451" s="14"/>
      <c r="I451" s="15" t="s">
        <v>5</v>
      </c>
      <c r="J451" s="12" t="s">
        <v>17</v>
      </c>
      <c r="K451" s="13"/>
      <c r="L451" s="14"/>
    </row>
    <row r="452" spans="1:12" ht="21.95" customHeight="1" x14ac:dyDescent="0.2">
      <c r="A452" s="50"/>
      <c r="B452" s="143">
        <v>1</v>
      </c>
      <c r="C452" s="309" t="s">
        <v>642</v>
      </c>
      <c r="D452" s="310"/>
      <c r="E452" s="310"/>
      <c r="F452" s="189"/>
      <c r="G452" s="146"/>
      <c r="H452" s="79"/>
      <c r="I452" s="56">
        <v>170000</v>
      </c>
      <c r="J452" s="76"/>
      <c r="K452" s="76"/>
      <c r="L452" s="79"/>
    </row>
    <row r="453" spans="1:12" ht="21.95" customHeight="1" x14ac:dyDescent="0.2">
      <c r="B453" s="96"/>
      <c r="C453" s="311"/>
      <c r="D453" s="312"/>
      <c r="E453" s="312"/>
      <c r="F453" s="125"/>
      <c r="G453" s="124"/>
      <c r="H453" s="124"/>
      <c r="I453" s="23"/>
      <c r="L453" s="17"/>
    </row>
    <row r="454" spans="1:12" ht="21.95" customHeight="1" x14ac:dyDescent="0.25">
      <c r="A454" s="1"/>
      <c r="B454" s="39"/>
      <c r="C454" s="1"/>
      <c r="D454" s="1"/>
      <c r="E454" s="1"/>
      <c r="F454" s="40" t="s">
        <v>5</v>
      </c>
      <c r="G454" s="40"/>
      <c r="H454" s="1"/>
      <c r="I454" s="41">
        <f>I452</f>
        <v>170000</v>
      </c>
      <c r="J454" s="1"/>
      <c r="K454" s="1"/>
      <c r="L454" s="42"/>
    </row>
    <row r="455" spans="1:12" ht="21.95" customHeight="1" thickBot="1" x14ac:dyDescent="0.3">
      <c r="A455" s="1"/>
      <c r="B455" s="43"/>
      <c r="C455" s="44"/>
      <c r="D455" s="44"/>
      <c r="E455" s="44"/>
      <c r="F455" s="45"/>
      <c r="G455" s="45"/>
      <c r="H455" s="44"/>
      <c r="I455" s="46"/>
      <c r="J455" s="44"/>
      <c r="K455" s="44"/>
      <c r="L455" s="47"/>
    </row>
    <row r="456" spans="1:12" ht="21.95" customHeight="1" thickTop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52.15" customHeight="1" x14ac:dyDescent="0.2">
      <c r="A457" s="10" t="s">
        <v>2</v>
      </c>
      <c r="B457" s="279" t="s">
        <v>11</v>
      </c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</row>
    <row r="458" spans="1:12" ht="21.9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21.95" customHeight="1" x14ac:dyDescent="0.2">
      <c r="A459" s="280" t="s">
        <v>12</v>
      </c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</row>
    <row r="460" spans="1:12" ht="21.9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21.9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21.95" customHeight="1" x14ac:dyDescent="0.25">
      <c r="A462" s="1"/>
      <c r="B462" s="1"/>
      <c r="C462" s="1"/>
      <c r="D462" s="1"/>
      <c r="E462" s="1"/>
      <c r="F462" s="1"/>
      <c r="G462" s="1"/>
      <c r="H462" s="4" t="s">
        <v>643</v>
      </c>
      <c r="J462" s="286" t="s">
        <v>639</v>
      </c>
      <c r="K462" s="286"/>
      <c r="L462" s="286"/>
    </row>
    <row r="463" spans="1:12" ht="21.95" customHeight="1" x14ac:dyDescent="0.25">
      <c r="A463" s="1"/>
      <c r="B463" s="1" t="s">
        <v>15</v>
      </c>
      <c r="C463" s="1"/>
      <c r="D463" s="1"/>
      <c r="E463" s="1"/>
      <c r="F463" s="1"/>
      <c r="G463" s="1"/>
      <c r="H463" s="4" t="s">
        <v>13</v>
      </c>
    </row>
    <row r="464" spans="1:12" ht="21.95" customHeight="1" x14ac:dyDescent="0.25">
      <c r="A464" s="1"/>
      <c r="B464" s="1" t="s">
        <v>18</v>
      </c>
      <c r="C464" s="1"/>
      <c r="D464" s="1"/>
      <c r="E464" s="1"/>
      <c r="F464" s="1"/>
      <c r="G464" s="1"/>
      <c r="H464" s="4" t="s">
        <v>14</v>
      </c>
    </row>
    <row r="465" spans="1:25" ht="21.9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25" ht="21.9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25" ht="21.95" customHeight="1" x14ac:dyDescent="0.25">
      <c r="A467" s="1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"/>
    </row>
    <row r="468" spans="1:25" ht="19.149999999999999" customHeight="1" x14ac:dyDescent="0.25">
      <c r="A468" s="1"/>
      <c r="K468" s="103"/>
      <c r="L468" s="1"/>
    </row>
    <row r="469" spans="1:25" ht="21.95" customHeight="1" x14ac:dyDescent="0.25">
      <c r="A469" s="1"/>
      <c r="B469" s="222" t="s">
        <v>644</v>
      </c>
      <c r="H469" s="221" t="s">
        <v>539</v>
      </c>
      <c r="I469" s="95"/>
      <c r="J469" s="92"/>
      <c r="K469" s="103"/>
      <c r="L469" s="1"/>
    </row>
    <row r="470" spans="1:25" ht="21.95" customHeight="1" x14ac:dyDescent="0.25">
      <c r="A470" s="1"/>
      <c r="B470" s="223" t="s">
        <v>645</v>
      </c>
      <c r="C470" s="57"/>
      <c r="I470" s="210"/>
      <c r="K470" s="103"/>
    </row>
    <row r="473" spans="1:25" ht="21.95" customHeight="1" x14ac:dyDescent="0.25">
      <c r="A473" s="226" t="s">
        <v>22</v>
      </c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N473" s="226" t="s">
        <v>22</v>
      </c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</row>
    <row r="474" spans="1:25" ht="21.95" customHeight="1" x14ac:dyDescent="0.25">
      <c r="A474" s="228" t="s">
        <v>20</v>
      </c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N474" s="228" t="s">
        <v>20</v>
      </c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</row>
    <row r="475" spans="1:25" ht="21.95" customHeight="1" x14ac:dyDescent="0.25">
      <c r="A475" s="228" t="s">
        <v>21</v>
      </c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N475" s="228" t="s">
        <v>21</v>
      </c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</row>
    <row r="476" spans="1:25" ht="21.95" customHeight="1" x14ac:dyDescent="0.25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</row>
    <row r="477" spans="1:25" ht="21.95" customHeight="1" x14ac:dyDescent="0.25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</row>
    <row r="478" spans="1:25" ht="21.95" customHeight="1" x14ac:dyDescent="0.25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</row>
    <row r="479" spans="1:25" ht="21.95" customHeight="1" x14ac:dyDescent="0.25">
      <c r="A479" s="299" t="s">
        <v>6</v>
      </c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N479" s="299" t="s">
        <v>6</v>
      </c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</row>
    <row r="480" spans="1:25" ht="21.95" customHeight="1" x14ac:dyDescent="0.25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 spans="1:25" ht="21.95" customHeight="1" x14ac:dyDescent="0.25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 spans="1:25" ht="21.95" customHeight="1" x14ac:dyDescent="0.25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</row>
    <row r="483" spans="1:25" ht="21.95" customHeight="1" x14ac:dyDescent="0.25">
      <c r="A483" s="227" t="s">
        <v>7</v>
      </c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N483" s="227" t="s">
        <v>7</v>
      </c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</row>
    <row r="484" spans="1:25" ht="21.95" customHeight="1" x14ac:dyDescent="0.25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</row>
    <row r="485" spans="1:25" ht="21.95" customHeight="1" x14ac:dyDescent="0.25">
      <c r="A485" s="227" t="s">
        <v>8</v>
      </c>
      <c r="B485" s="227"/>
      <c r="C485" s="229" t="s">
        <v>1</v>
      </c>
      <c r="D485" s="226" t="s">
        <v>646</v>
      </c>
      <c r="E485" s="230"/>
      <c r="F485" s="230"/>
      <c r="G485" s="230"/>
      <c r="H485" s="230"/>
      <c r="I485" s="227"/>
      <c r="J485" s="227"/>
      <c r="K485" s="227"/>
      <c r="L485" s="227"/>
      <c r="N485" s="227" t="s">
        <v>8</v>
      </c>
      <c r="O485" s="227"/>
      <c r="P485" s="229" t="s">
        <v>1</v>
      </c>
      <c r="Q485" s="226" t="s">
        <v>652</v>
      </c>
      <c r="R485" s="230"/>
      <c r="S485" s="230"/>
      <c r="T485" s="230"/>
      <c r="U485" s="230"/>
      <c r="V485" s="227"/>
      <c r="W485" s="227"/>
      <c r="X485" s="227"/>
      <c r="Y485" s="227"/>
    </row>
    <row r="486" spans="1:25" ht="21.95" customHeight="1" x14ac:dyDescent="0.25">
      <c r="A486" s="227" t="s">
        <v>9</v>
      </c>
      <c r="B486" s="227"/>
      <c r="C486" s="229" t="s">
        <v>1</v>
      </c>
      <c r="D486" s="231" t="s">
        <v>647</v>
      </c>
      <c r="E486" s="230"/>
      <c r="F486" s="230"/>
      <c r="G486" s="230"/>
      <c r="H486" s="230"/>
      <c r="I486" s="227"/>
      <c r="J486" s="227"/>
      <c r="K486" s="227"/>
      <c r="L486" s="227"/>
      <c r="N486" s="227" t="s">
        <v>9</v>
      </c>
      <c r="O486" s="227"/>
      <c r="P486" s="229" t="s">
        <v>1</v>
      </c>
      <c r="Q486" s="231" t="s">
        <v>653</v>
      </c>
      <c r="R486" s="230"/>
      <c r="S486" s="230"/>
      <c r="T486" s="230"/>
      <c r="U486" s="230"/>
      <c r="V486" s="227"/>
      <c r="W486" s="227"/>
      <c r="X486" s="227"/>
      <c r="Y486" s="227"/>
    </row>
    <row r="487" spans="1:25" ht="21.95" customHeight="1" x14ac:dyDescent="0.2">
      <c r="A487" s="230" t="s">
        <v>10</v>
      </c>
      <c r="B487" s="230"/>
      <c r="C487" s="232" t="s">
        <v>1</v>
      </c>
      <c r="D487" s="233" t="s">
        <v>656</v>
      </c>
      <c r="E487" s="230"/>
      <c r="F487" s="230"/>
      <c r="G487" s="230"/>
      <c r="H487" s="230"/>
      <c r="I487" s="230"/>
      <c r="J487" s="230"/>
      <c r="K487" s="230"/>
      <c r="L487" s="230"/>
      <c r="N487" s="230" t="s">
        <v>10</v>
      </c>
      <c r="O487" s="230"/>
      <c r="P487" s="232" t="s">
        <v>1</v>
      </c>
      <c r="Q487" s="233" t="s">
        <v>654</v>
      </c>
      <c r="R487" s="230"/>
      <c r="S487" s="230"/>
      <c r="T487" s="230"/>
      <c r="U487" s="230"/>
      <c r="V487" s="230"/>
      <c r="W487" s="230"/>
      <c r="X487" s="230"/>
      <c r="Y487" s="230"/>
    </row>
    <row r="488" spans="1:25" ht="14.45" customHeight="1" x14ac:dyDescent="0.2">
      <c r="A488" s="230"/>
      <c r="B488" s="230"/>
      <c r="C488" s="232"/>
      <c r="D488" s="233"/>
      <c r="E488" s="230"/>
      <c r="F488" s="230"/>
      <c r="G488" s="230"/>
      <c r="H488" s="230"/>
      <c r="I488" s="230"/>
      <c r="J488" s="230"/>
      <c r="K488" s="230"/>
      <c r="L488" s="230"/>
      <c r="N488" s="230"/>
      <c r="O488" s="230"/>
      <c r="P488" s="232"/>
      <c r="Q488" s="233"/>
      <c r="R488" s="230"/>
      <c r="S488" s="230"/>
      <c r="T488" s="230"/>
      <c r="U488" s="230"/>
      <c r="V488" s="230"/>
      <c r="W488" s="230"/>
      <c r="X488" s="230"/>
      <c r="Y488" s="230"/>
    </row>
    <row r="489" spans="1:25" ht="2.4500000000000002" customHeight="1" x14ac:dyDescent="0.25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</row>
    <row r="490" spans="1:25" ht="21.95" customHeight="1" x14ac:dyDescent="0.25">
      <c r="A490" s="225"/>
      <c r="B490" s="225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</row>
    <row r="491" spans="1:25" ht="21.95" customHeight="1" x14ac:dyDescent="0.2">
      <c r="A491" s="300" t="s">
        <v>648</v>
      </c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N491" s="300" t="s">
        <v>648</v>
      </c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</row>
    <row r="492" spans="1:25" ht="21.95" customHeight="1" x14ac:dyDescent="0.2">
      <c r="A492" s="300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</row>
    <row r="493" spans="1:25" ht="21.95" customHeight="1" x14ac:dyDescent="0.25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</row>
    <row r="494" spans="1:25" ht="21.95" customHeight="1" thickBot="1" x14ac:dyDescent="0.25">
      <c r="A494" s="235" t="s">
        <v>0</v>
      </c>
      <c r="B494" s="301" t="s">
        <v>91</v>
      </c>
      <c r="C494" s="301"/>
      <c r="D494" s="301"/>
      <c r="E494" s="301"/>
      <c r="F494" s="301"/>
      <c r="G494" s="301"/>
      <c r="H494" s="301"/>
      <c r="I494" s="301"/>
      <c r="J494" s="301"/>
      <c r="K494" s="301"/>
      <c r="L494" s="301"/>
      <c r="N494" s="235" t="s">
        <v>0</v>
      </c>
      <c r="O494" s="301" t="s">
        <v>91</v>
      </c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</row>
    <row r="495" spans="1:25" ht="21.95" customHeight="1" thickTop="1" x14ac:dyDescent="0.25">
      <c r="A495" s="227"/>
      <c r="B495" s="236" t="s">
        <v>3</v>
      </c>
      <c r="C495" s="237" t="s">
        <v>4</v>
      </c>
      <c r="D495" s="238"/>
      <c r="E495" s="238"/>
      <c r="F495" s="238"/>
      <c r="G495" s="238"/>
      <c r="H495" s="239"/>
      <c r="I495" s="236" t="s">
        <v>5</v>
      </c>
      <c r="J495" s="237" t="s">
        <v>17</v>
      </c>
      <c r="K495" s="238"/>
      <c r="L495" s="239"/>
      <c r="N495" s="227"/>
      <c r="O495" s="236" t="s">
        <v>3</v>
      </c>
      <c r="P495" s="237" t="s">
        <v>4</v>
      </c>
      <c r="Q495" s="238"/>
      <c r="R495" s="238"/>
      <c r="S495" s="238"/>
      <c r="T495" s="238"/>
      <c r="U495" s="239"/>
      <c r="V495" s="236" t="s">
        <v>5</v>
      </c>
      <c r="W495" s="237" t="s">
        <v>17</v>
      </c>
      <c r="X495" s="238"/>
      <c r="Y495" s="239"/>
    </row>
    <row r="496" spans="1:25" ht="21.95" customHeight="1" x14ac:dyDescent="0.2">
      <c r="A496" s="230"/>
      <c r="B496" s="240">
        <v>1</v>
      </c>
      <c r="C496" s="302" t="s">
        <v>649</v>
      </c>
      <c r="D496" s="303"/>
      <c r="E496" s="303"/>
      <c r="F496" s="241"/>
      <c r="G496" s="235"/>
      <c r="H496" s="242"/>
      <c r="I496" s="243">
        <v>170000</v>
      </c>
      <c r="J496" s="230"/>
      <c r="K496" s="230"/>
      <c r="L496" s="242"/>
      <c r="N496" s="230"/>
      <c r="O496" s="240">
        <v>1</v>
      </c>
      <c r="P496" s="302" t="s">
        <v>649</v>
      </c>
      <c r="Q496" s="303"/>
      <c r="R496" s="303"/>
      <c r="S496" s="241"/>
      <c r="T496" s="235"/>
      <c r="U496" s="242"/>
      <c r="V496" s="243">
        <v>170000</v>
      </c>
      <c r="W496" s="230"/>
      <c r="X496" s="230"/>
      <c r="Y496" s="242"/>
    </row>
    <row r="497" spans="1:25" ht="21.95" customHeight="1" x14ac:dyDescent="0.25">
      <c r="A497" s="227"/>
      <c r="B497" s="244"/>
      <c r="C497" s="304"/>
      <c r="D497" s="305"/>
      <c r="E497" s="305"/>
      <c r="F497" s="245"/>
      <c r="G497" s="233"/>
      <c r="H497" s="233"/>
      <c r="I497" s="246"/>
      <c r="J497" s="227"/>
      <c r="K497" s="227"/>
      <c r="L497" s="247"/>
      <c r="N497" s="227"/>
      <c r="O497" s="244"/>
      <c r="P497" s="304"/>
      <c r="Q497" s="305"/>
      <c r="R497" s="305"/>
      <c r="S497" s="245"/>
      <c r="T497" s="233"/>
      <c r="U497" s="233"/>
      <c r="V497" s="246"/>
      <c r="W497" s="227"/>
      <c r="X497" s="227"/>
      <c r="Y497" s="247"/>
    </row>
    <row r="498" spans="1:25" ht="21.95" customHeight="1" x14ac:dyDescent="0.25">
      <c r="A498" s="227"/>
      <c r="B498" s="248"/>
      <c r="C498" s="227"/>
      <c r="D498" s="227"/>
      <c r="E498" s="227"/>
      <c r="F498" s="249" t="s">
        <v>5</v>
      </c>
      <c r="G498" s="249"/>
      <c r="H498" s="227"/>
      <c r="I498" s="250">
        <f>I496</f>
        <v>170000</v>
      </c>
      <c r="J498" s="227"/>
      <c r="K498" s="227"/>
      <c r="L498" s="247"/>
      <c r="N498" s="227"/>
      <c r="O498" s="248"/>
      <c r="P498" s="227"/>
      <c r="Q498" s="227"/>
      <c r="R498" s="227"/>
      <c r="S498" s="249" t="s">
        <v>5</v>
      </c>
      <c r="T498" s="249"/>
      <c r="U498" s="227"/>
      <c r="V498" s="250">
        <f>V496</f>
        <v>170000</v>
      </c>
      <c r="W498" s="227"/>
      <c r="X498" s="227"/>
      <c r="Y498" s="247"/>
    </row>
    <row r="499" spans="1:25" ht="21.95" customHeight="1" thickBot="1" x14ac:dyDescent="0.3">
      <c r="A499" s="227"/>
      <c r="B499" s="251"/>
      <c r="C499" s="252"/>
      <c r="D499" s="252"/>
      <c r="E499" s="252"/>
      <c r="F499" s="253"/>
      <c r="G499" s="253"/>
      <c r="H499" s="252"/>
      <c r="I499" s="254"/>
      <c r="J499" s="252"/>
      <c r="K499" s="252"/>
      <c r="L499" s="255"/>
      <c r="N499" s="227"/>
      <c r="O499" s="251"/>
      <c r="P499" s="252"/>
      <c r="Q499" s="252"/>
      <c r="R499" s="252"/>
      <c r="S499" s="253"/>
      <c r="T499" s="253"/>
      <c r="U499" s="252"/>
      <c r="V499" s="254"/>
      <c r="W499" s="252"/>
      <c r="X499" s="252"/>
      <c r="Y499" s="255"/>
    </row>
    <row r="500" spans="1:25" ht="21.95" customHeight="1" thickTop="1" x14ac:dyDescent="0.25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</row>
    <row r="501" spans="1:25" ht="40.15" customHeight="1" x14ac:dyDescent="0.2">
      <c r="A501" s="235" t="s">
        <v>2</v>
      </c>
      <c r="B501" s="305" t="s">
        <v>11</v>
      </c>
      <c r="C501" s="305"/>
      <c r="D501" s="305"/>
      <c r="E501" s="305"/>
      <c r="F501" s="305"/>
      <c r="G501" s="305"/>
      <c r="H501" s="305"/>
      <c r="I501" s="305"/>
      <c r="J501" s="305"/>
      <c r="K501" s="305"/>
      <c r="L501" s="305"/>
      <c r="N501" s="235" t="s">
        <v>2</v>
      </c>
      <c r="O501" s="305" t="s">
        <v>11</v>
      </c>
      <c r="P501" s="305"/>
      <c r="Q501" s="305"/>
      <c r="R501" s="305"/>
      <c r="S501" s="305"/>
      <c r="T501" s="305"/>
      <c r="U501" s="305"/>
      <c r="V501" s="305"/>
      <c r="W501" s="305"/>
      <c r="X501" s="305"/>
      <c r="Y501" s="305"/>
    </row>
    <row r="502" spans="1:25" ht="21.95" customHeight="1" x14ac:dyDescent="0.25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</row>
    <row r="503" spans="1:25" ht="21.95" customHeight="1" x14ac:dyDescent="0.2">
      <c r="A503" s="306" t="s">
        <v>12</v>
      </c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N503" s="306" t="s">
        <v>12</v>
      </c>
      <c r="O503" s="306"/>
      <c r="P503" s="306"/>
      <c r="Q503" s="306"/>
      <c r="R503" s="306"/>
      <c r="S503" s="306"/>
      <c r="T503" s="306"/>
      <c r="U503" s="306"/>
      <c r="V503" s="306"/>
      <c r="W503" s="306"/>
      <c r="X503" s="306"/>
      <c r="Y503" s="306"/>
    </row>
    <row r="504" spans="1:25" ht="21.95" customHeight="1" x14ac:dyDescent="0.25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</row>
    <row r="505" spans="1:25" ht="21.95" customHeight="1" x14ac:dyDescent="0.25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</row>
    <row r="506" spans="1:25" ht="21.95" customHeight="1" x14ac:dyDescent="0.25">
      <c r="A506" s="227"/>
      <c r="B506" s="227"/>
      <c r="C506" s="227"/>
      <c r="D506" s="227"/>
      <c r="E506" s="227"/>
      <c r="F506" s="227"/>
      <c r="G506" s="227"/>
      <c r="H506" s="227" t="s">
        <v>533</v>
      </c>
      <c r="I506" s="227"/>
      <c r="J506" s="307" t="s">
        <v>650</v>
      </c>
      <c r="K506" s="307"/>
      <c r="L506" s="307"/>
      <c r="N506" s="227"/>
      <c r="O506" s="227"/>
      <c r="P506" s="227"/>
      <c r="Q506" s="227"/>
      <c r="R506" s="227"/>
      <c r="S506" s="227"/>
      <c r="T506" s="227"/>
      <c r="U506" s="227" t="s">
        <v>533</v>
      </c>
      <c r="V506" s="227"/>
      <c r="W506" s="307" t="s">
        <v>650</v>
      </c>
      <c r="X506" s="307"/>
      <c r="Y506" s="307"/>
    </row>
    <row r="507" spans="1:25" ht="21.95" customHeight="1" x14ac:dyDescent="0.25">
      <c r="A507" s="227"/>
      <c r="B507" s="227" t="s">
        <v>15</v>
      </c>
      <c r="C507" s="227"/>
      <c r="D507" s="227"/>
      <c r="E507" s="227"/>
      <c r="F507" s="227"/>
      <c r="G507" s="227"/>
      <c r="H507" s="227" t="s">
        <v>13</v>
      </c>
      <c r="I507" s="227"/>
      <c r="J507" s="227"/>
      <c r="K507" s="227"/>
      <c r="L507" s="227"/>
      <c r="N507" s="227"/>
      <c r="O507" s="227" t="s">
        <v>15</v>
      </c>
      <c r="P507" s="227"/>
      <c r="Q507" s="227"/>
      <c r="R507" s="227"/>
      <c r="S507" s="227"/>
      <c r="T507" s="227"/>
      <c r="U507" s="227" t="s">
        <v>13</v>
      </c>
      <c r="V507" s="227"/>
      <c r="W507" s="227"/>
      <c r="X507" s="227"/>
      <c r="Y507" s="227"/>
    </row>
    <row r="508" spans="1:25" ht="21.95" customHeight="1" x14ac:dyDescent="0.25">
      <c r="A508" s="227"/>
      <c r="B508" s="227" t="s">
        <v>18</v>
      </c>
      <c r="C508" s="227"/>
      <c r="D508" s="227"/>
      <c r="E508" s="227"/>
      <c r="F508" s="227"/>
      <c r="G508" s="227"/>
      <c r="H508" s="227" t="s">
        <v>14</v>
      </c>
      <c r="I508" s="227"/>
      <c r="J508" s="227"/>
      <c r="K508" s="227"/>
      <c r="L508" s="227"/>
      <c r="N508" s="227"/>
      <c r="O508" s="227" t="s">
        <v>18</v>
      </c>
      <c r="P508" s="227"/>
      <c r="Q508" s="227"/>
      <c r="R508" s="227"/>
      <c r="S508" s="227"/>
      <c r="T508" s="227"/>
      <c r="U508" s="227" t="s">
        <v>14</v>
      </c>
      <c r="V508" s="227"/>
      <c r="W508" s="227"/>
      <c r="X508" s="227"/>
      <c r="Y508" s="227"/>
    </row>
    <row r="509" spans="1:25" ht="21.95" customHeight="1" x14ac:dyDescent="0.25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</row>
    <row r="510" spans="1:25" ht="21.95" customHeight="1" x14ac:dyDescent="0.25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</row>
    <row r="511" spans="1:25" ht="21.95" customHeight="1" x14ac:dyDescent="0.25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</row>
    <row r="512" spans="1:25" ht="21.95" customHeight="1" x14ac:dyDescent="0.25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</row>
    <row r="513" spans="1:25" ht="21.95" customHeight="1" x14ac:dyDescent="0.25">
      <c r="A513" s="227"/>
      <c r="B513" s="256" t="s">
        <v>644</v>
      </c>
      <c r="C513" s="227"/>
      <c r="D513" s="227"/>
      <c r="E513" s="227"/>
      <c r="F513" s="227"/>
      <c r="G513" s="227"/>
      <c r="H513" s="257" t="str">
        <f>D485</f>
        <v>Seviliana, S.A.N</v>
      </c>
      <c r="I513" s="258"/>
      <c r="J513" s="249"/>
      <c r="K513" s="227"/>
      <c r="L513" s="227"/>
      <c r="N513" s="227"/>
      <c r="O513" s="256" t="s">
        <v>644</v>
      </c>
      <c r="P513" s="227"/>
      <c r="Q513" s="227"/>
      <c r="R513" s="227"/>
      <c r="S513" s="227"/>
      <c r="T513" s="227"/>
      <c r="U513" s="257" t="str">
        <f>Q485</f>
        <v>Tria Qorina, AMKL</v>
      </c>
      <c r="V513" s="258"/>
      <c r="W513" s="249"/>
      <c r="X513" s="227"/>
      <c r="Y513" s="227"/>
    </row>
    <row r="514" spans="1:25" ht="21.95" customHeight="1" x14ac:dyDescent="0.25">
      <c r="A514" s="227"/>
      <c r="B514" s="259" t="s">
        <v>645</v>
      </c>
      <c r="C514" s="260"/>
      <c r="D514" s="227"/>
      <c r="E514" s="227"/>
      <c r="F514" s="227"/>
      <c r="G514" s="227"/>
      <c r="H514" s="227" t="s">
        <v>651</v>
      </c>
      <c r="I514" s="261"/>
      <c r="J514" s="227"/>
      <c r="K514" s="227"/>
      <c r="L514" s="227"/>
      <c r="N514" s="227"/>
      <c r="O514" s="259" t="s">
        <v>645</v>
      </c>
      <c r="P514" s="260"/>
      <c r="Q514" s="227"/>
      <c r="R514" s="227"/>
      <c r="S514" s="227"/>
      <c r="T514" s="227"/>
      <c r="U514" s="227" t="s">
        <v>655</v>
      </c>
      <c r="V514" s="261"/>
      <c r="W514" s="227"/>
      <c r="X514" s="227"/>
      <c r="Y514" s="227"/>
    </row>
    <row r="517" spans="1:25" ht="21.95" customHeight="1" x14ac:dyDescent="0.25">
      <c r="A517" s="226" t="s">
        <v>22</v>
      </c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N517" s="226" t="s">
        <v>22</v>
      </c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</row>
    <row r="518" spans="1:25" ht="21.95" customHeight="1" x14ac:dyDescent="0.25">
      <c r="A518" s="228" t="s">
        <v>20</v>
      </c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N518" s="228" t="s">
        <v>20</v>
      </c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</row>
    <row r="519" spans="1:25" ht="21.95" customHeight="1" x14ac:dyDescent="0.25">
      <c r="A519" s="228" t="s">
        <v>21</v>
      </c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N519" s="228" t="s">
        <v>21</v>
      </c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</row>
    <row r="520" spans="1:25" ht="21.95" customHeight="1" x14ac:dyDescent="0.25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</row>
    <row r="521" spans="1:25" ht="21.95" customHeight="1" x14ac:dyDescent="0.25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</row>
    <row r="522" spans="1:25" ht="21.95" customHeight="1" x14ac:dyDescent="0.25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</row>
    <row r="523" spans="1:25" ht="21.95" customHeight="1" x14ac:dyDescent="0.25">
      <c r="A523" s="299" t="s">
        <v>6</v>
      </c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N523" s="299" t="s">
        <v>6</v>
      </c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</row>
    <row r="524" spans="1:25" ht="21.95" customHeight="1" x14ac:dyDescent="0.25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 spans="1:25" ht="21.95" customHeight="1" x14ac:dyDescent="0.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 spans="1:25" ht="21.95" customHeight="1" x14ac:dyDescent="0.25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</row>
    <row r="527" spans="1:25" ht="21.95" customHeight="1" x14ac:dyDescent="0.25">
      <c r="A527" s="227" t="s">
        <v>7</v>
      </c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N527" s="227" t="s">
        <v>7</v>
      </c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</row>
    <row r="528" spans="1:25" ht="21.95" customHeight="1" x14ac:dyDescent="0.25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</row>
    <row r="529" spans="1:25" ht="21.95" customHeight="1" x14ac:dyDescent="0.25">
      <c r="A529" s="227" t="s">
        <v>8</v>
      </c>
      <c r="B529" s="227"/>
      <c r="C529" s="229" t="s">
        <v>1</v>
      </c>
      <c r="D529" s="226" t="s">
        <v>657</v>
      </c>
      <c r="E529" s="230"/>
      <c r="F529" s="230"/>
      <c r="G529" s="230"/>
      <c r="H529" s="230"/>
      <c r="I529" s="227"/>
      <c r="J529" s="227"/>
      <c r="K529" s="227"/>
      <c r="L529" s="227"/>
      <c r="N529" s="227" t="s">
        <v>8</v>
      </c>
      <c r="O529" s="227"/>
      <c r="P529" s="229" t="s">
        <v>1</v>
      </c>
      <c r="Q529" s="262" t="s">
        <v>657</v>
      </c>
      <c r="R529" s="230"/>
      <c r="S529" s="230"/>
      <c r="T529" s="230"/>
      <c r="U529" s="230"/>
      <c r="V529" s="227"/>
      <c r="W529" s="227"/>
      <c r="X529" s="227"/>
      <c r="Y529" s="227"/>
    </row>
    <row r="530" spans="1:25" ht="21.95" customHeight="1" x14ac:dyDescent="0.25">
      <c r="A530" s="227" t="s">
        <v>9</v>
      </c>
      <c r="B530" s="227"/>
      <c r="C530" s="229" t="s">
        <v>1</v>
      </c>
      <c r="D530" s="231" t="s">
        <v>74</v>
      </c>
      <c r="E530" s="230"/>
      <c r="F530" s="230"/>
      <c r="G530" s="230"/>
      <c r="H530" s="230"/>
      <c r="I530" s="227"/>
      <c r="J530" s="227"/>
      <c r="K530" s="227"/>
      <c r="L530" s="227"/>
      <c r="N530" s="227" t="s">
        <v>9</v>
      </c>
      <c r="O530" s="227"/>
      <c r="P530" s="229" t="s">
        <v>1</v>
      </c>
      <c r="Q530" s="263" t="s">
        <v>74</v>
      </c>
      <c r="R530" s="230"/>
      <c r="S530" s="230"/>
      <c r="T530" s="230"/>
      <c r="U530" s="230"/>
      <c r="V530" s="227"/>
      <c r="W530" s="227"/>
      <c r="X530" s="227"/>
      <c r="Y530" s="227"/>
    </row>
    <row r="531" spans="1:25" ht="21.95" customHeight="1" x14ac:dyDescent="0.2">
      <c r="A531" s="230" t="s">
        <v>10</v>
      </c>
      <c r="B531" s="230"/>
      <c r="C531" s="232" t="s">
        <v>1</v>
      </c>
      <c r="D531" s="233" t="s">
        <v>658</v>
      </c>
      <c r="E531" s="230"/>
      <c r="F531" s="230"/>
      <c r="G531" s="230"/>
      <c r="H531" s="230"/>
      <c r="I531" s="230"/>
      <c r="J531" s="230"/>
      <c r="K531" s="230"/>
      <c r="L531" s="230"/>
      <c r="N531" s="230" t="s">
        <v>10</v>
      </c>
      <c r="O531" s="230"/>
      <c r="P531" s="232" t="s">
        <v>1</v>
      </c>
      <c r="Q531" s="264" t="s">
        <v>658</v>
      </c>
      <c r="R531" s="230"/>
      <c r="S531" s="230"/>
      <c r="T531" s="230"/>
      <c r="U531" s="230"/>
      <c r="V531" s="230"/>
      <c r="W531" s="230"/>
      <c r="X531" s="230"/>
      <c r="Y531" s="230"/>
    </row>
    <row r="532" spans="1:25" ht="21.95" customHeight="1" x14ac:dyDescent="0.2">
      <c r="A532" s="230"/>
      <c r="B532" s="230"/>
      <c r="C532" s="232"/>
      <c r="D532" s="233"/>
      <c r="E532" s="230"/>
      <c r="F532" s="230"/>
      <c r="G532" s="230"/>
      <c r="H532" s="230"/>
      <c r="I532" s="230"/>
      <c r="J532" s="230"/>
      <c r="K532" s="230"/>
      <c r="L532" s="230"/>
      <c r="N532" s="230"/>
      <c r="O532" s="230"/>
      <c r="P532" s="232"/>
      <c r="Q532" s="233"/>
      <c r="R532" s="230"/>
      <c r="S532" s="230"/>
      <c r="T532" s="230"/>
      <c r="U532" s="230"/>
      <c r="V532" s="230"/>
      <c r="W532" s="230"/>
      <c r="X532" s="230"/>
      <c r="Y532" s="230"/>
    </row>
    <row r="533" spans="1:25" ht="21.95" customHeight="1" x14ac:dyDescent="0.25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</row>
    <row r="534" spans="1:25" ht="21.95" customHeight="1" x14ac:dyDescent="0.25">
      <c r="A534" s="225"/>
      <c r="B534" s="225"/>
      <c r="C534" s="225"/>
      <c r="D534" s="225"/>
      <c r="E534" s="225"/>
      <c r="F534" s="225"/>
      <c r="G534" s="225"/>
      <c r="H534" s="225"/>
      <c r="I534" s="225"/>
      <c r="J534" s="225"/>
      <c r="K534" s="225"/>
      <c r="L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</row>
    <row r="535" spans="1:25" ht="21.95" customHeight="1" x14ac:dyDescent="0.2">
      <c r="A535" s="300" t="s">
        <v>648</v>
      </c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N535" s="300" t="s">
        <v>648</v>
      </c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</row>
    <row r="536" spans="1:25" ht="21.95" customHeight="1" x14ac:dyDescent="0.2">
      <c r="A536" s="300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</row>
    <row r="537" spans="1:25" ht="21.95" customHeight="1" x14ac:dyDescent="0.25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</row>
    <row r="538" spans="1:25" ht="21.95" customHeight="1" thickBot="1" x14ac:dyDescent="0.25">
      <c r="A538" s="235" t="s">
        <v>0</v>
      </c>
      <c r="B538" s="301" t="s">
        <v>91</v>
      </c>
      <c r="C538" s="301"/>
      <c r="D538" s="301"/>
      <c r="E538" s="301"/>
      <c r="F538" s="301"/>
      <c r="G538" s="301"/>
      <c r="H538" s="301"/>
      <c r="I538" s="301"/>
      <c r="J538" s="301"/>
      <c r="K538" s="301"/>
      <c r="L538" s="301"/>
      <c r="N538" s="235" t="s">
        <v>0</v>
      </c>
      <c r="O538" s="301" t="s">
        <v>91</v>
      </c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</row>
    <row r="539" spans="1:25" ht="21.95" customHeight="1" thickTop="1" x14ac:dyDescent="0.25">
      <c r="A539" s="227"/>
      <c r="B539" s="236" t="s">
        <v>3</v>
      </c>
      <c r="C539" s="237" t="s">
        <v>4</v>
      </c>
      <c r="D539" s="238"/>
      <c r="E539" s="238"/>
      <c r="F539" s="238"/>
      <c r="G539" s="238"/>
      <c r="H539" s="239"/>
      <c r="I539" s="236" t="s">
        <v>5</v>
      </c>
      <c r="J539" s="237" t="s">
        <v>17</v>
      </c>
      <c r="K539" s="238"/>
      <c r="L539" s="239"/>
      <c r="N539" s="227"/>
      <c r="O539" s="236" t="s">
        <v>3</v>
      </c>
      <c r="P539" s="237" t="s">
        <v>4</v>
      </c>
      <c r="Q539" s="238"/>
      <c r="R539" s="238"/>
      <c r="S539" s="238"/>
      <c r="T539" s="238"/>
      <c r="U539" s="239"/>
      <c r="V539" s="236" t="s">
        <v>5</v>
      </c>
      <c r="W539" s="237" t="s">
        <v>17</v>
      </c>
      <c r="X539" s="238"/>
      <c r="Y539" s="239"/>
    </row>
    <row r="540" spans="1:25" ht="21.95" customHeight="1" x14ac:dyDescent="0.2">
      <c r="A540" s="230"/>
      <c r="B540" s="240">
        <v>1</v>
      </c>
      <c r="C540" s="302" t="s">
        <v>649</v>
      </c>
      <c r="D540" s="303"/>
      <c r="E540" s="303"/>
      <c r="F540" s="241"/>
      <c r="G540" s="235"/>
      <c r="H540" s="242"/>
      <c r="I540" s="243">
        <v>170000</v>
      </c>
      <c r="J540" s="230"/>
      <c r="K540" s="230"/>
      <c r="L540" s="242"/>
      <c r="N540" s="230"/>
      <c r="O540" s="240">
        <v>1</v>
      </c>
      <c r="P540" s="302" t="s">
        <v>649</v>
      </c>
      <c r="Q540" s="303"/>
      <c r="R540" s="303"/>
      <c r="S540" s="241"/>
      <c r="T540" s="235"/>
      <c r="U540" s="242"/>
      <c r="V540" s="243">
        <v>170000</v>
      </c>
      <c r="W540" s="230"/>
      <c r="X540" s="230"/>
      <c r="Y540" s="242"/>
    </row>
    <row r="541" spans="1:25" ht="36.6" customHeight="1" x14ac:dyDescent="0.25">
      <c r="A541" s="227"/>
      <c r="B541" s="244"/>
      <c r="C541" s="304"/>
      <c r="D541" s="305"/>
      <c r="E541" s="305"/>
      <c r="F541" s="245"/>
      <c r="G541" s="233"/>
      <c r="H541" s="233"/>
      <c r="I541" s="246"/>
      <c r="J541" s="227"/>
      <c r="K541" s="227"/>
      <c r="L541" s="247"/>
      <c r="N541" s="227"/>
      <c r="O541" s="244"/>
      <c r="P541" s="304"/>
      <c r="Q541" s="305"/>
      <c r="R541" s="305"/>
      <c r="S541" s="245"/>
      <c r="T541" s="233"/>
      <c r="U541" s="233"/>
      <c r="V541" s="246"/>
      <c r="W541" s="227"/>
      <c r="X541" s="227"/>
      <c r="Y541" s="247"/>
    </row>
    <row r="542" spans="1:25" ht="21.95" customHeight="1" x14ac:dyDescent="0.25">
      <c r="A542" s="227"/>
      <c r="B542" s="248"/>
      <c r="C542" s="227"/>
      <c r="D542" s="227"/>
      <c r="E542" s="227"/>
      <c r="F542" s="249" t="s">
        <v>5</v>
      </c>
      <c r="G542" s="249"/>
      <c r="H542" s="227"/>
      <c r="I542" s="250">
        <f>I540</f>
        <v>170000</v>
      </c>
      <c r="J542" s="227"/>
      <c r="K542" s="227"/>
      <c r="L542" s="247"/>
      <c r="N542" s="227"/>
      <c r="O542" s="248"/>
      <c r="P542" s="227"/>
      <c r="Q542" s="227"/>
      <c r="R542" s="227"/>
      <c r="S542" s="249" t="s">
        <v>5</v>
      </c>
      <c r="T542" s="249"/>
      <c r="U542" s="227"/>
      <c r="V542" s="250">
        <f>V540</f>
        <v>170000</v>
      </c>
      <c r="W542" s="227"/>
      <c r="X542" s="227"/>
      <c r="Y542" s="247"/>
    </row>
    <row r="543" spans="1:25" ht="21.95" customHeight="1" thickBot="1" x14ac:dyDescent="0.3">
      <c r="A543" s="227"/>
      <c r="B543" s="251"/>
      <c r="C543" s="252"/>
      <c r="D543" s="252"/>
      <c r="E543" s="252"/>
      <c r="F543" s="253"/>
      <c r="G543" s="253"/>
      <c r="H543" s="252"/>
      <c r="I543" s="254"/>
      <c r="J543" s="252"/>
      <c r="K543" s="252"/>
      <c r="L543" s="255"/>
      <c r="N543" s="227"/>
      <c r="O543" s="251"/>
      <c r="P543" s="252"/>
      <c r="Q543" s="252"/>
      <c r="R543" s="252"/>
      <c r="S543" s="253"/>
      <c r="T543" s="253"/>
      <c r="U543" s="252"/>
      <c r="V543" s="254"/>
      <c r="W543" s="252"/>
      <c r="X543" s="252"/>
      <c r="Y543" s="255"/>
    </row>
    <row r="544" spans="1:25" ht="21.95" customHeight="1" thickTop="1" x14ac:dyDescent="0.25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</row>
    <row r="545" spans="1:25" ht="21.95" customHeight="1" x14ac:dyDescent="0.2">
      <c r="A545" s="235" t="s">
        <v>2</v>
      </c>
      <c r="B545" s="305" t="s">
        <v>11</v>
      </c>
      <c r="C545" s="305"/>
      <c r="D545" s="305"/>
      <c r="E545" s="305"/>
      <c r="F545" s="305"/>
      <c r="G545" s="305"/>
      <c r="H545" s="305"/>
      <c r="I545" s="305"/>
      <c r="J545" s="305"/>
      <c r="K545" s="305"/>
      <c r="L545" s="305"/>
      <c r="N545" s="235" t="s">
        <v>2</v>
      </c>
      <c r="O545" s="305" t="s">
        <v>11</v>
      </c>
      <c r="P545" s="305"/>
      <c r="Q545" s="305"/>
      <c r="R545" s="305"/>
      <c r="S545" s="305"/>
      <c r="T545" s="305"/>
      <c r="U545" s="305"/>
      <c r="V545" s="305"/>
      <c r="W545" s="305"/>
      <c r="X545" s="305"/>
      <c r="Y545" s="305"/>
    </row>
    <row r="546" spans="1:25" ht="21.95" customHeight="1" x14ac:dyDescent="0.25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</row>
    <row r="547" spans="1:25" ht="21.95" customHeight="1" x14ac:dyDescent="0.2">
      <c r="A547" s="306" t="s">
        <v>12</v>
      </c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N547" s="306" t="s">
        <v>12</v>
      </c>
      <c r="O547" s="306"/>
      <c r="P547" s="306"/>
      <c r="Q547" s="306"/>
      <c r="R547" s="306"/>
      <c r="S547" s="306"/>
      <c r="T547" s="306"/>
      <c r="U547" s="306"/>
      <c r="V547" s="306"/>
      <c r="W547" s="306"/>
      <c r="X547" s="306"/>
      <c r="Y547" s="306"/>
    </row>
    <row r="548" spans="1:25" ht="21.95" customHeight="1" x14ac:dyDescent="0.25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</row>
    <row r="549" spans="1:25" ht="21.95" customHeight="1" x14ac:dyDescent="0.25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</row>
    <row r="550" spans="1:25" ht="21.95" customHeight="1" x14ac:dyDescent="0.25">
      <c r="A550" s="227"/>
      <c r="B550" s="227"/>
      <c r="C550" s="227"/>
      <c r="D550" s="227"/>
      <c r="E550" s="227"/>
      <c r="F550" s="227"/>
      <c r="G550" s="227"/>
      <c r="H550" s="227" t="s">
        <v>533</v>
      </c>
      <c r="I550" s="227"/>
      <c r="J550" s="307" t="s">
        <v>650</v>
      </c>
      <c r="K550" s="307"/>
      <c r="L550" s="307"/>
      <c r="N550" s="227"/>
      <c r="O550" s="227"/>
      <c r="P550" s="227"/>
      <c r="Q550" s="227"/>
      <c r="R550" s="227"/>
      <c r="S550" s="227"/>
      <c r="T550" s="227"/>
      <c r="U550" s="227" t="s">
        <v>533</v>
      </c>
      <c r="V550" s="227"/>
      <c r="W550" s="307" t="s">
        <v>650</v>
      </c>
      <c r="X550" s="307"/>
      <c r="Y550" s="307"/>
    </row>
    <row r="551" spans="1:25" ht="21.95" customHeight="1" x14ac:dyDescent="0.25">
      <c r="A551" s="227"/>
      <c r="B551" s="227" t="s">
        <v>15</v>
      </c>
      <c r="C551" s="227"/>
      <c r="D551" s="227"/>
      <c r="E551" s="227"/>
      <c r="F551" s="227"/>
      <c r="G551" s="227"/>
      <c r="H551" s="227" t="s">
        <v>13</v>
      </c>
      <c r="I551" s="227"/>
      <c r="J551" s="227"/>
      <c r="K551" s="227"/>
      <c r="L551" s="227"/>
      <c r="N551" s="227"/>
      <c r="O551" s="227" t="s">
        <v>15</v>
      </c>
      <c r="P551" s="227"/>
      <c r="Q551" s="227"/>
      <c r="R551" s="227"/>
      <c r="S551" s="227"/>
      <c r="T551" s="227"/>
      <c r="U551" s="227" t="s">
        <v>13</v>
      </c>
      <c r="V551" s="227"/>
      <c r="W551" s="227"/>
      <c r="X551" s="227"/>
      <c r="Y551" s="227"/>
    </row>
    <row r="552" spans="1:25" ht="21.95" customHeight="1" x14ac:dyDescent="0.25">
      <c r="A552" s="227"/>
      <c r="B552" s="227" t="s">
        <v>18</v>
      </c>
      <c r="C552" s="227"/>
      <c r="D552" s="227"/>
      <c r="E552" s="227"/>
      <c r="F552" s="227"/>
      <c r="G552" s="227"/>
      <c r="H552" s="227" t="s">
        <v>14</v>
      </c>
      <c r="I552" s="227"/>
      <c r="J552" s="227"/>
      <c r="K552" s="227"/>
      <c r="L552" s="227"/>
      <c r="N552" s="227"/>
      <c r="O552" s="227" t="s">
        <v>18</v>
      </c>
      <c r="P552" s="227"/>
      <c r="Q552" s="227"/>
      <c r="R552" s="227"/>
      <c r="S552" s="227"/>
      <c r="T552" s="227"/>
      <c r="U552" s="227" t="s">
        <v>14</v>
      </c>
      <c r="V552" s="227"/>
      <c r="W552" s="227"/>
      <c r="X552" s="227"/>
      <c r="Y552" s="227"/>
    </row>
    <row r="553" spans="1:25" ht="21.95" customHeight="1" x14ac:dyDescent="0.25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</row>
    <row r="554" spans="1:25" ht="21.95" customHeight="1" x14ac:dyDescent="0.25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</row>
    <row r="555" spans="1:25" ht="21.95" customHeight="1" x14ac:dyDescent="0.25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</row>
    <row r="556" spans="1:25" ht="21.95" customHeight="1" x14ac:dyDescent="0.25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</row>
    <row r="557" spans="1:25" ht="21.95" customHeight="1" x14ac:dyDescent="0.25">
      <c r="A557" s="227"/>
      <c r="B557" s="256" t="s">
        <v>644</v>
      </c>
      <c r="C557" s="227"/>
      <c r="D557" s="227"/>
      <c r="E557" s="227"/>
      <c r="F557" s="227"/>
      <c r="G557" s="227"/>
      <c r="H557" s="257" t="str">
        <f>D529</f>
        <v>Drajatun Suardhinie, SE</v>
      </c>
      <c r="I557" s="258"/>
      <c r="J557" s="249"/>
      <c r="K557" s="227"/>
      <c r="L557" s="227"/>
      <c r="N557" s="227"/>
      <c r="O557" s="256" t="s">
        <v>644</v>
      </c>
      <c r="P557" s="227"/>
      <c r="Q557" s="227"/>
      <c r="R557" s="227"/>
      <c r="S557" s="227"/>
      <c r="T557" s="227"/>
      <c r="U557" s="265" t="str">
        <f>Q529</f>
        <v>Drajatun Suardhinie, SE</v>
      </c>
      <c r="V557" s="258"/>
      <c r="W557" s="249"/>
      <c r="X557" s="227"/>
      <c r="Y557" s="227"/>
    </row>
    <row r="558" spans="1:25" ht="21.95" customHeight="1" x14ac:dyDescent="0.25">
      <c r="A558" s="227"/>
      <c r="B558" s="259" t="s">
        <v>645</v>
      </c>
      <c r="C558" s="260"/>
      <c r="D558" s="227"/>
      <c r="E558" s="227"/>
      <c r="F558" s="227"/>
      <c r="G558" s="227"/>
      <c r="H558" s="227" t="s">
        <v>129</v>
      </c>
      <c r="I558" s="261"/>
      <c r="J558" s="227"/>
      <c r="K558" s="227"/>
      <c r="L558" s="227"/>
      <c r="N558" s="227"/>
      <c r="O558" s="259" t="s">
        <v>645</v>
      </c>
      <c r="P558" s="260"/>
      <c r="Q558" s="227"/>
      <c r="R558" s="227"/>
      <c r="S558" s="227"/>
      <c r="T558" s="227"/>
      <c r="U558" s="266" t="s">
        <v>129</v>
      </c>
      <c r="V558" s="261"/>
      <c r="W558" s="227"/>
      <c r="X558" s="227"/>
      <c r="Y558" s="227"/>
    </row>
    <row r="562" spans="1:12" ht="21.95" customHeight="1" x14ac:dyDescent="0.25">
      <c r="A562" s="226" t="s">
        <v>22</v>
      </c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</row>
    <row r="563" spans="1:12" ht="21.95" customHeight="1" x14ac:dyDescent="0.25">
      <c r="A563" s="228" t="s">
        <v>20</v>
      </c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</row>
    <row r="564" spans="1:12" ht="21.95" customHeight="1" x14ac:dyDescent="0.25">
      <c r="A564" s="228" t="s">
        <v>21</v>
      </c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</row>
    <row r="565" spans="1:12" ht="21.95" customHeight="1" x14ac:dyDescent="0.25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</row>
    <row r="566" spans="1:12" ht="21.95" customHeight="1" x14ac:dyDescent="0.25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</row>
    <row r="567" spans="1:12" ht="21.95" customHeight="1" x14ac:dyDescent="0.25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</row>
    <row r="568" spans="1:12" ht="21.95" customHeight="1" x14ac:dyDescent="0.25">
      <c r="A568" s="299" t="s">
        <v>6</v>
      </c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</row>
    <row r="569" spans="1:12" ht="21.95" customHeight="1" x14ac:dyDescent="0.25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</row>
    <row r="570" spans="1:12" ht="21.95" customHeight="1" x14ac:dyDescent="0.25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</row>
    <row r="571" spans="1:12" ht="21.95" customHeight="1" x14ac:dyDescent="0.25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</row>
    <row r="572" spans="1:12" ht="21.95" customHeight="1" x14ac:dyDescent="0.25">
      <c r="A572" s="227" t="s">
        <v>8</v>
      </c>
      <c r="B572" s="227"/>
      <c r="C572" s="229" t="s">
        <v>1</v>
      </c>
      <c r="D572" s="224"/>
      <c r="E572" s="224"/>
      <c r="F572" s="224"/>
      <c r="G572" s="224"/>
      <c r="H572" s="224"/>
      <c r="I572" s="224"/>
      <c r="J572" s="224"/>
      <c r="K572" s="224"/>
      <c r="L572" s="224"/>
    </row>
    <row r="573" spans="1:12" ht="21.95" customHeight="1" x14ac:dyDescent="0.25">
      <c r="A573" s="227" t="s">
        <v>9</v>
      </c>
      <c r="B573" s="227"/>
      <c r="C573" s="229" t="s">
        <v>1</v>
      </c>
      <c r="D573" s="231"/>
      <c r="E573" s="230"/>
      <c r="F573" s="230"/>
      <c r="G573" s="230"/>
      <c r="H573" s="230"/>
      <c r="I573" s="227"/>
      <c r="J573" s="227"/>
      <c r="K573" s="227"/>
      <c r="L573" s="227"/>
    </row>
    <row r="574" spans="1:12" ht="21.95" customHeight="1" x14ac:dyDescent="0.2">
      <c r="A574" s="230" t="s">
        <v>10</v>
      </c>
      <c r="B574" s="230"/>
      <c r="C574" s="232" t="s">
        <v>1</v>
      </c>
      <c r="D574" s="233"/>
      <c r="E574" s="230"/>
      <c r="F574" s="230"/>
      <c r="G574" s="230"/>
      <c r="H574" s="230"/>
      <c r="I574" s="230"/>
      <c r="J574" s="230"/>
      <c r="K574" s="230"/>
      <c r="L574" s="230"/>
    </row>
    <row r="575" spans="1:12" ht="21.95" customHeight="1" x14ac:dyDescent="0.2">
      <c r="A575" s="230"/>
      <c r="B575" s="230"/>
      <c r="C575" s="232"/>
      <c r="D575" s="233"/>
      <c r="E575" s="230"/>
      <c r="F575" s="230"/>
      <c r="G575" s="230"/>
      <c r="H575" s="230"/>
      <c r="I575" s="230"/>
      <c r="J575" s="230"/>
      <c r="K575" s="230"/>
      <c r="L575" s="230"/>
    </row>
    <row r="576" spans="1:12" ht="21.95" customHeight="1" x14ac:dyDescent="0.25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</row>
    <row r="577" spans="1:12" ht="21.95" customHeight="1" x14ac:dyDescent="0.25">
      <c r="A577" s="225"/>
      <c r="B577" s="225"/>
      <c r="C577" s="225"/>
      <c r="D577" s="225"/>
      <c r="E577" s="225"/>
      <c r="F577" s="225"/>
      <c r="G577" s="225"/>
      <c r="H577" s="225"/>
      <c r="I577" s="225"/>
      <c r="J577" s="225"/>
      <c r="K577" s="225"/>
      <c r="L577" s="225"/>
    </row>
    <row r="578" spans="1:12" ht="21.95" customHeight="1" x14ac:dyDescent="0.2">
      <c r="A578" s="300" t="s">
        <v>659</v>
      </c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</row>
    <row r="579" spans="1:12" ht="21.95" customHeight="1" x14ac:dyDescent="0.2">
      <c r="A579" s="300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</row>
    <row r="580" spans="1:12" ht="21.95" customHeight="1" x14ac:dyDescent="0.25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</row>
    <row r="581" spans="1:12" ht="21.95" customHeight="1" thickBot="1" x14ac:dyDescent="0.25">
      <c r="A581" s="235" t="s">
        <v>0</v>
      </c>
      <c r="B581" s="301" t="s">
        <v>91</v>
      </c>
      <c r="C581" s="301"/>
      <c r="D581" s="301"/>
      <c r="E581" s="301"/>
      <c r="F581" s="301"/>
      <c r="G581" s="301"/>
      <c r="H581" s="301"/>
      <c r="I581" s="301"/>
      <c r="J581" s="301"/>
      <c r="K581" s="301"/>
      <c r="L581" s="301"/>
    </row>
    <row r="582" spans="1:12" ht="21.95" customHeight="1" thickTop="1" x14ac:dyDescent="0.25">
      <c r="A582" s="227"/>
      <c r="B582" s="236" t="s">
        <v>3</v>
      </c>
      <c r="C582" s="237" t="s">
        <v>4</v>
      </c>
      <c r="D582" s="238"/>
      <c r="E582" s="238"/>
      <c r="F582" s="238"/>
      <c r="G582" s="238"/>
      <c r="H582" s="239"/>
      <c r="I582" s="236" t="s">
        <v>5</v>
      </c>
      <c r="J582" s="237" t="s">
        <v>17</v>
      </c>
      <c r="K582" s="238"/>
      <c r="L582" s="239"/>
    </row>
    <row r="583" spans="1:12" ht="21.95" customHeight="1" x14ac:dyDescent="0.2">
      <c r="A583" s="230"/>
      <c r="B583" s="240">
        <v>1</v>
      </c>
      <c r="C583" s="302" t="s">
        <v>661</v>
      </c>
      <c r="D583" s="303"/>
      <c r="E583" s="303"/>
      <c r="F583" s="241"/>
      <c r="G583" s="235"/>
      <c r="H583" s="242"/>
      <c r="I583" s="243">
        <v>170000</v>
      </c>
      <c r="J583" s="230"/>
      <c r="K583" s="230"/>
      <c r="L583" s="242"/>
    </row>
    <row r="584" spans="1:12" ht="21.95" customHeight="1" x14ac:dyDescent="0.25">
      <c r="A584" s="227"/>
      <c r="B584" s="244"/>
      <c r="C584" s="304"/>
      <c r="D584" s="305"/>
      <c r="E584" s="305"/>
      <c r="F584" s="245"/>
      <c r="G584" s="233"/>
      <c r="H584" s="233"/>
      <c r="I584" s="246"/>
      <c r="J584" s="227"/>
      <c r="K584" s="227"/>
      <c r="L584" s="247"/>
    </row>
    <row r="585" spans="1:12" ht="21.95" customHeight="1" x14ac:dyDescent="0.25">
      <c r="A585" s="227"/>
      <c r="B585" s="248"/>
      <c r="C585" s="227"/>
      <c r="D585" s="227"/>
      <c r="E585" s="227"/>
      <c r="F585" s="249" t="s">
        <v>5</v>
      </c>
      <c r="G585" s="249"/>
      <c r="H585" s="227"/>
      <c r="I585" s="250">
        <f>I583</f>
        <v>170000</v>
      </c>
      <c r="J585" s="227"/>
      <c r="K585" s="227"/>
      <c r="L585" s="247"/>
    </row>
    <row r="586" spans="1:12" ht="21.95" customHeight="1" thickBot="1" x14ac:dyDescent="0.3">
      <c r="A586" s="227"/>
      <c r="B586" s="251"/>
      <c r="C586" s="252"/>
      <c r="D586" s="252"/>
      <c r="E586" s="252"/>
      <c r="F586" s="253"/>
      <c r="G586" s="253"/>
      <c r="H586" s="252"/>
      <c r="I586" s="254"/>
      <c r="J586" s="252"/>
      <c r="K586" s="252"/>
      <c r="L586" s="255"/>
    </row>
    <row r="587" spans="1:12" ht="21.95" customHeight="1" thickTop="1" x14ac:dyDescent="0.25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</row>
    <row r="588" spans="1:12" ht="21.95" customHeight="1" x14ac:dyDescent="0.2">
      <c r="A588" s="235" t="s">
        <v>2</v>
      </c>
      <c r="B588" s="305" t="s">
        <v>11</v>
      </c>
      <c r="C588" s="305"/>
      <c r="D588" s="305"/>
      <c r="E588" s="305"/>
      <c r="F588" s="305"/>
      <c r="G588" s="305"/>
      <c r="H588" s="305"/>
      <c r="I588" s="305"/>
      <c r="J588" s="305"/>
      <c r="K588" s="305"/>
      <c r="L588" s="305"/>
    </row>
    <row r="589" spans="1:12" ht="21.95" customHeight="1" x14ac:dyDescent="0.25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</row>
    <row r="590" spans="1:12" ht="21.95" customHeight="1" x14ac:dyDescent="0.2">
      <c r="A590" s="306" t="s">
        <v>12</v>
      </c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</row>
    <row r="591" spans="1:12" ht="21.95" customHeight="1" x14ac:dyDescent="0.25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</row>
    <row r="592" spans="1:12" ht="21.95" customHeight="1" x14ac:dyDescent="0.25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</row>
    <row r="593" spans="1:12" ht="21.95" customHeight="1" x14ac:dyDescent="0.25">
      <c r="A593" s="227"/>
      <c r="B593" s="227"/>
      <c r="C593" s="227"/>
      <c r="D593" s="227"/>
      <c r="E593" s="227"/>
      <c r="F593" s="227"/>
      <c r="G593" s="227"/>
      <c r="H593" s="227" t="s">
        <v>660</v>
      </c>
      <c r="I593" s="227"/>
      <c r="J593" s="307" t="s">
        <v>650</v>
      </c>
      <c r="K593" s="307"/>
      <c r="L593" s="307"/>
    </row>
    <row r="594" spans="1:12" ht="21.95" customHeight="1" x14ac:dyDescent="0.25">
      <c r="A594" s="227"/>
      <c r="B594" s="227" t="s">
        <v>15</v>
      </c>
      <c r="C594" s="227"/>
      <c r="D594" s="227"/>
      <c r="E594" s="227"/>
      <c r="F594" s="227"/>
      <c r="G594" s="227"/>
      <c r="H594" s="227" t="s">
        <v>13</v>
      </c>
      <c r="I594" s="227"/>
      <c r="J594" s="227"/>
      <c r="K594" s="227"/>
      <c r="L594" s="227"/>
    </row>
    <row r="595" spans="1:12" ht="21.95" customHeight="1" x14ac:dyDescent="0.25">
      <c r="A595" s="227"/>
      <c r="B595" s="227" t="s">
        <v>18</v>
      </c>
      <c r="C595" s="227"/>
      <c r="D595" s="227"/>
      <c r="E595" s="227"/>
      <c r="F595" s="227"/>
      <c r="G595" s="227"/>
      <c r="H595" s="227" t="s">
        <v>14</v>
      </c>
      <c r="I595" s="227"/>
      <c r="J595" s="227"/>
      <c r="K595" s="227"/>
      <c r="L595" s="227"/>
    </row>
    <row r="596" spans="1:12" ht="21.95" customHeight="1" x14ac:dyDescent="0.25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</row>
    <row r="597" spans="1:12" ht="21.95" customHeight="1" x14ac:dyDescent="0.25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</row>
    <row r="598" spans="1:12" ht="21.95" customHeight="1" x14ac:dyDescent="0.25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</row>
    <row r="599" spans="1:12" ht="21.95" customHeight="1" x14ac:dyDescent="0.25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</row>
    <row r="600" spans="1:12" ht="21.95" customHeight="1" x14ac:dyDescent="0.25">
      <c r="A600" s="227"/>
      <c r="B600" s="256" t="s">
        <v>644</v>
      </c>
      <c r="C600" s="227"/>
      <c r="D600" s="227"/>
      <c r="E600" s="227"/>
      <c r="F600" s="227"/>
      <c r="G600" s="227"/>
      <c r="H600" s="257"/>
      <c r="I600" s="258"/>
      <c r="J600" s="249"/>
      <c r="K600" s="227"/>
      <c r="L600" s="227"/>
    </row>
    <row r="601" spans="1:12" ht="21.95" customHeight="1" x14ac:dyDescent="0.25">
      <c r="A601" s="227"/>
      <c r="B601" s="259" t="s">
        <v>645</v>
      </c>
      <c r="C601" s="260"/>
      <c r="D601" s="227"/>
      <c r="E601" s="227"/>
      <c r="F601" s="227"/>
      <c r="G601" s="227"/>
      <c r="H601" s="227"/>
      <c r="I601" s="261"/>
      <c r="J601" s="227"/>
      <c r="K601" s="227"/>
      <c r="L601" s="227"/>
    </row>
    <row r="605" spans="1:12" ht="21.95" customHeight="1" x14ac:dyDescent="0.25">
      <c r="A605" s="226" t="s">
        <v>22</v>
      </c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</row>
    <row r="606" spans="1:12" ht="21.95" customHeight="1" x14ac:dyDescent="0.25">
      <c r="A606" s="228" t="s">
        <v>20</v>
      </c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</row>
    <row r="607" spans="1:12" ht="21.95" customHeight="1" x14ac:dyDescent="0.25">
      <c r="A607" s="228" t="s">
        <v>21</v>
      </c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</row>
    <row r="608" spans="1:12" ht="21.95" customHeight="1" x14ac:dyDescent="0.25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</row>
    <row r="609" spans="1:12" ht="21.95" customHeight="1" x14ac:dyDescent="0.25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</row>
    <row r="610" spans="1:12" ht="21.95" customHeight="1" x14ac:dyDescent="0.25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</row>
    <row r="611" spans="1:12" ht="21.95" customHeight="1" x14ac:dyDescent="0.25">
      <c r="A611" s="299" t="s">
        <v>6</v>
      </c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</row>
    <row r="612" spans="1:12" ht="21.95" customHeight="1" x14ac:dyDescent="0.25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</row>
    <row r="613" spans="1:12" ht="21.95" customHeight="1" x14ac:dyDescent="0.25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</row>
    <row r="614" spans="1:12" ht="21.95" customHeight="1" x14ac:dyDescent="0.25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</row>
    <row r="615" spans="1:12" ht="21.95" customHeight="1" x14ac:dyDescent="0.25">
      <c r="A615" s="227" t="s">
        <v>8</v>
      </c>
      <c r="B615" s="227"/>
      <c r="C615" s="229" t="s">
        <v>1</v>
      </c>
      <c r="D615" s="224"/>
      <c r="E615" s="224"/>
      <c r="F615" s="224"/>
      <c r="G615" s="224"/>
      <c r="H615" s="224"/>
      <c r="I615" s="224"/>
      <c r="J615" s="224"/>
      <c r="K615" s="224"/>
      <c r="L615" s="224"/>
    </row>
    <row r="616" spans="1:12" ht="21.95" customHeight="1" x14ac:dyDescent="0.25">
      <c r="A616" s="227" t="s">
        <v>9</v>
      </c>
      <c r="B616" s="227"/>
      <c r="C616" s="229" t="s">
        <v>1</v>
      </c>
      <c r="D616" s="231"/>
      <c r="E616" s="230"/>
      <c r="F616" s="230"/>
      <c r="G616" s="230"/>
      <c r="H616" s="230"/>
      <c r="I616" s="227"/>
      <c r="J616" s="227"/>
      <c r="K616" s="227"/>
      <c r="L616" s="227"/>
    </row>
    <row r="617" spans="1:12" ht="21.95" customHeight="1" x14ac:dyDescent="0.2">
      <c r="A617" s="230" t="s">
        <v>10</v>
      </c>
      <c r="B617" s="230"/>
      <c r="C617" s="232" t="s">
        <v>1</v>
      </c>
      <c r="D617" s="233"/>
      <c r="E617" s="230"/>
      <c r="F617" s="230"/>
      <c r="G617" s="230"/>
      <c r="H617" s="230"/>
      <c r="I617" s="230"/>
      <c r="J617" s="230"/>
      <c r="K617" s="230"/>
      <c r="L617" s="230"/>
    </row>
    <row r="618" spans="1:12" ht="21.95" customHeight="1" x14ac:dyDescent="0.2">
      <c r="A618" s="230"/>
      <c r="B618" s="230"/>
      <c r="C618" s="232"/>
      <c r="D618" s="233"/>
      <c r="E618" s="230"/>
      <c r="F618" s="230"/>
      <c r="G618" s="230"/>
      <c r="H618" s="230"/>
      <c r="I618" s="230"/>
      <c r="J618" s="230"/>
      <c r="K618" s="230"/>
      <c r="L618" s="230"/>
    </row>
    <row r="619" spans="1:12" ht="21.95" customHeight="1" x14ac:dyDescent="0.25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</row>
    <row r="620" spans="1:12" ht="21.95" customHeight="1" x14ac:dyDescent="0.25">
      <c r="A620" s="225"/>
      <c r="B620" s="225"/>
      <c r="C620" s="225"/>
      <c r="D620" s="225"/>
      <c r="E620" s="225"/>
      <c r="F620" s="225"/>
      <c r="G620" s="225"/>
      <c r="H620" s="225"/>
      <c r="I620" s="225"/>
      <c r="J620" s="225"/>
      <c r="K620" s="225"/>
      <c r="L620" s="225"/>
    </row>
    <row r="621" spans="1:12" ht="21.95" customHeight="1" x14ac:dyDescent="0.2">
      <c r="A621" s="300" t="s">
        <v>662</v>
      </c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</row>
    <row r="622" spans="1:12" ht="21.95" customHeight="1" x14ac:dyDescent="0.2">
      <c r="A622" s="300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</row>
    <row r="623" spans="1:12" ht="21.95" customHeight="1" x14ac:dyDescent="0.25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</row>
    <row r="624" spans="1:12" ht="21.95" customHeight="1" thickBot="1" x14ac:dyDescent="0.25">
      <c r="A624" s="235" t="s">
        <v>0</v>
      </c>
      <c r="B624" s="301" t="s">
        <v>91</v>
      </c>
      <c r="C624" s="301"/>
      <c r="D624" s="301"/>
      <c r="E624" s="301"/>
      <c r="F624" s="301"/>
      <c r="G624" s="301"/>
      <c r="H624" s="301"/>
      <c r="I624" s="301"/>
      <c r="J624" s="301"/>
      <c r="K624" s="301"/>
      <c r="L624" s="301"/>
    </row>
    <row r="625" spans="1:12" ht="21.95" customHeight="1" thickTop="1" x14ac:dyDescent="0.25">
      <c r="A625" s="227"/>
      <c r="B625" s="236" t="s">
        <v>3</v>
      </c>
      <c r="C625" s="237" t="s">
        <v>4</v>
      </c>
      <c r="D625" s="238"/>
      <c r="E625" s="238"/>
      <c r="F625" s="238"/>
      <c r="G625" s="238"/>
      <c r="H625" s="239"/>
      <c r="I625" s="236" t="s">
        <v>5</v>
      </c>
      <c r="J625" s="237" t="s">
        <v>17</v>
      </c>
      <c r="K625" s="238"/>
      <c r="L625" s="239"/>
    </row>
    <row r="626" spans="1:12" ht="21.95" customHeight="1" x14ac:dyDescent="0.2">
      <c r="A626" s="230"/>
      <c r="B626" s="240">
        <v>1</v>
      </c>
      <c r="C626" s="302" t="s">
        <v>663</v>
      </c>
      <c r="D626" s="303"/>
      <c r="E626" s="303"/>
      <c r="F626" s="241"/>
      <c r="G626" s="235"/>
      <c r="H626" s="242"/>
      <c r="I626" s="243">
        <v>170000</v>
      </c>
      <c r="J626" s="230"/>
      <c r="K626" s="230"/>
      <c r="L626" s="242"/>
    </row>
    <row r="627" spans="1:12" ht="21.95" customHeight="1" x14ac:dyDescent="0.25">
      <c r="A627" s="227"/>
      <c r="B627" s="244"/>
      <c r="C627" s="304"/>
      <c r="D627" s="305"/>
      <c r="E627" s="305"/>
      <c r="F627" s="245"/>
      <c r="G627" s="233"/>
      <c r="H627" s="233"/>
      <c r="I627" s="246"/>
      <c r="J627" s="227"/>
      <c r="K627" s="227"/>
      <c r="L627" s="247"/>
    </row>
    <row r="628" spans="1:12" ht="21.95" customHeight="1" x14ac:dyDescent="0.25">
      <c r="A628" s="227"/>
      <c r="B628" s="248"/>
      <c r="C628" s="227"/>
      <c r="D628" s="227"/>
      <c r="E628" s="227"/>
      <c r="F628" s="249" t="s">
        <v>5</v>
      </c>
      <c r="G628" s="249"/>
      <c r="H628" s="227"/>
      <c r="I628" s="250">
        <f>I626</f>
        <v>170000</v>
      </c>
      <c r="J628" s="227"/>
      <c r="K628" s="227"/>
      <c r="L628" s="247"/>
    </row>
    <row r="629" spans="1:12" ht="21.95" customHeight="1" thickBot="1" x14ac:dyDescent="0.3">
      <c r="A629" s="227"/>
      <c r="B629" s="251"/>
      <c r="C629" s="252"/>
      <c r="D629" s="252"/>
      <c r="E629" s="252"/>
      <c r="F629" s="253"/>
      <c r="G629" s="253"/>
      <c r="H629" s="252"/>
      <c r="I629" s="254"/>
      <c r="J629" s="252"/>
      <c r="K629" s="252"/>
      <c r="L629" s="255"/>
    </row>
    <row r="630" spans="1:12" ht="21.95" customHeight="1" thickTop="1" x14ac:dyDescent="0.25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</row>
    <row r="631" spans="1:12" ht="53.25" customHeight="1" x14ac:dyDescent="0.2">
      <c r="A631" s="235" t="s">
        <v>2</v>
      </c>
      <c r="B631" s="305" t="s">
        <v>11</v>
      </c>
      <c r="C631" s="305"/>
      <c r="D631" s="305"/>
      <c r="E631" s="305"/>
      <c r="F631" s="305"/>
      <c r="G631" s="305"/>
      <c r="H631" s="305"/>
      <c r="I631" s="305"/>
      <c r="J631" s="305"/>
      <c r="K631" s="305"/>
      <c r="L631" s="305"/>
    </row>
    <row r="632" spans="1:12" ht="21.95" customHeight="1" x14ac:dyDescent="0.25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</row>
    <row r="633" spans="1:12" ht="33" customHeight="1" x14ac:dyDescent="0.2">
      <c r="A633" s="306" t="s">
        <v>12</v>
      </c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</row>
    <row r="634" spans="1:12" ht="21.95" customHeight="1" x14ac:dyDescent="0.25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</row>
    <row r="635" spans="1:12" ht="21.95" customHeight="1" x14ac:dyDescent="0.25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</row>
    <row r="636" spans="1:12" ht="21.95" customHeight="1" x14ac:dyDescent="0.25">
      <c r="A636" s="227"/>
      <c r="B636" s="227"/>
      <c r="C636" s="227"/>
      <c r="D636" s="227"/>
      <c r="E636" s="227"/>
      <c r="F636" s="227"/>
      <c r="G636" s="227"/>
      <c r="H636" s="227" t="s">
        <v>664</v>
      </c>
      <c r="I636" s="227"/>
      <c r="J636" s="307" t="s">
        <v>665</v>
      </c>
      <c r="K636" s="307"/>
      <c r="L636" s="307"/>
    </row>
    <row r="637" spans="1:12" ht="21.95" customHeight="1" x14ac:dyDescent="0.25">
      <c r="A637" s="227"/>
      <c r="B637" s="227" t="s">
        <v>15</v>
      </c>
      <c r="C637" s="227"/>
      <c r="D637" s="227"/>
      <c r="E637" s="227"/>
      <c r="F637" s="227"/>
      <c r="G637" s="227"/>
      <c r="H637" s="227" t="s">
        <v>13</v>
      </c>
      <c r="I637" s="227"/>
      <c r="J637" s="227"/>
      <c r="K637" s="227"/>
      <c r="L637" s="227"/>
    </row>
    <row r="638" spans="1:12" ht="21.95" customHeight="1" x14ac:dyDescent="0.25">
      <c r="A638" s="227"/>
      <c r="B638" s="227" t="s">
        <v>18</v>
      </c>
      <c r="C638" s="227"/>
      <c r="D638" s="227"/>
      <c r="E638" s="227"/>
      <c r="F638" s="227"/>
      <c r="G638" s="227"/>
      <c r="H638" s="227" t="s">
        <v>14</v>
      </c>
      <c r="I638" s="227"/>
      <c r="J638" s="227"/>
      <c r="K638" s="227"/>
      <c r="L638" s="227"/>
    </row>
    <row r="639" spans="1:12" ht="21.95" customHeight="1" x14ac:dyDescent="0.25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</row>
    <row r="640" spans="1:12" ht="21.95" customHeight="1" x14ac:dyDescent="0.25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</row>
    <row r="641" spans="1:12" ht="21.95" customHeight="1" x14ac:dyDescent="0.25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</row>
    <row r="642" spans="1:12" ht="21.95" customHeight="1" x14ac:dyDescent="0.25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</row>
    <row r="643" spans="1:12" ht="21.95" customHeight="1" x14ac:dyDescent="0.25">
      <c r="A643" s="227"/>
      <c r="B643" s="256" t="s">
        <v>644</v>
      </c>
      <c r="C643" s="227"/>
      <c r="D643" s="227"/>
      <c r="E643" s="227"/>
      <c r="F643" s="227"/>
      <c r="G643" s="227"/>
      <c r="H643" s="257"/>
      <c r="I643" s="258"/>
      <c r="J643" s="249"/>
      <c r="K643" s="227"/>
      <c r="L643" s="227"/>
    </row>
    <row r="644" spans="1:12" ht="21.95" customHeight="1" x14ac:dyDescent="0.25">
      <c r="A644" s="227"/>
      <c r="B644" s="259" t="s">
        <v>645</v>
      </c>
      <c r="C644" s="260"/>
      <c r="D644" s="227"/>
      <c r="E644" s="227"/>
      <c r="F644" s="227"/>
      <c r="G644" s="227"/>
      <c r="H644" s="227"/>
      <c r="I644" s="261"/>
      <c r="J644" s="227"/>
      <c r="K644" s="227"/>
      <c r="L644" s="227"/>
    </row>
    <row r="648" spans="1:12" ht="21.95" customHeight="1" x14ac:dyDescent="0.25">
      <c r="A648" s="226" t="s">
        <v>22</v>
      </c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</row>
    <row r="649" spans="1:12" ht="21.95" customHeight="1" x14ac:dyDescent="0.25">
      <c r="A649" s="228" t="s">
        <v>20</v>
      </c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</row>
    <row r="650" spans="1:12" ht="21.95" customHeight="1" x14ac:dyDescent="0.25">
      <c r="A650" s="228" t="s">
        <v>21</v>
      </c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</row>
    <row r="651" spans="1:12" ht="21.95" customHeight="1" x14ac:dyDescent="0.25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</row>
    <row r="652" spans="1:12" ht="21.95" customHeight="1" x14ac:dyDescent="0.25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</row>
    <row r="653" spans="1:12" ht="21.95" customHeight="1" x14ac:dyDescent="0.25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</row>
    <row r="654" spans="1:12" ht="21.95" customHeight="1" x14ac:dyDescent="0.25">
      <c r="A654" s="299" t="s">
        <v>6</v>
      </c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</row>
    <row r="655" spans="1:12" ht="21.95" customHeight="1" x14ac:dyDescent="0.2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</row>
    <row r="656" spans="1:12" ht="21.95" customHeight="1" x14ac:dyDescent="0.25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</row>
    <row r="657" spans="1:12" ht="21.95" customHeight="1" x14ac:dyDescent="0.25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</row>
    <row r="658" spans="1:12" ht="21.95" customHeight="1" x14ac:dyDescent="0.25">
      <c r="A658" s="227" t="s">
        <v>8</v>
      </c>
      <c r="B658" s="227"/>
      <c r="C658" s="229" t="s">
        <v>1</v>
      </c>
      <c r="D658" s="267" t="s">
        <v>83</v>
      </c>
      <c r="E658" s="224"/>
      <c r="F658" s="224"/>
      <c r="G658" s="224"/>
      <c r="H658" s="224"/>
      <c r="I658" s="224"/>
      <c r="J658" s="224"/>
      <c r="K658" s="224"/>
      <c r="L658" s="224"/>
    </row>
    <row r="659" spans="1:12" ht="21.95" customHeight="1" x14ac:dyDescent="0.25">
      <c r="A659" s="227" t="s">
        <v>9</v>
      </c>
      <c r="B659" s="227"/>
      <c r="C659" s="229" t="s">
        <v>1</v>
      </c>
      <c r="D659" s="268" t="s">
        <v>99</v>
      </c>
      <c r="E659" s="230"/>
      <c r="F659" s="230"/>
      <c r="G659" s="230"/>
      <c r="H659" s="230"/>
      <c r="I659" s="227"/>
      <c r="J659" s="227"/>
      <c r="K659" s="227"/>
      <c r="L659" s="227"/>
    </row>
    <row r="660" spans="1:12" ht="21.95" customHeight="1" x14ac:dyDescent="0.2">
      <c r="A660" s="230" t="s">
        <v>10</v>
      </c>
      <c r="B660" s="230"/>
      <c r="C660" s="232" t="s">
        <v>1</v>
      </c>
      <c r="D660" s="233" t="s">
        <v>203</v>
      </c>
      <c r="E660" s="230"/>
      <c r="F660" s="230"/>
      <c r="G660" s="230"/>
      <c r="H660" s="230"/>
      <c r="I660" s="230"/>
      <c r="J660" s="230"/>
      <c r="K660" s="230"/>
      <c r="L660" s="230"/>
    </row>
    <row r="661" spans="1:12" ht="21.95" customHeight="1" x14ac:dyDescent="0.2">
      <c r="A661" s="230"/>
      <c r="B661" s="230"/>
      <c r="C661" s="232"/>
      <c r="D661" s="233"/>
      <c r="E661" s="230"/>
      <c r="F661" s="230"/>
      <c r="G661" s="230"/>
      <c r="H661" s="230"/>
      <c r="I661" s="230"/>
      <c r="J661" s="230"/>
      <c r="K661" s="230"/>
      <c r="L661" s="230"/>
    </row>
    <row r="662" spans="1:12" ht="21.95" customHeight="1" x14ac:dyDescent="0.25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</row>
    <row r="663" spans="1:12" ht="21.95" customHeight="1" x14ac:dyDescent="0.25">
      <c r="A663" s="225"/>
      <c r="B663" s="225"/>
      <c r="C663" s="225"/>
      <c r="D663" s="225"/>
      <c r="E663" s="225"/>
      <c r="F663" s="225"/>
      <c r="G663" s="225"/>
      <c r="H663" s="225"/>
      <c r="I663" s="225"/>
      <c r="J663" s="225"/>
      <c r="K663" s="225"/>
      <c r="L663" s="225"/>
    </row>
    <row r="664" spans="1:12" ht="21.95" customHeight="1" x14ac:dyDescent="0.2">
      <c r="A664" s="300" t="s">
        <v>666</v>
      </c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</row>
    <row r="665" spans="1:12" ht="21.95" customHeight="1" x14ac:dyDescent="0.2">
      <c r="A665" s="300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</row>
    <row r="666" spans="1:12" ht="21.95" customHeight="1" x14ac:dyDescent="0.25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</row>
    <row r="667" spans="1:12" ht="21.95" customHeight="1" thickBot="1" x14ac:dyDescent="0.25">
      <c r="A667" s="235" t="s">
        <v>0</v>
      </c>
      <c r="B667" s="301" t="s">
        <v>91</v>
      </c>
      <c r="C667" s="301"/>
      <c r="D667" s="301"/>
      <c r="E667" s="301"/>
      <c r="F667" s="301"/>
      <c r="G667" s="301"/>
      <c r="H667" s="301"/>
      <c r="I667" s="301"/>
      <c r="J667" s="301"/>
      <c r="K667" s="301"/>
      <c r="L667" s="301"/>
    </row>
    <row r="668" spans="1:12" ht="21.95" customHeight="1" thickTop="1" x14ac:dyDescent="0.25">
      <c r="A668" s="227"/>
      <c r="B668" s="236" t="s">
        <v>3</v>
      </c>
      <c r="C668" s="237" t="s">
        <v>4</v>
      </c>
      <c r="D668" s="238"/>
      <c r="E668" s="238"/>
      <c r="F668" s="238"/>
      <c r="G668" s="238"/>
      <c r="H668" s="239"/>
      <c r="I668" s="236" t="s">
        <v>5</v>
      </c>
      <c r="J668" s="237" t="s">
        <v>17</v>
      </c>
      <c r="K668" s="238"/>
      <c r="L668" s="239"/>
    </row>
    <row r="669" spans="1:12" ht="21.95" customHeight="1" x14ac:dyDescent="0.2">
      <c r="A669" s="230"/>
      <c r="B669" s="240">
        <v>1</v>
      </c>
      <c r="C669" s="302" t="s">
        <v>667</v>
      </c>
      <c r="D669" s="303"/>
      <c r="E669" s="303"/>
      <c r="F669" s="241"/>
      <c r="G669" s="235"/>
      <c r="H669" s="242"/>
      <c r="I669" s="243">
        <v>170000</v>
      </c>
      <c r="J669" s="230"/>
      <c r="K669" s="230"/>
      <c r="L669" s="242"/>
    </row>
    <row r="670" spans="1:12" ht="21.95" customHeight="1" x14ac:dyDescent="0.25">
      <c r="A670" s="227"/>
      <c r="B670" s="244"/>
      <c r="C670" s="304"/>
      <c r="D670" s="305"/>
      <c r="E670" s="305"/>
      <c r="F670" s="245"/>
      <c r="G670" s="233"/>
      <c r="H670" s="233"/>
      <c r="I670" s="246"/>
      <c r="J670" s="227"/>
      <c r="K670" s="227"/>
      <c r="L670" s="247"/>
    </row>
    <row r="671" spans="1:12" ht="21.95" customHeight="1" x14ac:dyDescent="0.25">
      <c r="A671" s="227"/>
      <c r="B671" s="248"/>
      <c r="C671" s="227"/>
      <c r="D671" s="227"/>
      <c r="E671" s="227"/>
      <c r="F671" s="249" t="s">
        <v>5</v>
      </c>
      <c r="G671" s="249"/>
      <c r="H671" s="227"/>
      <c r="I671" s="250">
        <f>I669</f>
        <v>170000</v>
      </c>
      <c r="J671" s="227"/>
      <c r="K671" s="227"/>
      <c r="L671" s="247"/>
    </row>
    <row r="672" spans="1:12" ht="21.95" customHeight="1" thickBot="1" x14ac:dyDescent="0.3">
      <c r="A672" s="227"/>
      <c r="B672" s="251"/>
      <c r="C672" s="252"/>
      <c r="D672" s="252"/>
      <c r="E672" s="252"/>
      <c r="F672" s="253"/>
      <c r="G672" s="253"/>
      <c r="H672" s="252"/>
      <c r="I672" s="254"/>
      <c r="J672" s="252"/>
      <c r="K672" s="252"/>
      <c r="L672" s="255"/>
    </row>
    <row r="673" spans="1:12" ht="21.95" customHeight="1" thickTop="1" x14ac:dyDescent="0.25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</row>
    <row r="674" spans="1:12" ht="48" customHeight="1" x14ac:dyDescent="0.2">
      <c r="A674" s="235" t="s">
        <v>2</v>
      </c>
      <c r="B674" s="305" t="s">
        <v>11</v>
      </c>
      <c r="C674" s="305"/>
      <c r="D674" s="305"/>
      <c r="E674" s="305"/>
      <c r="F674" s="305"/>
      <c r="G674" s="305"/>
      <c r="H674" s="305"/>
      <c r="I674" s="305"/>
      <c r="J674" s="305"/>
      <c r="K674" s="305"/>
      <c r="L674" s="305"/>
    </row>
    <row r="675" spans="1:12" ht="21.95" customHeight="1" x14ac:dyDescent="0.25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</row>
    <row r="676" spans="1:12" ht="21.95" customHeight="1" x14ac:dyDescent="0.2">
      <c r="A676" s="306" t="s">
        <v>12</v>
      </c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</row>
    <row r="677" spans="1:12" ht="21.95" customHeight="1" x14ac:dyDescent="0.25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</row>
    <row r="678" spans="1:12" ht="21.95" customHeight="1" x14ac:dyDescent="0.25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</row>
    <row r="679" spans="1:12" ht="21.95" customHeight="1" x14ac:dyDescent="0.25">
      <c r="A679" s="227"/>
      <c r="B679" s="227"/>
      <c r="C679" s="227"/>
      <c r="D679" s="227"/>
      <c r="E679" s="227"/>
      <c r="F679" s="227"/>
      <c r="G679" s="227"/>
      <c r="H679" s="227" t="s">
        <v>664</v>
      </c>
      <c r="I679" s="227"/>
      <c r="J679" s="307" t="s">
        <v>665</v>
      </c>
      <c r="K679" s="307"/>
      <c r="L679" s="307"/>
    </row>
    <row r="680" spans="1:12" ht="21.95" customHeight="1" x14ac:dyDescent="0.25">
      <c r="A680" s="227"/>
      <c r="B680" s="227" t="s">
        <v>15</v>
      </c>
      <c r="C680" s="227"/>
      <c r="D680" s="227"/>
      <c r="E680" s="227"/>
      <c r="F680" s="227"/>
      <c r="G680" s="227"/>
      <c r="H680" s="227" t="s">
        <v>13</v>
      </c>
      <c r="I680" s="227"/>
      <c r="J680" s="227"/>
      <c r="K680" s="227"/>
      <c r="L680" s="227"/>
    </row>
    <row r="681" spans="1:12" ht="21.95" customHeight="1" x14ac:dyDescent="0.25">
      <c r="A681" s="227"/>
      <c r="B681" s="227" t="s">
        <v>18</v>
      </c>
      <c r="C681" s="227"/>
      <c r="D681" s="227"/>
      <c r="E681" s="227"/>
      <c r="F681" s="227"/>
      <c r="G681" s="227"/>
      <c r="H681" s="227" t="s">
        <v>14</v>
      </c>
      <c r="I681" s="227"/>
      <c r="J681" s="227"/>
      <c r="K681" s="227"/>
      <c r="L681" s="227"/>
    </row>
    <row r="682" spans="1:12" ht="21.95" customHeight="1" x14ac:dyDescent="0.25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</row>
    <row r="683" spans="1:12" ht="21.95" customHeight="1" x14ac:dyDescent="0.25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</row>
    <row r="684" spans="1:12" ht="21.95" customHeight="1" x14ac:dyDescent="0.25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</row>
    <row r="685" spans="1:12" ht="21.95" customHeight="1" x14ac:dyDescent="0.25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</row>
    <row r="686" spans="1:12" ht="21.95" customHeight="1" x14ac:dyDescent="0.25">
      <c r="A686" s="227"/>
      <c r="B686" s="256" t="s">
        <v>644</v>
      </c>
      <c r="C686" s="227"/>
      <c r="D686" s="227"/>
      <c r="E686" s="227"/>
      <c r="F686" s="227"/>
      <c r="G686" s="227"/>
      <c r="H686" s="267" t="s">
        <v>83</v>
      </c>
      <c r="I686" s="258"/>
      <c r="J686" s="249"/>
      <c r="K686" s="227"/>
      <c r="L686" s="227"/>
    </row>
    <row r="687" spans="1:12" ht="21.95" customHeight="1" x14ac:dyDescent="0.25">
      <c r="A687" s="227"/>
      <c r="B687" s="259" t="s">
        <v>645</v>
      </c>
      <c r="C687" s="260"/>
      <c r="D687" s="227"/>
      <c r="E687" s="227"/>
      <c r="F687" s="227"/>
      <c r="G687" s="227"/>
      <c r="H687" s="268" t="s">
        <v>99</v>
      </c>
      <c r="I687" s="261"/>
      <c r="J687" s="227"/>
      <c r="K687" s="227"/>
      <c r="L687" s="227"/>
    </row>
    <row r="692" spans="1:12" ht="21.95" customHeight="1" x14ac:dyDescent="0.25">
      <c r="A692" s="226" t="s">
        <v>22</v>
      </c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</row>
    <row r="693" spans="1:12" ht="21.95" customHeight="1" x14ac:dyDescent="0.25">
      <c r="A693" s="228" t="s">
        <v>20</v>
      </c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</row>
    <row r="694" spans="1:12" ht="21.95" customHeight="1" x14ac:dyDescent="0.25">
      <c r="A694" s="228" t="s">
        <v>21</v>
      </c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</row>
    <row r="695" spans="1:12" ht="21.95" customHeight="1" x14ac:dyDescent="0.25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</row>
    <row r="696" spans="1:12" ht="21.95" customHeight="1" x14ac:dyDescent="0.25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</row>
    <row r="697" spans="1:12" ht="21.95" customHeight="1" x14ac:dyDescent="0.25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</row>
    <row r="698" spans="1:12" ht="21.95" customHeight="1" x14ac:dyDescent="0.25">
      <c r="A698" s="299" t="s">
        <v>6</v>
      </c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</row>
    <row r="699" spans="1:12" ht="21.95" customHeight="1" x14ac:dyDescent="0.25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</row>
    <row r="700" spans="1:12" ht="21.95" customHeight="1" x14ac:dyDescent="0.25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</row>
    <row r="701" spans="1:12" ht="21.95" customHeight="1" x14ac:dyDescent="0.25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</row>
    <row r="702" spans="1:12" ht="21.95" customHeight="1" x14ac:dyDescent="0.25">
      <c r="A702" s="227" t="s">
        <v>8</v>
      </c>
      <c r="B702" s="227"/>
      <c r="C702" s="229" t="s">
        <v>1</v>
      </c>
      <c r="D702" s="37" t="s">
        <v>603</v>
      </c>
      <c r="E702" s="224"/>
      <c r="F702" s="224"/>
      <c r="G702" s="224"/>
      <c r="H702" s="224"/>
      <c r="I702" s="224"/>
      <c r="J702" s="224"/>
      <c r="K702" s="224"/>
      <c r="L702" s="224"/>
    </row>
    <row r="703" spans="1:12" ht="21.95" customHeight="1" x14ac:dyDescent="0.25">
      <c r="A703" s="227" t="s">
        <v>9</v>
      </c>
      <c r="B703" s="227"/>
      <c r="C703" s="229" t="s">
        <v>1</v>
      </c>
      <c r="D703" s="1" t="s">
        <v>31</v>
      </c>
      <c r="E703" s="230"/>
      <c r="F703" s="230"/>
      <c r="G703" s="230"/>
      <c r="H703" s="230"/>
      <c r="I703" s="227"/>
      <c r="J703" s="227"/>
      <c r="K703" s="227"/>
      <c r="L703" s="227"/>
    </row>
    <row r="704" spans="1:12" ht="21.95" customHeight="1" x14ac:dyDescent="0.2">
      <c r="A704" s="230" t="s">
        <v>10</v>
      </c>
      <c r="B704" s="230"/>
      <c r="C704" s="232" t="s">
        <v>1</v>
      </c>
      <c r="D704" s="233" t="s">
        <v>275</v>
      </c>
      <c r="E704" s="230"/>
      <c r="F704" s="230"/>
      <c r="G704" s="230"/>
      <c r="H704" s="230"/>
      <c r="I704" s="230"/>
      <c r="J704" s="230"/>
      <c r="K704" s="230"/>
      <c r="L704" s="230"/>
    </row>
    <row r="705" spans="1:12" ht="21.95" customHeight="1" x14ac:dyDescent="0.2">
      <c r="A705" s="230"/>
      <c r="B705" s="230"/>
      <c r="C705" s="232"/>
      <c r="D705" s="233"/>
      <c r="E705" s="230"/>
      <c r="F705" s="230"/>
      <c r="G705" s="230"/>
      <c r="H705" s="230"/>
      <c r="I705" s="230"/>
      <c r="J705" s="230"/>
      <c r="K705" s="230"/>
      <c r="L705" s="230"/>
    </row>
    <row r="706" spans="1:12" ht="21.95" customHeight="1" x14ac:dyDescent="0.25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</row>
    <row r="707" spans="1:12" ht="21.95" customHeight="1" x14ac:dyDescent="0.25">
      <c r="A707" s="225"/>
      <c r="B707" s="225"/>
      <c r="C707" s="225"/>
      <c r="D707" s="225"/>
      <c r="E707" s="225"/>
      <c r="F707" s="225"/>
      <c r="G707" s="225"/>
      <c r="H707" s="225"/>
      <c r="I707" s="225"/>
      <c r="J707" s="225"/>
      <c r="K707" s="225"/>
      <c r="L707" s="225"/>
    </row>
    <row r="708" spans="1:12" ht="21.95" customHeight="1" x14ac:dyDescent="0.2">
      <c r="A708" s="300" t="s">
        <v>666</v>
      </c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</row>
    <row r="709" spans="1:12" ht="21.95" customHeight="1" x14ac:dyDescent="0.2">
      <c r="A709" s="300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</row>
    <row r="710" spans="1:12" ht="21.95" customHeight="1" x14ac:dyDescent="0.25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</row>
    <row r="711" spans="1:12" ht="21.95" customHeight="1" thickBot="1" x14ac:dyDescent="0.25">
      <c r="A711" s="235" t="s">
        <v>0</v>
      </c>
      <c r="B711" s="301" t="s">
        <v>91</v>
      </c>
      <c r="C711" s="301"/>
      <c r="D711" s="301"/>
      <c r="E711" s="301"/>
      <c r="F711" s="301"/>
      <c r="G711" s="301"/>
      <c r="H711" s="301"/>
      <c r="I711" s="301"/>
      <c r="J711" s="301"/>
      <c r="K711" s="301"/>
      <c r="L711" s="301"/>
    </row>
    <row r="712" spans="1:12" ht="21.95" customHeight="1" thickTop="1" x14ac:dyDescent="0.25">
      <c r="A712" s="227"/>
      <c r="B712" s="236" t="s">
        <v>3</v>
      </c>
      <c r="C712" s="237" t="s">
        <v>4</v>
      </c>
      <c r="D712" s="238"/>
      <c r="E712" s="238"/>
      <c r="F712" s="238"/>
      <c r="G712" s="238"/>
      <c r="H712" s="239"/>
      <c r="I712" s="236" t="s">
        <v>5</v>
      </c>
      <c r="J712" s="237" t="s">
        <v>17</v>
      </c>
      <c r="K712" s="238"/>
      <c r="L712" s="239"/>
    </row>
    <row r="713" spans="1:12" ht="21.95" customHeight="1" x14ac:dyDescent="0.2">
      <c r="A713" s="230"/>
      <c r="B713" s="240">
        <v>1</v>
      </c>
      <c r="C713" s="302" t="s">
        <v>667</v>
      </c>
      <c r="D713" s="303"/>
      <c r="E713" s="303"/>
      <c r="F713" s="241"/>
      <c r="G713" s="235"/>
      <c r="H713" s="242"/>
      <c r="I713" s="243">
        <v>170000</v>
      </c>
      <c r="J713" s="230"/>
      <c r="K713" s="230"/>
      <c r="L713" s="242"/>
    </row>
    <row r="714" spans="1:12" ht="21.95" customHeight="1" x14ac:dyDescent="0.25">
      <c r="A714" s="227"/>
      <c r="B714" s="244"/>
      <c r="C714" s="304"/>
      <c r="D714" s="305"/>
      <c r="E714" s="305"/>
      <c r="F714" s="245"/>
      <c r="G714" s="233"/>
      <c r="H714" s="233"/>
      <c r="I714" s="246"/>
      <c r="J714" s="227"/>
      <c r="K714" s="227"/>
      <c r="L714" s="247"/>
    </row>
    <row r="715" spans="1:12" ht="21.95" customHeight="1" x14ac:dyDescent="0.25">
      <c r="A715" s="227"/>
      <c r="B715" s="248"/>
      <c r="C715" s="227"/>
      <c r="D715" s="227"/>
      <c r="E715" s="227"/>
      <c r="F715" s="249" t="s">
        <v>5</v>
      </c>
      <c r="G715" s="249"/>
      <c r="H715" s="227"/>
      <c r="I715" s="250">
        <f>I713</f>
        <v>170000</v>
      </c>
      <c r="J715" s="227"/>
      <c r="K715" s="227"/>
      <c r="L715" s="247"/>
    </row>
    <row r="716" spans="1:12" ht="21.95" customHeight="1" thickBot="1" x14ac:dyDescent="0.3">
      <c r="A716" s="227"/>
      <c r="B716" s="251"/>
      <c r="C716" s="252"/>
      <c r="D716" s="252"/>
      <c r="E716" s="252"/>
      <c r="F716" s="253"/>
      <c r="G716" s="253"/>
      <c r="H716" s="252"/>
      <c r="I716" s="254"/>
      <c r="J716" s="252"/>
      <c r="K716" s="252"/>
      <c r="L716" s="255"/>
    </row>
    <row r="717" spans="1:12" ht="21.95" customHeight="1" thickTop="1" x14ac:dyDescent="0.25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</row>
    <row r="718" spans="1:12" ht="39" customHeight="1" x14ac:dyDescent="0.2">
      <c r="A718" s="235" t="s">
        <v>2</v>
      </c>
      <c r="B718" s="305" t="s">
        <v>11</v>
      </c>
      <c r="C718" s="305"/>
      <c r="D718" s="305"/>
      <c r="E718" s="305"/>
      <c r="F718" s="305"/>
      <c r="G718" s="305"/>
      <c r="H718" s="305"/>
      <c r="I718" s="305"/>
      <c r="J718" s="305"/>
      <c r="K718" s="305"/>
      <c r="L718" s="305"/>
    </row>
    <row r="719" spans="1:12" ht="21.95" customHeight="1" x14ac:dyDescent="0.25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</row>
    <row r="720" spans="1:12" ht="21.95" customHeight="1" x14ac:dyDescent="0.2">
      <c r="A720" s="306" t="s">
        <v>12</v>
      </c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</row>
    <row r="721" spans="1:12" ht="21.95" customHeight="1" x14ac:dyDescent="0.25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</row>
    <row r="722" spans="1:12" ht="21.95" customHeight="1" x14ac:dyDescent="0.25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</row>
    <row r="723" spans="1:12" ht="21.95" customHeight="1" x14ac:dyDescent="0.25">
      <c r="A723" s="227"/>
      <c r="B723" s="227"/>
      <c r="C723" s="227"/>
      <c r="D723" s="227"/>
      <c r="E723" s="227"/>
      <c r="F723" s="227"/>
      <c r="G723" s="227"/>
      <c r="H723" s="227" t="s">
        <v>664</v>
      </c>
      <c r="I723" s="227"/>
      <c r="J723" s="307" t="s">
        <v>665</v>
      </c>
      <c r="K723" s="307"/>
      <c r="L723" s="307"/>
    </row>
    <row r="724" spans="1:12" ht="21.95" customHeight="1" x14ac:dyDescent="0.25">
      <c r="A724" s="227"/>
      <c r="B724" s="227" t="s">
        <v>15</v>
      </c>
      <c r="C724" s="227"/>
      <c r="D724" s="227"/>
      <c r="E724" s="227"/>
      <c r="F724" s="227"/>
      <c r="G724" s="227"/>
      <c r="H724" s="227" t="s">
        <v>13</v>
      </c>
      <c r="I724" s="227"/>
      <c r="J724" s="227"/>
      <c r="K724" s="227"/>
      <c r="L724" s="227"/>
    </row>
    <row r="725" spans="1:12" ht="21.95" customHeight="1" x14ac:dyDescent="0.25">
      <c r="A725" s="227"/>
      <c r="B725" s="227" t="s">
        <v>18</v>
      </c>
      <c r="C725" s="227"/>
      <c r="D725" s="227"/>
      <c r="E725" s="227"/>
      <c r="F725" s="227"/>
      <c r="G725" s="227"/>
      <c r="H725" s="227" t="s">
        <v>14</v>
      </c>
      <c r="I725" s="227"/>
      <c r="J725" s="227"/>
      <c r="K725" s="227"/>
      <c r="L725" s="227"/>
    </row>
    <row r="726" spans="1:12" ht="21.95" customHeight="1" x14ac:dyDescent="0.25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</row>
    <row r="727" spans="1:12" ht="21.95" customHeight="1" x14ac:dyDescent="0.25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</row>
    <row r="728" spans="1:12" ht="21.95" customHeight="1" x14ac:dyDescent="0.25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</row>
    <row r="729" spans="1:12" ht="21.95" customHeight="1" x14ac:dyDescent="0.25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</row>
    <row r="730" spans="1:12" ht="21.95" customHeight="1" x14ac:dyDescent="0.25">
      <c r="A730" s="227"/>
      <c r="B730" s="256" t="s">
        <v>644</v>
      </c>
      <c r="C730" s="227"/>
      <c r="D730" s="227"/>
      <c r="E730" s="227"/>
      <c r="F730" s="227"/>
      <c r="G730" s="227"/>
      <c r="H730" s="37" t="s">
        <v>603</v>
      </c>
      <c r="I730" s="258"/>
      <c r="J730" s="249"/>
      <c r="K730" s="227"/>
      <c r="L730" s="227"/>
    </row>
    <row r="731" spans="1:12" ht="21.95" customHeight="1" x14ac:dyDescent="0.25">
      <c r="A731" s="227"/>
      <c r="B731" s="259" t="s">
        <v>645</v>
      </c>
      <c r="C731" s="260"/>
      <c r="D731" s="227"/>
      <c r="E731" s="227"/>
      <c r="F731" s="227"/>
      <c r="G731" s="227"/>
      <c r="H731" s="1" t="s">
        <v>31</v>
      </c>
      <c r="I731" s="261"/>
      <c r="J731" s="227"/>
      <c r="K731" s="227"/>
      <c r="L731" s="227"/>
    </row>
  </sheetData>
  <mergeCells count="154">
    <mergeCell ref="A611:L611"/>
    <mergeCell ref="A619:L619"/>
    <mergeCell ref="A621:L622"/>
    <mergeCell ref="B624:L624"/>
    <mergeCell ref="C626:E627"/>
    <mergeCell ref="B631:L631"/>
    <mergeCell ref="A633:L633"/>
    <mergeCell ref="J636:L636"/>
    <mergeCell ref="A576:L576"/>
    <mergeCell ref="A578:L579"/>
    <mergeCell ref="B581:L581"/>
    <mergeCell ref="C583:E584"/>
    <mergeCell ref="B588:L588"/>
    <mergeCell ref="A590:L590"/>
    <mergeCell ref="J593:L593"/>
    <mergeCell ref="A568:L568"/>
    <mergeCell ref="B545:L545"/>
    <mergeCell ref="A547:L547"/>
    <mergeCell ref="J550:L550"/>
    <mergeCell ref="N523:Y523"/>
    <mergeCell ref="N533:Y533"/>
    <mergeCell ref="N535:Y536"/>
    <mergeCell ref="O538:Y538"/>
    <mergeCell ref="P540:R541"/>
    <mergeCell ref="O545:Y545"/>
    <mergeCell ref="N547:Y547"/>
    <mergeCell ref="W550:Y550"/>
    <mergeCell ref="A523:L523"/>
    <mergeCell ref="A533:L533"/>
    <mergeCell ref="A535:L536"/>
    <mergeCell ref="B538:L538"/>
    <mergeCell ref="C540:E541"/>
    <mergeCell ref="B501:L501"/>
    <mergeCell ref="A503:L503"/>
    <mergeCell ref="J506:L506"/>
    <mergeCell ref="N479:Y479"/>
    <mergeCell ref="N489:Y489"/>
    <mergeCell ref="N491:Y492"/>
    <mergeCell ref="O494:Y494"/>
    <mergeCell ref="P496:R497"/>
    <mergeCell ref="O501:Y501"/>
    <mergeCell ref="N503:Y503"/>
    <mergeCell ref="W506:Y506"/>
    <mergeCell ref="A479:L479"/>
    <mergeCell ref="A489:L489"/>
    <mergeCell ref="A491:L492"/>
    <mergeCell ref="B494:L494"/>
    <mergeCell ref="C496:E497"/>
    <mergeCell ref="J288:L288"/>
    <mergeCell ref="M264:X264"/>
    <mergeCell ref="M274:X274"/>
    <mergeCell ref="N276:X276"/>
    <mergeCell ref="N283:X283"/>
    <mergeCell ref="M285:X285"/>
    <mergeCell ref="V288:X288"/>
    <mergeCell ref="A264:L264"/>
    <mergeCell ref="A274:L274"/>
    <mergeCell ref="B276:L276"/>
    <mergeCell ref="B283:L283"/>
    <mergeCell ref="A285:L285"/>
    <mergeCell ref="A9:L9"/>
    <mergeCell ref="A19:L19"/>
    <mergeCell ref="B21:L21"/>
    <mergeCell ref="C23:F23"/>
    <mergeCell ref="B28:L28"/>
    <mergeCell ref="A160:L160"/>
    <mergeCell ref="J163:L163"/>
    <mergeCell ref="A180:L180"/>
    <mergeCell ref="J33:L33"/>
    <mergeCell ref="A149:L149"/>
    <mergeCell ref="B151:L151"/>
    <mergeCell ref="C153:F153"/>
    <mergeCell ref="B158:L158"/>
    <mergeCell ref="A30:L30"/>
    <mergeCell ref="J76:L76"/>
    <mergeCell ref="A96:L96"/>
    <mergeCell ref="A106:L106"/>
    <mergeCell ref="B108:L108"/>
    <mergeCell ref="A52:L52"/>
    <mergeCell ref="A62:L62"/>
    <mergeCell ref="B64:L64"/>
    <mergeCell ref="C66:F66"/>
    <mergeCell ref="B71:L71"/>
    <mergeCell ref="A73:L73"/>
    <mergeCell ref="A201:L201"/>
    <mergeCell ref="J204:L204"/>
    <mergeCell ref="C110:F110"/>
    <mergeCell ref="B192:L192"/>
    <mergeCell ref="C194:F194"/>
    <mergeCell ref="B199:L199"/>
    <mergeCell ref="A190:L190"/>
    <mergeCell ref="B115:L115"/>
    <mergeCell ref="A117:L117"/>
    <mergeCell ref="J120:L120"/>
    <mergeCell ref="A139:L139"/>
    <mergeCell ref="J247:L247"/>
    <mergeCell ref="M223:X223"/>
    <mergeCell ref="M233:X233"/>
    <mergeCell ref="N235:X235"/>
    <mergeCell ref="N242:X242"/>
    <mergeCell ref="M244:X244"/>
    <mergeCell ref="V247:X247"/>
    <mergeCell ref="A233:L233"/>
    <mergeCell ref="B235:L235"/>
    <mergeCell ref="C237:F237"/>
    <mergeCell ref="B242:L242"/>
    <mergeCell ref="A244:L244"/>
    <mergeCell ref="A223:L223"/>
    <mergeCell ref="A306:L306"/>
    <mergeCell ref="A316:L316"/>
    <mergeCell ref="B318:L318"/>
    <mergeCell ref="B325:L325"/>
    <mergeCell ref="A327:L327"/>
    <mergeCell ref="A356:L356"/>
    <mergeCell ref="B361:L361"/>
    <mergeCell ref="B368:L368"/>
    <mergeCell ref="J330:L330"/>
    <mergeCell ref="A347:L347"/>
    <mergeCell ref="A358:L359"/>
    <mergeCell ref="C363:E364"/>
    <mergeCell ref="A459:L459"/>
    <mergeCell ref="J462:L462"/>
    <mergeCell ref="A436:L436"/>
    <mergeCell ref="A445:L445"/>
    <mergeCell ref="A447:L448"/>
    <mergeCell ref="B450:L450"/>
    <mergeCell ref="C452:E453"/>
    <mergeCell ref="A370:L370"/>
    <mergeCell ref="J373:L373"/>
    <mergeCell ref="A393:L393"/>
    <mergeCell ref="A402:L402"/>
    <mergeCell ref="J419:L419"/>
    <mergeCell ref="A404:L405"/>
    <mergeCell ref="B407:L407"/>
    <mergeCell ref="C409:E410"/>
    <mergeCell ref="B414:L414"/>
    <mergeCell ref="A416:L416"/>
    <mergeCell ref="B457:L457"/>
    <mergeCell ref="A706:L706"/>
    <mergeCell ref="A708:L709"/>
    <mergeCell ref="B711:L711"/>
    <mergeCell ref="C713:E714"/>
    <mergeCell ref="B718:L718"/>
    <mergeCell ref="A720:L720"/>
    <mergeCell ref="J723:L723"/>
    <mergeCell ref="A654:L654"/>
    <mergeCell ref="A662:L662"/>
    <mergeCell ref="A664:L665"/>
    <mergeCell ref="B667:L667"/>
    <mergeCell ref="C669:E670"/>
    <mergeCell ref="B674:L674"/>
    <mergeCell ref="A676:L676"/>
    <mergeCell ref="J679:L679"/>
    <mergeCell ref="A698:L698"/>
  </mergeCells>
  <pageMargins left="0.51181102362204722" right="0.19685039370078741" top="0.74803149606299213" bottom="0.98425196850393704" header="0.51181102362204722" footer="0.51181102362204722"/>
  <pageSetup paperSize="5" scale="80" orientation="portrait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E297-C192-4740-9097-C4EE0125A9B7}">
  <dimension ref="A3:N5142"/>
  <sheetViews>
    <sheetView topLeftCell="A906" zoomScaleNormal="100" zoomScaleSheetLayoutView="100" workbookViewId="0">
      <selection activeCell="A454" sqref="A454:M496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15.42578125" style="4" customWidth="1"/>
    <col min="6" max="6" width="13" style="4" customWidth="1"/>
    <col min="7" max="7" width="2.85546875" style="4" customWidth="1"/>
    <col min="8" max="8" width="7.5703125" style="4" customWidth="1"/>
    <col min="9" max="9" width="18.140625" style="4" customWidth="1"/>
    <col min="10" max="10" width="6.28515625" style="4" customWidth="1"/>
    <col min="11" max="11" width="5.28515625" style="4" customWidth="1"/>
    <col min="12" max="12" width="2.14062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3" spans="1:12" ht="21.95" customHeight="1" x14ac:dyDescent="0.25">
      <c r="A3" s="3" t="s">
        <v>22</v>
      </c>
    </row>
    <row r="4" spans="1:12" ht="21.95" customHeight="1" x14ac:dyDescent="0.2">
      <c r="A4" s="122" t="s">
        <v>20</v>
      </c>
    </row>
    <row r="5" spans="1:12" ht="21.95" customHeight="1" x14ac:dyDescent="0.2">
      <c r="A5" s="122" t="s">
        <v>21</v>
      </c>
    </row>
    <row r="9" spans="1:12" ht="21.9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21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21.9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21.95" customHeight="1" x14ac:dyDescent="0.25">
      <c r="A12" s="1"/>
      <c r="B12" s="1"/>
    </row>
    <row r="13" spans="1:12" ht="21.95" customHeight="1" x14ac:dyDescent="0.25">
      <c r="A13" s="1" t="s">
        <v>7</v>
      </c>
      <c r="B13" s="1"/>
    </row>
    <row r="14" spans="1:12" s="76" customFormat="1" ht="21.95" customHeight="1" x14ac:dyDescent="0.25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21.95" customHeight="1" x14ac:dyDescent="0.25">
      <c r="A15" s="1" t="s">
        <v>8</v>
      </c>
      <c r="C15" s="9" t="s">
        <v>1</v>
      </c>
      <c r="D15" s="92" t="s">
        <v>96</v>
      </c>
      <c r="E15" s="76"/>
      <c r="F15" s="76"/>
      <c r="G15" s="76"/>
      <c r="H15" s="76"/>
    </row>
    <row r="16" spans="1:12" ht="21.95" customHeight="1" x14ac:dyDescent="0.25">
      <c r="A16" s="1" t="s">
        <v>9</v>
      </c>
      <c r="C16" s="9" t="s">
        <v>1</v>
      </c>
      <c r="D16" s="57" t="s">
        <v>200</v>
      </c>
      <c r="E16" s="76"/>
      <c r="F16" s="76"/>
      <c r="G16" s="76"/>
      <c r="H16" s="76"/>
    </row>
    <row r="17" spans="1:12" ht="21.95" customHeight="1" x14ac:dyDescent="0.2">
      <c r="A17" s="50" t="s">
        <v>10</v>
      </c>
      <c r="B17" s="76"/>
      <c r="C17" s="91" t="s">
        <v>1</v>
      </c>
      <c r="D17" s="50" t="s">
        <v>203</v>
      </c>
      <c r="E17" s="76"/>
      <c r="F17" s="76"/>
      <c r="G17" s="76"/>
      <c r="H17" s="76"/>
      <c r="I17" s="76"/>
      <c r="J17" s="76"/>
      <c r="K17" s="76"/>
      <c r="L17" s="76"/>
    </row>
    <row r="18" spans="1:12" ht="21.95" customHeight="1" x14ac:dyDescent="0.25">
      <c r="A18" s="1"/>
      <c r="B18" s="1"/>
      <c r="D18" s="1"/>
    </row>
    <row r="19" spans="1:12" s="148" customFormat="1" ht="21.95" customHeight="1" x14ac:dyDescent="0.2">
      <c r="A19" s="317" t="s">
        <v>406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</row>
    <row r="20" spans="1:12" ht="21.95" customHeight="1" x14ac:dyDescent="0.25">
      <c r="A20" s="1"/>
      <c r="B20" s="1"/>
    </row>
    <row r="21" spans="1:12" ht="21.9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21.9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21.95" customHeight="1" x14ac:dyDescent="0.2">
      <c r="A23" s="50"/>
      <c r="B23" s="143">
        <v>1</v>
      </c>
      <c r="C23" s="284" t="s">
        <v>303</v>
      </c>
      <c r="D23" s="285"/>
      <c r="E23" s="285"/>
      <c r="F23" s="285"/>
      <c r="G23" s="76"/>
      <c r="H23" s="79"/>
      <c r="I23" s="56">
        <v>250000</v>
      </c>
      <c r="J23" s="76"/>
      <c r="K23" s="76"/>
      <c r="L23" s="79"/>
    </row>
    <row r="24" spans="1:12" ht="21.95" customHeight="1" x14ac:dyDescent="0.2">
      <c r="B24" s="96"/>
      <c r="C24" s="124"/>
      <c r="D24" s="124"/>
      <c r="E24" s="127"/>
      <c r="F24" s="125"/>
      <c r="G24" s="124"/>
      <c r="H24" s="124"/>
      <c r="I24" s="23"/>
      <c r="L24" s="17"/>
    </row>
    <row r="25" spans="1:12" ht="21.9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v>250000</v>
      </c>
      <c r="J25" s="1"/>
      <c r="K25" s="1"/>
      <c r="L25" s="42"/>
    </row>
    <row r="26" spans="1:12" ht="21.9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</row>
    <row r="27" spans="1:12" ht="21.9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1.9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</row>
    <row r="29" spans="1:12" ht="21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1.95" customHeight="1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</row>
    <row r="31" spans="1:12" ht="21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1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1.95" customHeight="1" x14ac:dyDescent="0.25">
      <c r="A33" s="1"/>
      <c r="B33" s="1"/>
      <c r="C33" s="1"/>
      <c r="D33" s="1"/>
      <c r="E33" s="1"/>
      <c r="F33" s="1"/>
      <c r="G33" s="1"/>
      <c r="H33" s="4" t="s">
        <v>199</v>
      </c>
      <c r="J33" s="318" t="s">
        <v>407</v>
      </c>
      <c r="K33" s="318"/>
      <c r="L33" s="318"/>
    </row>
    <row r="34" spans="1:12" ht="21.95" customHeight="1" x14ac:dyDescent="0.25">
      <c r="A34" s="1"/>
      <c r="B34" s="1" t="s">
        <v>15</v>
      </c>
      <c r="C34" s="1"/>
      <c r="D34" s="1"/>
      <c r="E34" s="1"/>
      <c r="F34" s="1"/>
      <c r="G34" s="1"/>
      <c r="H34" s="4" t="s">
        <v>13</v>
      </c>
    </row>
    <row r="35" spans="1:12" ht="21.95" customHeight="1" x14ac:dyDescent="0.25">
      <c r="A35" s="1"/>
      <c r="B35" s="1" t="s">
        <v>18</v>
      </c>
      <c r="C35" s="1"/>
      <c r="D35" s="1"/>
      <c r="E35" s="1"/>
      <c r="F35" s="1"/>
      <c r="G35" s="1"/>
      <c r="H35" s="4" t="s">
        <v>14</v>
      </c>
    </row>
    <row r="36" spans="1:12" ht="21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1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1.95" customHeight="1" x14ac:dyDescent="0.25">
      <c r="A38" s="1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"/>
    </row>
    <row r="39" spans="1:12" ht="21.95" customHeight="1" x14ac:dyDescent="0.25">
      <c r="A39" s="1"/>
      <c r="K39" s="103"/>
      <c r="L39" s="1"/>
    </row>
    <row r="40" spans="1:12" ht="21.95" customHeight="1" x14ac:dyDescent="0.25">
      <c r="A40" s="1"/>
      <c r="B40" s="95" t="s">
        <v>77</v>
      </c>
      <c r="H40" s="95" t="s">
        <v>96</v>
      </c>
      <c r="I40" s="95"/>
      <c r="J40" s="92"/>
      <c r="K40" s="103"/>
      <c r="L40" s="1"/>
    </row>
    <row r="41" spans="1:12" ht="21.95" customHeight="1" x14ac:dyDescent="0.25">
      <c r="A41" s="1"/>
      <c r="B41" s="99" t="s">
        <v>27</v>
      </c>
      <c r="C41" s="57"/>
      <c r="H41" s="99" t="s">
        <v>100</v>
      </c>
      <c r="K41" s="103"/>
    </row>
    <row r="49" spans="1:12" ht="21.95" customHeight="1" x14ac:dyDescent="0.25">
      <c r="A49" s="3" t="s">
        <v>22</v>
      </c>
    </row>
    <row r="50" spans="1:12" ht="21.95" customHeight="1" x14ac:dyDescent="0.2">
      <c r="A50" s="122" t="s">
        <v>20</v>
      </c>
    </row>
    <row r="51" spans="1:12" ht="21.95" customHeight="1" x14ac:dyDescent="0.2">
      <c r="A51" s="122" t="s">
        <v>21</v>
      </c>
    </row>
    <row r="55" spans="1:12" ht="21.95" customHeight="1" x14ac:dyDescent="0.3">
      <c r="A55" s="276" t="s">
        <v>6</v>
      </c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</row>
    <row r="56" spans="1:12" ht="21.95" customHeight="1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21.95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ht="21.95" customHeight="1" x14ac:dyDescent="0.25">
      <c r="A58" s="1"/>
      <c r="B58" s="1"/>
    </row>
    <row r="59" spans="1:12" ht="21.95" customHeight="1" x14ac:dyDescent="0.25">
      <c r="A59" s="1" t="s">
        <v>7</v>
      </c>
      <c r="B59" s="1"/>
    </row>
    <row r="60" spans="1:12" ht="21.95" customHeight="1" x14ac:dyDescent="0.25">
      <c r="A60" s="1"/>
      <c r="B60" s="1"/>
    </row>
    <row r="61" spans="1:12" ht="21.95" customHeight="1" x14ac:dyDescent="0.25">
      <c r="A61" s="1" t="s">
        <v>8</v>
      </c>
      <c r="C61" s="9" t="s">
        <v>1</v>
      </c>
      <c r="D61" s="92" t="s">
        <v>555</v>
      </c>
      <c r="E61" s="76"/>
      <c r="F61" s="76"/>
      <c r="G61" s="76"/>
      <c r="H61" s="76"/>
    </row>
    <row r="62" spans="1:12" ht="21.95" customHeight="1" x14ac:dyDescent="0.25">
      <c r="A62" s="1" t="s">
        <v>9</v>
      </c>
      <c r="C62" s="9" t="s">
        <v>1</v>
      </c>
      <c r="D62" s="57" t="s">
        <v>236</v>
      </c>
      <c r="E62" s="76"/>
      <c r="F62" s="76"/>
      <c r="G62" s="76"/>
      <c r="H62" s="76"/>
    </row>
    <row r="63" spans="1:12" ht="21.95" customHeight="1" x14ac:dyDescent="0.2">
      <c r="A63" s="50" t="s">
        <v>10</v>
      </c>
      <c r="B63" s="76"/>
      <c r="C63" s="91" t="s">
        <v>1</v>
      </c>
      <c r="D63" s="50" t="s">
        <v>235</v>
      </c>
      <c r="E63" s="76"/>
      <c r="F63" s="76"/>
      <c r="G63" s="76"/>
      <c r="H63" s="76"/>
      <c r="I63" s="76"/>
      <c r="J63" s="76"/>
      <c r="K63" s="76"/>
      <c r="L63" s="76"/>
    </row>
    <row r="64" spans="1:12" ht="21.95" customHeight="1" x14ac:dyDescent="0.25">
      <c r="A64" s="1"/>
      <c r="B64" s="1"/>
      <c r="D64" s="1"/>
    </row>
    <row r="65" spans="1:12" ht="21.95" customHeight="1" x14ac:dyDescent="0.2">
      <c r="A65" s="277" t="s">
        <v>412</v>
      </c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</row>
    <row r="66" spans="1:12" ht="21.95" customHeight="1" x14ac:dyDescent="0.25">
      <c r="A66" s="1"/>
      <c r="B66" s="1"/>
    </row>
    <row r="67" spans="1:12" ht="21.95" customHeight="1" thickBot="1" x14ac:dyDescent="0.25">
      <c r="A67" s="10" t="s">
        <v>0</v>
      </c>
      <c r="B67" s="278" t="s">
        <v>91</v>
      </c>
      <c r="C67" s="278"/>
      <c r="D67" s="278"/>
      <c r="E67" s="278"/>
      <c r="F67" s="278"/>
      <c r="G67" s="278"/>
      <c r="H67" s="278"/>
      <c r="I67" s="278"/>
      <c r="J67" s="278"/>
      <c r="K67" s="278"/>
      <c r="L67" s="278"/>
    </row>
    <row r="68" spans="1:12" ht="21.95" customHeight="1" thickTop="1" x14ac:dyDescent="0.25">
      <c r="A68" s="1"/>
      <c r="B68" s="11" t="s">
        <v>3</v>
      </c>
      <c r="C68" s="12" t="s">
        <v>4</v>
      </c>
      <c r="D68" s="13"/>
      <c r="E68" s="13"/>
      <c r="F68" s="13"/>
      <c r="G68" s="13"/>
      <c r="H68" s="14"/>
      <c r="I68" s="15" t="s">
        <v>5</v>
      </c>
      <c r="J68" s="12" t="s">
        <v>17</v>
      </c>
      <c r="K68" s="13"/>
      <c r="L68" s="14"/>
    </row>
    <row r="69" spans="1:12" ht="21.95" customHeight="1" x14ac:dyDescent="0.2">
      <c r="A69" s="50"/>
      <c r="B69" s="143">
        <v>1</v>
      </c>
      <c r="C69" s="284" t="s">
        <v>413</v>
      </c>
      <c r="D69" s="285"/>
      <c r="E69" s="285"/>
      <c r="F69" s="285"/>
      <c r="G69" s="76"/>
      <c r="H69" s="79"/>
      <c r="I69" s="56">
        <v>180000</v>
      </c>
      <c r="J69" s="76"/>
      <c r="K69" s="76"/>
      <c r="L69" s="79"/>
    </row>
    <row r="70" spans="1:12" ht="21.95" customHeight="1" x14ac:dyDescent="0.2">
      <c r="B70" s="96">
        <v>2</v>
      </c>
      <c r="C70" s="313" t="s">
        <v>414</v>
      </c>
      <c r="D70" s="314"/>
      <c r="E70" s="314"/>
      <c r="F70" s="314"/>
      <c r="G70" s="314"/>
      <c r="H70" s="315"/>
      <c r="I70" s="56">
        <v>180000</v>
      </c>
      <c r="L70" s="17"/>
    </row>
    <row r="71" spans="1:12" ht="21.95" customHeight="1" x14ac:dyDescent="0.25">
      <c r="A71" s="1"/>
      <c r="B71" s="39"/>
      <c r="C71" s="1"/>
      <c r="D71" s="1"/>
      <c r="E71" s="1"/>
      <c r="F71" s="40" t="s">
        <v>5</v>
      </c>
      <c r="G71" s="40"/>
      <c r="H71" s="1"/>
      <c r="I71" s="41">
        <f>360000</f>
        <v>360000</v>
      </c>
      <c r="J71" s="1"/>
      <c r="K71" s="1"/>
      <c r="L71" s="42"/>
    </row>
    <row r="72" spans="1:12" ht="21.95" customHeight="1" thickBot="1" x14ac:dyDescent="0.3">
      <c r="A72" s="1"/>
      <c r="B72" s="43"/>
      <c r="C72" s="44"/>
      <c r="D72" s="44"/>
      <c r="E72" s="44"/>
      <c r="F72" s="45"/>
      <c r="G72" s="45"/>
      <c r="H72" s="44"/>
      <c r="I72" s="46"/>
      <c r="J72" s="44"/>
      <c r="K72" s="44"/>
      <c r="L72" s="47"/>
    </row>
    <row r="73" spans="1:12" ht="21.95" customHeight="1" thickTop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1.95" customHeight="1" x14ac:dyDescent="0.2">
      <c r="A74" s="10" t="s">
        <v>2</v>
      </c>
      <c r="B74" s="279" t="s">
        <v>11</v>
      </c>
      <c r="C74" s="279"/>
      <c r="D74" s="279"/>
      <c r="E74" s="279"/>
      <c r="F74" s="279"/>
      <c r="G74" s="279"/>
      <c r="H74" s="279"/>
      <c r="I74" s="279"/>
      <c r="J74" s="279"/>
      <c r="K74" s="279"/>
      <c r="L74" s="279"/>
    </row>
    <row r="75" spans="1:12" ht="21.9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1.95" customHeight="1" x14ac:dyDescent="0.2">
      <c r="A76" s="280" t="s">
        <v>12</v>
      </c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</row>
    <row r="77" spans="1:12" ht="21.9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1.9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1.95" customHeight="1" x14ac:dyDescent="0.25">
      <c r="A79" s="1"/>
      <c r="B79" s="1"/>
      <c r="C79" s="1"/>
      <c r="D79" s="1"/>
      <c r="E79" s="1"/>
      <c r="F79" s="1"/>
      <c r="G79" s="1"/>
      <c r="H79" s="4" t="s">
        <v>199</v>
      </c>
      <c r="J79" s="286" t="s">
        <v>411</v>
      </c>
      <c r="K79" s="286"/>
      <c r="L79" s="286"/>
    </row>
    <row r="80" spans="1:12" ht="21.95" customHeight="1" x14ac:dyDescent="0.25">
      <c r="A80" s="1"/>
      <c r="B80" s="1" t="s">
        <v>15</v>
      </c>
      <c r="C80" s="1"/>
      <c r="D80" s="1"/>
      <c r="E80" s="1"/>
      <c r="F80" s="1"/>
      <c r="G80" s="1"/>
      <c r="H80" s="4" t="s">
        <v>13</v>
      </c>
    </row>
    <row r="81" spans="1:12" ht="21.95" customHeight="1" x14ac:dyDescent="0.25">
      <c r="A81" s="1"/>
      <c r="B81" s="1" t="s">
        <v>18</v>
      </c>
      <c r="C81" s="1"/>
      <c r="D81" s="1"/>
      <c r="E81" s="1"/>
      <c r="F81" s="1"/>
      <c r="G81" s="1"/>
      <c r="H81" s="4" t="s">
        <v>14</v>
      </c>
    </row>
    <row r="82" spans="1:12" ht="21.9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1.9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21.95" customHeight="1" x14ac:dyDescent="0.25">
      <c r="A84" s="1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"/>
    </row>
    <row r="85" spans="1:12" ht="21.95" customHeight="1" x14ac:dyDescent="0.25">
      <c r="A85" s="1"/>
      <c r="K85" s="103"/>
      <c r="L85" s="1"/>
    </row>
    <row r="86" spans="1:12" ht="21.95" customHeight="1" x14ac:dyDescent="0.25">
      <c r="A86" s="1"/>
      <c r="B86" s="95" t="s">
        <v>77</v>
      </c>
      <c r="H86" s="26" t="s">
        <v>555</v>
      </c>
      <c r="I86" s="95"/>
      <c r="J86" s="92"/>
      <c r="K86" s="103"/>
      <c r="L86" s="1"/>
    </row>
    <row r="87" spans="1:12" ht="21.95" customHeight="1" x14ac:dyDescent="0.25">
      <c r="A87" s="1"/>
      <c r="B87" s="99" t="s">
        <v>27</v>
      </c>
      <c r="C87" s="57"/>
      <c r="H87" s="28" t="s">
        <v>46</v>
      </c>
      <c r="K87" s="103"/>
    </row>
    <row r="91" spans="1:12" ht="21.95" customHeight="1" x14ac:dyDescent="0.25">
      <c r="A91" s="3" t="s">
        <v>22</v>
      </c>
    </row>
    <row r="92" spans="1:12" ht="21.95" customHeight="1" x14ac:dyDescent="0.2">
      <c r="A92" s="122" t="s">
        <v>20</v>
      </c>
    </row>
    <row r="93" spans="1:12" ht="21.95" customHeight="1" x14ac:dyDescent="0.2">
      <c r="A93" s="122" t="s">
        <v>21</v>
      </c>
    </row>
    <row r="97" spans="1:12" ht="21.95" customHeight="1" x14ac:dyDescent="0.3">
      <c r="A97" s="276" t="s">
        <v>6</v>
      </c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</row>
    <row r="98" spans="1:12" ht="21.95" customHeigh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1:12" ht="21.95" customHeight="1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</row>
    <row r="100" spans="1:12" ht="21.95" customHeight="1" x14ac:dyDescent="0.25">
      <c r="A100" s="1"/>
      <c r="B100" s="1"/>
    </row>
    <row r="101" spans="1:12" ht="21.95" customHeight="1" x14ac:dyDescent="0.25">
      <c r="A101" s="1" t="s">
        <v>7</v>
      </c>
      <c r="B101" s="1"/>
    </row>
    <row r="102" spans="1:12" ht="21.95" customHeight="1" x14ac:dyDescent="0.25">
      <c r="A102" s="1"/>
      <c r="B102" s="1"/>
    </row>
    <row r="103" spans="1:12" ht="21.95" customHeight="1" x14ac:dyDescent="0.25">
      <c r="A103" s="1" t="s">
        <v>8</v>
      </c>
      <c r="C103" s="9" t="s">
        <v>1</v>
      </c>
      <c r="D103" s="92" t="s">
        <v>77</v>
      </c>
      <c r="E103" s="76"/>
      <c r="F103" s="76"/>
      <c r="G103" s="76"/>
      <c r="H103" s="76"/>
    </row>
    <row r="104" spans="1:12" ht="21.95" customHeight="1" x14ac:dyDescent="0.25">
      <c r="A104" s="1" t="s">
        <v>9</v>
      </c>
      <c r="C104" s="9" t="s">
        <v>1</v>
      </c>
      <c r="D104" s="146" t="s">
        <v>201</v>
      </c>
      <c r="E104" s="76"/>
      <c r="F104" s="76"/>
      <c r="G104" s="76"/>
      <c r="H104" s="76"/>
    </row>
    <row r="105" spans="1:12" ht="21.95" customHeight="1" x14ac:dyDescent="0.2">
      <c r="A105" s="50" t="s">
        <v>10</v>
      </c>
      <c r="B105" s="76"/>
      <c r="C105" s="91" t="s">
        <v>1</v>
      </c>
      <c r="D105" s="4" t="s">
        <v>265</v>
      </c>
      <c r="E105" s="76"/>
      <c r="F105" s="76"/>
      <c r="G105" s="76"/>
      <c r="H105" s="76"/>
      <c r="I105" s="76"/>
      <c r="J105" s="76"/>
      <c r="K105" s="76"/>
      <c r="L105" s="76"/>
    </row>
    <row r="106" spans="1:12" ht="21.95" customHeight="1" x14ac:dyDescent="0.25">
      <c r="A106" s="1"/>
      <c r="B106" s="1"/>
      <c r="D106" s="1"/>
    </row>
    <row r="107" spans="1:12" ht="21.95" customHeight="1" x14ac:dyDescent="0.2">
      <c r="A107" s="277" t="s">
        <v>412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</row>
    <row r="108" spans="1:12" ht="21.95" customHeight="1" x14ac:dyDescent="0.25">
      <c r="A108" s="1"/>
      <c r="B108" s="1"/>
    </row>
    <row r="109" spans="1:12" ht="21.95" customHeight="1" thickBot="1" x14ac:dyDescent="0.25">
      <c r="A109" s="10" t="s">
        <v>0</v>
      </c>
      <c r="B109" s="278" t="s">
        <v>91</v>
      </c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</row>
    <row r="110" spans="1:12" ht="21.95" customHeight="1" thickTop="1" x14ac:dyDescent="0.25">
      <c r="A110" s="1"/>
      <c r="B110" s="11" t="s">
        <v>3</v>
      </c>
      <c r="C110" s="12" t="s">
        <v>4</v>
      </c>
      <c r="D110" s="13"/>
      <c r="E110" s="13"/>
      <c r="F110" s="13"/>
      <c r="G110" s="13"/>
      <c r="H110" s="14"/>
      <c r="I110" s="15" t="s">
        <v>5</v>
      </c>
      <c r="J110" s="12" t="s">
        <v>17</v>
      </c>
      <c r="K110" s="13"/>
      <c r="L110" s="14"/>
    </row>
    <row r="111" spans="1:12" ht="21.95" customHeight="1" x14ac:dyDescent="0.2">
      <c r="B111" s="96">
        <v>1</v>
      </c>
      <c r="C111" s="313" t="s">
        <v>419</v>
      </c>
      <c r="D111" s="314"/>
      <c r="E111" s="314"/>
      <c r="F111" s="314"/>
      <c r="G111" s="314"/>
      <c r="H111" s="315"/>
      <c r="I111" s="56">
        <v>9</v>
      </c>
      <c r="L111" s="17"/>
    </row>
    <row r="112" spans="1:12" ht="21.95" customHeight="1" x14ac:dyDescent="0.2">
      <c r="B112" s="96"/>
      <c r="C112" s="119"/>
      <c r="D112" s="119"/>
      <c r="E112" s="119"/>
      <c r="F112" s="119"/>
      <c r="G112" s="119"/>
      <c r="H112" s="119"/>
      <c r="I112" s="56"/>
      <c r="L112" s="17"/>
    </row>
    <row r="113" spans="1:12" ht="21.95" customHeight="1" x14ac:dyDescent="0.25">
      <c r="A113" s="1"/>
      <c r="B113" s="39"/>
      <c r="C113" s="1"/>
      <c r="D113" s="1"/>
      <c r="E113" s="1"/>
      <c r="F113" s="40" t="s">
        <v>5</v>
      </c>
      <c r="G113" s="40"/>
      <c r="H113" s="1"/>
      <c r="I113" s="41">
        <f>180000</f>
        <v>180000</v>
      </c>
      <c r="J113" s="1"/>
      <c r="K113" s="1"/>
      <c r="L113" s="42"/>
    </row>
    <row r="114" spans="1:12" ht="21.95" customHeight="1" thickBot="1" x14ac:dyDescent="0.3">
      <c r="A114" s="1"/>
      <c r="B114" s="43"/>
      <c r="C114" s="44"/>
      <c r="D114" s="44"/>
      <c r="E114" s="44"/>
      <c r="F114" s="45"/>
      <c r="G114" s="45"/>
      <c r="H114" s="44"/>
      <c r="I114" s="46"/>
      <c r="J114" s="44"/>
      <c r="K114" s="44"/>
      <c r="L114" s="47"/>
    </row>
    <row r="115" spans="1:12" ht="21.95" customHeight="1" thickTop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21.95" customHeight="1" x14ac:dyDescent="0.2">
      <c r="A116" s="10" t="s">
        <v>2</v>
      </c>
      <c r="B116" s="279" t="s">
        <v>11</v>
      </c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</row>
    <row r="117" spans="1:12" ht="21.9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21.95" customHeight="1" x14ac:dyDescent="0.2">
      <c r="A118" s="280" t="s">
        <v>12</v>
      </c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</row>
    <row r="119" spans="1:12" ht="21.9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1.9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21.95" customHeight="1" x14ac:dyDescent="0.25">
      <c r="A121" s="1"/>
      <c r="B121" s="1"/>
      <c r="C121" s="1"/>
      <c r="D121" s="1"/>
      <c r="E121" s="1"/>
      <c r="F121" s="1"/>
      <c r="G121" s="1"/>
      <c r="H121" s="4" t="s">
        <v>199</v>
      </c>
      <c r="J121" s="286" t="s">
        <v>411</v>
      </c>
      <c r="K121" s="286"/>
      <c r="L121" s="286"/>
    </row>
    <row r="122" spans="1:12" ht="21.95" customHeight="1" x14ac:dyDescent="0.25">
      <c r="A122" s="1"/>
      <c r="B122" s="1" t="s">
        <v>15</v>
      </c>
      <c r="C122" s="1"/>
      <c r="D122" s="1"/>
      <c r="E122" s="1"/>
      <c r="F122" s="1"/>
      <c r="G122" s="1"/>
      <c r="H122" s="4" t="s">
        <v>13</v>
      </c>
    </row>
    <row r="123" spans="1:12" ht="21.95" customHeight="1" x14ac:dyDescent="0.25">
      <c r="A123" s="1"/>
      <c r="B123" s="1" t="s">
        <v>18</v>
      </c>
      <c r="C123" s="1"/>
      <c r="D123" s="1"/>
      <c r="E123" s="1"/>
      <c r="F123" s="1"/>
      <c r="G123" s="1"/>
      <c r="H123" s="4" t="s">
        <v>14</v>
      </c>
    </row>
    <row r="124" spans="1:12" ht="21.9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21.9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21.95" customHeight="1" x14ac:dyDescent="0.25">
      <c r="A126" s="1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"/>
    </row>
    <row r="127" spans="1:12" ht="21.95" customHeight="1" x14ac:dyDescent="0.25">
      <c r="A127" s="1"/>
      <c r="K127" s="103"/>
      <c r="L127" s="1"/>
    </row>
    <row r="128" spans="1:12" ht="21.95" customHeight="1" x14ac:dyDescent="0.25">
      <c r="A128" s="1"/>
      <c r="B128" s="95" t="s">
        <v>77</v>
      </c>
      <c r="H128" s="95" t="s">
        <v>77</v>
      </c>
      <c r="I128" s="95"/>
      <c r="J128" s="92"/>
      <c r="K128" s="103"/>
      <c r="L128" s="1"/>
    </row>
    <row r="129" spans="1:12" ht="21.95" customHeight="1" x14ac:dyDescent="0.25">
      <c r="A129" s="1"/>
      <c r="B129" s="99" t="s">
        <v>27</v>
      </c>
      <c r="C129" s="57"/>
      <c r="H129" s="99" t="s">
        <v>27</v>
      </c>
      <c r="K129" s="103"/>
    </row>
    <row r="133" spans="1:12" ht="21.95" customHeight="1" x14ac:dyDescent="0.25">
      <c r="A133" s="3" t="s">
        <v>22</v>
      </c>
    </row>
    <row r="134" spans="1:12" ht="21.95" customHeight="1" x14ac:dyDescent="0.2">
      <c r="A134" s="122" t="s">
        <v>20</v>
      </c>
    </row>
    <row r="135" spans="1:12" ht="21.95" customHeight="1" x14ac:dyDescent="0.2">
      <c r="A135" s="122" t="s">
        <v>21</v>
      </c>
    </row>
    <row r="139" spans="1:12" ht="21.95" customHeight="1" x14ac:dyDescent="0.3">
      <c r="A139" s="276" t="s">
        <v>6</v>
      </c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</row>
    <row r="140" spans="1:12" s="76" customFormat="1" ht="21.95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1:12" ht="21.9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21.95" customHeight="1" x14ac:dyDescent="0.25">
      <c r="A142" s="1"/>
      <c r="B142" s="1"/>
    </row>
    <row r="143" spans="1:12" ht="21.95" customHeight="1" x14ac:dyDescent="0.25">
      <c r="A143" s="1" t="s">
        <v>7</v>
      </c>
      <c r="B143" s="1"/>
    </row>
    <row r="144" spans="1:12" ht="21.95" customHeight="1" x14ac:dyDescent="0.25">
      <c r="A144" s="1"/>
      <c r="B144" s="1"/>
    </row>
    <row r="145" spans="1:12" ht="21.95" customHeight="1" x14ac:dyDescent="0.25">
      <c r="A145" s="1" t="s">
        <v>8</v>
      </c>
      <c r="C145" s="9" t="s">
        <v>1</v>
      </c>
      <c r="D145" s="92" t="s">
        <v>77</v>
      </c>
      <c r="E145" s="76"/>
      <c r="F145" s="76"/>
      <c r="G145" s="76"/>
      <c r="H145" s="76"/>
    </row>
    <row r="146" spans="1:12" ht="21.95" customHeight="1" x14ac:dyDescent="0.25">
      <c r="A146" s="1" t="s">
        <v>9</v>
      </c>
      <c r="C146" s="9" t="s">
        <v>1</v>
      </c>
      <c r="D146" s="146" t="s">
        <v>201</v>
      </c>
      <c r="E146" s="76"/>
      <c r="F146" s="76"/>
      <c r="G146" s="76"/>
      <c r="H146" s="76"/>
    </row>
    <row r="147" spans="1:12" ht="21.95" customHeight="1" x14ac:dyDescent="0.2">
      <c r="A147" s="50" t="s">
        <v>10</v>
      </c>
      <c r="B147" s="76"/>
      <c r="C147" s="91" t="s">
        <v>1</v>
      </c>
      <c r="D147" s="4" t="s">
        <v>265</v>
      </c>
      <c r="E147" s="76"/>
      <c r="F147" s="76"/>
      <c r="G147" s="76"/>
      <c r="H147" s="76"/>
      <c r="I147" s="76"/>
      <c r="J147" s="76"/>
      <c r="K147" s="76"/>
      <c r="L147" s="76"/>
    </row>
    <row r="148" spans="1:12" ht="21.95" customHeight="1" x14ac:dyDescent="0.25">
      <c r="A148" s="1"/>
      <c r="B148" s="1"/>
      <c r="D148" s="1"/>
    </row>
    <row r="149" spans="1:12" ht="21.95" customHeight="1" x14ac:dyDescent="0.2">
      <c r="A149" s="277" t="s">
        <v>416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</row>
    <row r="150" spans="1:12" ht="21.95" customHeight="1" x14ac:dyDescent="0.25">
      <c r="A150" s="1"/>
      <c r="B150" s="1"/>
    </row>
    <row r="151" spans="1:12" ht="21.95" customHeight="1" thickBot="1" x14ac:dyDescent="0.25">
      <c r="A151" s="10" t="s">
        <v>0</v>
      </c>
      <c r="B151" s="278" t="s">
        <v>91</v>
      </c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</row>
    <row r="152" spans="1:12" ht="21.95" customHeight="1" thickTop="1" x14ac:dyDescent="0.25">
      <c r="A152" s="1"/>
      <c r="B152" s="11" t="s">
        <v>3</v>
      </c>
      <c r="C152" s="12" t="s">
        <v>4</v>
      </c>
      <c r="D152" s="13"/>
      <c r="E152" s="13"/>
      <c r="F152" s="13"/>
      <c r="G152" s="13"/>
      <c r="H152" s="14"/>
      <c r="I152" s="15" t="s">
        <v>5</v>
      </c>
      <c r="J152" s="12" t="s">
        <v>17</v>
      </c>
      <c r="K152" s="13"/>
      <c r="L152" s="14"/>
    </row>
    <row r="153" spans="1:12" ht="21.95" customHeight="1" x14ac:dyDescent="0.2">
      <c r="B153" s="96">
        <v>1</v>
      </c>
      <c r="C153" s="313" t="s">
        <v>415</v>
      </c>
      <c r="D153" s="314"/>
      <c r="E153" s="314"/>
      <c r="F153" s="314"/>
      <c r="G153" s="314"/>
      <c r="H153" s="315"/>
      <c r="I153" s="56">
        <v>150000</v>
      </c>
      <c r="L153" s="17"/>
    </row>
    <row r="154" spans="1:12" ht="21.95" customHeight="1" x14ac:dyDescent="0.2">
      <c r="B154" s="96"/>
      <c r="C154" s="119"/>
      <c r="D154" s="119"/>
      <c r="E154" s="119"/>
      <c r="F154" s="119"/>
      <c r="G154" s="119"/>
      <c r="H154" s="119"/>
      <c r="I154" s="56"/>
      <c r="L154" s="17"/>
    </row>
    <row r="155" spans="1:12" ht="21.95" customHeight="1" x14ac:dyDescent="0.25">
      <c r="A155" s="1"/>
      <c r="B155" s="39"/>
      <c r="C155" s="1"/>
      <c r="D155" s="1"/>
      <c r="E155" s="1"/>
      <c r="F155" s="40" t="s">
        <v>5</v>
      </c>
      <c r="G155" s="40"/>
      <c r="H155" s="1"/>
      <c r="I155" s="41">
        <f>I153</f>
        <v>150000</v>
      </c>
      <c r="J155" s="1"/>
      <c r="K155" s="1"/>
      <c r="L155" s="42"/>
    </row>
    <row r="156" spans="1:12" ht="21.95" customHeight="1" thickBot="1" x14ac:dyDescent="0.3">
      <c r="A156" s="1"/>
      <c r="B156" s="43"/>
      <c r="C156" s="44"/>
      <c r="D156" s="44"/>
      <c r="E156" s="44"/>
      <c r="F156" s="45"/>
      <c r="G156" s="45"/>
      <c r="H156" s="44"/>
      <c r="I156" s="46"/>
      <c r="J156" s="44"/>
      <c r="K156" s="44"/>
      <c r="L156" s="47"/>
    </row>
    <row r="157" spans="1:12" ht="21.95" customHeight="1" thickTop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21.95" customHeight="1" x14ac:dyDescent="0.2">
      <c r="A158" s="10" t="s">
        <v>2</v>
      </c>
      <c r="B158" s="279" t="s">
        <v>11</v>
      </c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</row>
    <row r="159" spans="1:12" ht="21.9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21.95" customHeight="1" x14ac:dyDescent="0.2">
      <c r="A160" s="280" t="s">
        <v>12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</row>
    <row r="161" spans="1:12" ht="21.9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21.9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21.95" customHeight="1" x14ac:dyDescent="0.25">
      <c r="A163" s="1"/>
      <c r="B163" s="1"/>
      <c r="C163" s="1"/>
      <c r="D163" s="1"/>
      <c r="E163" s="1"/>
      <c r="F163" s="1"/>
      <c r="G163" s="1"/>
      <c r="H163" s="4" t="s">
        <v>199</v>
      </c>
      <c r="J163" s="286" t="s">
        <v>411</v>
      </c>
      <c r="K163" s="286"/>
      <c r="L163" s="286"/>
    </row>
    <row r="164" spans="1:12" ht="21.95" customHeight="1" x14ac:dyDescent="0.25">
      <c r="A164" s="1"/>
      <c r="B164" s="1" t="s">
        <v>15</v>
      </c>
      <c r="C164" s="1"/>
      <c r="D164" s="1"/>
      <c r="E164" s="1"/>
      <c r="F164" s="1"/>
      <c r="G164" s="1"/>
      <c r="H164" s="4" t="s">
        <v>13</v>
      </c>
    </row>
    <row r="165" spans="1:12" s="76" customFormat="1" ht="21.95" customHeight="1" x14ac:dyDescent="0.25">
      <c r="A165" s="1"/>
      <c r="B165" s="1" t="s">
        <v>18</v>
      </c>
      <c r="C165" s="1"/>
      <c r="D165" s="1"/>
      <c r="E165" s="1"/>
      <c r="F165" s="1"/>
      <c r="G165" s="1"/>
      <c r="H165" s="4" t="s">
        <v>14</v>
      </c>
      <c r="I165" s="4"/>
      <c r="J165" s="4"/>
      <c r="K165" s="4"/>
      <c r="L165" s="4"/>
    </row>
    <row r="166" spans="1:12" ht="21.9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21.9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21.95" customHeight="1" x14ac:dyDescent="0.25">
      <c r="A168" s="1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"/>
    </row>
    <row r="169" spans="1:12" ht="21.95" customHeight="1" x14ac:dyDescent="0.25">
      <c r="A169" s="1"/>
      <c r="K169" s="103"/>
      <c r="L169" s="1"/>
    </row>
    <row r="170" spans="1:12" ht="21.95" customHeight="1" x14ac:dyDescent="0.25">
      <c r="A170" s="1"/>
      <c r="B170" s="95" t="s">
        <v>77</v>
      </c>
      <c r="H170" s="95" t="s">
        <v>77</v>
      </c>
      <c r="I170" s="95"/>
      <c r="J170" s="92"/>
      <c r="K170" s="103"/>
      <c r="L170" s="1"/>
    </row>
    <row r="171" spans="1:12" ht="21.95" customHeight="1" x14ac:dyDescent="0.25">
      <c r="A171" s="1"/>
      <c r="B171" s="99" t="s">
        <v>27</v>
      </c>
      <c r="C171" s="57"/>
      <c r="H171" s="99" t="s">
        <v>27</v>
      </c>
      <c r="K171" s="103"/>
    </row>
    <row r="176" spans="1:12" ht="21.95" customHeight="1" x14ac:dyDescent="0.25">
      <c r="A176" s="3" t="s">
        <v>22</v>
      </c>
    </row>
    <row r="177" spans="1:12" ht="21.95" customHeight="1" x14ac:dyDescent="0.2">
      <c r="A177" s="122" t="s">
        <v>20</v>
      </c>
    </row>
    <row r="178" spans="1:12" ht="21.95" customHeight="1" x14ac:dyDescent="0.2">
      <c r="A178" s="122" t="s">
        <v>21</v>
      </c>
    </row>
    <row r="182" spans="1:12" ht="21.95" customHeight="1" x14ac:dyDescent="0.3">
      <c r="A182" s="276" t="s">
        <v>6</v>
      </c>
      <c r="B182" s="276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</row>
    <row r="183" spans="1:12" ht="21.95" customHeigh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</row>
    <row r="184" spans="1:12" s="76" customFormat="1" ht="21.95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</row>
    <row r="185" spans="1:12" ht="21.95" customHeight="1" x14ac:dyDescent="0.25">
      <c r="A185" s="1"/>
      <c r="B185" s="1"/>
    </row>
    <row r="186" spans="1:12" ht="21.95" customHeight="1" x14ac:dyDescent="0.25">
      <c r="A186" s="1" t="s">
        <v>7</v>
      </c>
      <c r="B186" s="1"/>
    </row>
    <row r="187" spans="1:12" ht="21.95" customHeight="1" x14ac:dyDescent="0.25">
      <c r="A187" s="1"/>
      <c r="B187" s="1"/>
    </row>
    <row r="188" spans="1:12" ht="21.95" customHeight="1" x14ac:dyDescent="0.25">
      <c r="A188" s="1" t="s">
        <v>8</v>
      </c>
      <c r="C188" s="9" t="s">
        <v>1</v>
      </c>
      <c r="D188" s="92" t="s">
        <v>555</v>
      </c>
      <c r="E188" s="76"/>
      <c r="F188" s="76"/>
      <c r="G188" s="76"/>
      <c r="H188" s="76"/>
    </row>
    <row r="189" spans="1:12" ht="21.95" customHeight="1" x14ac:dyDescent="0.25">
      <c r="A189" s="1" t="s">
        <v>9</v>
      </c>
      <c r="C189" s="9" t="s">
        <v>1</v>
      </c>
      <c r="D189" s="57" t="s">
        <v>236</v>
      </c>
      <c r="E189" s="76"/>
      <c r="F189" s="76"/>
      <c r="G189" s="76"/>
      <c r="H189" s="76"/>
    </row>
    <row r="190" spans="1:12" ht="21.95" customHeight="1" x14ac:dyDescent="0.2">
      <c r="A190" s="50" t="s">
        <v>10</v>
      </c>
      <c r="B190" s="76"/>
      <c r="C190" s="91" t="s">
        <v>1</v>
      </c>
      <c r="D190" s="50" t="s">
        <v>235</v>
      </c>
      <c r="E190" s="76"/>
      <c r="F190" s="76"/>
      <c r="G190" s="76"/>
      <c r="H190" s="76"/>
      <c r="I190" s="76"/>
      <c r="J190" s="76"/>
      <c r="K190" s="76"/>
      <c r="L190" s="76"/>
    </row>
    <row r="191" spans="1:12" ht="21.95" customHeight="1" x14ac:dyDescent="0.25">
      <c r="A191" s="1"/>
      <c r="B191" s="1"/>
      <c r="D191" s="1"/>
    </row>
    <row r="192" spans="1:12" ht="21.95" customHeight="1" x14ac:dyDescent="0.2">
      <c r="A192" s="277" t="s">
        <v>416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</row>
    <row r="193" spans="1:12" ht="21.95" customHeight="1" x14ac:dyDescent="0.25">
      <c r="A193" s="1"/>
      <c r="B193" s="1"/>
    </row>
    <row r="194" spans="1:12" ht="21.95" customHeight="1" thickBot="1" x14ac:dyDescent="0.25">
      <c r="A194" s="10" t="s">
        <v>0</v>
      </c>
      <c r="B194" s="278" t="s">
        <v>91</v>
      </c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</row>
    <row r="195" spans="1:12" ht="21.95" customHeight="1" thickTop="1" x14ac:dyDescent="0.25">
      <c r="A195" s="1"/>
      <c r="B195" s="11" t="s">
        <v>3</v>
      </c>
      <c r="C195" s="12" t="s">
        <v>4</v>
      </c>
      <c r="D195" s="13"/>
      <c r="E195" s="13"/>
      <c r="F195" s="13"/>
      <c r="G195" s="13"/>
      <c r="H195" s="14"/>
      <c r="I195" s="15" t="s">
        <v>5</v>
      </c>
      <c r="J195" s="12" t="s">
        <v>17</v>
      </c>
      <c r="K195" s="13"/>
      <c r="L195" s="14"/>
    </row>
    <row r="196" spans="1:12" ht="21.95" customHeight="1" x14ac:dyDescent="0.2">
      <c r="B196" s="96">
        <v>1</v>
      </c>
      <c r="C196" s="313" t="s">
        <v>415</v>
      </c>
      <c r="D196" s="314"/>
      <c r="E196" s="314"/>
      <c r="F196" s="314"/>
      <c r="G196" s="314"/>
      <c r="H196" s="315"/>
      <c r="I196" s="56">
        <v>150000</v>
      </c>
      <c r="L196" s="17"/>
    </row>
    <row r="197" spans="1:12" ht="21.95" customHeight="1" x14ac:dyDescent="0.2">
      <c r="B197" s="96"/>
      <c r="C197" s="313"/>
      <c r="D197" s="314"/>
      <c r="E197" s="314"/>
      <c r="F197" s="314"/>
      <c r="G197" s="314"/>
      <c r="H197" s="315"/>
      <c r="I197" s="56"/>
      <c r="L197" s="17"/>
    </row>
    <row r="198" spans="1:12" ht="21.95" customHeight="1" x14ac:dyDescent="0.25">
      <c r="A198" s="1"/>
      <c r="B198" s="39"/>
      <c r="C198" s="1"/>
      <c r="D198" s="1"/>
      <c r="E198" s="1"/>
      <c r="F198" s="40" t="s">
        <v>5</v>
      </c>
      <c r="G198" s="40"/>
      <c r="H198" s="1"/>
      <c r="I198" s="41">
        <v>150000</v>
      </c>
      <c r="J198" s="1"/>
      <c r="K198" s="1"/>
      <c r="L198" s="42"/>
    </row>
    <row r="199" spans="1:12" ht="21.95" customHeight="1" thickBot="1" x14ac:dyDescent="0.3">
      <c r="A199" s="1"/>
      <c r="B199" s="43"/>
      <c r="C199" s="44"/>
      <c r="D199" s="44"/>
      <c r="E199" s="44"/>
      <c r="F199" s="45"/>
      <c r="G199" s="45"/>
      <c r="H199" s="44"/>
      <c r="I199" s="46"/>
      <c r="J199" s="44"/>
      <c r="K199" s="44"/>
      <c r="L199" s="47"/>
    </row>
    <row r="200" spans="1:12" ht="21.95" customHeight="1" thickTop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21.95" customHeight="1" x14ac:dyDescent="0.2">
      <c r="A201" s="10" t="s">
        <v>2</v>
      </c>
      <c r="B201" s="279" t="s">
        <v>11</v>
      </c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</row>
    <row r="202" spans="1:12" ht="21.9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21.95" customHeight="1" x14ac:dyDescent="0.2">
      <c r="A203" s="280" t="s">
        <v>12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</row>
    <row r="204" spans="1:12" ht="21.9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21.9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21.95" customHeight="1" x14ac:dyDescent="0.25">
      <c r="A206" s="1"/>
      <c r="B206" s="1"/>
      <c r="C206" s="1"/>
      <c r="D206" s="1"/>
      <c r="E206" s="1"/>
      <c r="F206" s="1"/>
      <c r="G206" s="1"/>
      <c r="H206" s="4" t="s">
        <v>199</v>
      </c>
      <c r="J206" s="286" t="s">
        <v>411</v>
      </c>
      <c r="K206" s="286"/>
      <c r="L206" s="286"/>
    </row>
    <row r="207" spans="1:12" ht="21.95" customHeight="1" x14ac:dyDescent="0.25">
      <c r="A207" s="1"/>
      <c r="B207" s="1" t="s">
        <v>15</v>
      </c>
      <c r="C207" s="1"/>
      <c r="D207" s="1"/>
      <c r="E207" s="1"/>
      <c r="F207" s="1"/>
      <c r="G207" s="1"/>
      <c r="H207" s="4" t="s">
        <v>13</v>
      </c>
    </row>
    <row r="208" spans="1:12" ht="21.95" customHeight="1" x14ac:dyDescent="0.25">
      <c r="A208" s="1"/>
      <c r="B208" s="1" t="s">
        <v>18</v>
      </c>
      <c r="C208" s="1"/>
      <c r="D208" s="1"/>
      <c r="E208" s="1"/>
      <c r="F208" s="1"/>
      <c r="G208" s="1"/>
      <c r="H208" s="4" t="s">
        <v>14</v>
      </c>
    </row>
    <row r="209" spans="1:12" ht="21.9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21.9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21.95" customHeight="1" x14ac:dyDescent="0.25">
      <c r="A211" s="1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"/>
    </row>
    <row r="212" spans="1:12" ht="21.95" customHeight="1" x14ac:dyDescent="0.25">
      <c r="A212" s="1"/>
      <c r="K212" s="103"/>
      <c r="L212" s="1"/>
    </row>
    <row r="213" spans="1:12" ht="21.95" customHeight="1" x14ac:dyDescent="0.25">
      <c r="A213" s="1"/>
      <c r="B213" s="95" t="s">
        <v>77</v>
      </c>
      <c r="H213" s="26" t="s">
        <v>555</v>
      </c>
      <c r="I213" s="95"/>
      <c r="J213" s="92"/>
      <c r="K213" s="103"/>
      <c r="L213" s="1"/>
    </row>
    <row r="214" spans="1:12" ht="21.95" customHeight="1" x14ac:dyDescent="0.25">
      <c r="A214" s="1"/>
      <c r="B214" s="99" t="s">
        <v>27</v>
      </c>
      <c r="C214" s="57"/>
      <c r="H214" s="28" t="s">
        <v>46</v>
      </c>
      <c r="K214" s="103"/>
    </row>
    <row r="219" spans="1:12" ht="21.95" customHeight="1" x14ac:dyDescent="0.25">
      <c r="A219" s="3" t="s">
        <v>22</v>
      </c>
    </row>
    <row r="220" spans="1:12" ht="21.95" customHeight="1" x14ac:dyDescent="0.2">
      <c r="A220" s="122" t="s">
        <v>20</v>
      </c>
    </row>
    <row r="221" spans="1:12" ht="21.95" customHeight="1" x14ac:dyDescent="0.2">
      <c r="A221" s="122" t="s">
        <v>21</v>
      </c>
    </row>
    <row r="223" spans="1:12" s="119" customFormat="1" ht="21.9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5" spans="1:12" ht="21.95" customHeight="1" x14ac:dyDescent="0.3">
      <c r="A225" s="276" t="s">
        <v>6</v>
      </c>
      <c r="B225" s="276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</row>
    <row r="226" spans="1:12" s="99" customFormat="1" ht="21.95" customHeigh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</row>
    <row r="227" spans="1:12" ht="21.95" customHeight="1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</row>
    <row r="228" spans="1:12" ht="21.95" customHeight="1" x14ac:dyDescent="0.25">
      <c r="A228" s="1"/>
      <c r="B228" s="1"/>
    </row>
    <row r="229" spans="1:12" ht="21.95" customHeight="1" x14ac:dyDescent="0.25">
      <c r="A229" s="1" t="s">
        <v>7</v>
      </c>
      <c r="B229" s="1"/>
    </row>
    <row r="230" spans="1:12" ht="21.95" customHeight="1" x14ac:dyDescent="0.25">
      <c r="A230" s="1"/>
      <c r="B230" s="1"/>
    </row>
    <row r="231" spans="1:12" ht="21.95" customHeight="1" x14ac:dyDescent="0.25">
      <c r="A231" s="1" t="s">
        <v>8</v>
      </c>
      <c r="C231" s="9" t="s">
        <v>1</v>
      </c>
      <c r="D231" s="92" t="s">
        <v>96</v>
      </c>
      <c r="E231" s="76"/>
      <c r="F231" s="76"/>
      <c r="G231" s="76"/>
      <c r="H231" s="76"/>
    </row>
    <row r="232" spans="1:12" s="76" customFormat="1" ht="21.95" customHeight="1" x14ac:dyDescent="0.25">
      <c r="A232" s="1" t="s">
        <v>9</v>
      </c>
      <c r="B232" s="4"/>
      <c r="C232" s="9" t="s">
        <v>1</v>
      </c>
      <c r="D232" s="57" t="s">
        <v>200</v>
      </c>
      <c r="I232" s="4"/>
      <c r="J232" s="4"/>
      <c r="K232" s="4"/>
      <c r="L232" s="4"/>
    </row>
    <row r="233" spans="1:12" ht="21.95" customHeight="1" x14ac:dyDescent="0.2">
      <c r="A233" s="50" t="s">
        <v>10</v>
      </c>
      <c r="B233" s="76"/>
      <c r="C233" s="91" t="s">
        <v>1</v>
      </c>
      <c r="D233" s="50" t="s">
        <v>203</v>
      </c>
      <c r="E233" s="76"/>
      <c r="F233" s="76"/>
      <c r="G233" s="76"/>
      <c r="H233" s="76"/>
      <c r="I233" s="76"/>
      <c r="J233" s="76"/>
      <c r="K233" s="76"/>
      <c r="L233" s="76"/>
    </row>
    <row r="234" spans="1:12" ht="21.95" customHeight="1" x14ac:dyDescent="0.25">
      <c r="A234" s="1"/>
      <c r="B234" s="1"/>
      <c r="D234" s="1"/>
    </row>
    <row r="235" spans="1:12" ht="21.95" customHeight="1" x14ac:dyDescent="0.2">
      <c r="A235" s="277" t="s">
        <v>416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</row>
    <row r="236" spans="1:12" ht="21.95" customHeight="1" x14ac:dyDescent="0.25">
      <c r="A236" s="1"/>
      <c r="B236" s="1"/>
    </row>
    <row r="237" spans="1:12" ht="21.95" customHeight="1" thickBot="1" x14ac:dyDescent="0.25">
      <c r="A237" s="10" t="s">
        <v>0</v>
      </c>
      <c r="B237" s="278" t="s">
        <v>91</v>
      </c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</row>
    <row r="238" spans="1:12" ht="21.95" customHeight="1" thickTop="1" x14ac:dyDescent="0.25">
      <c r="A238" s="1"/>
      <c r="B238" s="11" t="s">
        <v>3</v>
      </c>
      <c r="C238" s="12" t="s">
        <v>4</v>
      </c>
      <c r="D238" s="13"/>
      <c r="E238" s="13"/>
      <c r="F238" s="13"/>
      <c r="G238" s="13"/>
      <c r="H238" s="14"/>
      <c r="I238" s="15" t="s">
        <v>5</v>
      </c>
      <c r="J238" s="12" t="s">
        <v>17</v>
      </c>
      <c r="K238" s="13"/>
      <c r="L238" s="14"/>
    </row>
    <row r="239" spans="1:12" ht="21.95" customHeight="1" x14ac:dyDescent="0.2">
      <c r="B239" s="96">
        <v>1</v>
      </c>
      <c r="C239" s="313" t="s">
        <v>415</v>
      </c>
      <c r="D239" s="314"/>
      <c r="E239" s="314"/>
      <c r="F239" s="314"/>
      <c r="G239" s="314"/>
      <c r="H239" s="315"/>
      <c r="I239" s="56">
        <v>150000</v>
      </c>
      <c r="L239" s="17"/>
    </row>
    <row r="240" spans="1:12" ht="21.95" customHeight="1" x14ac:dyDescent="0.2">
      <c r="B240" s="96"/>
      <c r="C240" s="313"/>
      <c r="D240" s="314"/>
      <c r="E240" s="314"/>
      <c r="F240" s="314"/>
      <c r="G240" s="314"/>
      <c r="H240" s="315"/>
      <c r="I240" s="56"/>
      <c r="L240" s="17"/>
    </row>
    <row r="241" spans="1:12" ht="21.95" customHeight="1" x14ac:dyDescent="0.25">
      <c r="A241" s="1"/>
      <c r="B241" s="39"/>
      <c r="C241" s="1"/>
      <c r="D241" s="1"/>
      <c r="E241" s="1"/>
      <c r="F241" s="40" t="s">
        <v>5</v>
      </c>
      <c r="G241" s="40"/>
      <c r="H241" s="1"/>
      <c r="I241" s="41">
        <v>150000</v>
      </c>
      <c r="J241" s="1"/>
      <c r="K241" s="1"/>
      <c r="L241" s="42"/>
    </row>
    <row r="242" spans="1:12" ht="21.95" customHeight="1" thickBot="1" x14ac:dyDescent="0.3">
      <c r="A242" s="1"/>
      <c r="B242" s="43"/>
      <c r="C242" s="44"/>
      <c r="D242" s="44"/>
      <c r="E242" s="44"/>
      <c r="F242" s="45"/>
      <c r="G242" s="45"/>
      <c r="H242" s="44"/>
      <c r="I242" s="46"/>
      <c r="J242" s="44"/>
      <c r="K242" s="44"/>
      <c r="L242" s="47"/>
    </row>
    <row r="243" spans="1:12" ht="21.95" customHeight="1" thickTop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21.95" customHeight="1" x14ac:dyDescent="0.2">
      <c r="A244" s="10" t="s">
        <v>2</v>
      </c>
      <c r="B244" s="279" t="s">
        <v>11</v>
      </c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</row>
    <row r="245" spans="1:12" ht="21.9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21.95" customHeight="1" x14ac:dyDescent="0.2">
      <c r="A246" s="280" t="s">
        <v>12</v>
      </c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</row>
    <row r="247" spans="1:12" ht="21.9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21.9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21.95" customHeight="1" x14ac:dyDescent="0.25">
      <c r="A249" s="1"/>
      <c r="B249" s="1"/>
      <c r="C249" s="1"/>
      <c r="D249" s="1"/>
      <c r="E249" s="1"/>
      <c r="F249" s="1"/>
      <c r="G249" s="1"/>
      <c r="H249" s="4" t="s">
        <v>199</v>
      </c>
      <c r="J249" s="286" t="s">
        <v>411</v>
      </c>
      <c r="K249" s="286"/>
      <c r="L249" s="286"/>
    </row>
    <row r="250" spans="1:12" ht="21.95" customHeight="1" x14ac:dyDescent="0.25">
      <c r="A250" s="1"/>
      <c r="B250" s="1" t="s">
        <v>15</v>
      </c>
      <c r="C250" s="1"/>
      <c r="D250" s="1"/>
      <c r="E250" s="1"/>
      <c r="F250" s="1"/>
      <c r="G250" s="1"/>
      <c r="H250" s="4" t="s">
        <v>13</v>
      </c>
    </row>
    <row r="251" spans="1:12" ht="21.95" customHeight="1" x14ac:dyDescent="0.25">
      <c r="A251" s="1"/>
      <c r="B251" s="1" t="s">
        <v>18</v>
      </c>
      <c r="C251" s="1"/>
      <c r="D251" s="1"/>
      <c r="E251" s="1"/>
      <c r="F251" s="1"/>
      <c r="G251" s="1"/>
      <c r="H251" s="4" t="s">
        <v>14</v>
      </c>
    </row>
    <row r="252" spans="1:12" ht="21.9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21.9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21.95" customHeight="1" x14ac:dyDescent="0.25">
      <c r="A254" s="1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"/>
    </row>
    <row r="255" spans="1:12" ht="21.95" customHeight="1" x14ac:dyDescent="0.25">
      <c r="A255" s="1"/>
      <c r="K255" s="103"/>
      <c r="L255" s="1"/>
    </row>
    <row r="256" spans="1:12" ht="21.95" customHeight="1" x14ac:dyDescent="0.25">
      <c r="A256" s="1"/>
      <c r="B256" s="95" t="s">
        <v>77</v>
      </c>
      <c r="H256" s="26" t="s">
        <v>96</v>
      </c>
      <c r="I256" s="95"/>
      <c r="J256" s="92"/>
      <c r="K256" s="103"/>
      <c r="L256" s="1"/>
    </row>
    <row r="257" spans="1:12" ht="21.95" customHeight="1" x14ac:dyDescent="0.25">
      <c r="A257" s="1"/>
      <c r="B257" s="99" t="s">
        <v>27</v>
      </c>
      <c r="C257" s="57"/>
      <c r="H257" s="28" t="s">
        <v>100</v>
      </c>
      <c r="K257" s="103"/>
    </row>
    <row r="262" spans="1:12" ht="21.95" customHeight="1" x14ac:dyDescent="0.25">
      <c r="A262" s="3" t="s">
        <v>22</v>
      </c>
    </row>
    <row r="263" spans="1:12" ht="21.95" customHeight="1" x14ac:dyDescent="0.2">
      <c r="A263" s="122" t="s">
        <v>20</v>
      </c>
    </row>
    <row r="264" spans="1:12" ht="21.95" customHeight="1" x14ac:dyDescent="0.2">
      <c r="A264" s="122" t="s">
        <v>21</v>
      </c>
    </row>
    <row r="268" spans="1:12" s="99" customFormat="1" ht="21.95" customHeight="1" x14ac:dyDescent="0.3">
      <c r="A268" s="276" t="s">
        <v>6</v>
      </c>
      <c r="B268" s="276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</row>
    <row r="269" spans="1:12" ht="21.95" customHeigh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</row>
    <row r="270" spans="1:12" ht="21.95" customHeight="1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</row>
    <row r="271" spans="1:12" ht="21.95" customHeight="1" x14ac:dyDescent="0.25">
      <c r="A271" s="1"/>
      <c r="B271" s="1"/>
    </row>
    <row r="272" spans="1:12" ht="21.95" customHeight="1" x14ac:dyDescent="0.25">
      <c r="A272" s="1" t="s">
        <v>7</v>
      </c>
      <c r="B272" s="1"/>
    </row>
    <row r="273" spans="1:12" ht="21.95" customHeight="1" x14ac:dyDescent="0.25">
      <c r="A273" s="1"/>
      <c r="B273" s="1"/>
    </row>
    <row r="274" spans="1:12" ht="21.95" customHeight="1" x14ac:dyDescent="0.25">
      <c r="A274" s="1" t="s">
        <v>8</v>
      </c>
      <c r="C274" s="9" t="s">
        <v>1</v>
      </c>
      <c r="D274" s="40" t="s">
        <v>107</v>
      </c>
      <c r="E274" s="76"/>
      <c r="F274" s="76"/>
      <c r="G274" s="76"/>
      <c r="H274" s="76"/>
    </row>
    <row r="275" spans="1:12" ht="21.95" customHeight="1" x14ac:dyDescent="0.25">
      <c r="A275" s="1" t="s">
        <v>9</v>
      </c>
      <c r="C275" s="9" t="s">
        <v>1</v>
      </c>
      <c r="D275" s="7" t="s">
        <v>249</v>
      </c>
      <c r="E275" s="76"/>
      <c r="F275" s="76"/>
      <c r="G275" s="76"/>
      <c r="H275" s="76"/>
    </row>
    <row r="276" spans="1:12" ht="21.95" customHeight="1" x14ac:dyDescent="0.2">
      <c r="A276" s="50" t="s">
        <v>10</v>
      </c>
      <c r="B276" s="76"/>
      <c r="C276" s="91" t="s">
        <v>1</v>
      </c>
      <c r="D276" s="50" t="s">
        <v>203</v>
      </c>
      <c r="E276" s="76"/>
      <c r="F276" s="76"/>
      <c r="G276" s="76"/>
      <c r="H276" s="76"/>
      <c r="I276" s="76"/>
      <c r="J276" s="76"/>
      <c r="K276" s="76"/>
      <c r="L276" s="76"/>
    </row>
    <row r="277" spans="1:12" ht="21.95" customHeight="1" x14ac:dyDescent="0.25">
      <c r="A277" s="1"/>
      <c r="B277" s="1"/>
      <c r="D277" s="1"/>
    </row>
    <row r="278" spans="1:12" ht="21.95" customHeight="1" x14ac:dyDescent="0.2">
      <c r="A278" s="277" t="s">
        <v>416</v>
      </c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</row>
    <row r="279" spans="1:12" ht="21.95" customHeight="1" x14ac:dyDescent="0.25">
      <c r="A279" s="1"/>
      <c r="B279" s="1"/>
    </row>
    <row r="280" spans="1:12" ht="21.95" customHeight="1" thickBot="1" x14ac:dyDescent="0.25">
      <c r="A280" s="10" t="s">
        <v>0</v>
      </c>
      <c r="B280" s="278" t="s">
        <v>91</v>
      </c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</row>
    <row r="281" spans="1:12" ht="21.95" customHeight="1" thickTop="1" x14ac:dyDescent="0.25">
      <c r="A281" s="1"/>
      <c r="B281" s="11" t="s">
        <v>3</v>
      </c>
      <c r="C281" s="12" t="s">
        <v>4</v>
      </c>
      <c r="D281" s="13"/>
      <c r="E281" s="13"/>
      <c r="F281" s="13"/>
      <c r="G281" s="13"/>
      <c r="H281" s="14"/>
      <c r="I281" s="15" t="s">
        <v>5</v>
      </c>
      <c r="J281" s="12" t="s">
        <v>17</v>
      </c>
      <c r="K281" s="13"/>
      <c r="L281" s="14"/>
    </row>
    <row r="282" spans="1:12" ht="21.95" customHeight="1" x14ac:dyDescent="0.2">
      <c r="B282" s="96">
        <v>1</v>
      </c>
      <c r="C282" s="313" t="s">
        <v>415</v>
      </c>
      <c r="D282" s="314"/>
      <c r="E282" s="314"/>
      <c r="F282" s="314"/>
      <c r="G282" s="314"/>
      <c r="H282" s="315"/>
      <c r="I282" s="56">
        <v>150000</v>
      </c>
      <c r="L282" s="17"/>
    </row>
    <row r="283" spans="1:12" ht="21.95" customHeight="1" x14ac:dyDescent="0.2">
      <c r="B283" s="96"/>
      <c r="C283" s="313"/>
      <c r="D283" s="314"/>
      <c r="E283" s="314"/>
      <c r="F283" s="314"/>
      <c r="G283" s="314"/>
      <c r="H283" s="315"/>
      <c r="I283" s="56"/>
      <c r="L283" s="17"/>
    </row>
    <row r="284" spans="1:12" ht="21.95" customHeight="1" x14ac:dyDescent="0.25">
      <c r="A284" s="1"/>
      <c r="B284" s="39"/>
      <c r="C284" s="1"/>
      <c r="D284" s="1"/>
      <c r="E284" s="1"/>
      <c r="F284" s="40" t="s">
        <v>5</v>
      </c>
      <c r="G284" s="40"/>
      <c r="H284" s="1"/>
      <c r="I284" s="41">
        <v>150000</v>
      </c>
      <c r="J284" s="1"/>
      <c r="K284" s="1"/>
      <c r="L284" s="42"/>
    </row>
    <row r="285" spans="1:12" ht="21.95" customHeight="1" thickBot="1" x14ac:dyDescent="0.3">
      <c r="A285" s="1"/>
      <c r="B285" s="43"/>
      <c r="C285" s="44"/>
      <c r="D285" s="44"/>
      <c r="E285" s="44"/>
      <c r="F285" s="45"/>
      <c r="G285" s="45"/>
      <c r="H285" s="44"/>
      <c r="I285" s="46"/>
      <c r="J285" s="44"/>
      <c r="K285" s="44"/>
      <c r="L285" s="47"/>
    </row>
    <row r="286" spans="1:12" ht="21.95" customHeight="1" thickTop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21.95" customHeight="1" x14ac:dyDescent="0.2">
      <c r="A287" s="10" t="s">
        <v>2</v>
      </c>
      <c r="B287" s="279" t="s">
        <v>11</v>
      </c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</row>
    <row r="288" spans="1:12" ht="21.9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s="99" customFormat="1" ht="21.95" customHeight="1" x14ac:dyDescent="0.2">
      <c r="A289" s="280" t="s">
        <v>12</v>
      </c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</row>
    <row r="290" spans="1:12" ht="21.9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21.9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21.95" customHeight="1" x14ac:dyDescent="0.25">
      <c r="A292" s="1"/>
      <c r="B292" s="1"/>
      <c r="C292" s="1"/>
      <c r="D292" s="1"/>
      <c r="E292" s="1"/>
      <c r="F292" s="1"/>
      <c r="G292" s="1"/>
      <c r="H292" s="4" t="s">
        <v>199</v>
      </c>
      <c r="J292" s="286" t="s">
        <v>411</v>
      </c>
      <c r="K292" s="286"/>
      <c r="L292" s="286"/>
    </row>
    <row r="293" spans="1:12" ht="21.95" customHeight="1" x14ac:dyDescent="0.25">
      <c r="A293" s="1"/>
      <c r="B293" s="1" t="s">
        <v>15</v>
      </c>
      <c r="C293" s="1"/>
      <c r="D293" s="1"/>
      <c r="E293" s="1"/>
      <c r="F293" s="1"/>
      <c r="G293" s="1"/>
      <c r="H293" s="4" t="s">
        <v>13</v>
      </c>
    </row>
    <row r="294" spans="1:12" ht="21.95" customHeight="1" x14ac:dyDescent="0.25">
      <c r="A294" s="1"/>
      <c r="B294" s="1" t="s">
        <v>18</v>
      </c>
      <c r="C294" s="1"/>
      <c r="D294" s="1"/>
      <c r="E294" s="1"/>
      <c r="F294" s="1"/>
      <c r="G294" s="1"/>
      <c r="H294" s="4" t="s">
        <v>14</v>
      </c>
    </row>
    <row r="295" spans="1:12" ht="21.9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21.9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21.95" customHeight="1" x14ac:dyDescent="0.25">
      <c r="A297" s="1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"/>
    </row>
    <row r="298" spans="1:12" ht="21.95" customHeight="1" x14ac:dyDescent="0.25">
      <c r="A298" s="1"/>
      <c r="K298" s="103"/>
      <c r="L298" s="1"/>
    </row>
    <row r="299" spans="1:12" ht="21.95" customHeight="1" x14ac:dyDescent="0.25">
      <c r="A299" s="1"/>
      <c r="B299" s="95" t="s">
        <v>77</v>
      </c>
      <c r="H299" s="37" t="s">
        <v>107</v>
      </c>
      <c r="I299" s="95"/>
      <c r="J299" s="92"/>
      <c r="K299" s="103"/>
      <c r="L299" s="1"/>
    </row>
    <row r="300" spans="1:12" ht="21.95" customHeight="1" x14ac:dyDescent="0.25">
      <c r="A300" s="1"/>
      <c r="B300" s="99" t="s">
        <v>27</v>
      </c>
      <c r="C300" s="57"/>
      <c r="H300" s="1" t="s">
        <v>72</v>
      </c>
      <c r="K300" s="103"/>
    </row>
    <row r="305" spans="1:12" ht="21.95" customHeight="1" x14ac:dyDescent="0.25">
      <c r="A305" s="3" t="s">
        <v>22</v>
      </c>
    </row>
    <row r="306" spans="1:12" ht="21.95" customHeight="1" x14ac:dyDescent="0.2">
      <c r="A306" s="122" t="s">
        <v>20</v>
      </c>
    </row>
    <row r="307" spans="1:12" ht="21.95" customHeight="1" x14ac:dyDescent="0.2">
      <c r="A307" s="122" t="s">
        <v>21</v>
      </c>
    </row>
    <row r="311" spans="1:12" ht="21.95" customHeight="1" x14ac:dyDescent="0.3">
      <c r="A311" s="276" t="s">
        <v>6</v>
      </c>
      <c r="B311" s="276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</row>
    <row r="312" spans="1:12" ht="21.95" customHeight="1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</row>
    <row r="313" spans="1:12" ht="21.95" customHeight="1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</row>
    <row r="314" spans="1:12" ht="21.95" customHeight="1" x14ac:dyDescent="0.25">
      <c r="A314" s="1"/>
      <c r="B314" s="1"/>
    </row>
    <row r="315" spans="1:12" ht="21.95" customHeight="1" x14ac:dyDescent="0.25">
      <c r="A315" s="1" t="s">
        <v>7</v>
      </c>
      <c r="B315" s="1"/>
    </row>
    <row r="316" spans="1:12" ht="21.95" customHeight="1" x14ac:dyDescent="0.25">
      <c r="A316" s="1"/>
      <c r="B316" s="1"/>
    </row>
    <row r="317" spans="1:12" ht="21.95" customHeight="1" x14ac:dyDescent="0.25">
      <c r="A317" s="1" t="s">
        <v>8</v>
      </c>
      <c r="C317" s="9" t="s">
        <v>1</v>
      </c>
      <c r="D317" s="33" t="s">
        <v>78</v>
      </c>
      <c r="E317" s="76"/>
      <c r="F317" s="76"/>
      <c r="G317" s="76"/>
      <c r="H317" s="76"/>
    </row>
    <row r="318" spans="1:12" ht="21.95" customHeight="1" x14ac:dyDescent="0.25">
      <c r="A318" s="1" t="s">
        <v>9</v>
      </c>
      <c r="C318" s="9" t="s">
        <v>1</v>
      </c>
      <c r="D318" s="27" t="s">
        <v>234</v>
      </c>
      <c r="E318" s="76"/>
      <c r="F318" s="76"/>
      <c r="G318" s="76"/>
      <c r="H318" s="76"/>
    </row>
    <row r="319" spans="1:12" ht="21.95" customHeight="1" x14ac:dyDescent="0.2">
      <c r="A319" s="50" t="s">
        <v>10</v>
      </c>
      <c r="B319" s="76"/>
      <c r="C319" s="91" t="s">
        <v>1</v>
      </c>
      <c r="D319" s="50" t="s">
        <v>235</v>
      </c>
      <c r="E319" s="76"/>
      <c r="F319" s="76"/>
      <c r="G319" s="76"/>
      <c r="H319" s="76"/>
      <c r="I319" s="76"/>
      <c r="J319" s="76"/>
      <c r="K319" s="76"/>
      <c r="L319" s="76"/>
    </row>
    <row r="320" spans="1:12" ht="21.95" customHeight="1" x14ac:dyDescent="0.25">
      <c r="A320" s="1"/>
      <c r="B320" s="1"/>
      <c r="D320" s="1"/>
    </row>
    <row r="321" spans="1:12" ht="21.95" customHeight="1" x14ac:dyDescent="0.2">
      <c r="A321" s="277" t="s">
        <v>416</v>
      </c>
      <c r="B321" s="277"/>
      <c r="C321" s="277"/>
      <c r="D321" s="277"/>
      <c r="E321" s="277"/>
      <c r="F321" s="277"/>
      <c r="G321" s="277"/>
      <c r="H321" s="277"/>
      <c r="I321" s="277"/>
      <c r="J321" s="277"/>
      <c r="K321" s="277"/>
      <c r="L321" s="277"/>
    </row>
    <row r="322" spans="1:12" ht="21.95" customHeight="1" x14ac:dyDescent="0.25">
      <c r="A322" s="1"/>
      <c r="B322" s="1"/>
    </row>
    <row r="323" spans="1:12" ht="21.95" customHeight="1" thickBot="1" x14ac:dyDescent="0.25">
      <c r="A323" s="10" t="s">
        <v>0</v>
      </c>
      <c r="B323" s="278" t="s">
        <v>91</v>
      </c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</row>
    <row r="324" spans="1:12" ht="21.95" customHeight="1" thickTop="1" x14ac:dyDescent="0.25">
      <c r="A324" s="1"/>
      <c r="B324" s="11" t="s">
        <v>3</v>
      </c>
      <c r="C324" s="12" t="s">
        <v>4</v>
      </c>
      <c r="D324" s="13"/>
      <c r="E324" s="13"/>
      <c r="F324" s="13"/>
      <c r="G324" s="13"/>
      <c r="H324" s="14"/>
      <c r="I324" s="15" t="s">
        <v>5</v>
      </c>
      <c r="J324" s="12" t="s">
        <v>17</v>
      </c>
      <c r="K324" s="13"/>
      <c r="L324" s="14"/>
    </row>
    <row r="325" spans="1:12" ht="21.95" customHeight="1" x14ac:dyDescent="0.2">
      <c r="B325" s="96">
        <v>1</v>
      </c>
      <c r="C325" s="313" t="s">
        <v>415</v>
      </c>
      <c r="D325" s="314"/>
      <c r="E325" s="314"/>
      <c r="F325" s="314"/>
      <c r="G325" s="314"/>
      <c r="H325" s="315"/>
      <c r="I325" s="56">
        <v>150000</v>
      </c>
      <c r="L325" s="17"/>
    </row>
    <row r="326" spans="1:12" ht="21.95" customHeight="1" x14ac:dyDescent="0.2">
      <c r="B326" s="96"/>
      <c r="C326" s="313"/>
      <c r="D326" s="314"/>
      <c r="E326" s="314"/>
      <c r="F326" s="314"/>
      <c r="G326" s="314"/>
      <c r="H326" s="315"/>
      <c r="I326" s="56"/>
      <c r="L326" s="17"/>
    </row>
    <row r="327" spans="1:12" ht="21.95" customHeight="1" x14ac:dyDescent="0.25">
      <c r="A327" s="1"/>
      <c r="B327" s="39"/>
      <c r="C327" s="1"/>
      <c r="D327" s="1"/>
      <c r="E327" s="1"/>
      <c r="F327" s="40" t="s">
        <v>5</v>
      </c>
      <c r="G327" s="40"/>
      <c r="H327" s="1"/>
      <c r="I327" s="41">
        <v>150000</v>
      </c>
      <c r="J327" s="1"/>
      <c r="K327" s="1"/>
      <c r="L327" s="42"/>
    </row>
    <row r="328" spans="1:12" ht="21.95" customHeight="1" thickBot="1" x14ac:dyDescent="0.3">
      <c r="A328" s="1"/>
      <c r="B328" s="43"/>
      <c r="C328" s="44"/>
      <c r="D328" s="44"/>
      <c r="E328" s="44"/>
      <c r="F328" s="45"/>
      <c r="G328" s="45"/>
      <c r="H328" s="44"/>
      <c r="I328" s="46"/>
      <c r="J328" s="44"/>
      <c r="K328" s="44"/>
      <c r="L328" s="47"/>
    </row>
    <row r="329" spans="1:12" ht="21.95" customHeight="1" thickTop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21.95" customHeight="1" x14ac:dyDescent="0.2">
      <c r="A330" s="10" t="s">
        <v>2</v>
      </c>
      <c r="B330" s="279" t="s">
        <v>11</v>
      </c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</row>
    <row r="331" spans="1:12" s="99" customFormat="1" ht="21.9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21.95" customHeight="1" x14ac:dyDescent="0.2">
      <c r="A332" s="280" t="s">
        <v>12</v>
      </c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</row>
    <row r="333" spans="1:12" ht="21.9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21.9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21.95" customHeight="1" x14ac:dyDescent="0.25">
      <c r="A335" s="1"/>
      <c r="B335" s="1"/>
      <c r="C335" s="1"/>
      <c r="D335" s="1"/>
      <c r="E335" s="1"/>
      <c r="F335" s="1"/>
      <c r="G335" s="1"/>
      <c r="H335" s="4" t="s">
        <v>199</v>
      </c>
      <c r="J335" s="286" t="s">
        <v>411</v>
      </c>
      <c r="K335" s="286"/>
      <c r="L335" s="286"/>
    </row>
    <row r="336" spans="1:12" ht="21.95" customHeight="1" x14ac:dyDescent="0.25">
      <c r="A336" s="1"/>
      <c r="B336" s="1" t="s">
        <v>15</v>
      </c>
      <c r="C336" s="1"/>
      <c r="D336" s="1"/>
      <c r="E336" s="1"/>
      <c r="F336" s="1"/>
      <c r="G336" s="1"/>
      <c r="H336" s="4" t="s">
        <v>13</v>
      </c>
    </row>
    <row r="337" spans="1:12" ht="21.95" customHeight="1" x14ac:dyDescent="0.25">
      <c r="A337" s="1"/>
      <c r="B337" s="1" t="s">
        <v>18</v>
      </c>
      <c r="C337" s="1"/>
      <c r="D337" s="1"/>
      <c r="E337" s="1"/>
      <c r="F337" s="1"/>
      <c r="G337" s="1"/>
      <c r="H337" s="4" t="s">
        <v>14</v>
      </c>
    </row>
    <row r="338" spans="1:12" ht="21.9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21.9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21.95" customHeight="1" x14ac:dyDescent="0.25">
      <c r="A340" s="1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"/>
    </row>
    <row r="341" spans="1:12" ht="21.95" customHeight="1" x14ac:dyDescent="0.25">
      <c r="A341" s="1"/>
      <c r="K341" s="103"/>
      <c r="L341" s="1"/>
    </row>
    <row r="342" spans="1:12" ht="21.95" customHeight="1" x14ac:dyDescent="0.25">
      <c r="A342" s="1"/>
      <c r="B342" s="95" t="s">
        <v>77</v>
      </c>
      <c r="H342" s="26" t="s">
        <v>78</v>
      </c>
      <c r="I342" s="95"/>
      <c r="J342" s="92"/>
      <c r="K342" s="103"/>
      <c r="L342" s="1"/>
    </row>
    <row r="343" spans="1:12" ht="21.95" customHeight="1" x14ac:dyDescent="0.25">
      <c r="A343" s="1"/>
      <c r="B343" s="99" t="s">
        <v>27</v>
      </c>
      <c r="C343" s="57"/>
      <c r="H343" s="28" t="s">
        <v>79</v>
      </c>
      <c r="K343" s="103"/>
    </row>
    <row r="350" spans="1:12" ht="21.95" customHeight="1" x14ac:dyDescent="0.25">
      <c r="A350" s="3" t="s">
        <v>22</v>
      </c>
    </row>
    <row r="351" spans="1:12" ht="21.95" customHeight="1" x14ac:dyDescent="0.2">
      <c r="A351" s="122" t="s">
        <v>20</v>
      </c>
    </row>
    <row r="352" spans="1:12" ht="21.95" customHeight="1" x14ac:dyDescent="0.2">
      <c r="A352" s="122" t="s">
        <v>21</v>
      </c>
    </row>
    <row r="356" spans="1:12" ht="21.95" customHeight="1" x14ac:dyDescent="0.3">
      <c r="A356" s="276" t="s">
        <v>6</v>
      </c>
      <c r="B356" s="276"/>
      <c r="C356" s="276"/>
      <c r="D356" s="276"/>
      <c r="E356" s="276"/>
      <c r="F356" s="276"/>
      <c r="G356" s="276"/>
      <c r="H356" s="276"/>
      <c r="I356" s="276"/>
      <c r="J356" s="276"/>
      <c r="K356" s="276"/>
      <c r="L356" s="276"/>
    </row>
    <row r="357" spans="1:12" ht="21.95" customHeight="1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</row>
    <row r="358" spans="1:12" ht="21.95" customHeight="1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</row>
    <row r="359" spans="1:12" ht="21.95" customHeight="1" x14ac:dyDescent="0.25">
      <c r="A359" s="1"/>
      <c r="B359" s="1"/>
    </row>
    <row r="360" spans="1:12" ht="21.95" customHeight="1" x14ac:dyDescent="0.25">
      <c r="A360" s="1" t="s">
        <v>7</v>
      </c>
      <c r="B360" s="1"/>
    </row>
    <row r="361" spans="1:12" ht="21.95" customHeight="1" x14ac:dyDescent="0.25">
      <c r="A361" s="1"/>
      <c r="B361" s="1"/>
    </row>
    <row r="362" spans="1:12" ht="21.95" customHeight="1" x14ac:dyDescent="0.25">
      <c r="A362" s="1" t="s">
        <v>8</v>
      </c>
      <c r="C362" s="9" t="s">
        <v>1</v>
      </c>
      <c r="D362" s="92" t="s">
        <v>77</v>
      </c>
      <c r="E362" s="76"/>
      <c r="F362" s="76"/>
      <c r="G362" s="76"/>
      <c r="H362" s="76"/>
    </row>
    <row r="363" spans="1:12" ht="21.95" customHeight="1" x14ac:dyDescent="0.25">
      <c r="A363" s="1" t="s">
        <v>9</v>
      </c>
      <c r="C363" s="9" t="s">
        <v>1</v>
      </c>
      <c r="D363" s="146" t="s">
        <v>201</v>
      </c>
      <c r="E363" s="76"/>
      <c r="F363" s="76"/>
      <c r="G363" s="76"/>
      <c r="H363" s="76"/>
    </row>
    <row r="364" spans="1:12" ht="21.95" customHeight="1" x14ac:dyDescent="0.2">
      <c r="A364" s="50" t="s">
        <v>10</v>
      </c>
      <c r="B364" s="76"/>
      <c r="C364" s="91" t="s">
        <v>1</v>
      </c>
      <c r="D364" s="4" t="s">
        <v>265</v>
      </c>
      <c r="E364" s="76"/>
      <c r="F364" s="76"/>
      <c r="G364" s="76"/>
      <c r="H364" s="76"/>
      <c r="I364" s="76"/>
      <c r="J364" s="76"/>
      <c r="K364" s="76"/>
      <c r="L364" s="76"/>
    </row>
    <row r="365" spans="1:12" ht="21.95" customHeight="1" x14ac:dyDescent="0.25">
      <c r="A365" s="1"/>
      <c r="B365" s="1"/>
      <c r="D365" s="1"/>
    </row>
    <row r="366" spans="1:12" ht="21.95" customHeight="1" x14ac:dyDescent="0.2">
      <c r="A366" s="277" t="s">
        <v>418</v>
      </c>
      <c r="B366" s="277"/>
      <c r="C366" s="277"/>
      <c r="D366" s="277"/>
      <c r="E366" s="277"/>
      <c r="F366" s="277"/>
      <c r="G366" s="277"/>
      <c r="H366" s="277"/>
      <c r="I366" s="277"/>
      <c r="J366" s="277"/>
      <c r="K366" s="277"/>
      <c r="L366" s="277"/>
    </row>
    <row r="367" spans="1:12" ht="21.95" customHeight="1" x14ac:dyDescent="0.25">
      <c r="A367" s="1"/>
      <c r="B367" s="1"/>
    </row>
    <row r="368" spans="1:12" ht="36" customHeight="1" thickBot="1" x14ac:dyDescent="0.25">
      <c r="A368" s="10" t="s">
        <v>0</v>
      </c>
      <c r="B368" s="278" t="s">
        <v>91</v>
      </c>
      <c r="C368" s="278"/>
      <c r="D368" s="278"/>
      <c r="E368" s="278"/>
      <c r="F368" s="278"/>
      <c r="G368" s="278"/>
      <c r="H368" s="278"/>
      <c r="I368" s="278"/>
      <c r="J368" s="278"/>
      <c r="K368" s="278"/>
      <c r="L368" s="278"/>
    </row>
    <row r="369" spans="1:14" ht="21.95" customHeight="1" thickTop="1" x14ac:dyDescent="0.25">
      <c r="A369" s="1"/>
      <c r="B369" s="11" t="s">
        <v>3</v>
      </c>
      <c r="C369" s="12" t="s">
        <v>4</v>
      </c>
      <c r="D369" s="13"/>
      <c r="E369" s="13"/>
      <c r="F369" s="13"/>
      <c r="G369" s="13"/>
      <c r="H369" s="14"/>
      <c r="I369" s="15" t="s">
        <v>5</v>
      </c>
      <c r="J369" s="12" t="s">
        <v>17</v>
      </c>
      <c r="K369" s="13"/>
      <c r="L369" s="14"/>
    </row>
    <row r="370" spans="1:14" ht="21.95" customHeight="1" x14ac:dyDescent="0.2">
      <c r="B370" s="96">
        <v>1</v>
      </c>
      <c r="C370" s="119" t="s">
        <v>238</v>
      </c>
      <c r="D370" s="119"/>
      <c r="E370" s="165">
        <v>1957000</v>
      </c>
      <c r="F370" s="119"/>
      <c r="G370" s="119"/>
      <c r="H370" s="119"/>
      <c r="I370" s="56">
        <f>E370*30/100*2</f>
        <v>1174200</v>
      </c>
      <c r="J370" s="76" t="s">
        <v>281</v>
      </c>
      <c r="L370" s="17"/>
      <c r="N370" s="214"/>
    </row>
    <row r="371" spans="1:14" ht="21.95" customHeight="1" x14ac:dyDescent="0.2">
      <c r="B371" s="96">
        <v>2</v>
      </c>
      <c r="C371" s="313" t="s">
        <v>421</v>
      </c>
      <c r="D371" s="314"/>
      <c r="E371" s="314"/>
      <c r="F371" s="314"/>
      <c r="G371" s="314"/>
      <c r="H371" s="315"/>
      <c r="I371" s="56">
        <v>90000</v>
      </c>
      <c r="L371" s="17"/>
    </row>
    <row r="372" spans="1:14" ht="21.95" customHeight="1" x14ac:dyDescent="0.2">
      <c r="B372" s="96"/>
      <c r="C372" s="119"/>
      <c r="D372" s="119"/>
      <c r="E372" s="119"/>
      <c r="F372" s="119"/>
      <c r="G372" s="119"/>
      <c r="H372" s="119"/>
      <c r="I372" s="56"/>
      <c r="L372" s="17"/>
    </row>
    <row r="373" spans="1:14" ht="21.95" customHeight="1" x14ac:dyDescent="0.25">
      <c r="A373" s="1"/>
      <c r="B373" s="39"/>
      <c r="C373" s="1"/>
      <c r="D373" s="1"/>
      <c r="E373" s="1"/>
      <c r="F373" s="40" t="s">
        <v>5</v>
      </c>
      <c r="G373" s="40"/>
      <c r="H373" s="1"/>
      <c r="I373" s="41">
        <f>SUM(I370:I371)</f>
        <v>1264200</v>
      </c>
      <c r="J373" s="1"/>
      <c r="K373" s="1"/>
      <c r="L373" s="42"/>
    </row>
    <row r="374" spans="1:14" ht="21.95" customHeight="1" thickBot="1" x14ac:dyDescent="0.3">
      <c r="A374" s="1"/>
      <c r="B374" s="43"/>
      <c r="C374" s="44"/>
      <c r="D374" s="44"/>
      <c r="E374" s="44"/>
      <c r="F374" s="45"/>
      <c r="G374" s="45"/>
      <c r="H374" s="44"/>
      <c r="I374" s="46"/>
      <c r="J374" s="44"/>
      <c r="K374" s="44"/>
      <c r="L374" s="47"/>
    </row>
    <row r="375" spans="1:14" ht="21.95" customHeight="1" thickTop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4" ht="21.95" customHeight="1" x14ac:dyDescent="0.2">
      <c r="A376" s="10" t="s">
        <v>2</v>
      </c>
      <c r="B376" s="279" t="s">
        <v>11</v>
      </c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</row>
    <row r="377" spans="1:14" ht="21.9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4" ht="21.95" customHeight="1" x14ac:dyDescent="0.2">
      <c r="A378" s="280" t="s">
        <v>12</v>
      </c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</row>
    <row r="379" spans="1:14" ht="21.9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4" ht="21.9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4" ht="21.95" customHeight="1" x14ac:dyDescent="0.25">
      <c r="A381" s="1"/>
      <c r="B381" s="1"/>
      <c r="C381" s="1"/>
      <c r="D381" s="1"/>
      <c r="E381" s="1"/>
      <c r="F381" s="1"/>
      <c r="G381" s="1"/>
      <c r="H381" s="4" t="s">
        <v>199</v>
      </c>
      <c r="J381" s="286" t="s">
        <v>417</v>
      </c>
      <c r="K381" s="286"/>
      <c r="L381" s="286"/>
    </row>
    <row r="382" spans="1:14" ht="21.95" customHeight="1" x14ac:dyDescent="0.25">
      <c r="A382" s="1"/>
      <c r="B382" s="1" t="s">
        <v>15</v>
      </c>
      <c r="C382" s="1"/>
      <c r="D382" s="1"/>
      <c r="E382" s="1"/>
      <c r="F382" s="1"/>
      <c r="G382" s="1"/>
      <c r="H382" s="4" t="s">
        <v>13</v>
      </c>
    </row>
    <row r="383" spans="1:14" ht="21.95" customHeight="1" x14ac:dyDescent="0.25">
      <c r="A383" s="1"/>
      <c r="B383" s="1" t="s">
        <v>18</v>
      </c>
      <c r="C383" s="1"/>
      <c r="D383" s="1"/>
      <c r="E383" s="1"/>
      <c r="F383" s="1"/>
      <c r="G383" s="1"/>
      <c r="H383" s="4" t="s">
        <v>14</v>
      </c>
    </row>
    <row r="384" spans="1:14" ht="21.9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21.9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21.95" customHeight="1" x14ac:dyDescent="0.25">
      <c r="A386" s="1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"/>
    </row>
    <row r="387" spans="1:12" ht="21.95" customHeight="1" x14ac:dyDescent="0.25">
      <c r="A387" s="1"/>
      <c r="K387" s="103"/>
      <c r="L387" s="1"/>
    </row>
    <row r="388" spans="1:12" ht="21.95" customHeight="1" x14ac:dyDescent="0.25">
      <c r="A388" s="1"/>
      <c r="B388" s="95" t="s">
        <v>77</v>
      </c>
      <c r="H388" s="95" t="s">
        <v>77</v>
      </c>
      <c r="I388" s="95"/>
      <c r="J388" s="92"/>
      <c r="K388" s="103"/>
      <c r="L388" s="1"/>
    </row>
    <row r="389" spans="1:12" ht="21.95" customHeight="1" x14ac:dyDescent="0.25">
      <c r="A389" s="1"/>
      <c r="B389" s="99" t="s">
        <v>27</v>
      </c>
      <c r="C389" s="57"/>
      <c r="H389" s="99" t="s">
        <v>27</v>
      </c>
      <c r="K389" s="103"/>
    </row>
    <row r="393" spans="1:12" ht="21.95" customHeight="1" x14ac:dyDescent="0.25">
      <c r="A393" s="3" t="s">
        <v>22</v>
      </c>
    </row>
    <row r="394" spans="1:12" ht="21.95" customHeight="1" x14ac:dyDescent="0.2">
      <c r="A394" s="122" t="s">
        <v>20</v>
      </c>
    </row>
    <row r="395" spans="1:12" ht="21.95" customHeight="1" x14ac:dyDescent="0.2">
      <c r="A395" s="122" t="s">
        <v>21</v>
      </c>
    </row>
    <row r="399" spans="1:12" ht="21.95" customHeight="1" x14ac:dyDescent="0.3">
      <c r="A399" s="276" t="s">
        <v>6</v>
      </c>
      <c r="B399" s="276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</row>
    <row r="400" spans="1:12" ht="21.95" customHeight="1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</row>
    <row r="401" spans="1:12" ht="21.95" customHeight="1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</row>
    <row r="402" spans="1:12" ht="21.95" customHeight="1" x14ac:dyDescent="0.25">
      <c r="A402" s="1"/>
      <c r="B402" s="1"/>
    </row>
    <row r="403" spans="1:12" ht="21.95" customHeight="1" x14ac:dyDescent="0.25">
      <c r="A403" s="1" t="s">
        <v>7</v>
      </c>
      <c r="B403" s="1"/>
    </row>
    <row r="404" spans="1:12" ht="21.95" customHeight="1" x14ac:dyDescent="0.25">
      <c r="A404" s="1"/>
      <c r="B404" s="1"/>
    </row>
    <row r="405" spans="1:12" ht="21.95" customHeight="1" x14ac:dyDescent="0.25">
      <c r="A405" s="1" t="s">
        <v>8</v>
      </c>
      <c r="C405" s="9" t="s">
        <v>1</v>
      </c>
      <c r="D405" s="33" t="s">
        <v>78</v>
      </c>
      <c r="E405" s="76"/>
      <c r="F405" s="76"/>
      <c r="G405" s="76"/>
      <c r="H405" s="76"/>
    </row>
    <row r="406" spans="1:12" ht="21.95" customHeight="1" x14ac:dyDescent="0.25">
      <c r="A406" s="1" t="s">
        <v>9</v>
      </c>
      <c r="C406" s="9" t="s">
        <v>1</v>
      </c>
      <c r="D406" s="27" t="s">
        <v>234</v>
      </c>
      <c r="E406" s="76"/>
      <c r="F406" s="76"/>
      <c r="G406" s="76"/>
      <c r="H406" s="76"/>
    </row>
    <row r="407" spans="1:12" ht="21.95" customHeight="1" x14ac:dyDescent="0.2">
      <c r="A407" s="50" t="s">
        <v>10</v>
      </c>
      <c r="B407" s="76"/>
      <c r="C407" s="91" t="s">
        <v>1</v>
      </c>
      <c r="D407" s="50" t="s">
        <v>235</v>
      </c>
      <c r="E407" s="76"/>
      <c r="F407" s="76"/>
      <c r="G407" s="76"/>
      <c r="H407" s="76"/>
      <c r="I407" s="76"/>
      <c r="J407" s="76"/>
      <c r="K407" s="76"/>
      <c r="L407" s="76"/>
    </row>
    <row r="408" spans="1:12" ht="21.95" customHeight="1" x14ac:dyDescent="0.25">
      <c r="A408" s="1"/>
      <c r="B408" s="1"/>
      <c r="D408" s="1"/>
    </row>
    <row r="409" spans="1:12" ht="21.95" customHeight="1" x14ac:dyDescent="0.2">
      <c r="A409" s="277" t="s">
        <v>418</v>
      </c>
      <c r="B409" s="277"/>
      <c r="C409" s="277"/>
      <c r="D409" s="277"/>
      <c r="E409" s="277"/>
      <c r="F409" s="277"/>
      <c r="G409" s="277"/>
      <c r="H409" s="277"/>
      <c r="I409" s="277"/>
      <c r="J409" s="277"/>
      <c r="K409" s="277"/>
      <c r="L409" s="277"/>
    </row>
    <row r="410" spans="1:12" ht="21.95" customHeight="1" x14ac:dyDescent="0.25">
      <c r="A410" s="1"/>
      <c r="B410" s="1"/>
    </row>
    <row r="411" spans="1:12" ht="21.95" customHeight="1" thickBot="1" x14ac:dyDescent="0.25">
      <c r="A411" s="10" t="s">
        <v>0</v>
      </c>
      <c r="B411" s="278" t="s">
        <v>91</v>
      </c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</row>
    <row r="412" spans="1:12" ht="21.95" customHeight="1" thickTop="1" x14ac:dyDescent="0.25">
      <c r="A412" s="1"/>
      <c r="B412" s="11" t="s">
        <v>3</v>
      </c>
      <c r="C412" s="12" t="s">
        <v>4</v>
      </c>
      <c r="D412" s="13"/>
      <c r="E412" s="13"/>
      <c r="F412" s="13"/>
      <c r="G412" s="13"/>
      <c r="H412" s="14"/>
      <c r="I412" s="15" t="s">
        <v>5</v>
      </c>
      <c r="J412" s="12" t="s">
        <v>17</v>
      </c>
      <c r="K412" s="13"/>
      <c r="L412" s="14"/>
    </row>
    <row r="413" spans="1:12" ht="21.95" customHeight="1" x14ac:dyDescent="0.2">
      <c r="B413" s="96">
        <v>1</v>
      </c>
      <c r="C413" s="313" t="s">
        <v>420</v>
      </c>
      <c r="D413" s="314"/>
      <c r="E413" s="314"/>
      <c r="F413" s="314"/>
      <c r="G413" s="314"/>
      <c r="H413" s="315"/>
      <c r="I413" s="56">
        <f>200000</f>
        <v>200000</v>
      </c>
      <c r="L413" s="17"/>
    </row>
    <row r="414" spans="1:12" ht="21.95" customHeight="1" x14ac:dyDescent="0.2">
      <c r="B414" s="96"/>
      <c r="C414" s="313"/>
      <c r="D414" s="314"/>
      <c r="E414" s="314"/>
      <c r="F414" s="314"/>
      <c r="G414" s="314"/>
      <c r="H414" s="315"/>
      <c r="I414" s="56"/>
      <c r="L414" s="17"/>
    </row>
    <row r="415" spans="1:12" ht="21.95" customHeight="1" x14ac:dyDescent="0.25">
      <c r="A415" s="1"/>
      <c r="B415" s="39"/>
      <c r="C415" s="1"/>
      <c r="D415" s="1"/>
      <c r="E415" s="1"/>
      <c r="F415" s="40" t="s">
        <v>5</v>
      </c>
      <c r="G415" s="40"/>
      <c r="H415" s="1"/>
      <c r="I415" s="41">
        <f>I413</f>
        <v>200000</v>
      </c>
      <c r="J415" s="1"/>
      <c r="K415" s="1"/>
      <c r="L415" s="42"/>
    </row>
    <row r="416" spans="1:12" ht="21.95" customHeight="1" thickBot="1" x14ac:dyDescent="0.3">
      <c r="A416" s="1"/>
      <c r="B416" s="43"/>
      <c r="C416" s="44"/>
      <c r="D416" s="44"/>
      <c r="E416" s="44"/>
      <c r="F416" s="45"/>
      <c r="G416" s="45"/>
      <c r="H416" s="44"/>
      <c r="I416" s="46"/>
      <c r="J416" s="44"/>
      <c r="K416" s="44"/>
      <c r="L416" s="47"/>
    </row>
    <row r="417" spans="1:12" ht="21.95" customHeight="1" thickTop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21.95" customHeight="1" x14ac:dyDescent="0.2">
      <c r="A418" s="10" t="s">
        <v>2</v>
      </c>
      <c r="B418" s="279" t="s">
        <v>11</v>
      </c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</row>
    <row r="419" spans="1:12" ht="21.9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21.95" customHeight="1" x14ac:dyDescent="0.2">
      <c r="A420" s="280" t="s">
        <v>12</v>
      </c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</row>
    <row r="421" spans="1:12" ht="21.9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21.9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21.95" customHeight="1" x14ac:dyDescent="0.25">
      <c r="A423" s="1"/>
      <c r="B423" s="1"/>
      <c r="C423" s="1"/>
      <c r="D423" s="1"/>
      <c r="E423" s="1"/>
      <c r="F423" s="1"/>
      <c r="G423" s="1"/>
      <c r="H423" s="4" t="s">
        <v>199</v>
      </c>
      <c r="J423" s="286" t="s">
        <v>417</v>
      </c>
      <c r="K423" s="286"/>
      <c r="L423" s="286"/>
    </row>
    <row r="424" spans="1:12" ht="21.95" customHeight="1" x14ac:dyDescent="0.25">
      <c r="A424" s="1"/>
      <c r="B424" s="1" t="s">
        <v>15</v>
      </c>
      <c r="C424" s="1"/>
      <c r="D424" s="1"/>
      <c r="E424" s="1"/>
      <c r="F424" s="1"/>
      <c r="G424" s="1"/>
      <c r="H424" s="4" t="s">
        <v>13</v>
      </c>
    </row>
    <row r="425" spans="1:12" ht="21.95" customHeight="1" x14ac:dyDescent="0.25">
      <c r="A425" s="1"/>
      <c r="B425" s="1" t="s">
        <v>18</v>
      </c>
      <c r="C425" s="1"/>
      <c r="D425" s="1"/>
      <c r="E425" s="1"/>
      <c r="F425" s="1"/>
      <c r="G425" s="1"/>
      <c r="H425" s="4" t="s">
        <v>14</v>
      </c>
    </row>
    <row r="426" spans="1:12" ht="21.9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21.9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21.95" customHeight="1" x14ac:dyDescent="0.25">
      <c r="A428" s="1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"/>
    </row>
    <row r="429" spans="1:12" ht="21.95" customHeight="1" x14ac:dyDescent="0.25">
      <c r="A429" s="1"/>
      <c r="K429" s="103"/>
      <c r="L429" s="1"/>
    </row>
    <row r="430" spans="1:12" ht="21.95" customHeight="1" x14ac:dyDescent="0.25">
      <c r="A430" s="1"/>
      <c r="B430" s="95" t="s">
        <v>77</v>
      </c>
      <c r="H430" s="26" t="s">
        <v>78</v>
      </c>
      <c r="I430" s="95"/>
      <c r="J430" s="92"/>
      <c r="K430" s="103"/>
      <c r="L430" s="1"/>
    </row>
    <row r="431" spans="1:12" ht="21.95" customHeight="1" x14ac:dyDescent="0.25">
      <c r="A431" s="1"/>
      <c r="B431" s="99" t="s">
        <v>27</v>
      </c>
      <c r="C431" s="57"/>
      <c r="H431" s="28" t="s">
        <v>79</v>
      </c>
      <c r="K431" s="103"/>
    </row>
    <row r="436" spans="1:12" ht="21.95" customHeight="1" x14ac:dyDescent="0.25">
      <c r="A436" s="3" t="s">
        <v>22</v>
      </c>
    </row>
    <row r="437" spans="1:12" ht="21.95" customHeight="1" x14ac:dyDescent="0.2">
      <c r="A437" s="122" t="s">
        <v>20</v>
      </c>
    </row>
    <row r="438" spans="1:12" ht="21.95" customHeight="1" x14ac:dyDescent="0.2">
      <c r="A438" s="122" t="s">
        <v>21</v>
      </c>
    </row>
    <row r="442" spans="1:12" ht="21.95" customHeight="1" x14ac:dyDescent="0.3">
      <c r="A442" s="276" t="s">
        <v>6</v>
      </c>
      <c r="B442" s="276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</row>
    <row r="443" spans="1:12" ht="21.95" customHeight="1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</row>
    <row r="444" spans="1:12" ht="21.95" customHeight="1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</row>
    <row r="445" spans="1:12" ht="21.95" customHeight="1" x14ac:dyDescent="0.25">
      <c r="A445" s="1"/>
      <c r="B445" s="1"/>
    </row>
    <row r="446" spans="1:12" ht="21.95" customHeight="1" x14ac:dyDescent="0.25">
      <c r="A446" s="1" t="s">
        <v>7</v>
      </c>
      <c r="B446" s="1"/>
    </row>
    <row r="447" spans="1:12" ht="21.95" customHeight="1" x14ac:dyDescent="0.25">
      <c r="A447" s="1"/>
      <c r="B447" s="1"/>
    </row>
    <row r="448" spans="1:12" ht="21.95" customHeight="1" x14ac:dyDescent="0.25">
      <c r="A448" s="1" t="s">
        <v>8</v>
      </c>
      <c r="C448" s="9" t="s">
        <v>1</v>
      </c>
      <c r="D448" s="92" t="s">
        <v>77</v>
      </c>
      <c r="E448" s="76"/>
      <c r="F448" s="76"/>
      <c r="G448" s="76"/>
      <c r="H448" s="76"/>
    </row>
    <row r="449" spans="1:12" ht="21.95" customHeight="1" x14ac:dyDescent="0.25">
      <c r="A449" s="1" t="s">
        <v>9</v>
      </c>
      <c r="C449" s="9" t="s">
        <v>1</v>
      </c>
      <c r="D449" s="146" t="s">
        <v>201</v>
      </c>
      <c r="E449" s="76"/>
      <c r="F449" s="76"/>
      <c r="G449" s="76"/>
      <c r="H449" s="76"/>
    </row>
    <row r="450" spans="1:12" ht="21.95" customHeight="1" x14ac:dyDescent="0.2">
      <c r="A450" s="50" t="s">
        <v>10</v>
      </c>
      <c r="B450" s="76"/>
      <c r="C450" s="91" t="s">
        <v>1</v>
      </c>
      <c r="D450" s="4" t="s">
        <v>265</v>
      </c>
      <c r="E450" s="76"/>
      <c r="F450" s="76"/>
      <c r="G450" s="76"/>
      <c r="H450" s="76"/>
      <c r="I450" s="76"/>
      <c r="J450" s="76"/>
      <c r="K450" s="76"/>
      <c r="L450" s="76"/>
    </row>
    <row r="451" spans="1:12" ht="21.95" customHeight="1" x14ac:dyDescent="0.25">
      <c r="A451" s="1"/>
      <c r="B451" s="1"/>
      <c r="D451" s="1"/>
    </row>
    <row r="452" spans="1:12" ht="21.95" customHeight="1" x14ac:dyDescent="0.2">
      <c r="A452" s="277" t="s">
        <v>418</v>
      </c>
      <c r="B452" s="277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</row>
    <row r="453" spans="1:12" ht="21.95" customHeight="1" x14ac:dyDescent="0.25">
      <c r="A453" s="1"/>
      <c r="B453" s="1"/>
    </row>
    <row r="454" spans="1:12" ht="21.95" customHeight="1" thickBot="1" x14ac:dyDescent="0.25">
      <c r="A454" s="10" t="s">
        <v>0</v>
      </c>
      <c r="B454" s="278" t="s">
        <v>91</v>
      </c>
      <c r="C454" s="278"/>
      <c r="D454" s="278"/>
      <c r="E454" s="278"/>
      <c r="F454" s="278"/>
      <c r="G454" s="278"/>
      <c r="H454" s="278"/>
      <c r="I454" s="278"/>
      <c r="J454" s="278"/>
      <c r="K454" s="278"/>
      <c r="L454" s="278"/>
    </row>
    <row r="455" spans="1:12" ht="21.95" customHeight="1" thickTop="1" x14ac:dyDescent="0.25">
      <c r="A455" s="1"/>
      <c r="B455" s="11" t="s">
        <v>3</v>
      </c>
      <c r="C455" s="12" t="s">
        <v>4</v>
      </c>
      <c r="D455" s="13"/>
      <c r="E455" s="13"/>
      <c r="F455" s="13"/>
      <c r="G455" s="13"/>
      <c r="H455" s="14"/>
      <c r="I455" s="15" t="s">
        <v>5</v>
      </c>
      <c r="J455" s="12" t="s">
        <v>17</v>
      </c>
      <c r="K455" s="13"/>
      <c r="L455" s="14"/>
    </row>
    <row r="456" spans="1:12" ht="21.95" customHeight="1" x14ac:dyDescent="0.2">
      <c r="B456" s="96">
        <v>1</v>
      </c>
      <c r="C456" s="313" t="s">
        <v>421</v>
      </c>
      <c r="D456" s="314"/>
      <c r="E456" s="314"/>
      <c r="F456" s="314"/>
      <c r="G456" s="314"/>
      <c r="H456" s="315"/>
      <c r="I456" s="56">
        <v>90000</v>
      </c>
      <c r="L456" s="17"/>
    </row>
    <row r="457" spans="1:12" ht="21.95" customHeight="1" x14ac:dyDescent="0.2">
      <c r="B457" s="96"/>
      <c r="C457" s="119"/>
      <c r="D457" s="119"/>
      <c r="E457" s="165"/>
      <c r="F457" s="119"/>
      <c r="G457" s="119"/>
      <c r="H457" s="119"/>
      <c r="I457" s="56"/>
      <c r="L457" s="17"/>
    </row>
    <row r="458" spans="1:12" ht="21.95" customHeight="1" x14ac:dyDescent="0.2">
      <c r="B458" s="96"/>
      <c r="C458" s="119"/>
      <c r="D458" s="119"/>
      <c r="E458" s="165"/>
      <c r="F458" s="119"/>
      <c r="G458" s="119"/>
      <c r="H458" s="119"/>
      <c r="I458" s="56"/>
      <c r="L458" s="17"/>
    </row>
    <row r="459" spans="1:12" ht="21.95" customHeight="1" x14ac:dyDescent="0.25">
      <c r="A459" s="1"/>
      <c r="B459" s="39"/>
      <c r="C459" s="1"/>
      <c r="D459" s="1"/>
      <c r="E459" s="1"/>
      <c r="F459" s="40" t="s">
        <v>5</v>
      </c>
      <c r="G459" s="40"/>
      <c r="H459" s="1"/>
      <c r="I459" s="41">
        <f>I456+I457</f>
        <v>90000</v>
      </c>
      <c r="J459" s="1"/>
      <c r="K459" s="1"/>
      <c r="L459" s="42"/>
    </row>
    <row r="460" spans="1:12" ht="21.95" customHeight="1" thickBot="1" x14ac:dyDescent="0.3">
      <c r="A460" s="1"/>
      <c r="B460" s="43"/>
      <c r="C460" s="44"/>
      <c r="D460" s="44"/>
      <c r="E460" s="44"/>
      <c r="F460" s="45"/>
      <c r="G460" s="45"/>
      <c r="H460" s="44"/>
      <c r="I460" s="46"/>
      <c r="J460" s="44"/>
      <c r="K460" s="44"/>
      <c r="L460" s="47"/>
    </row>
    <row r="461" spans="1:12" ht="21.95" customHeight="1" thickTop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21.95" customHeight="1" x14ac:dyDescent="0.2">
      <c r="A462" s="10" t="s">
        <v>2</v>
      </c>
      <c r="B462" s="279" t="s">
        <v>11</v>
      </c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</row>
    <row r="463" spans="1:12" ht="21.9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21.95" customHeight="1" x14ac:dyDescent="0.2">
      <c r="A464" s="280" t="s">
        <v>12</v>
      </c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</row>
    <row r="465" spans="1:12" ht="21.9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21.9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21.95" customHeight="1" x14ac:dyDescent="0.25">
      <c r="A467" s="1"/>
      <c r="B467" s="1"/>
      <c r="C467" s="1"/>
      <c r="D467" s="1"/>
      <c r="E467" s="1"/>
      <c r="F467" s="1"/>
      <c r="G467" s="1"/>
      <c r="H467" s="4" t="s">
        <v>199</v>
      </c>
      <c r="J467" s="286" t="s">
        <v>417</v>
      </c>
      <c r="K467" s="286"/>
      <c r="L467" s="286"/>
    </row>
    <row r="468" spans="1:12" ht="21.95" customHeight="1" x14ac:dyDescent="0.25">
      <c r="A468" s="1"/>
      <c r="B468" s="1" t="s">
        <v>15</v>
      </c>
      <c r="C468" s="1"/>
      <c r="D468" s="1"/>
      <c r="E468" s="1"/>
      <c r="F468" s="1"/>
      <c r="G468" s="1"/>
      <c r="H468" s="4" t="s">
        <v>13</v>
      </c>
    </row>
    <row r="469" spans="1:12" ht="21.95" customHeight="1" x14ac:dyDescent="0.25">
      <c r="A469" s="1"/>
      <c r="B469" s="1" t="s">
        <v>18</v>
      </c>
      <c r="C469" s="1"/>
      <c r="D469" s="1"/>
      <c r="E469" s="1"/>
      <c r="F469" s="1"/>
      <c r="G469" s="1"/>
      <c r="H469" s="4" t="s">
        <v>14</v>
      </c>
    </row>
    <row r="470" spans="1:12" ht="21.9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21.9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21.95" customHeight="1" x14ac:dyDescent="0.25">
      <c r="A472" s="1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"/>
    </row>
    <row r="473" spans="1:12" ht="21.95" customHeight="1" x14ac:dyDescent="0.25">
      <c r="A473" s="1"/>
      <c r="K473" s="103"/>
      <c r="L473" s="1"/>
    </row>
    <row r="474" spans="1:12" ht="21.95" customHeight="1" x14ac:dyDescent="0.25">
      <c r="A474" s="1"/>
      <c r="B474" s="95" t="s">
        <v>77</v>
      </c>
      <c r="H474" s="95" t="s">
        <v>77</v>
      </c>
      <c r="I474" s="95"/>
      <c r="J474" s="92"/>
      <c r="K474" s="103"/>
      <c r="L474" s="1"/>
    </row>
    <row r="475" spans="1:12" ht="21.95" customHeight="1" x14ac:dyDescent="0.25">
      <c r="A475" s="1"/>
      <c r="B475" s="99" t="s">
        <v>27</v>
      </c>
      <c r="C475" s="57"/>
      <c r="H475" s="99" t="s">
        <v>27</v>
      </c>
      <c r="K475" s="103"/>
    </row>
    <row r="478" spans="1:12" ht="21.95" customHeight="1" x14ac:dyDescent="0.25">
      <c r="A478" s="3" t="s">
        <v>22</v>
      </c>
    </row>
    <row r="479" spans="1:12" ht="21.95" customHeight="1" x14ac:dyDescent="0.2">
      <c r="A479" s="122" t="s">
        <v>20</v>
      </c>
    </row>
    <row r="480" spans="1:12" ht="21.95" customHeight="1" x14ac:dyDescent="0.2">
      <c r="A480" s="122" t="s">
        <v>21</v>
      </c>
    </row>
    <row r="484" spans="1:12" ht="21.95" customHeight="1" x14ac:dyDescent="0.3">
      <c r="A484" s="276" t="s">
        <v>6</v>
      </c>
      <c r="B484" s="276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</row>
    <row r="485" spans="1:12" ht="21.95" customHeight="1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</row>
    <row r="486" spans="1:12" ht="21.95" customHeight="1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</row>
    <row r="487" spans="1:12" ht="21.95" customHeight="1" x14ac:dyDescent="0.25">
      <c r="A487" s="1"/>
      <c r="B487" s="1"/>
    </row>
    <row r="488" spans="1:12" ht="21.95" customHeight="1" x14ac:dyDescent="0.25">
      <c r="A488" s="1" t="s">
        <v>7</v>
      </c>
      <c r="B488" s="1"/>
    </row>
    <row r="489" spans="1:12" ht="21.95" customHeight="1" x14ac:dyDescent="0.25">
      <c r="A489" s="1"/>
      <c r="B489" s="1"/>
    </row>
    <row r="490" spans="1:12" ht="21.95" customHeight="1" x14ac:dyDescent="0.25">
      <c r="A490" s="1" t="s">
        <v>8</v>
      </c>
      <c r="C490" s="9" t="s">
        <v>1</v>
      </c>
      <c r="D490" s="92" t="s">
        <v>96</v>
      </c>
      <c r="E490" s="76"/>
      <c r="F490" s="76"/>
      <c r="G490" s="76"/>
      <c r="H490" s="76"/>
    </row>
    <row r="491" spans="1:12" ht="21.95" customHeight="1" x14ac:dyDescent="0.25">
      <c r="A491" s="1" t="s">
        <v>9</v>
      </c>
      <c r="C491" s="9" t="s">
        <v>1</v>
      </c>
      <c r="D491" s="57" t="s">
        <v>200</v>
      </c>
      <c r="E491" s="76"/>
      <c r="F491" s="76"/>
      <c r="G491" s="76"/>
      <c r="H491" s="76"/>
    </row>
    <row r="492" spans="1:12" ht="21.95" customHeight="1" x14ac:dyDescent="0.2">
      <c r="A492" s="50" t="s">
        <v>10</v>
      </c>
      <c r="B492" s="76"/>
      <c r="C492" s="91" t="s">
        <v>1</v>
      </c>
      <c r="D492" s="50" t="s">
        <v>203</v>
      </c>
      <c r="E492" s="76"/>
      <c r="F492" s="76"/>
      <c r="G492" s="76"/>
      <c r="H492" s="76"/>
      <c r="I492" s="76"/>
      <c r="J492" s="76"/>
      <c r="K492" s="76"/>
      <c r="L492" s="76"/>
    </row>
    <row r="493" spans="1:12" ht="21.95" customHeight="1" x14ac:dyDescent="0.25">
      <c r="A493" s="1"/>
      <c r="B493" s="1"/>
      <c r="D493" s="1"/>
    </row>
    <row r="494" spans="1:12" ht="21.95" customHeight="1" x14ac:dyDescent="0.2">
      <c r="A494" s="277" t="s">
        <v>425</v>
      </c>
      <c r="B494" s="277"/>
      <c r="C494" s="277"/>
      <c r="D494" s="277"/>
      <c r="E494" s="277"/>
      <c r="F494" s="277"/>
      <c r="G494" s="277"/>
      <c r="H494" s="277"/>
      <c r="I494" s="277"/>
      <c r="J494" s="277"/>
      <c r="K494" s="277"/>
      <c r="L494" s="277"/>
    </row>
    <row r="495" spans="1:12" ht="21.95" customHeight="1" x14ac:dyDescent="0.25">
      <c r="A495" s="1"/>
      <c r="B495" s="1"/>
    </row>
    <row r="496" spans="1:12" ht="21.95" customHeight="1" thickBot="1" x14ac:dyDescent="0.25">
      <c r="A496" s="10" t="s">
        <v>0</v>
      </c>
      <c r="B496" s="278" t="s">
        <v>91</v>
      </c>
      <c r="C496" s="278"/>
      <c r="D496" s="278"/>
      <c r="E496" s="278"/>
      <c r="F496" s="278"/>
      <c r="G496" s="278"/>
      <c r="H496" s="278"/>
      <c r="I496" s="278"/>
      <c r="J496" s="278"/>
      <c r="K496" s="278"/>
      <c r="L496" s="278"/>
    </row>
    <row r="497" spans="1:12" ht="21.95" customHeight="1" thickTop="1" x14ac:dyDescent="0.25">
      <c r="A497" s="1"/>
      <c r="B497" s="11" t="s">
        <v>3</v>
      </c>
      <c r="C497" s="12" t="s">
        <v>4</v>
      </c>
      <c r="D497" s="13"/>
      <c r="E497" s="13"/>
      <c r="F497" s="13"/>
      <c r="G497" s="13"/>
      <c r="H497" s="14"/>
      <c r="I497" s="15" t="s">
        <v>5</v>
      </c>
      <c r="J497" s="12" t="s">
        <v>17</v>
      </c>
      <c r="K497" s="13"/>
      <c r="L497" s="14"/>
    </row>
    <row r="498" spans="1:12" ht="21.95" customHeight="1" x14ac:dyDescent="0.2">
      <c r="B498" s="96">
        <v>1</v>
      </c>
      <c r="C498" s="140" t="s">
        <v>423</v>
      </c>
      <c r="D498" s="76"/>
      <c r="E498" s="150"/>
      <c r="F498" s="144"/>
      <c r="G498" s="76"/>
      <c r="H498" s="79"/>
      <c r="I498" s="56">
        <v>250000</v>
      </c>
      <c r="L498" s="17"/>
    </row>
    <row r="499" spans="1:12" ht="21.95" customHeight="1" x14ac:dyDescent="0.2">
      <c r="B499" s="96"/>
      <c r="C499" s="313"/>
      <c r="D499" s="314"/>
      <c r="E499" s="314"/>
      <c r="F499" s="314"/>
      <c r="G499" s="314"/>
      <c r="H499" s="315"/>
      <c r="I499" s="56"/>
      <c r="L499" s="17"/>
    </row>
    <row r="500" spans="1:12" ht="21.95" customHeight="1" x14ac:dyDescent="0.25">
      <c r="A500" s="1"/>
      <c r="B500" s="39"/>
      <c r="C500" s="1"/>
      <c r="D500" s="1"/>
      <c r="E500" s="1"/>
      <c r="F500" s="40" t="s">
        <v>5</v>
      </c>
      <c r="G500" s="40"/>
      <c r="H500" s="1"/>
      <c r="I500" s="41">
        <f>I498</f>
        <v>250000</v>
      </c>
      <c r="J500" s="1"/>
      <c r="K500" s="1"/>
      <c r="L500" s="42"/>
    </row>
    <row r="501" spans="1:12" ht="21.95" customHeight="1" thickBot="1" x14ac:dyDescent="0.3">
      <c r="A501" s="1"/>
      <c r="B501" s="43"/>
      <c r="C501" s="44"/>
      <c r="D501" s="44"/>
      <c r="E501" s="44"/>
      <c r="F501" s="45"/>
      <c r="G501" s="45"/>
      <c r="H501" s="44"/>
      <c r="I501" s="46"/>
      <c r="J501" s="44"/>
      <c r="K501" s="44"/>
      <c r="L501" s="47"/>
    </row>
    <row r="502" spans="1:12" ht="21.95" customHeight="1" thickTop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21.95" customHeight="1" x14ac:dyDescent="0.2">
      <c r="A503" s="10" t="s">
        <v>2</v>
      </c>
      <c r="B503" s="279" t="s">
        <v>11</v>
      </c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</row>
    <row r="504" spans="1:12" ht="21.9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21.95" customHeight="1" x14ac:dyDescent="0.2">
      <c r="A505" s="280" t="s">
        <v>12</v>
      </c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</row>
    <row r="506" spans="1:12" ht="21.9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21.9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21.95" customHeight="1" x14ac:dyDescent="0.25">
      <c r="A508" s="1"/>
      <c r="B508" s="1"/>
      <c r="C508" s="1"/>
      <c r="D508" s="1"/>
      <c r="E508" s="1"/>
      <c r="F508" s="1"/>
      <c r="G508" s="1"/>
      <c r="H508" s="4" t="s">
        <v>199</v>
      </c>
      <c r="J508" s="286" t="s">
        <v>426</v>
      </c>
      <c r="K508" s="286"/>
      <c r="L508" s="286"/>
    </row>
    <row r="509" spans="1:12" ht="21.95" customHeight="1" x14ac:dyDescent="0.25">
      <c r="A509" s="1"/>
      <c r="B509" s="1" t="s">
        <v>15</v>
      </c>
      <c r="C509" s="1"/>
      <c r="D509" s="1"/>
      <c r="E509" s="1"/>
      <c r="F509" s="1"/>
      <c r="G509" s="1"/>
      <c r="H509" s="4" t="s">
        <v>13</v>
      </c>
    </row>
    <row r="510" spans="1:12" ht="21.95" customHeight="1" x14ac:dyDescent="0.25">
      <c r="A510" s="1"/>
      <c r="B510" s="1" t="s">
        <v>18</v>
      </c>
      <c r="C510" s="1"/>
      <c r="D510" s="1"/>
      <c r="E510" s="1"/>
      <c r="F510" s="1"/>
      <c r="G510" s="1"/>
      <c r="H510" s="4" t="s">
        <v>14</v>
      </c>
    </row>
    <row r="511" spans="1:12" ht="21.9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21.9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21.95" customHeight="1" x14ac:dyDescent="0.25">
      <c r="A513" s="1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"/>
    </row>
    <row r="514" spans="1:12" ht="21.95" customHeight="1" x14ac:dyDescent="0.25">
      <c r="A514" s="1"/>
      <c r="K514" s="103"/>
      <c r="L514" s="1"/>
    </row>
    <row r="515" spans="1:12" ht="21.95" customHeight="1" x14ac:dyDescent="0.25">
      <c r="A515" s="1"/>
      <c r="B515" s="95" t="s">
        <v>77</v>
      </c>
      <c r="H515" s="26" t="s">
        <v>96</v>
      </c>
      <c r="I515" s="95"/>
      <c r="J515" s="92"/>
      <c r="K515" s="103"/>
      <c r="L515" s="1"/>
    </row>
    <row r="516" spans="1:12" ht="21.95" customHeight="1" x14ac:dyDescent="0.25">
      <c r="A516" s="1"/>
      <c r="B516" s="99" t="s">
        <v>27</v>
      </c>
      <c r="C516" s="57"/>
      <c r="H516" s="28" t="s">
        <v>100</v>
      </c>
      <c r="K516" s="103"/>
    </row>
    <row r="521" spans="1:12" ht="21.95" customHeight="1" x14ac:dyDescent="0.25">
      <c r="A521" s="3" t="s">
        <v>22</v>
      </c>
    </row>
    <row r="522" spans="1:12" ht="21.95" customHeight="1" x14ac:dyDescent="0.2">
      <c r="A522" s="122" t="s">
        <v>20</v>
      </c>
    </row>
    <row r="523" spans="1:12" ht="21.95" customHeight="1" x14ac:dyDescent="0.2">
      <c r="A523" s="122" t="s">
        <v>21</v>
      </c>
    </row>
    <row r="527" spans="1:12" ht="21.95" customHeight="1" x14ac:dyDescent="0.3">
      <c r="A527" s="276" t="s">
        <v>6</v>
      </c>
      <c r="B527" s="276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</row>
    <row r="528" spans="1:12" ht="21.95" customHeight="1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</row>
    <row r="529" spans="1:12" ht="21.95" customHeight="1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</row>
    <row r="530" spans="1:12" ht="21.95" customHeight="1" x14ac:dyDescent="0.25">
      <c r="A530" s="1"/>
      <c r="B530" s="1"/>
    </row>
    <row r="531" spans="1:12" ht="21.95" customHeight="1" x14ac:dyDescent="0.25">
      <c r="A531" s="1" t="s">
        <v>7</v>
      </c>
      <c r="B531" s="1"/>
    </row>
    <row r="532" spans="1:12" ht="21.95" customHeight="1" x14ac:dyDescent="0.25">
      <c r="A532" s="1"/>
      <c r="B532" s="1"/>
    </row>
    <row r="533" spans="1:12" ht="21.95" customHeight="1" x14ac:dyDescent="0.25">
      <c r="A533" s="1" t="s">
        <v>8</v>
      </c>
      <c r="C533" s="9" t="s">
        <v>1</v>
      </c>
      <c r="D533" s="92" t="s">
        <v>77</v>
      </c>
      <c r="E533" s="76"/>
      <c r="F533" s="76"/>
      <c r="G533" s="76"/>
      <c r="H533" s="76"/>
    </row>
    <row r="534" spans="1:12" ht="21.95" customHeight="1" x14ac:dyDescent="0.25">
      <c r="A534" s="1" t="s">
        <v>9</v>
      </c>
      <c r="C534" s="9" t="s">
        <v>1</v>
      </c>
      <c r="D534" s="146" t="s">
        <v>201</v>
      </c>
      <c r="E534" s="76"/>
      <c r="F534" s="76"/>
      <c r="G534" s="76"/>
      <c r="H534" s="76"/>
    </row>
    <row r="535" spans="1:12" ht="21.95" customHeight="1" x14ac:dyDescent="0.2">
      <c r="A535" s="50" t="s">
        <v>10</v>
      </c>
      <c r="B535" s="76"/>
      <c r="C535" s="91" t="s">
        <v>1</v>
      </c>
      <c r="D535" s="4" t="s">
        <v>265</v>
      </c>
      <c r="E535" s="76"/>
      <c r="F535" s="76"/>
      <c r="G535" s="76"/>
      <c r="H535" s="76"/>
      <c r="I535" s="76"/>
      <c r="J535" s="76"/>
      <c r="K535" s="76"/>
      <c r="L535" s="76"/>
    </row>
    <row r="536" spans="1:12" ht="21.95" customHeight="1" x14ac:dyDescent="0.25">
      <c r="A536" s="1"/>
      <c r="B536" s="1"/>
      <c r="D536" s="1"/>
    </row>
    <row r="537" spans="1:12" ht="21.95" customHeight="1" x14ac:dyDescent="0.2">
      <c r="A537" s="277" t="s">
        <v>425</v>
      </c>
      <c r="B537" s="277"/>
      <c r="C537" s="277"/>
      <c r="D537" s="277"/>
      <c r="E537" s="277"/>
      <c r="F537" s="277"/>
      <c r="G537" s="277"/>
      <c r="H537" s="277"/>
      <c r="I537" s="277"/>
      <c r="J537" s="277"/>
      <c r="K537" s="277"/>
      <c r="L537" s="277"/>
    </row>
    <row r="538" spans="1:12" ht="21.95" customHeight="1" x14ac:dyDescent="0.25">
      <c r="A538" s="1"/>
      <c r="B538" s="1"/>
    </row>
    <row r="539" spans="1:12" ht="21.95" customHeight="1" thickBot="1" x14ac:dyDescent="0.25">
      <c r="A539" s="10" t="s">
        <v>0</v>
      </c>
      <c r="B539" s="278" t="s">
        <v>91</v>
      </c>
      <c r="C539" s="278"/>
      <c r="D539" s="278"/>
      <c r="E539" s="278"/>
      <c r="F539" s="278"/>
      <c r="G539" s="278"/>
      <c r="H539" s="278"/>
      <c r="I539" s="278"/>
      <c r="J539" s="278"/>
      <c r="K539" s="278"/>
      <c r="L539" s="278"/>
    </row>
    <row r="540" spans="1:12" ht="21.95" customHeight="1" thickTop="1" x14ac:dyDescent="0.25">
      <c r="A540" s="1"/>
      <c r="B540" s="11" t="s">
        <v>3</v>
      </c>
      <c r="C540" s="12" t="s">
        <v>4</v>
      </c>
      <c r="D540" s="13"/>
      <c r="E540" s="13"/>
      <c r="F540" s="13"/>
      <c r="G540" s="13"/>
      <c r="H540" s="14"/>
      <c r="I540" s="15" t="s">
        <v>5</v>
      </c>
      <c r="J540" s="12" t="s">
        <v>17</v>
      </c>
      <c r="K540" s="13"/>
      <c r="L540" s="14"/>
    </row>
    <row r="541" spans="1:12" ht="21.95" customHeight="1" x14ac:dyDescent="0.2">
      <c r="B541" s="96">
        <v>1</v>
      </c>
      <c r="C541" s="140" t="s">
        <v>423</v>
      </c>
      <c r="D541" s="76"/>
      <c r="E541" s="150"/>
      <c r="F541" s="144"/>
      <c r="G541" s="76"/>
      <c r="H541" s="79"/>
      <c r="I541" s="56">
        <v>250000</v>
      </c>
      <c r="L541" s="17"/>
    </row>
    <row r="542" spans="1:12" ht="21.95" customHeight="1" x14ac:dyDescent="0.2">
      <c r="B542" s="96"/>
      <c r="C542" s="313"/>
      <c r="D542" s="314"/>
      <c r="E542" s="314"/>
      <c r="F542" s="314"/>
      <c r="G542" s="314"/>
      <c r="H542" s="315"/>
      <c r="I542" s="56"/>
      <c r="L542" s="17"/>
    </row>
    <row r="543" spans="1:12" ht="21.95" customHeight="1" x14ac:dyDescent="0.25">
      <c r="A543" s="1"/>
      <c r="B543" s="39"/>
      <c r="C543" s="1"/>
      <c r="D543" s="1"/>
      <c r="E543" s="1"/>
      <c r="F543" s="40" t="s">
        <v>5</v>
      </c>
      <c r="G543" s="40"/>
      <c r="H543" s="1"/>
      <c r="I543" s="41">
        <f>I541</f>
        <v>250000</v>
      </c>
      <c r="J543" s="1"/>
      <c r="K543" s="1"/>
      <c r="L543" s="42"/>
    </row>
    <row r="544" spans="1:12" ht="21.95" customHeight="1" thickBot="1" x14ac:dyDescent="0.3">
      <c r="A544" s="1"/>
      <c r="B544" s="43"/>
      <c r="C544" s="44"/>
      <c r="D544" s="44"/>
      <c r="E544" s="44"/>
      <c r="F544" s="45"/>
      <c r="G544" s="45"/>
      <c r="H544" s="44"/>
      <c r="I544" s="46"/>
      <c r="J544" s="44"/>
      <c r="K544" s="44"/>
      <c r="L544" s="47"/>
    </row>
    <row r="545" spans="1:12" ht="21.95" customHeight="1" thickTop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21.95" customHeight="1" x14ac:dyDescent="0.2">
      <c r="A546" s="10" t="s">
        <v>2</v>
      </c>
      <c r="B546" s="279" t="s">
        <v>11</v>
      </c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</row>
    <row r="547" spans="1:12" ht="21.9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21.95" customHeight="1" x14ac:dyDescent="0.2">
      <c r="A548" s="280" t="s">
        <v>12</v>
      </c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</row>
    <row r="549" spans="1:12" ht="21.9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21.9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21.95" customHeight="1" x14ac:dyDescent="0.25">
      <c r="A551" s="1"/>
      <c r="B551" s="1"/>
      <c r="C551" s="1"/>
      <c r="D551" s="1"/>
      <c r="E551" s="1"/>
      <c r="F551" s="1"/>
      <c r="G551" s="1"/>
      <c r="H551" s="4" t="s">
        <v>199</v>
      </c>
      <c r="J551" s="286" t="s">
        <v>426</v>
      </c>
      <c r="K551" s="286"/>
      <c r="L551" s="286"/>
    </row>
    <row r="552" spans="1:12" ht="21.95" customHeight="1" x14ac:dyDescent="0.25">
      <c r="A552" s="1"/>
      <c r="B552" s="1" t="s">
        <v>15</v>
      </c>
      <c r="C552" s="1"/>
      <c r="D552" s="1"/>
      <c r="E552" s="1"/>
      <c r="F552" s="1"/>
      <c r="G552" s="1"/>
      <c r="H552" s="4" t="s">
        <v>13</v>
      </c>
    </row>
    <row r="553" spans="1:12" ht="21.95" customHeight="1" x14ac:dyDescent="0.25">
      <c r="A553" s="1"/>
      <c r="B553" s="1" t="s">
        <v>18</v>
      </c>
      <c r="C553" s="1"/>
      <c r="D553" s="1"/>
      <c r="E553" s="1"/>
      <c r="F553" s="1"/>
      <c r="G553" s="1"/>
      <c r="H553" s="4" t="s">
        <v>14</v>
      </c>
    </row>
    <row r="554" spans="1:12" ht="21.9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21.9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21.95" customHeight="1" x14ac:dyDescent="0.25">
      <c r="A556" s="1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"/>
    </row>
    <row r="557" spans="1:12" ht="21.95" customHeight="1" x14ac:dyDescent="0.25">
      <c r="A557" s="1"/>
      <c r="K557" s="103"/>
      <c r="L557" s="1"/>
    </row>
    <row r="558" spans="1:12" ht="21.95" customHeight="1" x14ac:dyDescent="0.25">
      <c r="A558" s="1"/>
      <c r="B558" s="95" t="s">
        <v>77</v>
      </c>
      <c r="H558" s="95" t="s">
        <v>77</v>
      </c>
      <c r="I558" s="95"/>
      <c r="J558" s="92"/>
      <c r="K558" s="103"/>
      <c r="L558" s="1"/>
    </row>
    <row r="559" spans="1:12" ht="21.95" customHeight="1" x14ac:dyDescent="0.25">
      <c r="A559" s="1"/>
      <c r="B559" s="99" t="s">
        <v>27</v>
      </c>
      <c r="C559" s="57"/>
      <c r="H559" s="99" t="s">
        <v>27</v>
      </c>
      <c r="K559" s="103"/>
    </row>
    <row r="564" spans="1:12" ht="21.95" customHeight="1" x14ac:dyDescent="0.25">
      <c r="A564" s="3" t="s">
        <v>22</v>
      </c>
    </row>
    <row r="565" spans="1:12" ht="21.95" customHeight="1" x14ac:dyDescent="0.2">
      <c r="A565" s="122" t="s">
        <v>20</v>
      </c>
    </row>
    <row r="566" spans="1:12" ht="21.95" customHeight="1" x14ac:dyDescent="0.2">
      <c r="A566" s="122" t="s">
        <v>21</v>
      </c>
    </row>
    <row r="570" spans="1:12" ht="21.95" customHeight="1" x14ac:dyDescent="0.3">
      <c r="A570" s="276" t="s">
        <v>6</v>
      </c>
      <c r="B570" s="276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</row>
    <row r="571" spans="1:12" ht="21.95" customHeight="1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</row>
    <row r="572" spans="1:12" ht="21.95" customHeight="1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</row>
    <row r="573" spans="1:12" ht="21.95" customHeight="1" x14ac:dyDescent="0.25">
      <c r="A573" s="1"/>
      <c r="B573" s="1"/>
    </row>
    <row r="574" spans="1:12" ht="21.95" customHeight="1" x14ac:dyDescent="0.25">
      <c r="A574" s="1" t="s">
        <v>7</v>
      </c>
      <c r="B574" s="1"/>
    </row>
    <row r="575" spans="1:12" ht="21.95" customHeight="1" x14ac:dyDescent="0.25">
      <c r="A575" s="1"/>
      <c r="B575" s="1"/>
    </row>
    <row r="576" spans="1:12" ht="21.95" customHeight="1" x14ac:dyDescent="0.25">
      <c r="A576" s="1" t="s">
        <v>8</v>
      </c>
      <c r="C576" s="9" t="s">
        <v>1</v>
      </c>
      <c r="D576" s="33" t="s">
        <v>78</v>
      </c>
      <c r="E576" s="76"/>
      <c r="F576" s="76"/>
      <c r="G576" s="76"/>
      <c r="H576" s="76"/>
    </row>
    <row r="577" spans="1:12" ht="21.95" customHeight="1" x14ac:dyDescent="0.25">
      <c r="A577" s="1" t="s">
        <v>9</v>
      </c>
      <c r="C577" s="9" t="s">
        <v>1</v>
      </c>
      <c r="D577" s="27" t="s">
        <v>234</v>
      </c>
      <c r="E577" s="76"/>
      <c r="F577" s="76"/>
      <c r="G577" s="76"/>
      <c r="H577" s="76"/>
    </row>
    <row r="578" spans="1:12" ht="21.95" customHeight="1" x14ac:dyDescent="0.2">
      <c r="A578" s="50" t="s">
        <v>10</v>
      </c>
      <c r="B578" s="76"/>
      <c r="C578" s="91" t="s">
        <v>1</v>
      </c>
      <c r="D578" s="4" t="s">
        <v>235</v>
      </c>
      <c r="E578" s="76"/>
      <c r="F578" s="76"/>
      <c r="G578" s="76"/>
      <c r="H578" s="76"/>
      <c r="I578" s="76"/>
      <c r="J578" s="76"/>
      <c r="K578" s="76"/>
      <c r="L578" s="76"/>
    </row>
    <row r="579" spans="1:12" ht="21.95" customHeight="1" x14ac:dyDescent="0.25">
      <c r="A579" s="1"/>
      <c r="B579" s="1"/>
      <c r="D579" s="1"/>
    </row>
    <row r="580" spans="1:12" ht="21.95" customHeight="1" x14ac:dyDescent="0.2">
      <c r="A580" s="277" t="s">
        <v>422</v>
      </c>
      <c r="B580" s="277"/>
      <c r="C580" s="277"/>
      <c r="D580" s="277"/>
      <c r="E580" s="277"/>
      <c r="F580" s="277"/>
      <c r="G580" s="277"/>
      <c r="H580" s="277"/>
      <c r="I580" s="277"/>
      <c r="J580" s="277"/>
      <c r="K580" s="277"/>
      <c r="L580" s="277"/>
    </row>
    <row r="581" spans="1:12" ht="21.95" customHeight="1" x14ac:dyDescent="0.25">
      <c r="A581" s="1"/>
      <c r="B581" s="1"/>
    </row>
    <row r="582" spans="1:12" ht="21.95" customHeight="1" thickBot="1" x14ac:dyDescent="0.25">
      <c r="A582" s="10" t="s">
        <v>0</v>
      </c>
      <c r="B582" s="278" t="s">
        <v>91</v>
      </c>
      <c r="C582" s="278"/>
      <c r="D582" s="278"/>
      <c r="E582" s="278"/>
      <c r="F582" s="278"/>
      <c r="G582" s="278"/>
      <c r="H582" s="278"/>
      <c r="I582" s="278"/>
      <c r="J582" s="278"/>
      <c r="K582" s="278"/>
      <c r="L582" s="278"/>
    </row>
    <row r="583" spans="1:12" ht="21.95" customHeight="1" thickTop="1" x14ac:dyDescent="0.25">
      <c r="A583" s="1"/>
      <c r="B583" s="11" t="s">
        <v>3</v>
      </c>
      <c r="C583" s="12" t="s">
        <v>4</v>
      </c>
      <c r="D583" s="13"/>
      <c r="E583" s="13"/>
      <c r="F583" s="13"/>
      <c r="G583" s="13"/>
      <c r="H583" s="14"/>
      <c r="I583" s="15" t="s">
        <v>5</v>
      </c>
      <c r="J583" s="12" t="s">
        <v>17</v>
      </c>
      <c r="K583" s="13"/>
      <c r="L583" s="14"/>
    </row>
    <row r="584" spans="1:12" ht="21.95" customHeight="1" x14ac:dyDescent="0.2">
      <c r="B584" s="96">
        <v>1</v>
      </c>
      <c r="C584" s="140" t="s">
        <v>423</v>
      </c>
      <c r="D584" s="76"/>
      <c r="E584" s="150"/>
      <c r="F584" s="144"/>
      <c r="G584" s="76"/>
      <c r="H584" s="79"/>
      <c r="I584" s="56">
        <v>250000</v>
      </c>
      <c r="L584" s="17"/>
    </row>
    <row r="585" spans="1:12" ht="21.95" customHeight="1" x14ac:dyDescent="0.2">
      <c r="B585" s="96"/>
      <c r="C585" s="313"/>
      <c r="D585" s="314"/>
      <c r="E585" s="314"/>
      <c r="F585" s="314"/>
      <c r="G585" s="314"/>
      <c r="H585" s="315"/>
      <c r="I585" s="56"/>
      <c r="L585" s="17"/>
    </row>
    <row r="586" spans="1:12" ht="21.95" customHeight="1" x14ac:dyDescent="0.25">
      <c r="A586" s="1"/>
      <c r="B586" s="39"/>
      <c r="C586" s="1"/>
      <c r="D586" s="1"/>
      <c r="E586" s="1"/>
      <c r="F586" s="40" t="s">
        <v>5</v>
      </c>
      <c r="G586" s="40"/>
      <c r="H586" s="1"/>
      <c r="I586" s="41">
        <f>I584</f>
        <v>250000</v>
      </c>
      <c r="J586" s="1"/>
      <c r="K586" s="1"/>
      <c r="L586" s="42"/>
    </row>
    <row r="587" spans="1:12" ht="21.95" customHeight="1" thickBot="1" x14ac:dyDescent="0.3">
      <c r="A587" s="1"/>
      <c r="B587" s="43"/>
      <c r="C587" s="44"/>
      <c r="D587" s="44"/>
      <c r="E587" s="44"/>
      <c r="F587" s="45"/>
      <c r="G587" s="45"/>
      <c r="H587" s="44"/>
      <c r="I587" s="46"/>
      <c r="J587" s="44"/>
      <c r="K587" s="44"/>
      <c r="L587" s="47"/>
    </row>
    <row r="588" spans="1:12" ht="21.95" customHeight="1" thickTop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21.95" customHeight="1" x14ac:dyDescent="0.2">
      <c r="A589" s="10" t="s">
        <v>2</v>
      </c>
      <c r="B589" s="279" t="s">
        <v>11</v>
      </c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</row>
    <row r="590" spans="1:12" ht="21.9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21.95" customHeight="1" x14ac:dyDescent="0.2">
      <c r="A591" s="280" t="s">
        <v>12</v>
      </c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</row>
    <row r="592" spans="1:12" ht="21.9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21.9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21.95" customHeight="1" x14ac:dyDescent="0.25">
      <c r="A594" s="1"/>
      <c r="B594" s="1"/>
      <c r="C594" s="1"/>
      <c r="D594" s="1"/>
      <c r="E594" s="1"/>
      <c r="F594" s="1"/>
      <c r="G594" s="1"/>
      <c r="H594" s="4" t="s">
        <v>199</v>
      </c>
      <c r="J594" s="286" t="s">
        <v>417</v>
      </c>
      <c r="K594" s="286"/>
      <c r="L594" s="286"/>
    </row>
    <row r="595" spans="1:12" ht="21.95" customHeight="1" x14ac:dyDescent="0.25">
      <c r="A595" s="1"/>
      <c r="B595" s="1" t="s">
        <v>15</v>
      </c>
      <c r="C595" s="1"/>
      <c r="D595" s="1"/>
      <c r="E595" s="1"/>
      <c r="F595" s="1"/>
      <c r="G595" s="1"/>
      <c r="H595" s="4" t="s">
        <v>13</v>
      </c>
    </row>
    <row r="596" spans="1:12" ht="21.95" customHeight="1" x14ac:dyDescent="0.25">
      <c r="A596" s="1"/>
      <c r="B596" s="1" t="s">
        <v>18</v>
      </c>
      <c r="C596" s="1"/>
      <c r="D596" s="1"/>
      <c r="E596" s="1"/>
      <c r="F596" s="1"/>
      <c r="G596" s="1"/>
      <c r="H596" s="4" t="s">
        <v>14</v>
      </c>
    </row>
    <row r="597" spans="1:12" ht="21.9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21.9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21.95" customHeight="1" x14ac:dyDescent="0.25">
      <c r="A599" s="1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"/>
    </row>
    <row r="600" spans="1:12" ht="21.95" customHeight="1" x14ac:dyDescent="0.25">
      <c r="A600" s="1"/>
      <c r="K600" s="103"/>
      <c r="L600" s="1"/>
    </row>
    <row r="601" spans="1:12" ht="21.95" customHeight="1" x14ac:dyDescent="0.25">
      <c r="A601" s="1"/>
      <c r="B601" s="95" t="s">
        <v>77</v>
      </c>
      <c r="H601" s="26" t="s">
        <v>78</v>
      </c>
      <c r="I601" s="95"/>
      <c r="J601" s="92"/>
      <c r="K601" s="103"/>
      <c r="L601" s="1"/>
    </row>
    <row r="602" spans="1:12" ht="21.95" customHeight="1" x14ac:dyDescent="0.25">
      <c r="A602" s="1"/>
      <c r="B602" s="99" t="s">
        <v>27</v>
      </c>
      <c r="C602" s="57"/>
      <c r="H602" s="28" t="s">
        <v>79</v>
      </c>
      <c r="K602" s="103"/>
    </row>
    <row r="608" spans="1:12" ht="21.95" customHeight="1" x14ac:dyDescent="0.25">
      <c r="A608" s="3" t="s">
        <v>22</v>
      </c>
    </row>
    <row r="609" spans="1:12" ht="21.95" customHeight="1" x14ac:dyDescent="0.2">
      <c r="A609" s="122" t="s">
        <v>20</v>
      </c>
    </row>
    <row r="610" spans="1:12" ht="21.95" customHeight="1" x14ac:dyDescent="0.2">
      <c r="A610" s="122" t="s">
        <v>21</v>
      </c>
    </row>
    <row r="614" spans="1:12" ht="21.95" customHeight="1" x14ac:dyDescent="0.3">
      <c r="A614" s="276" t="s">
        <v>6</v>
      </c>
      <c r="B614" s="276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</row>
    <row r="615" spans="1:12" ht="21.95" customHeight="1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</row>
    <row r="616" spans="1:12" ht="21.95" customHeight="1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</row>
    <row r="617" spans="1:12" ht="21.95" customHeight="1" x14ac:dyDescent="0.25">
      <c r="A617" s="1"/>
      <c r="B617" s="1"/>
    </row>
    <row r="618" spans="1:12" ht="21.95" customHeight="1" x14ac:dyDescent="0.25">
      <c r="A618" s="1" t="s">
        <v>7</v>
      </c>
      <c r="B618" s="1"/>
    </row>
    <row r="619" spans="1:12" ht="21.95" customHeight="1" x14ac:dyDescent="0.25">
      <c r="A619" s="1"/>
      <c r="B619" s="1"/>
    </row>
    <row r="620" spans="1:12" ht="21.95" customHeight="1" x14ac:dyDescent="0.25">
      <c r="A620" s="1" t="s">
        <v>8</v>
      </c>
      <c r="C620" s="9" t="s">
        <v>1</v>
      </c>
      <c r="D620" s="33" t="s">
        <v>555</v>
      </c>
      <c r="E620" s="76"/>
      <c r="F620" s="76"/>
      <c r="G620" s="76"/>
      <c r="H620" s="76"/>
    </row>
    <row r="621" spans="1:12" ht="21.95" customHeight="1" x14ac:dyDescent="0.25">
      <c r="A621" s="1" t="s">
        <v>9</v>
      </c>
      <c r="C621" s="9" t="s">
        <v>1</v>
      </c>
      <c r="D621" s="27" t="s">
        <v>236</v>
      </c>
      <c r="E621" s="76"/>
      <c r="F621" s="76"/>
      <c r="G621" s="76"/>
      <c r="H621" s="76"/>
    </row>
    <row r="622" spans="1:12" ht="21.95" customHeight="1" x14ac:dyDescent="0.2">
      <c r="A622" s="50" t="s">
        <v>10</v>
      </c>
      <c r="B622" s="76"/>
      <c r="C622" s="91" t="s">
        <v>1</v>
      </c>
      <c r="D622" s="4" t="s">
        <v>235</v>
      </c>
      <c r="E622" s="76"/>
      <c r="F622" s="76"/>
      <c r="G622" s="76"/>
      <c r="H622" s="76"/>
      <c r="I622" s="76"/>
      <c r="J622" s="76"/>
      <c r="K622" s="76"/>
      <c r="L622" s="76"/>
    </row>
    <row r="623" spans="1:12" ht="21.95" customHeight="1" x14ac:dyDescent="0.25">
      <c r="A623" s="1"/>
      <c r="B623" s="1"/>
      <c r="D623" s="1"/>
    </row>
    <row r="624" spans="1:12" ht="21.95" customHeight="1" x14ac:dyDescent="0.2">
      <c r="A624" s="277" t="s">
        <v>422</v>
      </c>
      <c r="B624" s="277"/>
      <c r="C624" s="277"/>
      <c r="D624" s="277"/>
      <c r="E624" s="277"/>
      <c r="F624" s="277"/>
      <c r="G624" s="277"/>
      <c r="H624" s="277"/>
      <c r="I624" s="277"/>
      <c r="J624" s="277"/>
      <c r="K624" s="277"/>
      <c r="L624" s="277"/>
    </row>
    <row r="625" spans="1:12" ht="21.95" customHeight="1" x14ac:dyDescent="0.25">
      <c r="A625" s="1"/>
      <c r="B625" s="1"/>
    </row>
    <row r="626" spans="1:12" ht="21.95" customHeight="1" thickBot="1" x14ac:dyDescent="0.25">
      <c r="A626" s="10" t="s">
        <v>0</v>
      </c>
      <c r="B626" s="278" t="s">
        <v>91</v>
      </c>
      <c r="C626" s="278"/>
      <c r="D626" s="278"/>
      <c r="E626" s="278"/>
      <c r="F626" s="278"/>
      <c r="G626" s="278"/>
      <c r="H626" s="278"/>
      <c r="I626" s="278"/>
      <c r="J626" s="278"/>
      <c r="K626" s="278"/>
      <c r="L626" s="278"/>
    </row>
    <row r="627" spans="1:12" ht="21.95" customHeight="1" thickTop="1" x14ac:dyDescent="0.25">
      <c r="A627" s="1"/>
      <c r="B627" s="11" t="s">
        <v>3</v>
      </c>
      <c r="C627" s="12" t="s">
        <v>4</v>
      </c>
      <c r="D627" s="13"/>
      <c r="E627" s="13"/>
      <c r="F627" s="13"/>
      <c r="G627" s="13"/>
      <c r="H627" s="14"/>
      <c r="I627" s="15" t="s">
        <v>5</v>
      </c>
      <c r="J627" s="12" t="s">
        <v>17</v>
      </c>
      <c r="K627" s="13"/>
      <c r="L627" s="14"/>
    </row>
    <row r="628" spans="1:12" ht="21.95" customHeight="1" x14ac:dyDescent="0.2">
      <c r="B628" s="96">
        <v>1</v>
      </c>
      <c r="C628" s="140" t="s">
        <v>423</v>
      </c>
      <c r="D628" s="76"/>
      <c r="E628" s="150"/>
      <c r="F628" s="144"/>
      <c r="G628" s="76"/>
      <c r="H628" s="79"/>
      <c r="I628" s="56">
        <v>250000</v>
      </c>
      <c r="L628" s="17"/>
    </row>
    <row r="629" spans="1:12" ht="21.95" customHeight="1" x14ac:dyDescent="0.2">
      <c r="B629" s="96"/>
      <c r="C629" s="313"/>
      <c r="D629" s="314"/>
      <c r="E629" s="314"/>
      <c r="F629" s="314"/>
      <c r="G629" s="314"/>
      <c r="H629" s="315"/>
      <c r="I629" s="56"/>
      <c r="L629" s="17"/>
    </row>
    <row r="630" spans="1:12" ht="21.95" customHeight="1" x14ac:dyDescent="0.25">
      <c r="A630" s="1"/>
      <c r="B630" s="39"/>
      <c r="C630" s="1"/>
      <c r="D630" s="1"/>
      <c r="E630" s="1"/>
      <c r="F630" s="40" t="s">
        <v>5</v>
      </c>
      <c r="G630" s="40"/>
      <c r="H630" s="1"/>
      <c r="I630" s="41">
        <f>I628</f>
        <v>250000</v>
      </c>
      <c r="J630" s="1"/>
      <c r="K630" s="1"/>
      <c r="L630" s="42"/>
    </row>
    <row r="631" spans="1:12" ht="21.95" customHeight="1" thickBot="1" x14ac:dyDescent="0.3">
      <c r="A631" s="1"/>
      <c r="B631" s="43"/>
      <c r="C631" s="44"/>
      <c r="D631" s="44"/>
      <c r="E631" s="44"/>
      <c r="F631" s="45"/>
      <c r="G631" s="45"/>
      <c r="H631" s="44"/>
      <c r="I631" s="46"/>
      <c r="J631" s="44"/>
      <c r="K631" s="44"/>
      <c r="L631" s="47"/>
    </row>
    <row r="632" spans="1:12" ht="21.95" customHeight="1" thickTop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21.95" customHeight="1" x14ac:dyDescent="0.2">
      <c r="A633" s="10" t="s">
        <v>2</v>
      </c>
      <c r="B633" s="279" t="s">
        <v>11</v>
      </c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</row>
    <row r="634" spans="1:12" ht="21.9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21.95" customHeight="1" x14ac:dyDescent="0.2">
      <c r="A635" s="280" t="s">
        <v>12</v>
      </c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</row>
    <row r="636" spans="1:12" ht="21.9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21.9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21.95" customHeight="1" x14ac:dyDescent="0.25">
      <c r="A638" s="1"/>
      <c r="B638" s="1"/>
      <c r="C638" s="1"/>
      <c r="D638" s="1"/>
      <c r="E638" s="1"/>
      <c r="F638" s="1"/>
      <c r="G638" s="1"/>
      <c r="H638" s="4" t="s">
        <v>199</v>
      </c>
      <c r="J638" s="286" t="s">
        <v>417</v>
      </c>
      <c r="K638" s="286"/>
      <c r="L638" s="286"/>
    </row>
    <row r="639" spans="1:12" ht="21.95" customHeight="1" x14ac:dyDescent="0.25">
      <c r="A639" s="1"/>
      <c r="B639" s="1" t="s">
        <v>15</v>
      </c>
      <c r="C639" s="1"/>
      <c r="D639" s="1"/>
      <c r="E639" s="1"/>
      <c r="F639" s="1"/>
      <c r="G639" s="1"/>
      <c r="H639" s="4" t="s">
        <v>13</v>
      </c>
    </row>
    <row r="640" spans="1:12" ht="21.95" customHeight="1" x14ac:dyDescent="0.25">
      <c r="A640" s="1"/>
      <c r="B640" s="1" t="s">
        <v>18</v>
      </c>
      <c r="C640" s="1"/>
      <c r="D640" s="1"/>
      <c r="E640" s="1"/>
      <c r="F640" s="1"/>
      <c r="G640" s="1"/>
      <c r="H640" s="4" t="s">
        <v>14</v>
      </c>
    </row>
    <row r="641" spans="1:12" ht="21.9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21.9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21.95" customHeight="1" x14ac:dyDescent="0.25">
      <c r="A643" s="1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"/>
    </row>
    <row r="644" spans="1:12" ht="21.95" customHeight="1" x14ac:dyDescent="0.25">
      <c r="A644" s="1"/>
      <c r="K644" s="103"/>
      <c r="L644" s="1"/>
    </row>
    <row r="645" spans="1:12" ht="21.95" customHeight="1" x14ac:dyDescent="0.25">
      <c r="A645" s="1"/>
      <c r="B645" s="95" t="s">
        <v>77</v>
      </c>
      <c r="H645" s="26" t="s">
        <v>555</v>
      </c>
      <c r="I645" s="95"/>
      <c r="J645" s="92"/>
      <c r="K645" s="103"/>
      <c r="L645" s="1"/>
    </row>
    <row r="646" spans="1:12" ht="21.95" customHeight="1" x14ac:dyDescent="0.25">
      <c r="A646" s="1"/>
      <c r="B646" s="99" t="s">
        <v>27</v>
      </c>
      <c r="C646" s="57"/>
      <c r="H646" s="28" t="s">
        <v>46</v>
      </c>
      <c r="K646" s="103"/>
    </row>
    <row r="650" spans="1:12" ht="21.95" customHeight="1" x14ac:dyDescent="0.25">
      <c r="A650" s="3" t="s">
        <v>22</v>
      </c>
    </row>
    <row r="651" spans="1:12" ht="21.95" customHeight="1" x14ac:dyDescent="0.2">
      <c r="A651" s="122" t="s">
        <v>20</v>
      </c>
    </row>
    <row r="652" spans="1:12" ht="21.95" customHeight="1" x14ac:dyDescent="0.2">
      <c r="A652" s="122" t="s">
        <v>21</v>
      </c>
    </row>
    <row r="656" spans="1:12" ht="21.95" customHeight="1" x14ac:dyDescent="0.3">
      <c r="A656" s="276" t="s">
        <v>6</v>
      </c>
      <c r="B656" s="276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</row>
    <row r="657" spans="1:12" ht="21.95" customHeight="1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</row>
    <row r="658" spans="1:12" ht="21.95" customHeight="1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</row>
    <row r="659" spans="1:12" ht="21.95" customHeight="1" x14ac:dyDescent="0.25">
      <c r="A659" s="1"/>
      <c r="B659" s="1"/>
    </row>
    <row r="660" spans="1:12" ht="21.95" customHeight="1" x14ac:dyDescent="0.25">
      <c r="A660" s="1" t="s">
        <v>7</v>
      </c>
      <c r="B660" s="1"/>
    </row>
    <row r="661" spans="1:12" ht="21.95" customHeight="1" x14ac:dyDescent="0.25">
      <c r="A661" s="1"/>
      <c r="B661" s="1"/>
    </row>
    <row r="662" spans="1:12" ht="21.95" customHeight="1" x14ac:dyDescent="0.25">
      <c r="A662" s="1" t="s">
        <v>8</v>
      </c>
      <c r="C662" s="9" t="s">
        <v>1</v>
      </c>
      <c r="D662" s="40" t="s">
        <v>109</v>
      </c>
      <c r="E662" s="76"/>
      <c r="F662" s="76"/>
      <c r="G662" s="76"/>
      <c r="H662" s="76"/>
    </row>
    <row r="663" spans="1:12" ht="21.95" customHeight="1" x14ac:dyDescent="0.25">
      <c r="A663" s="1" t="s">
        <v>9</v>
      </c>
      <c r="C663" s="9" t="s">
        <v>1</v>
      </c>
      <c r="D663" s="7" t="s">
        <v>424</v>
      </c>
      <c r="E663" s="76"/>
      <c r="F663" s="76"/>
      <c r="G663" s="76"/>
      <c r="H663" s="76"/>
    </row>
    <row r="664" spans="1:12" ht="21.95" customHeight="1" x14ac:dyDescent="0.2">
      <c r="A664" s="50" t="s">
        <v>10</v>
      </c>
      <c r="B664" s="76"/>
      <c r="C664" s="91" t="s">
        <v>1</v>
      </c>
      <c r="D664" s="4" t="s">
        <v>203</v>
      </c>
      <c r="E664" s="76"/>
      <c r="F664" s="76"/>
      <c r="G664" s="76"/>
      <c r="H664" s="76"/>
      <c r="I664" s="76"/>
      <c r="J664" s="76"/>
      <c r="K664" s="76"/>
      <c r="L664" s="76"/>
    </row>
    <row r="665" spans="1:12" ht="21.95" customHeight="1" x14ac:dyDescent="0.25">
      <c r="A665" s="1"/>
      <c r="B665" s="1"/>
      <c r="D665" s="1"/>
    </row>
    <row r="666" spans="1:12" ht="21.95" customHeight="1" x14ac:dyDescent="0.2">
      <c r="A666" s="277" t="s">
        <v>422</v>
      </c>
      <c r="B666" s="277"/>
      <c r="C666" s="277"/>
      <c r="D666" s="277"/>
      <c r="E666" s="277"/>
      <c r="F666" s="277"/>
      <c r="G666" s="277"/>
      <c r="H666" s="277"/>
      <c r="I666" s="277"/>
      <c r="J666" s="277"/>
      <c r="K666" s="277"/>
      <c r="L666" s="277"/>
    </row>
    <row r="667" spans="1:12" ht="21.95" customHeight="1" x14ac:dyDescent="0.25">
      <c r="A667" s="1"/>
      <c r="B667" s="1"/>
    </row>
    <row r="668" spans="1:12" ht="21.95" customHeight="1" thickBot="1" x14ac:dyDescent="0.25">
      <c r="A668" s="10" t="s">
        <v>0</v>
      </c>
      <c r="B668" s="278" t="s">
        <v>91</v>
      </c>
      <c r="C668" s="278"/>
      <c r="D668" s="278"/>
      <c r="E668" s="278"/>
      <c r="F668" s="278"/>
      <c r="G668" s="278"/>
      <c r="H668" s="278"/>
      <c r="I668" s="278"/>
      <c r="J668" s="278"/>
      <c r="K668" s="278"/>
      <c r="L668" s="278"/>
    </row>
    <row r="669" spans="1:12" ht="21.95" customHeight="1" thickTop="1" x14ac:dyDescent="0.25">
      <c r="A669" s="1"/>
      <c r="B669" s="11" t="s">
        <v>3</v>
      </c>
      <c r="C669" s="12" t="s">
        <v>4</v>
      </c>
      <c r="D669" s="13"/>
      <c r="E669" s="13"/>
      <c r="F669" s="13"/>
      <c r="G669" s="13"/>
      <c r="H669" s="14"/>
      <c r="I669" s="15" t="s">
        <v>5</v>
      </c>
      <c r="J669" s="12" t="s">
        <v>17</v>
      </c>
      <c r="K669" s="13"/>
      <c r="L669" s="14"/>
    </row>
    <row r="670" spans="1:12" ht="21.95" customHeight="1" x14ac:dyDescent="0.2">
      <c r="B670" s="96">
        <v>1</v>
      </c>
      <c r="C670" s="140" t="s">
        <v>423</v>
      </c>
      <c r="D670" s="76"/>
      <c r="E670" s="150"/>
      <c r="F670" s="144"/>
      <c r="G670" s="76"/>
      <c r="H670" s="79"/>
      <c r="I670" s="56">
        <v>250000</v>
      </c>
      <c r="L670" s="17"/>
    </row>
    <row r="671" spans="1:12" ht="21.95" customHeight="1" x14ac:dyDescent="0.2">
      <c r="B671" s="96"/>
      <c r="C671" s="313"/>
      <c r="D671" s="314"/>
      <c r="E671" s="314"/>
      <c r="F671" s="314"/>
      <c r="G671" s="314"/>
      <c r="H671" s="315"/>
      <c r="I671" s="56"/>
      <c r="L671" s="17"/>
    </row>
    <row r="672" spans="1:12" ht="21.95" customHeight="1" x14ac:dyDescent="0.25">
      <c r="A672" s="1"/>
      <c r="B672" s="39"/>
      <c r="C672" s="1"/>
      <c r="D672" s="1"/>
      <c r="E672" s="1"/>
      <c r="F672" s="40" t="s">
        <v>5</v>
      </c>
      <c r="G672" s="40"/>
      <c r="H672" s="1"/>
      <c r="I672" s="41">
        <f>I670</f>
        <v>250000</v>
      </c>
      <c r="J672" s="1"/>
      <c r="K672" s="1"/>
      <c r="L672" s="42"/>
    </row>
    <row r="673" spans="1:12" ht="21.95" customHeight="1" thickBot="1" x14ac:dyDescent="0.3">
      <c r="A673" s="1"/>
      <c r="B673" s="43"/>
      <c r="C673" s="44"/>
      <c r="D673" s="44"/>
      <c r="E673" s="44"/>
      <c r="F673" s="45"/>
      <c r="G673" s="45"/>
      <c r="H673" s="44"/>
      <c r="I673" s="46"/>
      <c r="J673" s="44"/>
      <c r="K673" s="44"/>
      <c r="L673" s="47"/>
    </row>
    <row r="674" spans="1:12" ht="21.95" customHeight="1" thickTop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21.95" customHeight="1" x14ac:dyDescent="0.2">
      <c r="A675" s="10" t="s">
        <v>2</v>
      </c>
      <c r="B675" s="279" t="s">
        <v>11</v>
      </c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</row>
    <row r="676" spans="1:12" ht="21.9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21.95" customHeight="1" x14ac:dyDescent="0.2">
      <c r="A677" s="280" t="s">
        <v>12</v>
      </c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</row>
    <row r="678" spans="1:12" ht="21.9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21.9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21.95" customHeight="1" x14ac:dyDescent="0.25">
      <c r="A680" s="1"/>
      <c r="B680" s="1"/>
      <c r="C680" s="1"/>
      <c r="D680" s="1"/>
      <c r="E680" s="1"/>
      <c r="F680" s="1"/>
      <c r="G680" s="1"/>
      <c r="H680" s="4" t="s">
        <v>199</v>
      </c>
      <c r="J680" s="286" t="s">
        <v>417</v>
      </c>
      <c r="K680" s="286"/>
      <c r="L680" s="286"/>
    </row>
    <row r="681" spans="1:12" ht="21.95" customHeight="1" x14ac:dyDescent="0.25">
      <c r="A681" s="1"/>
      <c r="B681" s="1" t="s">
        <v>15</v>
      </c>
      <c r="C681" s="1"/>
      <c r="D681" s="1"/>
      <c r="E681" s="1"/>
      <c r="F681" s="1"/>
      <c r="G681" s="1"/>
      <c r="H681" s="4" t="s">
        <v>13</v>
      </c>
    </row>
    <row r="682" spans="1:12" ht="21.95" customHeight="1" x14ac:dyDescent="0.25">
      <c r="A682" s="1"/>
      <c r="B682" s="1" t="s">
        <v>18</v>
      </c>
      <c r="C682" s="1"/>
      <c r="D682" s="1"/>
      <c r="E682" s="1"/>
      <c r="F682" s="1"/>
      <c r="G682" s="1"/>
      <c r="H682" s="4" t="s">
        <v>14</v>
      </c>
    </row>
    <row r="683" spans="1:12" ht="21.9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21.9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21.95" customHeight="1" x14ac:dyDescent="0.25">
      <c r="A685" s="1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"/>
    </row>
    <row r="686" spans="1:12" ht="21.95" customHeight="1" x14ac:dyDescent="0.25">
      <c r="A686" s="1"/>
      <c r="K686" s="103"/>
      <c r="L686" s="1"/>
    </row>
    <row r="687" spans="1:12" ht="21.95" customHeight="1" x14ac:dyDescent="0.25">
      <c r="A687" s="1"/>
      <c r="B687" s="95" t="s">
        <v>77</v>
      </c>
      <c r="H687" s="37" t="s">
        <v>109</v>
      </c>
      <c r="I687" s="95"/>
      <c r="J687" s="92"/>
      <c r="K687" s="103"/>
      <c r="L687" s="1"/>
    </row>
    <row r="688" spans="1:12" ht="21.95" customHeight="1" x14ac:dyDescent="0.25">
      <c r="A688" s="1"/>
      <c r="B688" s="99" t="s">
        <v>27</v>
      </c>
      <c r="C688" s="57"/>
      <c r="H688" s="48" t="s">
        <v>45</v>
      </c>
      <c r="K688" s="103"/>
    </row>
    <row r="694" spans="1:12" ht="21.95" customHeight="1" x14ac:dyDescent="0.25">
      <c r="A694" s="3" t="s">
        <v>22</v>
      </c>
    </row>
    <row r="695" spans="1:12" ht="21.95" customHeight="1" x14ac:dyDescent="0.2">
      <c r="A695" s="122" t="s">
        <v>20</v>
      </c>
    </row>
    <row r="696" spans="1:12" ht="21.95" customHeight="1" x14ac:dyDescent="0.2">
      <c r="A696" s="122" t="s">
        <v>21</v>
      </c>
    </row>
    <row r="700" spans="1:12" ht="21.95" customHeight="1" x14ac:dyDescent="0.3">
      <c r="A700" s="276" t="s">
        <v>6</v>
      </c>
      <c r="B700" s="276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</row>
    <row r="701" spans="1:12" ht="21.95" customHeight="1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</row>
    <row r="702" spans="1:12" ht="21.95" customHeight="1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</row>
    <row r="703" spans="1:12" ht="21.95" customHeight="1" x14ac:dyDescent="0.25">
      <c r="A703" s="1"/>
      <c r="B703" s="1"/>
    </row>
    <row r="704" spans="1:12" ht="21.95" customHeight="1" x14ac:dyDescent="0.25">
      <c r="A704" s="1" t="s">
        <v>7</v>
      </c>
      <c r="B704" s="1"/>
    </row>
    <row r="705" spans="1:12" ht="21.95" customHeight="1" x14ac:dyDescent="0.25">
      <c r="A705" s="1"/>
      <c r="B705" s="1"/>
    </row>
    <row r="706" spans="1:12" ht="21.95" customHeight="1" x14ac:dyDescent="0.25">
      <c r="A706" s="1" t="s">
        <v>8</v>
      </c>
      <c r="C706" s="9" t="s">
        <v>1</v>
      </c>
      <c r="D706" s="92" t="s">
        <v>205</v>
      </c>
      <c r="E706" s="76"/>
      <c r="F706" s="76"/>
      <c r="G706" s="76"/>
      <c r="H706" s="76"/>
    </row>
    <row r="707" spans="1:12" ht="21.95" customHeight="1" x14ac:dyDescent="0.25">
      <c r="A707" s="1" t="s">
        <v>9</v>
      </c>
      <c r="C707" s="9" t="s">
        <v>1</v>
      </c>
      <c r="D707" s="57" t="s">
        <v>74</v>
      </c>
      <c r="E707" s="76"/>
      <c r="F707" s="76"/>
      <c r="G707" s="76"/>
      <c r="H707" s="76"/>
    </row>
    <row r="708" spans="1:12" ht="21.95" customHeight="1" x14ac:dyDescent="0.2">
      <c r="A708" s="50" t="s">
        <v>10</v>
      </c>
      <c r="B708" s="76"/>
      <c r="C708" s="91" t="s">
        <v>1</v>
      </c>
      <c r="D708" s="50" t="s">
        <v>243</v>
      </c>
      <c r="E708" s="76"/>
      <c r="F708" s="76"/>
      <c r="G708" s="76"/>
      <c r="H708" s="76"/>
      <c r="I708" s="76"/>
      <c r="J708" s="76"/>
      <c r="K708" s="76"/>
      <c r="L708" s="76"/>
    </row>
    <row r="709" spans="1:12" ht="21.95" customHeight="1" x14ac:dyDescent="0.25">
      <c r="A709" s="1"/>
      <c r="B709" s="1"/>
      <c r="D709" s="1"/>
    </row>
    <row r="710" spans="1:12" ht="21.95" customHeight="1" x14ac:dyDescent="0.2">
      <c r="A710" s="277" t="s">
        <v>427</v>
      </c>
      <c r="B710" s="277"/>
      <c r="C710" s="277"/>
      <c r="D710" s="277"/>
      <c r="E710" s="277"/>
      <c r="F710" s="277"/>
      <c r="G710" s="277"/>
      <c r="H710" s="277"/>
      <c r="I710" s="277"/>
      <c r="J710" s="277"/>
      <c r="K710" s="277"/>
      <c r="L710" s="277"/>
    </row>
    <row r="711" spans="1:12" ht="21.95" customHeight="1" x14ac:dyDescent="0.25">
      <c r="A711" s="1"/>
      <c r="B711" s="1"/>
    </row>
    <row r="712" spans="1:12" ht="21.95" customHeight="1" thickBot="1" x14ac:dyDescent="0.25">
      <c r="A712" s="10" t="s">
        <v>0</v>
      </c>
      <c r="B712" s="278" t="s">
        <v>91</v>
      </c>
      <c r="C712" s="278"/>
      <c r="D712" s="278"/>
      <c r="E712" s="278"/>
      <c r="F712" s="278"/>
      <c r="G712" s="278"/>
      <c r="H712" s="278"/>
      <c r="I712" s="278"/>
      <c r="J712" s="278"/>
      <c r="K712" s="278"/>
      <c r="L712" s="278"/>
    </row>
    <row r="713" spans="1:12" ht="21.95" customHeight="1" thickTop="1" x14ac:dyDescent="0.25">
      <c r="A713" s="1"/>
      <c r="B713" s="11" t="s">
        <v>3</v>
      </c>
      <c r="C713" s="12" t="s">
        <v>4</v>
      </c>
      <c r="D713" s="13"/>
      <c r="E713" s="13"/>
      <c r="F713" s="13"/>
      <c r="G713" s="13"/>
      <c r="H713" s="14"/>
      <c r="I713" s="15" t="s">
        <v>5</v>
      </c>
      <c r="J713" s="12" t="s">
        <v>17</v>
      </c>
      <c r="K713" s="13"/>
      <c r="L713" s="14"/>
    </row>
    <row r="714" spans="1:12" ht="21.95" customHeight="1" x14ac:dyDescent="0.2">
      <c r="B714" s="96">
        <v>1</v>
      </c>
      <c r="C714" s="140" t="s">
        <v>423</v>
      </c>
      <c r="D714" s="76"/>
      <c r="E714" s="150"/>
      <c r="F714" s="144"/>
      <c r="G714" s="76"/>
      <c r="H714" s="79"/>
      <c r="I714" s="56">
        <v>250000</v>
      </c>
      <c r="L714" s="17"/>
    </row>
    <row r="715" spans="1:12" ht="21.95" customHeight="1" x14ac:dyDescent="0.2">
      <c r="B715" s="96"/>
      <c r="C715" s="313"/>
      <c r="D715" s="314"/>
      <c r="E715" s="314"/>
      <c r="F715" s="314"/>
      <c r="G715" s="314"/>
      <c r="H715" s="315"/>
      <c r="I715" s="56"/>
      <c r="L715" s="17"/>
    </row>
    <row r="716" spans="1:12" ht="21.95" customHeight="1" x14ac:dyDescent="0.25">
      <c r="A716" s="1"/>
      <c r="B716" s="39"/>
      <c r="C716" s="1"/>
      <c r="D716" s="1"/>
      <c r="E716" s="1"/>
      <c r="F716" s="40" t="s">
        <v>5</v>
      </c>
      <c r="G716" s="40"/>
      <c r="H716" s="1"/>
      <c r="I716" s="41">
        <f>I714</f>
        <v>250000</v>
      </c>
      <c r="J716" s="1"/>
      <c r="K716" s="1"/>
      <c r="L716" s="42"/>
    </row>
    <row r="717" spans="1:12" ht="21.95" customHeight="1" thickBot="1" x14ac:dyDescent="0.3">
      <c r="A717" s="1"/>
      <c r="B717" s="43"/>
      <c r="C717" s="44"/>
      <c r="D717" s="44"/>
      <c r="E717" s="44"/>
      <c r="F717" s="45"/>
      <c r="G717" s="45"/>
      <c r="H717" s="44"/>
      <c r="I717" s="46"/>
      <c r="J717" s="44"/>
      <c r="K717" s="44"/>
      <c r="L717" s="47"/>
    </row>
    <row r="718" spans="1:12" ht="21.95" customHeight="1" thickTop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21.95" customHeight="1" x14ac:dyDescent="0.2">
      <c r="A719" s="10" t="s">
        <v>2</v>
      </c>
      <c r="B719" s="279" t="s">
        <v>11</v>
      </c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</row>
    <row r="720" spans="1:12" ht="21.9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21.95" customHeight="1" x14ac:dyDescent="0.2">
      <c r="A721" s="280" t="s">
        <v>12</v>
      </c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</row>
    <row r="722" spans="1:12" ht="21.9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21.9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21.95" customHeight="1" x14ac:dyDescent="0.25">
      <c r="A724" s="1"/>
      <c r="B724" s="1"/>
      <c r="C724" s="1"/>
      <c r="D724" s="1"/>
      <c r="E724" s="1"/>
      <c r="F724" s="1"/>
      <c r="G724" s="1"/>
      <c r="H724" s="4" t="s">
        <v>199</v>
      </c>
      <c r="J724" s="286" t="s">
        <v>428</v>
      </c>
      <c r="K724" s="286"/>
      <c r="L724" s="286"/>
    </row>
    <row r="725" spans="1:12" ht="21.95" customHeight="1" x14ac:dyDescent="0.25">
      <c r="A725" s="1"/>
      <c r="B725" s="1" t="s">
        <v>15</v>
      </c>
      <c r="C725" s="1"/>
      <c r="D725" s="1"/>
      <c r="E725" s="1"/>
      <c r="F725" s="1"/>
      <c r="G725" s="1"/>
      <c r="H725" s="4" t="s">
        <v>13</v>
      </c>
    </row>
    <row r="726" spans="1:12" ht="21.95" customHeight="1" x14ac:dyDescent="0.25">
      <c r="A726" s="1"/>
      <c r="B726" s="1" t="s">
        <v>18</v>
      </c>
      <c r="C726" s="1"/>
      <c r="D726" s="1"/>
      <c r="E726" s="1"/>
      <c r="F726" s="1"/>
      <c r="G726" s="1"/>
      <c r="H726" s="4" t="s">
        <v>14</v>
      </c>
    </row>
    <row r="727" spans="1:12" ht="21.9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21.9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21.95" customHeight="1" x14ac:dyDescent="0.25">
      <c r="A729" s="1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"/>
    </row>
    <row r="730" spans="1:12" ht="21.95" customHeight="1" x14ac:dyDescent="0.25">
      <c r="A730" s="1"/>
      <c r="K730" s="103"/>
      <c r="L730" s="1"/>
    </row>
    <row r="731" spans="1:12" ht="21.95" customHeight="1" x14ac:dyDescent="0.25">
      <c r="A731" s="1"/>
      <c r="B731" s="95" t="s">
        <v>77</v>
      </c>
      <c r="H731" s="26" t="str">
        <f>D706</f>
        <v>Meditha Arumsari, S.TP</v>
      </c>
      <c r="I731" s="95"/>
      <c r="J731" s="92"/>
      <c r="K731" s="103"/>
      <c r="L731" s="1"/>
    </row>
    <row r="732" spans="1:12" ht="21.95" customHeight="1" x14ac:dyDescent="0.25">
      <c r="A732" s="1"/>
      <c r="B732" s="99" t="s">
        <v>27</v>
      </c>
      <c r="C732" s="57"/>
      <c r="H732" s="28" t="s">
        <v>100</v>
      </c>
      <c r="K732" s="103"/>
    </row>
    <row r="739" spans="1:12" ht="21.95" customHeight="1" x14ac:dyDescent="0.25">
      <c r="A739" s="3" t="s">
        <v>22</v>
      </c>
    </row>
    <row r="740" spans="1:12" ht="21.95" customHeight="1" x14ac:dyDescent="0.2">
      <c r="A740" s="122" t="s">
        <v>20</v>
      </c>
    </row>
    <row r="741" spans="1:12" ht="21.95" customHeight="1" x14ac:dyDescent="0.2">
      <c r="A741" s="122" t="s">
        <v>21</v>
      </c>
    </row>
    <row r="742" spans="1:12" s="99" customFormat="1" ht="21.9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5" spans="1:12" ht="21.95" customHeight="1" x14ac:dyDescent="0.3">
      <c r="A745" s="276" t="s">
        <v>6</v>
      </c>
      <c r="B745" s="276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</row>
    <row r="746" spans="1:12" ht="21.95" customHeight="1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</row>
    <row r="747" spans="1:12" ht="21.95" customHeight="1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</row>
    <row r="748" spans="1:12" ht="21.95" customHeight="1" x14ac:dyDescent="0.25">
      <c r="A748" s="1"/>
      <c r="B748" s="1"/>
    </row>
    <row r="749" spans="1:12" ht="21.95" customHeight="1" x14ac:dyDescent="0.25">
      <c r="A749" s="1" t="s">
        <v>7</v>
      </c>
      <c r="B749" s="1"/>
    </row>
    <row r="750" spans="1:12" ht="21.95" customHeight="1" x14ac:dyDescent="0.25">
      <c r="A750" s="1"/>
      <c r="B750" s="1"/>
    </row>
    <row r="751" spans="1:12" ht="21.95" customHeight="1" x14ac:dyDescent="0.25">
      <c r="A751" s="1" t="s">
        <v>8</v>
      </c>
      <c r="C751" s="9" t="s">
        <v>1</v>
      </c>
      <c r="D751" s="33" t="s">
        <v>555</v>
      </c>
      <c r="E751" s="76"/>
      <c r="F751" s="76"/>
      <c r="G751" s="76"/>
      <c r="H751" s="76"/>
    </row>
    <row r="752" spans="1:12" ht="21.95" customHeight="1" x14ac:dyDescent="0.25">
      <c r="A752" s="1" t="s">
        <v>9</v>
      </c>
      <c r="C752" s="9" t="s">
        <v>1</v>
      </c>
      <c r="D752" s="27" t="s">
        <v>236</v>
      </c>
      <c r="E752" s="76"/>
      <c r="F752" s="76"/>
      <c r="G752" s="76"/>
      <c r="H752" s="76"/>
    </row>
    <row r="753" spans="1:13" ht="21.95" customHeight="1" x14ac:dyDescent="0.2">
      <c r="A753" s="50" t="s">
        <v>10</v>
      </c>
      <c r="B753" s="76"/>
      <c r="C753" s="91" t="s">
        <v>1</v>
      </c>
      <c r="D753" s="4" t="s">
        <v>235</v>
      </c>
      <c r="E753" s="76"/>
      <c r="F753" s="76"/>
      <c r="G753" s="76"/>
      <c r="H753" s="76"/>
      <c r="I753" s="76"/>
      <c r="J753" s="76"/>
      <c r="K753" s="76"/>
      <c r="L753" s="76"/>
    </row>
    <row r="754" spans="1:13" ht="21.95" customHeight="1" x14ac:dyDescent="0.25">
      <c r="A754" s="1"/>
      <c r="B754" s="1"/>
      <c r="D754" s="1"/>
    </row>
    <row r="755" spans="1:13" ht="21.95" customHeight="1" x14ac:dyDescent="0.2">
      <c r="A755" s="277" t="s">
        <v>427</v>
      </c>
      <c r="B755" s="277"/>
      <c r="C755" s="277"/>
      <c r="D755" s="277"/>
      <c r="E755" s="277"/>
      <c r="F755" s="277"/>
      <c r="G755" s="277"/>
      <c r="H755" s="277"/>
      <c r="I755" s="277"/>
      <c r="J755" s="277"/>
      <c r="K755" s="277"/>
      <c r="L755" s="277"/>
    </row>
    <row r="756" spans="1:13" ht="21.95" customHeight="1" x14ac:dyDescent="0.25">
      <c r="A756" s="1"/>
      <c r="B756" s="1"/>
    </row>
    <row r="757" spans="1:13" ht="21.95" customHeight="1" thickBot="1" x14ac:dyDescent="0.25">
      <c r="A757" s="10" t="s">
        <v>0</v>
      </c>
      <c r="B757" s="278" t="s">
        <v>91</v>
      </c>
      <c r="C757" s="278"/>
      <c r="D757" s="278"/>
      <c r="E757" s="278"/>
      <c r="F757" s="278"/>
      <c r="G757" s="278"/>
      <c r="H757" s="278"/>
      <c r="I757" s="278"/>
      <c r="J757" s="278"/>
      <c r="K757" s="278"/>
      <c r="L757" s="278"/>
    </row>
    <row r="758" spans="1:13" ht="21.95" customHeight="1" thickTop="1" x14ac:dyDescent="0.25">
      <c r="A758" s="1"/>
      <c r="B758" s="11" t="s">
        <v>3</v>
      </c>
      <c r="C758" s="12" t="s">
        <v>4</v>
      </c>
      <c r="D758" s="13"/>
      <c r="E758" s="13"/>
      <c r="F758" s="13"/>
      <c r="G758" s="13"/>
      <c r="H758" s="14"/>
      <c r="I758" s="15" t="s">
        <v>5</v>
      </c>
      <c r="J758" s="12" t="s">
        <v>17</v>
      </c>
      <c r="K758" s="13"/>
      <c r="L758" s="14"/>
    </row>
    <row r="759" spans="1:13" ht="21.95" customHeight="1" x14ac:dyDescent="0.2">
      <c r="B759" s="96">
        <v>1</v>
      </c>
      <c r="C759" s="140" t="s">
        <v>423</v>
      </c>
      <c r="D759" s="76"/>
      <c r="E759" s="150"/>
      <c r="F759" s="144"/>
      <c r="G759" s="76"/>
      <c r="H759" s="79"/>
      <c r="I759" s="56">
        <v>250000</v>
      </c>
      <c r="L759" s="17"/>
    </row>
    <row r="760" spans="1:13" ht="21.95" customHeight="1" x14ac:dyDescent="0.2">
      <c r="B760" s="96"/>
      <c r="C760" s="313"/>
      <c r="D760" s="314"/>
      <c r="E760" s="314"/>
      <c r="F760" s="314"/>
      <c r="G760" s="314"/>
      <c r="H760" s="315"/>
      <c r="I760" s="56"/>
      <c r="L760" s="17"/>
    </row>
    <row r="761" spans="1:13" ht="21.95" customHeight="1" x14ac:dyDescent="0.25">
      <c r="A761" s="1"/>
      <c r="B761" s="39"/>
      <c r="C761" s="1"/>
      <c r="D761" s="1"/>
      <c r="E761" s="1"/>
      <c r="F761" s="40" t="s">
        <v>5</v>
      </c>
      <c r="G761" s="40"/>
      <c r="H761" s="1"/>
      <c r="I761" s="41">
        <f>I759</f>
        <v>250000</v>
      </c>
      <c r="J761" s="1"/>
      <c r="K761" s="1"/>
      <c r="L761" s="42"/>
    </row>
    <row r="762" spans="1:13" ht="21.95" customHeight="1" thickBot="1" x14ac:dyDescent="0.3">
      <c r="A762" s="1"/>
      <c r="B762" s="43"/>
      <c r="C762" s="44"/>
      <c r="D762" s="44"/>
      <c r="E762" s="44"/>
      <c r="F762" s="45"/>
      <c r="G762" s="45"/>
      <c r="H762" s="44"/>
      <c r="I762" s="46"/>
      <c r="J762" s="44"/>
      <c r="K762" s="44"/>
      <c r="L762" s="47"/>
      <c r="M762" s="59"/>
    </row>
    <row r="763" spans="1:13" ht="21.95" customHeight="1" thickTop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3" ht="21.95" customHeight="1" x14ac:dyDescent="0.2">
      <c r="A764" s="10" t="s">
        <v>2</v>
      </c>
      <c r="B764" s="279" t="s">
        <v>11</v>
      </c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</row>
    <row r="765" spans="1:13" ht="21.9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3" ht="21.95" customHeight="1" x14ac:dyDescent="0.2">
      <c r="A766" s="280" t="s">
        <v>12</v>
      </c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</row>
    <row r="767" spans="1:13" ht="21.9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3" ht="21.9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21.95" customHeight="1" x14ac:dyDescent="0.25">
      <c r="A769" s="1"/>
      <c r="B769" s="1"/>
      <c r="C769" s="1"/>
      <c r="D769" s="1"/>
      <c r="E769" s="1"/>
      <c r="F769" s="1"/>
      <c r="G769" s="1"/>
      <c r="H769" s="4" t="s">
        <v>199</v>
      </c>
      <c r="J769" s="286" t="s">
        <v>428</v>
      </c>
      <c r="K769" s="286"/>
      <c r="L769" s="286"/>
    </row>
    <row r="770" spans="1:12" ht="21.95" customHeight="1" x14ac:dyDescent="0.25">
      <c r="A770" s="1"/>
      <c r="B770" s="1" t="s">
        <v>15</v>
      </c>
      <c r="C770" s="1"/>
      <c r="D770" s="1"/>
      <c r="E770" s="1"/>
      <c r="F770" s="1"/>
      <c r="G770" s="1"/>
      <c r="H770" s="4" t="s">
        <v>13</v>
      </c>
    </row>
    <row r="771" spans="1:12" ht="21.95" customHeight="1" x14ac:dyDescent="0.25">
      <c r="A771" s="1"/>
      <c r="B771" s="1" t="s">
        <v>18</v>
      </c>
      <c r="C771" s="1"/>
      <c r="D771" s="1"/>
      <c r="E771" s="1"/>
      <c r="F771" s="1"/>
      <c r="G771" s="1"/>
      <c r="H771" s="4" t="s">
        <v>14</v>
      </c>
    </row>
    <row r="772" spans="1:12" ht="21.9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21.9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21.95" customHeight="1" x14ac:dyDescent="0.25">
      <c r="A774" s="1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"/>
    </row>
    <row r="775" spans="1:12" ht="21.95" customHeight="1" x14ac:dyDescent="0.25">
      <c r="A775" s="1"/>
      <c r="K775" s="103"/>
      <c r="L775" s="1"/>
    </row>
    <row r="776" spans="1:12" ht="21.95" customHeight="1" x14ac:dyDescent="0.25">
      <c r="A776" s="1"/>
      <c r="B776" s="95" t="s">
        <v>77</v>
      </c>
      <c r="H776" s="26" t="s">
        <v>555</v>
      </c>
      <c r="I776" s="95"/>
      <c r="J776" s="92"/>
      <c r="K776" s="103"/>
      <c r="L776" s="1"/>
    </row>
    <row r="777" spans="1:12" ht="21.95" customHeight="1" x14ac:dyDescent="0.25">
      <c r="A777" s="1"/>
      <c r="B777" s="99" t="s">
        <v>27</v>
      </c>
      <c r="C777" s="57"/>
      <c r="H777" s="28" t="s">
        <v>46</v>
      </c>
      <c r="K777" s="103"/>
    </row>
    <row r="783" spans="1:12" ht="21.95" customHeight="1" x14ac:dyDescent="0.25">
      <c r="A783" s="3" t="s">
        <v>22</v>
      </c>
    </row>
    <row r="784" spans="1:12" ht="21.95" customHeight="1" x14ac:dyDescent="0.2">
      <c r="A784" s="122" t="s">
        <v>20</v>
      </c>
    </row>
    <row r="785" spans="1:12" ht="21.95" customHeight="1" x14ac:dyDescent="0.2">
      <c r="A785" s="122" t="s">
        <v>21</v>
      </c>
    </row>
    <row r="789" spans="1:12" ht="21.95" customHeight="1" x14ac:dyDescent="0.3">
      <c r="A789" s="276" t="s">
        <v>6</v>
      </c>
      <c r="B789" s="276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</row>
    <row r="790" spans="1:12" ht="21.95" customHeight="1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</row>
    <row r="791" spans="1:12" ht="21.95" customHeight="1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</row>
    <row r="792" spans="1:12" ht="21.95" customHeight="1" x14ac:dyDescent="0.25">
      <c r="A792" s="1"/>
      <c r="B792" s="1"/>
    </row>
    <row r="793" spans="1:12" ht="21.95" customHeight="1" x14ac:dyDescent="0.25">
      <c r="A793" s="1" t="s">
        <v>7</v>
      </c>
      <c r="B793" s="1"/>
    </row>
    <row r="794" spans="1:12" ht="21.95" customHeight="1" x14ac:dyDescent="0.25">
      <c r="A794" s="1"/>
      <c r="B794" s="1"/>
    </row>
    <row r="795" spans="1:12" ht="21.95" customHeight="1" x14ac:dyDescent="0.25">
      <c r="A795" s="1" t="s">
        <v>8</v>
      </c>
      <c r="C795" s="9" t="s">
        <v>1</v>
      </c>
      <c r="D795" s="40" t="s">
        <v>83</v>
      </c>
      <c r="E795" s="76"/>
      <c r="F795" s="76"/>
      <c r="G795" s="76"/>
      <c r="H795" s="76"/>
    </row>
    <row r="796" spans="1:12" ht="21.95" customHeight="1" x14ac:dyDescent="0.25">
      <c r="A796" s="1" t="s">
        <v>9</v>
      </c>
      <c r="C796" s="9" t="s">
        <v>1</v>
      </c>
      <c r="D796" s="7" t="s">
        <v>368</v>
      </c>
      <c r="E796" s="76"/>
      <c r="F796" s="76"/>
      <c r="G796" s="76"/>
      <c r="H796" s="76"/>
    </row>
    <row r="797" spans="1:12" ht="21.95" customHeight="1" x14ac:dyDescent="0.2">
      <c r="A797" s="50" t="s">
        <v>10</v>
      </c>
      <c r="B797" s="76"/>
      <c r="C797" s="91" t="s">
        <v>1</v>
      </c>
      <c r="D797" s="4" t="s">
        <v>203</v>
      </c>
      <c r="E797" s="76"/>
      <c r="F797" s="76"/>
      <c r="G797" s="76"/>
      <c r="H797" s="76"/>
      <c r="I797" s="76"/>
      <c r="J797" s="76"/>
      <c r="K797" s="76"/>
      <c r="L797" s="76"/>
    </row>
    <row r="798" spans="1:12" ht="21.95" customHeight="1" x14ac:dyDescent="0.25">
      <c r="A798" s="1"/>
      <c r="B798" s="1"/>
      <c r="D798" s="1"/>
    </row>
    <row r="799" spans="1:12" ht="21.95" customHeight="1" x14ac:dyDescent="0.2">
      <c r="A799" s="277" t="s">
        <v>427</v>
      </c>
      <c r="B799" s="277"/>
      <c r="C799" s="277"/>
      <c r="D799" s="277"/>
      <c r="E799" s="277"/>
      <c r="F799" s="277"/>
      <c r="G799" s="277"/>
      <c r="H799" s="277"/>
      <c r="I799" s="277"/>
      <c r="J799" s="277"/>
      <c r="K799" s="277"/>
      <c r="L799" s="277"/>
    </row>
    <row r="800" spans="1:12" ht="21.95" customHeight="1" x14ac:dyDescent="0.25">
      <c r="A800" s="1"/>
      <c r="B800" s="1"/>
    </row>
    <row r="801" spans="1:12" ht="21.95" customHeight="1" thickBot="1" x14ac:dyDescent="0.25">
      <c r="A801" s="10" t="s">
        <v>0</v>
      </c>
      <c r="B801" s="278" t="s">
        <v>91</v>
      </c>
      <c r="C801" s="278"/>
      <c r="D801" s="278"/>
      <c r="E801" s="278"/>
      <c r="F801" s="278"/>
      <c r="G801" s="278"/>
      <c r="H801" s="278"/>
      <c r="I801" s="278"/>
      <c r="J801" s="278"/>
      <c r="K801" s="278"/>
      <c r="L801" s="278"/>
    </row>
    <row r="802" spans="1:12" ht="21.95" customHeight="1" thickTop="1" x14ac:dyDescent="0.25">
      <c r="A802" s="1"/>
      <c r="B802" s="11" t="s">
        <v>3</v>
      </c>
      <c r="C802" s="12" t="s">
        <v>4</v>
      </c>
      <c r="D802" s="13"/>
      <c r="E802" s="13"/>
      <c r="F802" s="13"/>
      <c r="G802" s="13"/>
      <c r="H802" s="14"/>
      <c r="I802" s="15" t="s">
        <v>5</v>
      </c>
      <c r="J802" s="12" t="s">
        <v>17</v>
      </c>
      <c r="K802" s="13"/>
      <c r="L802" s="14"/>
    </row>
    <row r="803" spans="1:12" ht="21.95" customHeight="1" x14ac:dyDescent="0.2">
      <c r="B803" s="96">
        <v>1</v>
      </c>
      <c r="C803" s="140" t="s">
        <v>423</v>
      </c>
      <c r="D803" s="76"/>
      <c r="E803" s="150"/>
      <c r="F803" s="144"/>
      <c r="G803" s="76"/>
      <c r="H803" s="79"/>
      <c r="I803" s="56">
        <v>250000</v>
      </c>
      <c r="L803" s="17"/>
    </row>
    <row r="804" spans="1:12" ht="21.95" customHeight="1" x14ac:dyDescent="0.2">
      <c r="B804" s="96"/>
      <c r="C804" s="313"/>
      <c r="D804" s="314"/>
      <c r="E804" s="314"/>
      <c r="F804" s="314"/>
      <c r="G804" s="314"/>
      <c r="H804" s="315"/>
      <c r="I804" s="56"/>
      <c r="L804" s="17"/>
    </row>
    <row r="805" spans="1:12" ht="21.95" customHeight="1" x14ac:dyDescent="0.25">
      <c r="A805" s="1"/>
      <c r="B805" s="39"/>
      <c r="C805" s="1"/>
      <c r="D805" s="1"/>
      <c r="E805" s="1"/>
      <c r="F805" s="40" t="s">
        <v>5</v>
      </c>
      <c r="G805" s="40"/>
      <c r="H805" s="1"/>
      <c r="I805" s="41">
        <f>I803</f>
        <v>250000</v>
      </c>
      <c r="J805" s="1"/>
      <c r="K805" s="1"/>
      <c r="L805" s="42"/>
    </row>
    <row r="806" spans="1:12" ht="21.95" customHeight="1" thickBot="1" x14ac:dyDescent="0.3">
      <c r="A806" s="1"/>
      <c r="B806" s="43"/>
      <c r="C806" s="44"/>
      <c r="D806" s="44"/>
      <c r="E806" s="44"/>
      <c r="F806" s="45"/>
      <c r="G806" s="45"/>
      <c r="H806" s="44"/>
      <c r="I806" s="46"/>
      <c r="J806" s="44"/>
      <c r="K806" s="44"/>
      <c r="L806" s="47"/>
    </row>
    <row r="807" spans="1:12" ht="21.95" customHeight="1" thickTop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21.95" customHeight="1" x14ac:dyDescent="0.2">
      <c r="A808" s="10" t="s">
        <v>2</v>
      </c>
      <c r="B808" s="279" t="s">
        <v>11</v>
      </c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</row>
    <row r="809" spans="1:12" ht="21.9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21.95" customHeight="1" x14ac:dyDescent="0.2">
      <c r="A810" s="280" t="s">
        <v>12</v>
      </c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</row>
    <row r="811" spans="1:12" ht="21.9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21.9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21.95" customHeight="1" x14ac:dyDescent="0.25">
      <c r="A813" s="1"/>
      <c r="B813" s="1"/>
      <c r="C813" s="1"/>
      <c r="D813" s="1"/>
      <c r="E813" s="1"/>
      <c r="F813" s="1"/>
      <c r="G813" s="1"/>
      <c r="H813" s="4" t="s">
        <v>199</v>
      </c>
      <c r="J813" s="286" t="s">
        <v>428</v>
      </c>
      <c r="K813" s="286"/>
      <c r="L813" s="286"/>
    </row>
    <row r="814" spans="1:12" ht="21.95" customHeight="1" x14ac:dyDescent="0.25">
      <c r="A814" s="1"/>
      <c r="B814" s="1" t="s">
        <v>15</v>
      </c>
      <c r="C814" s="1"/>
      <c r="D814" s="1"/>
      <c r="E814" s="1"/>
      <c r="F814" s="1"/>
      <c r="G814" s="1"/>
      <c r="H814" s="4" t="s">
        <v>13</v>
      </c>
    </row>
    <row r="815" spans="1:12" ht="21.95" customHeight="1" x14ac:dyDescent="0.25">
      <c r="A815" s="1"/>
      <c r="B815" s="1" t="s">
        <v>18</v>
      </c>
      <c r="C815" s="1"/>
      <c r="D815" s="1"/>
      <c r="E815" s="1"/>
      <c r="F815" s="1"/>
      <c r="G815" s="1"/>
      <c r="H815" s="4" t="s">
        <v>14</v>
      </c>
    </row>
    <row r="816" spans="1:12" ht="21.9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21.9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21.95" customHeight="1" x14ac:dyDescent="0.25">
      <c r="A818" s="1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"/>
    </row>
    <row r="819" spans="1:12" ht="21.95" customHeight="1" x14ac:dyDescent="0.25">
      <c r="A819" s="1"/>
      <c r="K819" s="103"/>
      <c r="L819" s="1"/>
    </row>
    <row r="820" spans="1:12" ht="21.95" customHeight="1" x14ac:dyDescent="0.25">
      <c r="A820" s="1"/>
      <c r="B820" s="95" t="s">
        <v>77</v>
      </c>
      <c r="H820" s="37" t="s">
        <v>83</v>
      </c>
      <c r="I820" s="95"/>
      <c r="J820" s="92"/>
      <c r="K820" s="103"/>
      <c r="L820" s="1"/>
    </row>
    <row r="821" spans="1:12" ht="21.95" customHeight="1" x14ac:dyDescent="0.25">
      <c r="A821" s="1"/>
      <c r="B821" s="99" t="s">
        <v>27</v>
      </c>
      <c r="C821" s="57"/>
      <c r="H821" s="1" t="s">
        <v>99</v>
      </c>
      <c r="K821" s="103"/>
    </row>
    <row r="823" spans="1:12" ht="21.95" customHeight="1" x14ac:dyDescent="0.25">
      <c r="A823" s="3" t="s">
        <v>22</v>
      </c>
    </row>
    <row r="824" spans="1:12" ht="21.95" customHeight="1" x14ac:dyDescent="0.2">
      <c r="A824" s="122" t="s">
        <v>20</v>
      </c>
    </row>
    <row r="825" spans="1:12" ht="21.95" customHeight="1" x14ac:dyDescent="0.2">
      <c r="A825" s="122" t="s">
        <v>21</v>
      </c>
    </row>
    <row r="829" spans="1:12" ht="21.95" customHeight="1" x14ac:dyDescent="0.3">
      <c r="A829" s="276" t="s">
        <v>6</v>
      </c>
      <c r="B829" s="276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</row>
    <row r="830" spans="1:12" ht="21.95" customHeight="1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</row>
    <row r="831" spans="1:12" ht="21.95" customHeight="1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</row>
    <row r="832" spans="1:12" ht="21.95" customHeight="1" x14ac:dyDescent="0.25">
      <c r="A832" s="1"/>
      <c r="B832" s="1"/>
    </row>
    <row r="833" spans="1:12" ht="21.95" customHeight="1" x14ac:dyDescent="0.25">
      <c r="A833" s="1" t="s">
        <v>7</v>
      </c>
      <c r="B833" s="1"/>
    </row>
    <row r="834" spans="1:12" ht="21.95" customHeight="1" x14ac:dyDescent="0.25">
      <c r="A834" s="1"/>
      <c r="B834" s="1"/>
    </row>
    <row r="835" spans="1:12" ht="21.95" customHeight="1" x14ac:dyDescent="0.25">
      <c r="A835" s="1" t="s">
        <v>8</v>
      </c>
      <c r="C835" s="9" t="s">
        <v>1</v>
      </c>
      <c r="D835" s="33" t="s">
        <v>555</v>
      </c>
      <c r="E835" s="76"/>
      <c r="F835" s="76"/>
      <c r="G835" s="76"/>
      <c r="H835" s="76"/>
    </row>
    <row r="836" spans="1:12" ht="21.95" customHeight="1" x14ac:dyDescent="0.25">
      <c r="A836" s="1" t="s">
        <v>9</v>
      </c>
      <c r="C836" s="9" t="s">
        <v>1</v>
      </c>
      <c r="D836" s="27" t="s">
        <v>236</v>
      </c>
      <c r="E836" s="76"/>
      <c r="F836" s="76"/>
      <c r="G836" s="76"/>
      <c r="H836" s="76"/>
    </row>
    <row r="837" spans="1:12" ht="21.95" customHeight="1" x14ac:dyDescent="0.2">
      <c r="A837" s="50" t="s">
        <v>10</v>
      </c>
      <c r="B837" s="76"/>
      <c r="C837" s="91" t="s">
        <v>1</v>
      </c>
      <c r="D837" s="4" t="s">
        <v>235</v>
      </c>
      <c r="E837" s="76"/>
      <c r="F837" s="76"/>
      <c r="G837" s="76"/>
      <c r="H837" s="76"/>
      <c r="I837" s="76"/>
      <c r="J837" s="76"/>
      <c r="K837" s="76"/>
      <c r="L837" s="76"/>
    </row>
    <row r="838" spans="1:12" ht="21.95" customHeight="1" x14ac:dyDescent="0.25">
      <c r="A838" s="1"/>
      <c r="B838" s="1"/>
      <c r="D838" s="1"/>
    </row>
    <row r="839" spans="1:12" ht="21.95" customHeight="1" x14ac:dyDescent="0.2">
      <c r="A839" s="277" t="s">
        <v>429</v>
      </c>
      <c r="B839" s="277"/>
      <c r="C839" s="277"/>
      <c r="D839" s="277"/>
      <c r="E839" s="277"/>
      <c r="F839" s="277"/>
      <c r="G839" s="277"/>
      <c r="H839" s="277"/>
      <c r="I839" s="277"/>
      <c r="J839" s="277"/>
      <c r="K839" s="277"/>
      <c r="L839" s="277"/>
    </row>
    <row r="840" spans="1:12" ht="21.95" customHeight="1" x14ac:dyDescent="0.25">
      <c r="A840" s="1"/>
      <c r="B840" s="1"/>
    </row>
    <row r="841" spans="1:12" ht="21.95" customHeight="1" thickBot="1" x14ac:dyDescent="0.25">
      <c r="A841" s="10" t="s">
        <v>0</v>
      </c>
      <c r="B841" s="278" t="s">
        <v>91</v>
      </c>
      <c r="C841" s="278"/>
      <c r="D841" s="278"/>
      <c r="E841" s="278"/>
      <c r="F841" s="278"/>
      <c r="G841" s="278"/>
      <c r="H841" s="278"/>
      <c r="I841" s="278"/>
      <c r="J841" s="278"/>
      <c r="K841" s="278"/>
      <c r="L841" s="278"/>
    </row>
    <row r="842" spans="1:12" ht="21.95" customHeight="1" thickTop="1" x14ac:dyDescent="0.25">
      <c r="A842" s="1"/>
      <c r="B842" s="11" t="s">
        <v>3</v>
      </c>
      <c r="C842" s="12" t="s">
        <v>4</v>
      </c>
      <c r="D842" s="13"/>
      <c r="E842" s="13"/>
      <c r="F842" s="13"/>
      <c r="G842" s="13"/>
      <c r="H842" s="14"/>
      <c r="I842" s="15" t="s">
        <v>5</v>
      </c>
      <c r="J842" s="12" t="s">
        <v>17</v>
      </c>
      <c r="K842" s="13"/>
      <c r="L842" s="14"/>
    </row>
    <row r="843" spans="1:12" ht="21.95" customHeight="1" x14ac:dyDescent="0.2">
      <c r="B843" s="96">
        <v>1</v>
      </c>
      <c r="C843" s="140" t="s">
        <v>423</v>
      </c>
      <c r="D843" s="76"/>
      <c r="E843" s="150"/>
      <c r="F843" s="144"/>
      <c r="G843" s="76"/>
      <c r="H843" s="79"/>
      <c r="I843" s="56">
        <v>250000</v>
      </c>
      <c r="L843" s="17"/>
    </row>
    <row r="844" spans="1:12" ht="21.95" customHeight="1" x14ac:dyDescent="0.2">
      <c r="B844" s="96"/>
      <c r="C844" s="313"/>
      <c r="D844" s="314"/>
      <c r="E844" s="314"/>
      <c r="F844" s="314"/>
      <c r="G844" s="314"/>
      <c r="H844" s="315"/>
      <c r="I844" s="56"/>
      <c r="L844" s="17"/>
    </row>
    <row r="845" spans="1:12" ht="21.95" customHeight="1" x14ac:dyDescent="0.25">
      <c r="A845" s="1"/>
      <c r="B845" s="39"/>
      <c r="C845" s="1"/>
      <c r="D845" s="1"/>
      <c r="E845" s="1"/>
      <c r="F845" s="40" t="s">
        <v>5</v>
      </c>
      <c r="G845" s="40"/>
      <c r="H845" s="1"/>
      <c r="I845" s="41">
        <f>I843</f>
        <v>250000</v>
      </c>
      <c r="J845" s="1"/>
      <c r="K845" s="1"/>
      <c r="L845" s="42"/>
    </row>
    <row r="846" spans="1:12" ht="21.95" customHeight="1" thickBot="1" x14ac:dyDescent="0.3">
      <c r="A846" s="1"/>
      <c r="B846" s="43"/>
      <c r="C846" s="44"/>
      <c r="D846" s="44"/>
      <c r="E846" s="44"/>
      <c r="F846" s="45"/>
      <c r="G846" s="45"/>
      <c r="H846" s="44"/>
      <c r="I846" s="46"/>
      <c r="J846" s="44"/>
      <c r="K846" s="44"/>
      <c r="L846" s="47"/>
    </row>
    <row r="847" spans="1:12" ht="21.95" customHeight="1" thickTop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21.95" customHeight="1" x14ac:dyDescent="0.2">
      <c r="A848" s="10" t="s">
        <v>2</v>
      </c>
      <c r="B848" s="279" t="s">
        <v>11</v>
      </c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</row>
    <row r="849" spans="1:12" ht="21.9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21.95" customHeight="1" x14ac:dyDescent="0.2">
      <c r="A850" s="280" t="s">
        <v>12</v>
      </c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</row>
    <row r="851" spans="1:12" ht="21.9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21.9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21.95" customHeight="1" x14ac:dyDescent="0.25">
      <c r="A853" s="1"/>
      <c r="B853" s="1"/>
      <c r="C853" s="1"/>
      <c r="D853" s="1"/>
      <c r="E853" s="1"/>
      <c r="F853" s="1"/>
      <c r="G853" s="1"/>
      <c r="H853" s="4" t="s">
        <v>199</v>
      </c>
      <c r="J853" s="286" t="s">
        <v>428</v>
      </c>
      <c r="K853" s="286"/>
      <c r="L853" s="286"/>
    </row>
    <row r="854" spans="1:12" ht="21.95" customHeight="1" x14ac:dyDescent="0.25">
      <c r="A854" s="1"/>
      <c r="B854" s="1" t="s">
        <v>15</v>
      </c>
      <c r="C854" s="1"/>
      <c r="D854" s="1"/>
      <c r="E854" s="1"/>
      <c r="F854" s="1"/>
      <c r="G854" s="1"/>
      <c r="H854" s="4" t="s">
        <v>13</v>
      </c>
    </row>
    <row r="855" spans="1:12" ht="21.95" customHeight="1" x14ac:dyDescent="0.25">
      <c r="A855" s="1"/>
      <c r="B855" s="1" t="s">
        <v>18</v>
      </c>
      <c r="C855" s="1"/>
      <c r="D855" s="1"/>
      <c r="E855" s="1"/>
      <c r="F855" s="1"/>
      <c r="G855" s="1"/>
      <c r="H855" s="4" t="s">
        <v>14</v>
      </c>
    </row>
    <row r="856" spans="1:12" ht="21.9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21.9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21.95" customHeight="1" x14ac:dyDescent="0.25">
      <c r="A858" s="1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"/>
    </row>
    <row r="859" spans="1:12" ht="21.95" customHeight="1" x14ac:dyDescent="0.25">
      <c r="A859" s="1"/>
      <c r="K859" s="103"/>
      <c r="L859" s="1"/>
    </row>
    <row r="860" spans="1:12" ht="21.95" customHeight="1" x14ac:dyDescent="0.25">
      <c r="A860" s="1"/>
      <c r="B860" s="95" t="s">
        <v>77</v>
      </c>
      <c r="H860" s="26" t="s">
        <v>555</v>
      </c>
      <c r="I860" s="95"/>
      <c r="J860" s="92"/>
      <c r="K860" s="103"/>
      <c r="L860" s="1"/>
    </row>
    <row r="861" spans="1:12" ht="21.95" customHeight="1" x14ac:dyDescent="0.25">
      <c r="A861" s="1"/>
      <c r="B861" s="99" t="s">
        <v>27</v>
      </c>
      <c r="C861" s="57"/>
      <c r="H861" s="28" t="s">
        <v>46</v>
      </c>
      <c r="K861" s="103"/>
    </row>
    <row r="865" spans="1:12" ht="21.95" customHeight="1" x14ac:dyDescent="0.25">
      <c r="A865" s="3" t="s">
        <v>22</v>
      </c>
    </row>
    <row r="866" spans="1:12" ht="21.95" customHeight="1" x14ac:dyDescent="0.2">
      <c r="A866" s="122" t="s">
        <v>20</v>
      </c>
    </row>
    <row r="867" spans="1:12" ht="21.95" customHeight="1" x14ac:dyDescent="0.2">
      <c r="A867" s="122" t="s">
        <v>21</v>
      </c>
    </row>
    <row r="871" spans="1:12" ht="21.95" customHeight="1" x14ac:dyDescent="0.3">
      <c r="A871" s="276" t="s">
        <v>6</v>
      </c>
      <c r="B871" s="276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</row>
    <row r="872" spans="1:12" ht="21.95" customHeight="1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</row>
    <row r="873" spans="1:12" ht="21.95" customHeight="1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</row>
    <row r="874" spans="1:12" ht="21.95" customHeight="1" x14ac:dyDescent="0.25">
      <c r="A874" s="1"/>
      <c r="B874" s="1"/>
    </row>
    <row r="875" spans="1:12" ht="21.95" customHeight="1" x14ac:dyDescent="0.25">
      <c r="A875" s="1" t="s">
        <v>7</v>
      </c>
      <c r="B875" s="1"/>
    </row>
    <row r="876" spans="1:12" ht="21.95" customHeight="1" x14ac:dyDescent="0.25">
      <c r="A876" s="1"/>
      <c r="B876" s="1"/>
    </row>
    <row r="877" spans="1:12" ht="21.95" customHeight="1" x14ac:dyDescent="0.25">
      <c r="A877" s="1" t="s">
        <v>8</v>
      </c>
      <c r="C877" s="9" t="s">
        <v>1</v>
      </c>
      <c r="D877" s="33" t="s">
        <v>78</v>
      </c>
      <c r="E877" s="76"/>
      <c r="F877" s="76"/>
      <c r="G877" s="76"/>
      <c r="H877" s="76"/>
    </row>
    <row r="878" spans="1:12" ht="21.95" customHeight="1" x14ac:dyDescent="0.25">
      <c r="A878" s="1" t="s">
        <v>9</v>
      </c>
      <c r="C878" s="9" t="s">
        <v>1</v>
      </c>
      <c r="D878" s="27" t="s">
        <v>234</v>
      </c>
      <c r="E878" s="76"/>
      <c r="F878" s="76"/>
      <c r="G878" s="76"/>
      <c r="H878" s="76"/>
    </row>
    <row r="879" spans="1:12" ht="21.95" customHeight="1" x14ac:dyDescent="0.2">
      <c r="A879" s="50" t="s">
        <v>10</v>
      </c>
      <c r="B879" s="76"/>
      <c r="C879" s="91" t="s">
        <v>1</v>
      </c>
      <c r="D879" s="50" t="s">
        <v>235</v>
      </c>
      <c r="E879" s="76"/>
      <c r="F879" s="76"/>
      <c r="G879" s="76"/>
      <c r="H879" s="76"/>
      <c r="I879" s="76"/>
      <c r="J879" s="76"/>
      <c r="K879" s="76"/>
      <c r="L879" s="76"/>
    </row>
    <row r="880" spans="1:12" ht="21.95" customHeight="1" x14ac:dyDescent="0.25">
      <c r="A880" s="1"/>
      <c r="B880" s="1"/>
      <c r="D880" s="1"/>
    </row>
    <row r="881" spans="1:12" ht="21.95" customHeight="1" x14ac:dyDescent="0.2">
      <c r="A881" s="277" t="s">
        <v>429</v>
      </c>
      <c r="B881" s="277"/>
      <c r="C881" s="277"/>
      <c r="D881" s="277"/>
      <c r="E881" s="277"/>
      <c r="F881" s="277"/>
      <c r="G881" s="277"/>
      <c r="H881" s="277"/>
      <c r="I881" s="277"/>
      <c r="J881" s="277"/>
      <c r="K881" s="277"/>
      <c r="L881" s="277"/>
    </row>
    <row r="882" spans="1:12" ht="21.95" customHeight="1" x14ac:dyDescent="0.25">
      <c r="A882" s="1"/>
      <c r="B882" s="1"/>
    </row>
    <row r="883" spans="1:12" ht="21.95" customHeight="1" thickBot="1" x14ac:dyDescent="0.25">
      <c r="A883" s="10" t="s">
        <v>0</v>
      </c>
      <c r="B883" s="278" t="s">
        <v>91</v>
      </c>
      <c r="C883" s="278"/>
      <c r="D883" s="278"/>
      <c r="E883" s="278"/>
      <c r="F883" s="278"/>
      <c r="G883" s="278"/>
      <c r="H883" s="278"/>
      <c r="I883" s="278"/>
      <c r="J883" s="278"/>
      <c r="K883" s="278"/>
      <c r="L883" s="278"/>
    </row>
    <row r="884" spans="1:12" ht="21.95" customHeight="1" thickTop="1" x14ac:dyDescent="0.25">
      <c r="A884" s="1"/>
      <c r="B884" s="11" t="s">
        <v>3</v>
      </c>
      <c r="C884" s="12" t="s">
        <v>4</v>
      </c>
      <c r="D884" s="13"/>
      <c r="E884" s="13"/>
      <c r="F884" s="13"/>
      <c r="G884" s="13"/>
      <c r="H884" s="14"/>
      <c r="I884" s="15" t="s">
        <v>5</v>
      </c>
      <c r="J884" s="12" t="s">
        <v>17</v>
      </c>
      <c r="K884" s="13"/>
      <c r="L884" s="14"/>
    </row>
    <row r="885" spans="1:12" ht="21.95" customHeight="1" x14ac:dyDescent="0.2">
      <c r="B885" s="96">
        <v>1</v>
      </c>
      <c r="C885" s="140" t="s">
        <v>423</v>
      </c>
      <c r="D885" s="76"/>
      <c r="E885" s="150"/>
      <c r="F885" s="144"/>
      <c r="G885" s="76"/>
      <c r="H885" s="79"/>
      <c r="I885" s="56">
        <v>250000</v>
      </c>
      <c r="L885" s="17"/>
    </row>
    <row r="886" spans="1:12" ht="21.95" customHeight="1" x14ac:dyDescent="0.2">
      <c r="B886" s="96"/>
      <c r="C886" s="313"/>
      <c r="D886" s="314"/>
      <c r="E886" s="314"/>
      <c r="F886" s="314"/>
      <c r="G886" s="314"/>
      <c r="H886" s="315"/>
      <c r="I886" s="56"/>
      <c r="L886" s="17"/>
    </row>
    <row r="887" spans="1:12" ht="21.95" customHeight="1" x14ac:dyDescent="0.25">
      <c r="A887" s="1"/>
      <c r="B887" s="39"/>
      <c r="C887" s="1"/>
      <c r="D887" s="1"/>
      <c r="E887" s="1"/>
      <c r="F887" s="40" t="s">
        <v>5</v>
      </c>
      <c r="G887" s="40"/>
      <c r="H887" s="1"/>
      <c r="I887" s="41">
        <f>I885</f>
        <v>250000</v>
      </c>
      <c r="J887" s="1"/>
      <c r="K887" s="1"/>
      <c r="L887" s="42"/>
    </row>
    <row r="888" spans="1:12" ht="21.95" customHeight="1" thickBot="1" x14ac:dyDescent="0.3">
      <c r="A888" s="1"/>
      <c r="B888" s="43"/>
      <c r="C888" s="44"/>
      <c r="D888" s="44"/>
      <c r="E888" s="44"/>
      <c r="F888" s="45"/>
      <c r="G888" s="45"/>
      <c r="H888" s="44"/>
      <c r="I888" s="46"/>
      <c r="J888" s="44"/>
      <c r="K888" s="44"/>
      <c r="L888" s="47"/>
    </row>
    <row r="889" spans="1:12" ht="21.95" customHeight="1" thickTop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21.95" customHeight="1" x14ac:dyDescent="0.2">
      <c r="A890" s="10" t="s">
        <v>2</v>
      </c>
      <c r="B890" s="279" t="s">
        <v>11</v>
      </c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</row>
    <row r="891" spans="1:12" ht="21.9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21.95" customHeight="1" x14ac:dyDescent="0.2">
      <c r="A892" s="280" t="s">
        <v>12</v>
      </c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</row>
    <row r="893" spans="1:12" ht="21.9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21.9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21.95" customHeight="1" x14ac:dyDescent="0.25">
      <c r="A895" s="1"/>
      <c r="B895" s="1"/>
      <c r="C895" s="1"/>
      <c r="D895" s="1"/>
      <c r="E895" s="1"/>
      <c r="F895" s="1"/>
      <c r="G895" s="1"/>
      <c r="H895" s="4" t="s">
        <v>199</v>
      </c>
      <c r="J895" s="286" t="s">
        <v>428</v>
      </c>
      <c r="K895" s="286"/>
      <c r="L895" s="286"/>
    </row>
    <row r="896" spans="1:12" ht="21.95" customHeight="1" x14ac:dyDescent="0.25">
      <c r="A896" s="1"/>
      <c r="B896" s="1" t="s">
        <v>15</v>
      </c>
      <c r="C896" s="1"/>
      <c r="D896" s="1"/>
      <c r="E896" s="1"/>
      <c r="F896" s="1"/>
      <c r="G896" s="1"/>
      <c r="H896" s="4" t="s">
        <v>13</v>
      </c>
    </row>
    <row r="897" spans="1:12" ht="21.95" customHeight="1" x14ac:dyDescent="0.25">
      <c r="A897" s="1"/>
      <c r="B897" s="1" t="s">
        <v>18</v>
      </c>
      <c r="C897" s="1"/>
      <c r="D897" s="1"/>
      <c r="E897" s="1"/>
      <c r="F897" s="1"/>
      <c r="G897" s="1"/>
      <c r="H897" s="4" t="s">
        <v>14</v>
      </c>
    </row>
    <row r="898" spans="1:12" ht="21.9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21.9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21.95" customHeight="1" x14ac:dyDescent="0.25">
      <c r="A900" s="1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"/>
    </row>
    <row r="901" spans="1:12" ht="21.95" customHeight="1" x14ac:dyDescent="0.25">
      <c r="A901" s="1"/>
      <c r="K901" s="103"/>
      <c r="L901" s="1"/>
    </row>
    <row r="902" spans="1:12" ht="21.95" customHeight="1" x14ac:dyDescent="0.25">
      <c r="A902" s="1"/>
      <c r="B902" s="95" t="s">
        <v>77</v>
      </c>
      <c r="H902" s="26" t="s">
        <v>78</v>
      </c>
      <c r="I902" s="95"/>
      <c r="J902" s="92"/>
      <c r="K902" s="103"/>
      <c r="L902" s="1"/>
    </row>
    <row r="903" spans="1:12" ht="21.95" customHeight="1" x14ac:dyDescent="0.25">
      <c r="A903" s="1"/>
      <c r="B903" s="99" t="s">
        <v>27</v>
      </c>
      <c r="C903" s="57"/>
      <c r="H903" s="28" t="s">
        <v>79</v>
      </c>
      <c r="K903" s="103"/>
    </row>
    <row r="905" spans="1:12" ht="21.95" customHeight="1" x14ac:dyDescent="0.25">
      <c r="A905" s="3" t="s">
        <v>22</v>
      </c>
    </row>
    <row r="906" spans="1:12" ht="21.95" customHeight="1" x14ac:dyDescent="0.2">
      <c r="A906" s="122" t="s">
        <v>20</v>
      </c>
    </row>
    <row r="907" spans="1:12" ht="21.95" customHeight="1" x14ac:dyDescent="0.2">
      <c r="A907" s="122" t="s">
        <v>21</v>
      </c>
    </row>
    <row r="911" spans="1:12" ht="21.95" customHeight="1" x14ac:dyDescent="0.3">
      <c r="A911" s="276" t="s">
        <v>6</v>
      </c>
      <c r="B911" s="276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</row>
    <row r="912" spans="1:12" ht="21.95" customHeight="1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</row>
    <row r="913" spans="1:12" ht="21.95" customHeight="1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</row>
    <row r="914" spans="1:12" ht="21.95" customHeight="1" x14ac:dyDescent="0.25">
      <c r="A914" s="1"/>
      <c r="B914" s="1"/>
    </row>
    <row r="915" spans="1:12" ht="21.95" customHeight="1" x14ac:dyDescent="0.25">
      <c r="A915" s="1" t="s">
        <v>7</v>
      </c>
      <c r="B915" s="1"/>
    </row>
    <row r="916" spans="1:12" ht="21.95" customHeight="1" x14ac:dyDescent="0.25">
      <c r="A916" s="1"/>
      <c r="B916" s="1"/>
    </row>
    <row r="917" spans="1:12" ht="21.95" customHeight="1" x14ac:dyDescent="0.25">
      <c r="A917" s="1" t="s">
        <v>8</v>
      </c>
      <c r="C917" s="9" t="s">
        <v>1</v>
      </c>
      <c r="D917" s="92" t="s">
        <v>77</v>
      </c>
      <c r="E917" s="76"/>
      <c r="F917" s="76"/>
      <c r="G917" s="76"/>
      <c r="H917" s="76"/>
    </row>
    <row r="918" spans="1:12" ht="21.95" customHeight="1" x14ac:dyDescent="0.25">
      <c r="A918" s="1" t="s">
        <v>9</v>
      </c>
      <c r="C918" s="9" t="s">
        <v>1</v>
      </c>
      <c r="D918" s="146" t="s">
        <v>201</v>
      </c>
      <c r="E918" s="76"/>
      <c r="F918" s="76"/>
      <c r="G918" s="76"/>
      <c r="H918" s="76"/>
    </row>
    <row r="919" spans="1:12" ht="21.95" customHeight="1" x14ac:dyDescent="0.2">
      <c r="A919" s="50" t="s">
        <v>10</v>
      </c>
      <c r="B919" s="76"/>
      <c r="C919" s="91" t="s">
        <v>1</v>
      </c>
      <c r="D919" s="4" t="s">
        <v>265</v>
      </c>
      <c r="E919" s="76"/>
      <c r="F919" s="76"/>
      <c r="G919" s="76"/>
      <c r="H919" s="76"/>
      <c r="I919" s="76"/>
      <c r="J919" s="76"/>
      <c r="K919" s="76"/>
      <c r="L919" s="76"/>
    </row>
    <row r="920" spans="1:12" ht="21.95" customHeight="1" x14ac:dyDescent="0.25">
      <c r="A920" s="1"/>
      <c r="B920" s="1"/>
      <c r="D920" s="1"/>
    </row>
    <row r="921" spans="1:12" ht="21.95" customHeight="1" x14ac:dyDescent="0.2">
      <c r="A921" s="277" t="s">
        <v>430</v>
      </c>
      <c r="B921" s="277"/>
      <c r="C921" s="277"/>
      <c r="D921" s="277"/>
      <c r="E921" s="277"/>
      <c r="F921" s="277"/>
      <c r="G921" s="277"/>
      <c r="H921" s="277"/>
      <c r="I921" s="277"/>
      <c r="J921" s="277"/>
      <c r="K921" s="277"/>
      <c r="L921" s="277"/>
    </row>
    <row r="922" spans="1:12" ht="21.95" customHeight="1" x14ac:dyDescent="0.25">
      <c r="A922" s="1"/>
      <c r="B922" s="1"/>
    </row>
    <row r="923" spans="1:12" ht="21.95" customHeight="1" thickBot="1" x14ac:dyDescent="0.25">
      <c r="A923" s="10" t="s">
        <v>0</v>
      </c>
      <c r="B923" s="278" t="s">
        <v>91</v>
      </c>
      <c r="C923" s="278"/>
      <c r="D923" s="278"/>
      <c r="E923" s="278"/>
      <c r="F923" s="278"/>
      <c r="G923" s="278"/>
      <c r="H923" s="278"/>
      <c r="I923" s="278"/>
      <c r="J923" s="278"/>
      <c r="K923" s="278"/>
      <c r="L923" s="278"/>
    </row>
    <row r="924" spans="1:12" ht="21.95" customHeight="1" thickTop="1" x14ac:dyDescent="0.25">
      <c r="A924" s="1"/>
      <c r="B924" s="11" t="s">
        <v>3</v>
      </c>
      <c r="C924" s="12" t="s">
        <v>4</v>
      </c>
      <c r="D924" s="13"/>
      <c r="E924" s="13"/>
      <c r="F924" s="13"/>
      <c r="G924" s="13"/>
      <c r="H924" s="14"/>
      <c r="I924" s="15" t="s">
        <v>5</v>
      </c>
      <c r="J924" s="12" t="s">
        <v>17</v>
      </c>
      <c r="K924" s="13"/>
      <c r="L924" s="14"/>
    </row>
    <row r="925" spans="1:12" ht="21.95" customHeight="1" x14ac:dyDescent="0.2">
      <c r="B925" s="96">
        <v>1</v>
      </c>
      <c r="C925" s="140" t="s">
        <v>238</v>
      </c>
      <c r="D925" s="76"/>
      <c r="E925" s="131">
        <v>1957000</v>
      </c>
      <c r="F925" s="167" t="s">
        <v>239</v>
      </c>
      <c r="G925" s="167"/>
      <c r="H925" s="166"/>
      <c r="I925" s="56">
        <f>E925*30/100*2</f>
        <v>1174200</v>
      </c>
      <c r="J925" s="76" t="s">
        <v>281</v>
      </c>
      <c r="L925" s="17"/>
    </row>
    <row r="926" spans="1:12" ht="21.95" customHeight="1" x14ac:dyDescent="0.2">
      <c r="B926" s="96"/>
      <c r="C926" s="313"/>
      <c r="D926" s="314"/>
      <c r="E926" s="314"/>
      <c r="F926" s="314"/>
      <c r="G926" s="314"/>
      <c r="H926" s="315"/>
      <c r="I926" s="56"/>
      <c r="L926" s="17"/>
    </row>
    <row r="927" spans="1:12" ht="21.95" customHeight="1" x14ac:dyDescent="0.25">
      <c r="A927" s="1"/>
      <c r="B927" s="39"/>
      <c r="C927" s="1"/>
      <c r="D927" s="1"/>
      <c r="E927" s="1"/>
      <c r="F927" s="40" t="s">
        <v>5</v>
      </c>
      <c r="G927" s="40"/>
      <c r="H927" s="1"/>
      <c r="I927" s="41">
        <f>I925</f>
        <v>1174200</v>
      </c>
      <c r="J927" s="1"/>
      <c r="K927" s="1"/>
      <c r="L927" s="42"/>
    </row>
    <row r="928" spans="1:12" ht="21.95" customHeight="1" thickBot="1" x14ac:dyDescent="0.3">
      <c r="A928" s="1"/>
      <c r="B928" s="43"/>
      <c r="C928" s="44"/>
      <c r="D928" s="44"/>
      <c r="E928" s="44"/>
      <c r="F928" s="45"/>
      <c r="G928" s="45"/>
      <c r="H928" s="44"/>
      <c r="I928" s="46"/>
      <c r="J928" s="44"/>
      <c r="K928" s="44"/>
      <c r="L928" s="47"/>
    </row>
    <row r="929" spans="1:12" ht="21.95" customHeight="1" thickTop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21.95" customHeight="1" x14ac:dyDescent="0.2">
      <c r="A930" s="10" t="s">
        <v>2</v>
      </c>
      <c r="B930" s="279" t="s">
        <v>11</v>
      </c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</row>
    <row r="931" spans="1:12" ht="21.9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21.95" customHeight="1" x14ac:dyDescent="0.2">
      <c r="A932" s="280" t="s">
        <v>12</v>
      </c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</row>
    <row r="933" spans="1:12" ht="21.9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21.9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21.95" customHeight="1" x14ac:dyDescent="0.25">
      <c r="A935" s="1"/>
      <c r="B935" s="1"/>
      <c r="C935" s="1"/>
      <c r="D935" s="1"/>
      <c r="E935" s="1"/>
      <c r="F935" s="1"/>
      <c r="G935" s="1"/>
      <c r="H935" s="4" t="s">
        <v>199</v>
      </c>
      <c r="J935" s="286" t="s">
        <v>428</v>
      </c>
      <c r="K935" s="286"/>
      <c r="L935" s="286"/>
    </row>
    <row r="936" spans="1:12" ht="21.95" customHeight="1" x14ac:dyDescent="0.25">
      <c r="A936" s="1"/>
      <c r="B936" s="1" t="s">
        <v>15</v>
      </c>
      <c r="C936" s="1"/>
      <c r="D936" s="1"/>
      <c r="E936" s="1"/>
      <c r="F936" s="1"/>
      <c r="G936" s="1"/>
      <c r="H936" s="4" t="s">
        <v>13</v>
      </c>
    </row>
    <row r="937" spans="1:12" ht="21.95" customHeight="1" x14ac:dyDescent="0.25">
      <c r="A937" s="1"/>
      <c r="B937" s="1" t="s">
        <v>18</v>
      </c>
      <c r="C937" s="1"/>
      <c r="D937" s="1"/>
      <c r="E937" s="1"/>
      <c r="F937" s="1"/>
      <c r="G937" s="1"/>
      <c r="H937" s="4" t="s">
        <v>14</v>
      </c>
    </row>
    <row r="938" spans="1:12" ht="21.9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21.9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21.95" customHeight="1" x14ac:dyDescent="0.25">
      <c r="A940" s="1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"/>
    </row>
    <row r="941" spans="1:12" ht="21.95" customHeight="1" x14ac:dyDescent="0.25">
      <c r="A941" s="1"/>
      <c r="K941" s="103"/>
      <c r="L941" s="1"/>
    </row>
    <row r="942" spans="1:12" ht="21.95" customHeight="1" x14ac:dyDescent="0.25">
      <c r="A942" s="1"/>
      <c r="B942" s="95" t="s">
        <v>77</v>
      </c>
      <c r="H942" s="95" t="s">
        <v>77</v>
      </c>
      <c r="I942" s="95"/>
      <c r="J942" s="92"/>
      <c r="K942" s="103"/>
      <c r="L942" s="1"/>
    </row>
    <row r="943" spans="1:12" ht="21.95" customHeight="1" x14ac:dyDescent="0.25">
      <c r="A943" s="1"/>
      <c r="B943" s="99" t="s">
        <v>27</v>
      </c>
      <c r="C943" s="57"/>
      <c r="H943" s="99" t="s">
        <v>27</v>
      </c>
      <c r="K943" s="103"/>
    </row>
    <row r="948" spans="1:12" ht="21.95" customHeight="1" x14ac:dyDescent="0.25">
      <c r="A948" s="3" t="s">
        <v>22</v>
      </c>
    </row>
    <row r="949" spans="1:12" ht="21.95" customHeight="1" x14ac:dyDescent="0.2">
      <c r="A949" s="122" t="s">
        <v>20</v>
      </c>
    </row>
    <row r="950" spans="1:12" ht="21.95" customHeight="1" x14ac:dyDescent="0.2">
      <c r="A950" s="122" t="s">
        <v>21</v>
      </c>
    </row>
    <row r="954" spans="1:12" ht="21.95" customHeight="1" x14ac:dyDescent="0.3">
      <c r="A954" s="276" t="s">
        <v>6</v>
      </c>
      <c r="B954" s="276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</row>
    <row r="955" spans="1:12" ht="21.95" customHeight="1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</row>
    <row r="956" spans="1:12" ht="21.95" customHeight="1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</row>
    <row r="957" spans="1:12" ht="21.95" customHeight="1" x14ac:dyDescent="0.25">
      <c r="A957" s="1"/>
      <c r="B957" s="1"/>
    </row>
    <row r="958" spans="1:12" ht="21.95" customHeight="1" x14ac:dyDescent="0.25">
      <c r="A958" s="1" t="s">
        <v>7</v>
      </c>
      <c r="B958" s="1"/>
    </row>
    <row r="959" spans="1:12" ht="21.95" customHeight="1" x14ac:dyDescent="0.25">
      <c r="A959" s="1"/>
      <c r="B959" s="1"/>
    </row>
    <row r="960" spans="1:12" ht="21.95" customHeight="1" x14ac:dyDescent="0.25">
      <c r="A960" s="1" t="s">
        <v>8</v>
      </c>
      <c r="C960" s="9" t="s">
        <v>1</v>
      </c>
      <c r="D960" s="33" t="s">
        <v>555</v>
      </c>
      <c r="E960" s="76"/>
      <c r="F960" s="76"/>
      <c r="G960" s="76"/>
      <c r="H960" s="76"/>
    </row>
    <row r="961" spans="1:12" ht="21.95" customHeight="1" x14ac:dyDescent="0.25">
      <c r="A961" s="1" t="s">
        <v>9</v>
      </c>
      <c r="C961" s="9" t="s">
        <v>1</v>
      </c>
      <c r="D961" s="27" t="s">
        <v>236</v>
      </c>
      <c r="E961" s="76"/>
      <c r="F961" s="76"/>
      <c r="G961" s="76"/>
      <c r="H961" s="76"/>
    </row>
    <row r="962" spans="1:12" ht="21.95" customHeight="1" x14ac:dyDescent="0.2">
      <c r="A962" s="50" t="s">
        <v>10</v>
      </c>
      <c r="B962" s="76"/>
      <c r="C962" s="91" t="s">
        <v>1</v>
      </c>
      <c r="D962" s="4" t="s">
        <v>235</v>
      </c>
      <c r="E962" s="76"/>
      <c r="F962" s="76"/>
      <c r="G962" s="76"/>
      <c r="H962" s="76"/>
      <c r="I962" s="76"/>
      <c r="J962" s="76"/>
      <c r="K962" s="76"/>
      <c r="L962" s="76"/>
    </row>
    <row r="963" spans="1:12" ht="21.95" customHeight="1" x14ac:dyDescent="0.25">
      <c r="A963" s="1"/>
      <c r="B963" s="1"/>
      <c r="D963" s="1"/>
    </row>
    <row r="964" spans="1:12" ht="21.95" customHeight="1" x14ac:dyDescent="0.2">
      <c r="A964" s="277" t="s">
        <v>431</v>
      </c>
      <c r="B964" s="277"/>
      <c r="C964" s="277"/>
      <c r="D964" s="277"/>
      <c r="E964" s="277"/>
      <c r="F964" s="277"/>
      <c r="G964" s="277"/>
      <c r="H964" s="277"/>
      <c r="I964" s="277"/>
      <c r="J964" s="277"/>
      <c r="K964" s="277"/>
      <c r="L964" s="277"/>
    </row>
    <row r="965" spans="1:12" ht="21.95" customHeight="1" x14ac:dyDescent="0.25">
      <c r="A965" s="1"/>
      <c r="B965" s="1"/>
    </row>
    <row r="966" spans="1:12" ht="21.95" customHeight="1" thickBot="1" x14ac:dyDescent="0.25">
      <c r="A966" s="10" t="s">
        <v>0</v>
      </c>
      <c r="B966" s="278" t="s">
        <v>91</v>
      </c>
      <c r="C966" s="278"/>
      <c r="D966" s="278"/>
      <c r="E966" s="278"/>
      <c r="F966" s="278"/>
      <c r="G966" s="278"/>
      <c r="H966" s="278"/>
      <c r="I966" s="278"/>
      <c r="J966" s="278"/>
      <c r="K966" s="278"/>
      <c r="L966" s="278"/>
    </row>
    <row r="967" spans="1:12" ht="21.95" customHeight="1" thickTop="1" x14ac:dyDescent="0.25">
      <c r="A967" s="1"/>
      <c r="B967" s="11" t="s">
        <v>3</v>
      </c>
      <c r="C967" s="12" t="s">
        <v>4</v>
      </c>
      <c r="D967" s="13"/>
      <c r="E967" s="13"/>
      <c r="F967" s="13"/>
      <c r="G967" s="13"/>
      <c r="H967" s="14"/>
      <c r="I967" s="15" t="s">
        <v>5</v>
      </c>
      <c r="J967" s="12" t="s">
        <v>17</v>
      </c>
      <c r="K967" s="13"/>
      <c r="L967" s="14"/>
    </row>
    <row r="968" spans="1:12" ht="21.95" customHeight="1" x14ac:dyDescent="0.2">
      <c r="B968" s="96">
        <v>1</v>
      </c>
      <c r="C968" s="140" t="s">
        <v>432</v>
      </c>
      <c r="D968" s="76"/>
      <c r="E968" s="150"/>
      <c r="F968" s="144"/>
      <c r="G968" s="76"/>
      <c r="H968" s="79"/>
      <c r="I968" s="56">
        <v>150000</v>
      </c>
      <c r="L968" s="17"/>
    </row>
    <row r="969" spans="1:12" ht="21.95" customHeight="1" x14ac:dyDescent="0.2">
      <c r="B969" s="96"/>
      <c r="C969" s="313"/>
      <c r="D969" s="314"/>
      <c r="E969" s="314"/>
      <c r="F969" s="314"/>
      <c r="G969" s="314"/>
      <c r="H969" s="315"/>
      <c r="I969" s="56"/>
      <c r="L969" s="17"/>
    </row>
    <row r="970" spans="1:12" ht="21.95" customHeight="1" x14ac:dyDescent="0.25">
      <c r="A970" s="1"/>
      <c r="B970" s="39"/>
      <c r="C970" s="1"/>
      <c r="D970" s="1"/>
      <c r="E970" s="1"/>
      <c r="F970" s="40" t="s">
        <v>5</v>
      </c>
      <c r="G970" s="40"/>
      <c r="H970" s="1"/>
      <c r="I970" s="41">
        <f>I968</f>
        <v>150000</v>
      </c>
      <c r="J970" s="1"/>
      <c r="K970" s="1"/>
      <c r="L970" s="42"/>
    </row>
    <row r="971" spans="1:12" ht="21.95" customHeight="1" thickBot="1" x14ac:dyDescent="0.3">
      <c r="A971" s="1"/>
      <c r="B971" s="43"/>
      <c r="C971" s="44"/>
      <c r="D971" s="44"/>
      <c r="E971" s="44"/>
      <c r="F971" s="45"/>
      <c r="G971" s="45"/>
      <c r="H971" s="44"/>
      <c r="I971" s="46"/>
      <c r="J971" s="44"/>
      <c r="K971" s="44"/>
      <c r="L971" s="47"/>
    </row>
    <row r="972" spans="1:12" s="99" customFormat="1" ht="21.95" customHeight="1" thickTop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21.95" customHeight="1" x14ac:dyDescent="0.2">
      <c r="A973" s="10" t="s">
        <v>2</v>
      </c>
      <c r="B973" s="279" t="s">
        <v>11</v>
      </c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</row>
    <row r="974" spans="1:12" ht="21.9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21.95" customHeight="1" x14ac:dyDescent="0.2">
      <c r="A975" s="280" t="s">
        <v>12</v>
      </c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</row>
    <row r="976" spans="1:12" ht="21.9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21.9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21.95" customHeight="1" x14ac:dyDescent="0.25">
      <c r="A978" s="1"/>
      <c r="B978" s="1"/>
      <c r="C978" s="1"/>
      <c r="D978" s="1"/>
      <c r="E978" s="1"/>
      <c r="F978" s="1"/>
      <c r="G978" s="1"/>
      <c r="H978" s="4" t="s">
        <v>199</v>
      </c>
      <c r="J978" s="286" t="s">
        <v>428</v>
      </c>
      <c r="K978" s="286"/>
      <c r="L978" s="286"/>
    </row>
    <row r="979" spans="1:12" ht="21.95" customHeight="1" x14ac:dyDescent="0.25">
      <c r="A979" s="1"/>
      <c r="B979" s="1" t="s">
        <v>15</v>
      </c>
      <c r="C979" s="1"/>
      <c r="D979" s="1"/>
      <c r="E979" s="1"/>
      <c r="F979" s="1"/>
      <c r="G979" s="1"/>
      <c r="H979" s="4" t="s">
        <v>13</v>
      </c>
    </row>
    <row r="980" spans="1:12" ht="21.95" customHeight="1" x14ac:dyDescent="0.25">
      <c r="A980" s="1"/>
      <c r="B980" s="1" t="s">
        <v>18</v>
      </c>
      <c r="C980" s="1"/>
      <c r="D980" s="1"/>
      <c r="E980" s="1"/>
      <c r="F980" s="1"/>
      <c r="G980" s="1"/>
      <c r="H980" s="4" t="s">
        <v>14</v>
      </c>
    </row>
    <row r="981" spans="1:12" ht="21.9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21.9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21.95" customHeight="1" x14ac:dyDescent="0.25">
      <c r="A983" s="1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"/>
    </row>
    <row r="984" spans="1:12" ht="21.95" customHeight="1" x14ac:dyDescent="0.25">
      <c r="A984" s="1"/>
      <c r="K984" s="103"/>
      <c r="L984" s="1"/>
    </row>
    <row r="985" spans="1:12" ht="21.95" customHeight="1" x14ac:dyDescent="0.25">
      <c r="A985" s="1"/>
      <c r="B985" s="95" t="s">
        <v>77</v>
      </c>
      <c r="H985" s="26" t="s">
        <v>555</v>
      </c>
      <c r="I985" s="95"/>
      <c r="J985" s="92"/>
      <c r="K985" s="103"/>
      <c r="L985" s="1"/>
    </row>
    <row r="986" spans="1:12" ht="21.95" customHeight="1" x14ac:dyDescent="0.25">
      <c r="A986" s="1"/>
      <c r="B986" s="99" t="s">
        <v>27</v>
      </c>
      <c r="C986" s="57"/>
      <c r="H986" s="28" t="s">
        <v>46</v>
      </c>
      <c r="K986" s="103"/>
    </row>
    <row r="990" spans="1:12" ht="21.95" customHeight="1" x14ac:dyDescent="0.25">
      <c r="A990" s="3" t="s">
        <v>22</v>
      </c>
    </row>
    <row r="991" spans="1:12" ht="21.95" customHeight="1" x14ac:dyDescent="0.2">
      <c r="A991" s="122" t="s">
        <v>20</v>
      </c>
    </row>
    <row r="992" spans="1:12" ht="21.95" customHeight="1" x14ac:dyDescent="0.2">
      <c r="A992" s="122" t="s">
        <v>21</v>
      </c>
    </row>
    <row r="996" spans="1:12" ht="21.95" customHeight="1" x14ac:dyDescent="0.3">
      <c r="A996" s="276" t="s">
        <v>6</v>
      </c>
      <c r="B996" s="276"/>
      <c r="C996" s="276"/>
      <c r="D996" s="276"/>
      <c r="E996" s="276"/>
      <c r="F996" s="276"/>
      <c r="G996" s="276"/>
      <c r="H996" s="276"/>
      <c r="I996" s="276"/>
      <c r="J996" s="276"/>
      <c r="K996" s="276"/>
      <c r="L996" s="276"/>
    </row>
    <row r="997" spans="1:12" ht="21.95" customHeight="1" x14ac:dyDescent="0.3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</row>
    <row r="998" spans="1:12" ht="21.95" customHeight="1" x14ac:dyDescent="0.3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</row>
    <row r="999" spans="1:12" ht="21.95" customHeight="1" x14ac:dyDescent="0.25">
      <c r="A999" s="1"/>
      <c r="B999" s="1"/>
    </row>
    <row r="1000" spans="1:12" ht="21.95" customHeight="1" x14ac:dyDescent="0.25">
      <c r="A1000" s="1" t="s">
        <v>7</v>
      </c>
      <c r="B1000" s="1"/>
    </row>
    <row r="1001" spans="1:12" ht="21.95" customHeight="1" x14ac:dyDescent="0.25">
      <c r="A1001" s="1"/>
      <c r="B1001" s="1"/>
    </row>
    <row r="1002" spans="1:12" ht="21.95" customHeight="1" x14ac:dyDescent="0.25">
      <c r="A1002" s="1" t="s">
        <v>8</v>
      </c>
      <c r="C1002" s="9" t="s">
        <v>1</v>
      </c>
      <c r="D1002" s="92" t="s">
        <v>77</v>
      </c>
      <c r="E1002" s="76"/>
      <c r="F1002" s="76"/>
      <c r="G1002" s="76"/>
      <c r="H1002" s="76"/>
    </row>
    <row r="1003" spans="1:12" ht="21.95" customHeight="1" x14ac:dyDescent="0.25">
      <c r="A1003" s="1" t="s">
        <v>9</v>
      </c>
      <c r="C1003" s="9" t="s">
        <v>1</v>
      </c>
      <c r="D1003" s="146" t="s">
        <v>201</v>
      </c>
      <c r="E1003" s="76"/>
      <c r="F1003" s="76"/>
      <c r="G1003" s="76"/>
      <c r="H1003" s="76"/>
    </row>
    <row r="1004" spans="1:12" ht="21.95" customHeight="1" x14ac:dyDescent="0.2">
      <c r="A1004" s="50" t="s">
        <v>10</v>
      </c>
      <c r="B1004" s="76"/>
      <c r="C1004" s="91" t="s">
        <v>1</v>
      </c>
      <c r="D1004" s="4" t="s">
        <v>265</v>
      </c>
      <c r="E1004" s="76"/>
      <c r="F1004" s="76"/>
      <c r="G1004" s="76"/>
      <c r="H1004" s="76"/>
      <c r="I1004" s="76"/>
      <c r="J1004" s="76"/>
      <c r="K1004" s="76"/>
      <c r="L1004" s="76"/>
    </row>
    <row r="1005" spans="1:12" ht="21.95" customHeight="1" x14ac:dyDescent="0.25">
      <c r="A1005" s="1"/>
      <c r="B1005" s="1"/>
      <c r="D1005" s="1"/>
    </row>
    <row r="1006" spans="1:12" ht="21.95" customHeight="1" x14ac:dyDescent="0.2">
      <c r="A1006" s="277" t="s">
        <v>434</v>
      </c>
      <c r="B1006" s="277"/>
      <c r="C1006" s="277"/>
      <c r="D1006" s="277"/>
      <c r="E1006" s="277"/>
      <c r="F1006" s="277"/>
      <c r="G1006" s="277"/>
      <c r="H1006" s="277"/>
      <c r="I1006" s="277"/>
      <c r="J1006" s="277"/>
      <c r="K1006" s="277"/>
      <c r="L1006" s="277"/>
    </row>
    <row r="1007" spans="1:12" ht="21.95" customHeight="1" x14ac:dyDescent="0.25">
      <c r="A1007" s="1"/>
      <c r="B1007" s="1"/>
    </row>
    <row r="1008" spans="1:12" ht="21.95" customHeight="1" thickBot="1" x14ac:dyDescent="0.25">
      <c r="A1008" s="10" t="s">
        <v>0</v>
      </c>
      <c r="B1008" s="278" t="s">
        <v>91</v>
      </c>
      <c r="C1008" s="278"/>
      <c r="D1008" s="278"/>
      <c r="E1008" s="278"/>
      <c r="F1008" s="278"/>
      <c r="G1008" s="278"/>
      <c r="H1008" s="278"/>
      <c r="I1008" s="278"/>
      <c r="J1008" s="278"/>
      <c r="K1008" s="278"/>
      <c r="L1008" s="278"/>
    </row>
    <row r="1009" spans="1:12" ht="21.95" customHeight="1" thickTop="1" x14ac:dyDescent="0.25">
      <c r="A1009" s="1"/>
      <c r="B1009" s="11" t="s">
        <v>3</v>
      </c>
      <c r="C1009" s="12" t="s">
        <v>4</v>
      </c>
      <c r="D1009" s="13"/>
      <c r="E1009" s="13"/>
      <c r="F1009" s="13"/>
      <c r="G1009" s="13"/>
      <c r="H1009" s="14"/>
      <c r="I1009" s="15" t="s">
        <v>5</v>
      </c>
      <c r="J1009" s="12" t="s">
        <v>17</v>
      </c>
      <c r="K1009" s="13"/>
      <c r="L1009" s="14"/>
    </row>
    <row r="1010" spans="1:12" ht="21.95" customHeight="1" x14ac:dyDescent="0.2">
      <c r="B1010" s="96">
        <v>1</v>
      </c>
      <c r="C1010" s="140" t="s">
        <v>433</v>
      </c>
      <c r="D1010" s="76"/>
      <c r="E1010" s="150"/>
      <c r="F1010" s="144"/>
      <c r="G1010" s="76"/>
      <c r="H1010" s="79"/>
      <c r="I1010" s="56">
        <v>250000</v>
      </c>
      <c r="L1010" s="17"/>
    </row>
    <row r="1011" spans="1:12" ht="21.95" customHeight="1" x14ac:dyDescent="0.2">
      <c r="B1011" s="96"/>
      <c r="C1011" s="313"/>
      <c r="D1011" s="314"/>
      <c r="E1011" s="314"/>
      <c r="F1011" s="314"/>
      <c r="G1011" s="314"/>
      <c r="H1011" s="315"/>
      <c r="I1011" s="56"/>
      <c r="L1011" s="17"/>
    </row>
    <row r="1012" spans="1:12" ht="21.95" customHeight="1" x14ac:dyDescent="0.25">
      <c r="A1012" s="1"/>
      <c r="B1012" s="39"/>
      <c r="C1012" s="1"/>
      <c r="D1012" s="1"/>
      <c r="E1012" s="1"/>
      <c r="F1012" s="40" t="s">
        <v>5</v>
      </c>
      <c r="G1012" s="40"/>
      <c r="H1012" s="1"/>
      <c r="I1012" s="41">
        <f>I1010</f>
        <v>250000</v>
      </c>
      <c r="J1012" s="1"/>
      <c r="K1012" s="1"/>
      <c r="L1012" s="42"/>
    </row>
    <row r="1013" spans="1:12" ht="21.95" customHeight="1" thickBot="1" x14ac:dyDescent="0.3">
      <c r="A1013" s="1"/>
      <c r="B1013" s="43"/>
      <c r="C1013" s="44"/>
      <c r="D1013" s="44"/>
      <c r="E1013" s="44"/>
      <c r="F1013" s="45"/>
      <c r="G1013" s="45"/>
      <c r="H1013" s="44"/>
      <c r="I1013" s="46"/>
      <c r="J1013" s="44"/>
      <c r="K1013" s="44"/>
      <c r="L1013" s="47"/>
    </row>
    <row r="1014" spans="1:12" ht="21.95" customHeight="1" thickTop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ht="21.95" customHeight="1" x14ac:dyDescent="0.2">
      <c r="A1015" s="10" t="s">
        <v>2</v>
      </c>
      <c r="B1015" s="279" t="s">
        <v>11</v>
      </c>
      <c r="C1015" s="279"/>
      <c r="D1015" s="279"/>
      <c r="E1015" s="279"/>
      <c r="F1015" s="279"/>
      <c r="G1015" s="279"/>
      <c r="H1015" s="279"/>
      <c r="I1015" s="279"/>
      <c r="J1015" s="279"/>
      <c r="K1015" s="279"/>
      <c r="L1015" s="279"/>
    </row>
    <row r="1016" spans="1:12" ht="21.9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ht="21.95" customHeight="1" x14ac:dyDescent="0.2">
      <c r="A1017" s="280" t="s">
        <v>12</v>
      </c>
      <c r="B1017" s="280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</row>
    <row r="1018" spans="1:12" ht="21.9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ht="21.9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ht="21.95" customHeight="1" x14ac:dyDescent="0.25">
      <c r="A1020" s="1"/>
      <c r="B1020" s="1"/>
      <c r="C1020" s="1"/>
      <c r="D1020" s="1"/>
      <c r="E1020" s="1"/>
      <c r="F1020" s="1"/>
      <c r="G1020" s="1"/>
      <c r="H1020" s="4" t="s">
        <v>199</v>
      </c>
      <c r="J1020" s="286" t="s">
        <v>435</v>
      </c>
      <c r="K1020" s="286"/>
      <c r="L1020" s="286"/>
    </row>
    <row r="1021" spans="1:12" ht="21.95" customHeight="1" x14ac:dyDescent="0.25">
      <c r="A1021" s="1"/>
      <c r="B1021" s="1" t="s">
        <v>15</v>
      </c>
      <c r="C1021" s="1"/>
      <c r="D1021" s="1"/>
      <c r="E1021" s="1"/>
      <c r="F1021" s="1"/>
      <c r="G1021" s="1"/>
      <c r="H1021" s="4" t="s">
        <v>13</v>
      </c>
    </row>
    <row r="1022" spans="1:12" ht="21.95" customHeight="1" x14ac:dyDescent="0.25">
      <c r="A1022" s="1"/>
      <c r="B1022" s="1" t="s">
        <v>18</v>
      </c>
      <c r="C1022" s="1"/>
      <c r="D1022" s="1"/>
      <c r="E1022" s="1"/>
      <c r="F1022" s="1"/>
      <c r="G1022" s="1"/>
      <c r="H1022" s="4" t="s">
        <v>14</v>
      </c>
    </row>
    <row r="1023" spans="1:12" ht="21.9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ht="21.9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ht="21.95" customHeight="1" x14ac:dyDescent="0.25">
      <c r="A1025" s="1"/>
      <c r="B1025" s="103"/>
      <c r="C1025" s="103"/>
      <c r="D1025" s="103"/>
      <c r="E1025" s="103"/>
      <c r="F1025" s="103"/>
      <c r="G1025" s="103"/>
      <c r="H1025" s="103"/>
      <c r="I1025" s="103"/>
      <c r="J1025" s="103"/>
      <c r="K1025" s="103"/>
      <c r="L1025" s="1"/>
    </row>
    <row r="1026" spans="1:12" ht="21.95" customHeight="1" x14ac:dyDescent="0.25">
      <c r="A1026" s="1"/>
      <c r="K1026" s="103"/>
      <c r="L1026" s="1"/>
    </row>
    <row r="1027" spans="1:12" ht="21.95" customHeight="1" x14ac:dyDescent="0.25">
      <c r="A1027" s="1"/>
      <c r="B1027" s="95" t="s">
        <v>77</v>
      </c>
      <c r="H1027" s="95" t="s">
        <v>77</v>
      </c>
      <c r="I1027" s="95"/>
      <c r="J1027" s="92"/>
      <c r="K1027" s="103"/>
      <c r="L1027" s="1"/>
    </row>
    <row r="1028" spans="1:12" ht="21.95" customHeight="1" x14ac:dyDescent="0.25">
      <c r="A1028" s="1"/>
      <c r="B1028" s="99" t="s">
        <v>27</v>
      </c>
      <c r="C1028" s="57"/>
      <c r="H1028" s="99" t="s">
        <v>27</v>
      </c>
      <c r="K1028" s="103"/>
    </row>
    <row r="1033" spans="1:12" ht="21.95" customHeight="1" x14ac:dyDescent="0.25">
      <c r="A1033" s="3" t="s">
        <v>22</v>
      </c>
    </row>
    <row r="1034" spans="1:12" ht="21.95" customHeight="1" x14ac:dyDescent="0.2">
      <c r="A1034" s="122" t="s">
        <v>20</v>
      </c>
    </row>
    <row r="1035" spans="1:12" ht="21.95" customHeight="1" x14ac:dyDescent="0.2">
      <c r="A1035" s="122" t="s">
        <v>21</v>
      </c>
    </row>
    <row r="1039" spans="1:12" ht="21.95" customHeight="1" x14ac:dyDescent="0.3">
      <c r="A1039" s="276" t="s">
        <v>6</v>
      </c>
      <c r="B1039" s="276"/>
      <c r="C1039" s="276"/>
      <c r="D1039" s="276"/>
      <c r="E1039" s="276"/>
      <c r="F1039" s="276"/>
      <c r="G1039" s="276"/>
      <c r="H1039" s="276"/>
      <c r="I1039" s="276"/>
      <c r="J1039" s="276"/>
      <c r="K1039" s="276"/>
      <c r="L1039" s="276"/>
    </row>
    <row r="1040" spans="1:12" ht="21.95" customHeight="1" x14ac:dyDescent="0.3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</row>
    <row r="1041" spans="1:12" ht="21.95" customHeight="1" x14ac:dyDescent="0.3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</row>
    <row r="1042" spans="1:12" ht="21.95" customHeight="1" x14ac:dyDescent="0.25">
      <c r="A1042" s="1"/>
      <c r="B1042" s="1"/>
    </row>
    <row r="1043" spans="1:12" ht="21.95" customHeight="1" x14ac:dyDescent="0.25">
      <c r="A1043" s="1" t="s">
        <v>7</v>
      </c>
      <c r="B1043" s="1"/>
    </row>
    <row r="1044" spans="1:12" ht="21.95" customHeight="1" x14ac:dyDescent="0.25">
      <c r="A1044" s="1"/>
      <c r="B1044" s="1"/>
    </row>
    <row r="1045" spans="1:12" ht="21.95" customHeight="1" x14ac:dyDescent="0.25">
      <c r="A1045" s="1" t="s">
        <v>8</v>
      </c>
      <c r="C1045" s="9" t="s">
        <v>1</v>
      </c>
      <c r="D1045" s="92" t="s">
        <v>96</v>
      </c>
      <c r="E1045" s="76"/>
      <c r="F1045" s="76"/>
      <c r="G1045" s="76"/>
      <c r="H1045" s="76"/>
    </row>
    <row r="1046" spans="1:12" ht="21.95" customHeight="1" x14ac:dyDescent="0.25">
      <c r="A1046" s="1" t="s">
        <v>9</v>
      </c>
      <c r="C1046" s="9" t="s">
        <v>1</v>
      </c>
      <c r="D1046" s="57" t="s">
        <v>200</v>
      </c>
      <c r="E1046" s="76"/>
      <c r="F1046" s="76"/>
      <c r="G1046" s="76"/>
      <c r="H1046" s="76"/>
    </row>
    <row r="1047" spans="1:12" ht="21.95" customHeight="1" x14ac:dyDescent="0.2">
      <c r="A1047" s="50" t="s">
        <v>10</v>
      </c>
      <c r="B1047" s="76"/>
      <c r="C1047" s="91" t="s">
        <v>1</v>
      </c>
      <c r="D1047" s="50" t="s">
        <v>203</v>
      </c>
      <c r="E1047" s="76"/>
      <c r="F1047" s="76"/>
      <c r="G1047" s="76"/>
      <c r="H1047" s="76"/>
      <c r="I1047" s="76"/>
      <c r="J1047" s="76"/>
      <c r="K1047" s="76"/>
      <c r="L1047" s="76"/>
    </row>
    <row r="1048" spans="1:12" ht="21.95" customHeight="1" x14ac:dyDescent="0.25">
      <c r="A1048" s="1"/>
      <c r="B1048" s="1"/>
      <c r="D1048" s="1"/>
    </row>
    <row r="1049" spans="1:12" ht="21.95" customHeight="1" x14ac:dyDescent="0.2">
      <c r="A1049" s="277" t="s">
        <v>444</v>
      </c>
      <c r="B1049" s="277"/>
      <c r="C1049" s="277"/>
      <c r="D1049" s="277"/>
      <c r="E1049" s="277"/>
      <c r="F1049" s="277"/>
      <c r="G1049" s="277"/>
      <c r="H1049" s="277"/>
      <c r="I1049" s="277"/>
      <c r="J1049" s="277"/>
      <c r="K1049" s="277"/>
      <c r="L1049" s="277"/>
    </row>
    <row r="1050" spans="1:12" ht="21.95" customHeight="1" x14ac:dyDescent="0.25">
      <c r="A1050" s="1"/>
      <c r="B1050" s="1"/>
    </row>
    <row r="1051" spans="1:12" ht="21.95" customHeight="1" thickBot="1" x14ac:dyDescent="0.25">
      <c r="A1051" s="10" t="s">
        <v>0</v>
      </c>
      <c r="B1051" s="278" t="s">
        <v>91</v>
      </c>
      <c r="C1051" s="278"/>
      <c r="D1051" s="278"/>
      <c r="E1051" s="278"/>
      <c r="F1051" s="278"/>
      <c r="G1051" s="278"/>
      <c r="H1051" s="278"/>
      <c r="I1051" s="278"/>
      <c r="J1051" s="278"/>
      <c r="K1051" s="278"/>
      <c r="L1051" s="278"/>
    </row>
    <row r="1052" spans="1:12" ht="21.95" customHeight="1" thickTop="1" x14ac:dyDescent="0.25">
      <c r="A1052" s="1"/>
      <c r="B1052" s="11" t="s">
        <v>3</v>
      </c>
      <c r="C1052" s="12" t="s">
        <v>4</v>
      </c>
      <c r="D1052" s="13"/>
      <c r="E1052" s="13"/>
      <c r="F1052" s="13"/>
      <c r="G1052" s="13"/>
      <c r="H1052" s="14"/>
      <c r="I1052" s="15" t="s">
        <v>5</v>
      </c>
      <c r="J1052" s="12" t="s">
        <v>17</v>
      </c>
      <c r="K1052" s="13"/>
      <c r="L1052" s="14"/>
    </row>
    <row r="1053" spans="1:12" ht="21.95" customHeight="1" x14ac:dyDescent="0.2">
      <c r="B1053" s="96">
        <v>1</v>
      </c>
      <c r="C1053" s="140" t="s">
        <v>443</v>
      </c>
      <c r="D1053" s="76"/>
      <c r="E1053" s="150"/>
      <c r="F1053" s="144"/>
      <c r="G1053" s="76"/>
      <c r="H1053" s="79"/>
      <c r="I1053" s="56">
        <v>150000</v>
      </c>
      <c r="L1053" s="17"/>
    </row>
    <row r="1054" spans="1:12" ht="21.95" customHeight="1" x14ac:dyDescent="0.2">
      <c r="B1054" s="96"/>
      <c r="C1054" s="313"/>
      <c r="D1054" s="314"/>
      <c r="E1054" s="314"/>
      <c r="F1054" s="314"/>
      <c r="G1054" s="314"/>
      <c r="H1054" s="315"/>
      <c r="I1054" s="56"/>
      <c r="L1054" s="17"/>
    </row>
    <row r="1055" spans="1:12" ht="21.95" customHeight="1" x14ac:dyDescent="0.25">
      <c r="A1055" s="1"/>
      <c r="B1055" s="39"/>
      <c r="C1055" s="1"/>
      <c r="D1055" s="1"/>
      <c r="E1055" s="1"/>
      <c r="F1055" s="40" t="s">
        <v>5</v>
      </c>
      <c r="G1055" s="40"/>
      <c r="H1055" s="1"/>
      <c r="I1055" s="41">
        <f>I1053</f>
        <v>150000</v>
      </c>
      <c r="J1055" s="1"/>
      <c r="K1055" s="1"/>
      <c r="L1055" s="42"/>
    </row>
    <row r="1056" spans="1:12" ht="21.95" customHeight="1" thickBot="1" x14ac:dyDescent="0.3">
      <c r="A1056" s="1"/>
      <c r="B1056" s="43"/>
      <c r="C1056" s="44"/>
      <c r="D1056" s="44"/>
      <c r="E1056" s="44"/>
      <c r="F1056" s="45"/>
      <c r="G1056" s="45"/>
      <c r="H1056" s="44"/>
      <c r="I1056" s="46"/>
      <c r="J1056" s="44"/>
      <c r="K1056" s="44"/>
      <c r="L1056" s="47"/>
    </row>
    <row r="1057" spans="1:12" ht="21.95" customHeight="1" thickTop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ht="21.95" customHeight="1" x14ac:dyDescent="0.2">
      <c r="A1058" s="10" t="s">
        <v>2</v>
      </c>
      <c r="B1058" s="279" t="s">
        <v>11</v>
      </c>
      <c r="C1058" s="279"/>
      <c r="D1058" s="279"/>
      <c r="E1058" s="279"/>
      <c r="F1058" s="279"/>
      <c r="G1058" s="279"/>
      <c r="H1058" s="279"/>
      <c r="I1058" s="279"/>
      <c r="J1058" s="279"/>
      <c r="K1058" s="279"/>
      <c r="L1058" s="279"/>
    </row>
    <row r="1059" spans="1:12" ht="21.95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s="120" customFormat="1" ht="21.95" customHeight="1" x14ac:dyDescent="0.2">
      <c r="A1060" s="280" t="s">
        <v>12</v>
      </c>
      <c r="B1060" s="280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</row>
    <row r="1061" spans="1:12" ht="21.95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ht="21.95" customHeight="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ht="21.95" customHeight="1" x14ac:dyDescent="0.25">
      <c r="A1063" s="1"/>
      <c r="B1063" s="1"/>
      <c r="C1063" s="1"/>
      <c r="D1063" s="1"/>
      <c r="E1063" s="1"/>
      <c r="F1063" s="1"/>
      <c r="G1063" s="1"/>
      <c r="H1063" s="4" t="s">
        <v>199</v>
      </c>
      <c r="J1063" s="286" t="s">
        <v>435</v>
      </c>
      <c r="K1063" s="286"/>
      <c r="L1063" s="286"/>
    </row>
    <row r="1064" spans="1:12" ht="21.95" customHeight="1" x14ac:dyDescent="0.25">
      <c r="A1064" s="1"/>
      <c r="B1064" s="1" t="s">
        <v>15</v>
      </c>
      <c r="C1064" s="1"/>
      <c r="D1064" s="1"/>
      <c r="E1064" s="1"/>
      <c r="F1064" s="1"/>
      <c r="G1064" s="1"/>
      <c r="H1064" s="4" t="s">
        <v>13</v>
      </c>
    </row>
    <row r="1065" spans="1:12" ht="21.95" customHeight="1" x14ac:dyDescent="0.25">
      <c r="A1065" s="1"/>
      <c r="B1065" s="1" t="s">
        <v>18</v>
      </c>
      <c r="C1065" s="1"/>
      <c r="D1065" s="1"/>
      <c r="E1065" s="1"/>
      <c r="F1065" s="1"/>
      <c r="G1065" s="1"/>
      <c r="H1065" s="4" t="s">
        <v>14</v>
      </c>
    </row>
    <row r="1066" spans="1:12" ht="21.95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ht="21.95" customHeight="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ht="21.95" customHeight="1" x14ac:dyDescent="0.25">
      <c r="A1068" s="1"/>
      <c r="B1068" s="103"/>
      <c r="C1068" s="103"/>
      <c r="D1068" s="103"/>
      <c r="E1068" s="103"/>
      <c r="F1068" s="103"/>
      <c r="G1068" s="103"/>
      <c r="H1068" s="103"/>
      <c r="I1068" s="103"/>
      <c r="J1068" s="103"/>
      <c r="K1068" s="103"/>
      <c r="L1068" s="1"/>
    </row>
    <row r="1069" spans="1:12" ht="21.95" customHeight="1" x14ac:dyDescent="0.25">
      <c r="A1069" s="1"/>
      <c r="K1069" s="103"/>
      <c r="L1069" s="1"/>
    </row>
    <row r="1070" spans="1:12" ht="21.95" customHeight="1" x14ac:dyDescent="0.25">
      <c r="A1070" s="1"/>
      <c r="B1070" s="95" t="s">
        <v>77</v>
      </c>
      <c r="H1070" s="26" t="s">
        <v>96</v>
      </c>
      <c r="I1070" s="95"/>
      <c r="J1070" s="92"/>
      <c r="K1070" s="103"/>
      <c r="L1070" s="1"/>
    </row>
    <row r="1071" spans="1:12" ht="21.95" customHeight="1" x14ac:dyDescent="0.25">
      <c r="A1071" s="1"/>
      <c r="B1071" s="99" t="s">
        <v>27</v>
      </c>
      <c r="C1071" s="57"/>
      <c r="H1071" s="28" t="s">
        <v>100</v>
      </c>
      <c r="K1071" s="103"/>
    </row>
    <row r="1074" spans="1:12" ht="21.95" customHeight="1" x14ac:dyDescent="0.25">
      <c r="A1074" s="3" t="s">
        <v>22</v>
      </c>
    </row>
    <row r="1075" spans="1:12" ht="21.95" customHeight="1" x14ac:dyDescent="0.2">
      <c r="A1075" s="122" t="s">
        <v>20</v>
      </c>
    </row>
    <row r="1076" spans="1:12" ht="21.95" customHeight="1" x14ac:dyDescent="0.2">
      <c r="A1076" s="122" t="s">
        <v>21</v>
      </c>
    </row>
    <row r="1080" spans="1:12" ht="21.95" customHeight="1" x14ac:dyDescent="0.3">
      <c r="A1080" s="276" t="s">
        <v>6</v>
      </c>
      <c r="B1080" s="276"/>
      <c r="C1080" s="276"/>
      <c r="D1080" s="276"/>
      <c r="E1080" s="276"/>
      <c r="F1080" s="276"/>
      <c r="G1080" s="276"/>
      <c r="H1080" s="276"/>
      <c r="I1080" s="276"/>
      <c r="J1080" s="276"/>
      <c r="K1080" s="276"/>
      <c r="L1080" s="276"/>
    </row>
    <row r="1081" spans="1:12" ht="21.95" customHeight="1" x14ac:dyDescent="0.3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</row>
    <row r="1082" spans="1:12" ht="21.95" customHeight="1" x14ac:dyDescent="0.3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</row>
    <row r="1083" spans="1:12" ht="21.95" customHeight="1" x14ac:dyDescent="0.25">
      <c r="A1083" s="1"/>
      <c r="B1083" s="1"/>
    </row>
    <row r="1084" spans="1:12" ht="21.95" customHeight="1" x14ac:dyDescent="0.25">
      <c r="A1084" s="1" t="s">
        <v>7</v>
      </c>
      <c r="B1084" s="1"/>
    </row>
    <row r="1085" spans="1:12" ht="21.95" customHeight="1" x14ac:dyDescent="0.25">
      <c r="A1085" s="1"/>
      <c r="B1085" s="1"/>
    </row>
    <row r="1086" spans="1:12" ht="21.95" customHeight="1" x14ac:dyDescent="0.25">
      <c r="A1086" s="1" t="s">
        <v>8</v>
      </c>
      <c r="C1086" s="9" t="s">
        <v>1</v>
      </c>
      <c r="D1086" s="92" t="s">
        <v>436</v>
      </c>
      <c r="E1086" s="76"/>
      <c r="F1086" s="76"/>
      <c r="G1086" s="76"/>
      <c r="H1086" s="76"/>
    </row>
    <row r="1087" spans="1:12" ht="21.95" customHeight="1" x14ac:dyDescent="0.25">
      <c r="A1087" s="1" t="s">
        <v>9</v>
      </c>
      <c r="C1087" s="9" t="s">
        <v>1</v>
      </c>
      <c r="D1087" s="146" t="s">
        <v>437</v>
      </c>
      <c r="E1087" s="76"/>
      <c r="F1087" s="76"/>
      <c r="G1087" s="76"/>
      <c r="H1087" s="76"/>
    </row>
    <row r="1088" spans="1:12" ht="21.95" customHeight="1" x14ac:dyDescent="0.2">
      <c r="A1088" s="50" t="s">
        <v>10</v>
      </c>
      <c r="B1088" s="76"/>
      <c r="C1088" s="91" t="s">
        <v>1</v>
      </c>
      <c r="D1088" s="4" t="s">
        <v>438</v>
      </c>
      <c r="E1088" s="76"/>
      <c r="F1088" s="76"/>
      <c r="G1088" s="76"/>
      <c r="H1088" s="76"/>
      <c r="I1088" s="76"/>
      <c r="J1088" s="76"/>
      <c r="K1088" s="76"/>
      <c r="L1088" s="76"/>
    </row>
    <row r="1089" spans="1:12" ht="21.95" customHeight="1" x14ac:dyDescent="0.25">
      <c r="A1089" s="1"/>
      <c r="B1089" s="1"/>
      <c r="D1089" s="1"/>
    </row>
    <row r="1090" spans="1:12" ht="21.95" customHeight="1" x14ac:dyDescent="0.2">
      <c r="A1090" s="277" t="s">
        <v>442</v>
      </c>
      <c r="B1090" s="277"/>
      <c r="C1090" s="277"/>
      <c r="D1090" s="277"/>
      <c r="E1090" s="277"/>
      <c r="F1090" s="277"/>
      <c r="G1090" s="277"/>
      <c r="H1090" s="277"/>
      <c r="I1090" s="277"/>
      <c r="J1090" s="277"/>
      <c r="K1090" s="277"/>
      <c r="L1090" s="277"/>
    </row>
    <row r="1091" spans="1:12" ht="21.95" customHeight="1" x14ac:dyDescent="0.25">
      <c r="A1091" s="1"/>
      <c r="B1091" s="1"/>
    </row>
    <row r="1092" spans="1:12" ht="21.95" customHeight="1" thickBot="1" x14ac:dyDescent="0.25">
      <c r="A1092" s="10" t="s">
        <v>0</v>
      </c>
      <c r="B1092" s="278" t="s">
        <v>91</v>
      </c>
      <c r="C1092" s="278"/>
      <c r="D1092" s="278"/>
      <c r="E1092" s="278"/>
      <c r="F1092" s="278"/>
      <c r="G1092" s="278"/>
      <c r="H1092" s="278"/>
      <c r="I1092" s="278"/>
      <c r="J1092" s="278"/>
      <c r="K1092" s="278"/>
      <c r="L1092" s="278"/>
    </row>
    <row r="1093" spans="1:12" ht="21.95" customHeight="1" thickTop="1" x14ac:dyDescent="0.25">
      <c r="A1093" s="1"/>
      <c r="B1093" s="11" t="s">
        <v>3</v>
      </c>
      <c r="C1093" s="12" t="s">
        <v>4</v>
      </c>
      <c r="D1093" s="13"/>
      <c r="E1093" s="13"/>
      <c r="F1093" s="13"/>
      <c r="G1093" s="13"/>
      <c r="H1093" s="14"/>
      <c r="I1093" s="15" t="s">
        <v>5</v>
      </c>
      <c r="J1093" s="12" t="s">
        <v>17</v>
      </c>
      <c r="K1093" s="13"/>
      <c r="L1093" s="14"/>
    </row>
    <row r="1094" spans="1:12" ht="21.95" customHeight="1" x14ac:dyDescent="0.2">
      <c r="B1094" s="96">
        <v>1</v>
      </c>
      <c r="C1094" s="140" t="s">
        <v>439</v>
      </c>
      <c r="D1094" s="76"/>
      <c r="E1094" s="150"/>
      <c r="F1094" s="144"/>
      <c r="G1094" s="76"/>
      <c r="H1094" s="79"/>
      <c r="I1094" s="56">
        <v>150000</v>
      </c>
      <c r="L1094" s="17"/>
    </row>
    <row r="1095" spans="1:12" ht="21.95" customHeight="1" x14ac:dyDescent="0.2">
      <c r="B1095" s="96"/>
      <c r="C1095" s="313"/>
      <c r="D1095" s="314"/>
      <c r="E1095" s="314"/>
      <c r="F1095" s="314"/>
      <c r="G1095" s="314"/>
      <c r="H1095" s="315"/>
      <c r="I1095" s="56"/>
      <c r="L1095" s="17"/>
    </row>
    <row r="1096" spans="1:12" ht="21.95" customHeight="1" x14ac:dyDescent="0.25">
      <c r="A1096" s="1"/>
      <c r="B1096" s="39"/>
      <c r="C1096" s="1"/>
      <c r="D1096" s="1"/>
      <c r="E1096" s="1"/>
      <c r="F1096" s="40" t="s">
        <v>5</v>
      </c>
      <c r="G1096" s="40"/>
      <c r="H1096" s="1"/>
      <c r="I1096" s="41">
        <f>I1094</f>
        <v>150000</v>
      </c>
      <c r="J1096" s="1"/>
      <c r="K1096" s="1"/>
      <c r="L1096" s="42"/>
    </row>
    <row r="1097" spans="1:12" ht="21.95" customHeight="1" thickBot="1" x14ac:dyDescent="0.3">
      <c r="A1097" s="1"/>
      <c r="B1097" s="43"/>
      <c r="C1097" s="44"/>
      <c r="D1097" s="44"/>
      <c r="E1097" s="44"/>
      <c r="F1097" s="45"/>
      <c r="G1097" s="45"/>
      <c r="H1097" s="44"/>
      <c r="I1097" s="46"/>
      <c r="J1097" s="44"/>
      <c r="K1097" s="44"/>
      <c r="L1097" s="47"/>
    </row>
    <row r="1098" spans="1:12" ht="21.95" customHeight="1" thickTop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ht="21.95" customHeight="1" x14ac:dyDescent="0.2">
      <c r="A1099" s="10" t="s">
        <v>2</v>
      </c>
      <c r="B1099" s="279" t="s">
        <v>11</v>
      </c>
      <c r="C1099" s="279"/>
      <c r="D1099" s="279"/>
      <c r="E1099" s="279"/>
      <c r="F1099" s="279"/>
      <c r="G1099" s="279"/>
      <c r="H1099" s="279"/>
      <c r="I1099" s="279"/>
      <c r="J1099" s="279"/>
      <c r="K1099" s="279"/>
      <c r="L1099" s="279"/>
    </row>
    <row r="1100" spans="1:12" ht="21.95" customHeight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ht="21.95" customHeight="1" x14ac:dyDescent="0.2">
      <c r="A1101" s="280" t="s">
        <v>12</v>
      </c>
      <c r="B1101" s="280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</row>
    <row r="1102" spans="1:12" ht="21.95" customHeight="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ht="21.95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ht="21.95" customHeight="1" x14ac:dyDescent="0.25">
      <c r="A1104" s="1"/>
      <c r="B1104" s="1"/>
      <c r="C1104" s="1"/>
      <c r="D1104" s="1"/>
      <c r="E1104" s="1"/>
      <c r="F1104" s="1"/>
      <c r="G1104" s="1"/>
      <c r="H1104" s="4" t="s">
        <v>199</v>
      </c>
      <c r="J1104" s="286" t="s">
        <v>441</v>
      </c>
      <c r="K1104" s="286"/>
      <c r="L1104" s="286"/>
    </row>
    <row r="1105" spans="1:12" ht="21.95" customHeight="1" x14ac:dyDescent="0.25">
      <c r="A1105" s="1"/>
      <c r="B1105" s="1" t="s">
        <v>15</v>
      </c>
      <c r="C1105" s="1"/>
      <c r="D1105" s="1"/>
      <c r="E1105" s="1"/>
      <c r="F1105" s="1"/>
      <c r="G1105" s="1"/>
      <c r="H1105" s="4" t="s">
        <v>13</v>
      </c>
    </row>
    <row r="1106" spans="1:12" ht="21.95" customHeight="1" x14ac:dyDescent="0.25">
      <c r="A1106" s="1"/>
      <c r="B1106" s="1" t="s">
        <v>18</v>
      </c>
      <c r="C1106" s="1"/>
      <c r="D1106" s="1"/>
      <c r="E1106" s="1"/>
      <c r="F1106" s="1"/>
      <c r="G1106" s="1"/>
      <c r="H1106" s="4" t="s">
        <v>14</v>
      </c>
    </row>
    <row r="1107" spans="1:12" ht="21.95" customHeight="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ht="21.95" customHeight="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ht="21.95" customHeight="1" x14ac:dyDescent="0.25">
      <c r="A1109" s="1"/>
      <c r="B1109" s="103"/>
      <c r="C1109" s="103"/>
      <c r="D1109" s="103"/>
      <c r="E1109" s="103"/>
      <c r="F1109" s="103"/>
      <c r="G1109" s="103"/>
      <c r="H1109" s="103"/>
      <c r="I1109" s="103"/>
      <c r="J1109" s="103"/>
      <c r="K1109" s="103"/>
      <c r="L1109" s="1"/>
    </row>
    <row r="1110" spans="1:12" ht="21.95" customHeight="1" x14ac:dyDescent="0.25">
      <c r="A1110" s="1"/>
      <c r="K1110" s="103"/>
      <c r="L1110" s="1"/>
    </row>
    <row r="1111" spans="1:12" ht="21.95" customHeight="1" x14ac:dyDescent="0.25">
      <c r="A1111" s="1"/>
      <c r="B1111" s="95" t="s">
        <v>77</v>
      </c>
      <c r="H1111" s="95" t="str">
        <f>D1086</f>
        <v>Falih Al Asqolani, S.T., M.Eng</v>
      </c>
      <c r="I1111" s="95"/>
      <c r="J1111" s="92"/>
      <c r="K1111" s="103"/>
      <c r="L1111" s="1"/>
    </row>
    <row r="1112" spans="1:12" ht="21.95" customHeight="1" x14ac:dyDescent="0.25">
      <c r="A1112" s="1"/>
      <c r="B1112" s="99" t="s">
        <v>27</v>
      </c>
      <c r="C1112" s="57"/>
      <c r="H1112" s="99" t="s">
        <v>440</v>
      </c>
      <c r="K1112" s="103"/>
    </row>
    <row r="1126" spans="1:12" ht="21.95" customHeight="1" x14ac:dyDescent="0.25">
      <c r="A1126" s="3" t="s">
        <v>22</v>
      </c>
    </row>
    <row r="1127" spans="1:12" ht="21.95" customHeight="1" x14ac:dyDescent="0.2">
      <c r="A1127" s="122" t="s">
        <v>20</v>
      </c>
    </row>
    <row r="1128" spans="1:12" ht="21.95" customHeight="1" x14ac:dyDescent="0.2">
      <c r="A1128" s="122" t="s">
        <v>21</v>
      </c>
    </row>
    <row r="1132" spans="1:12" ht="21.95" customHeight="1" x14ac:dyDescent="0.3">
      <c r="A1132" s="276" t="s">
        <v>6</v>
      </c>
      <c r="B1132" s="276"/>
      <c r="C1132" s="276"/>
      <c r="D1132" s="276"/>
      <c r="E1132" s="276"/>
      <c r="F1132" s="276"/>
      <c r="G1132" s="276"/>
      <c r="H1132" s="276"/>
      <c r="I1132" s="276"/>
      <c r="J1132" s="276"/>
      <c r="K1132" s="276"/>
      <c r="L1132" s="276"/>
    </row>
    <row r="1133" spans="1:12" ht="21.95" customHeight="1" x14ac:dyDescent="0.3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</row>
    <row r="1134" spans="1:12" ht="21.95" customHeight="1" x14ac:dyDescent="0.3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</row>
    <row r="1135" spans="1:12" ht="21.95" customHeight="1" x14ac:dyDescent="0.25">
      <c r="A1135" s="1"/>
      <c r="B1135" s="1"/>
    </row>
    <row r="1136" spans="1:12" ht="21.95" customHeight="1" x14ac:dyDescent="0.25">
      <c r="A1136" s="1" t="s">
        <v>7</v>
      </c>
      <c r="B1136" s="1"/>
    </row>
    <row r="1137" spans="1:12" ht="21.95" customHeight="1" x14ac:dyDescent="0.25">
      <c r="A1137" s="1"/>
      <c r="B1137" s="1"/>
    </row>
    <row r="1138" spans="1:12" ht="21.95" customHeight="1" x14ac:dyDescent="0.25">
      <c r="A1138" s="1" t="s">
        <v>8</v>
      </c>
      <c r="C1138" s="9" t="s">
        <v>1</v>
      </c>
      <c r="D1138" s="92" t="s">
        <v>96</v>
      </c>
      <c r="E1138" s="76"/>
      <c r="F1138" s="76"/>
      <c r="G1138" s="76"/>
      <c r="H1138" s="76"/>
    </row>
    <row r="1139" spans="1:12" ht="21.95" customHeight="1" x14ac:dyDescent="0.25">
      <c r="A1139" s="1" t="s">
        <v>9</v>
      </c>
      <c r="C1139" s="9" t="s">
        <v>1</v>
      </c>
      <c r="D1139" s="57" t="s">
        <v>200</v>
      </c>
      <c r="E1139" s="76"/>
      <c r="F1139" s="76"/>
      <c r="G1139" s="76"/>
      <c r="H1139" s="76"/>
    </row>
    <row r="1140" spans="1:12" ht="21.95" customHeight="1" x14ac:dyDescent="0.2">
      <c r="A1140" s="50" t="s">
        <v>10</v>
      </c>
      <c r="B1140" s="76"/>
      <c r="C1140" s="91" t="s">
        <v>1</v>
      </c>
      <c r="D1140" s="50" t="s">
        <v>203</v>
      </c>
      <c r="E1140" s="76"/>
      <c r="F1140" s="76"/>
      <c r="G1140" s="76"/>
      <c r="H1140" s="76"/>
      <c r="I1140" s="76"/>
      <c r="J1140" s="76"/>
      <c r="K1140" s="76"/>
      <c r="L1140" s="76"/>
    </row>
    <row r="1141" spans="1:12" ht="21.95" customHeight="1" x14ac:dyDescent="0.25">
      <c r="A1141" s="1"/>
      <c r="B1141" s="1"/>
      <c r="D1141" s="1"/>
    </row>
    <row r="1142" spans="1:12" ht="21.95" customHeight="1" x14ac:dyDescent="0.2">
      <c r="A1142" s="277" t="s">
        <v>447</v>
      </c>
      <c r="B1142" s="277"/>
      <c r="C1142" s="277"/>
      <c r="D1142" s="277"/>
      <c r="E1142" s="277"/>
      <c r="F1142" s="277"/>
      <c r="G1142" s="277"/>
      <c r="H1142" s="277"/>
      <c r="I1142" s="277"/>
      <c r="J1142" s="277"/>
      <c r="K1142" s="277"/>
      <c r="L1142" s="277"/>
    </row>
    <row r="1143" spans="1:12" ht="21.95" customHeight="1" x14ac:dyDescent="0.25">
      <c r="A1143" s="1"/>
      <c r="B1143" s="1"/>
    </row>
    <row r="1144" spans="1:12" ht="21.95" customHeight="1" thickBot="1" x14ac:dyDescent="0.25">
      <c r="A1144" s="10" t="s">
        <v>0</v>
      </c>
      <c r="B1144" s="278" t="s">
        <v>91</v>
      </c>
      <c r="C1144" s="278"/>
      <c r="D1144" s="278"/>
      <c r="E1144" s="278"/>
      <c r="F1144" s="278"/>
      <c r="G1144" s="278"/>
      <c r="H1144" s="278"/>
      <c r="I1144" s="278"/>
      <c r="J1144" s="278"/>
      <c r="K1144" s="278"/>
      <c r="L1144" s="278"/>
    </row>
    <row r="1145" spans="1:12" ht="21.95" customHeight="1" thickTop="1" x14ac:dyDescent="0.25">
      <c r="A1145" s="1"/>
      <c r="B1145" s="11" t="s">
        <v>3</v>
      </c>
      <c r="C1145" s="12" t="s">
        <v>4</v>
      </c>
      <c r="D1145" s="13"/>
      <c r="E1145" s="13"/>
      <c r="F1145" s="13"/>
      <c r="G1145" s="13"/>
      <c r="H1145" s="14"/>
      <c r="I1145" s="15" t="s">
        <v>5</v>
      </c>
      <c r="J1145" s="12" t="s">
        <v>17</v>
      </c>
      <c r="K1145" s="13"/>
      <c r="L1145" s="14"/>
    </row>
    <row r="1146" spans="1:12" ht="21.95" customHeight="1" x14ac:dyDescent="0.2">
      <c r="B1146" s="96">
        <v>1</v>
      </c>
      <c r="C1146" s="140" t="s">
        <v>443</v>
      </c>
      <c r="D1146" s="76"/>
      <c r="E1146" s="150"/>
      <c r="F1146" s="144"/>
      <c r="G1146" s="76"/>
      <c r="H1146" s="79"/>
      <c r="I1146" s="56">
        <v>150000</v>
      </c>
      <c r="J1146" s="76" t="s">
        <v>204</v>
      </c>
      <c r="L1146" s="17"/>
    </row>
    <row r="1147" spans="1:12" ht="21.95" customHeight="1" x14ac:dyDescent="0.2">
      <c r="B1147" s="96"/>
      <c r="C1147" s="313"/>
      <c r="D1147" s="314"/>
      <c r="E1147" s="314"/>
      <c r="F1147" s="314"/>
      <c r="G1147" s="314"/>
      <c r="H1147" s="315"/>
      <c r="I1147" s="56"/>
      <c r="L1147" s="17"/>
    </row>
    <row r="1148" spans="1:12" ht="21.95" customHeight="1" x14ac:dyDescent="0.25">
      <c r="A1148" s="1"/>
      <c r="B1148" s="39"/>
      <c r="C1148" s="1"/>
      <c r="D1148" s="1"/>
      <c r="E1148" s="1"/>
      <c r="F1148" s="40" t="s">
        <v>5</v>
      </c>
      <c r="G1148" s="40"/>
      <c r="H1148" s="1"/>
      <c r="I1148" s="41">
        <f>I1146</f>
        <v>150000</v>
      </c>
      <c r="J1148" s="1"/>
      <c r="K1148" s="1"/>
      <c r="L1148" s="42"/>
    </row>
    <row r="1149" spans="1:12" ht="21.95" customHeight="1" thickBot="1" x14ac:dyDescent="0.3">
      <c r="A1149" s="1"/>
      <c r="B1149" s="43"/>
      <c r="C1149" s="44"/>
      <c r="D1149" s="44"/>
      <c r="E1149" s="44"/>
      <c r="F1149" s="45"/>
      <c r="G1149" s="45"/>
      <c r="H1149" s="44"/>
      <c r="I1149" s="46"/>
      <c r="J1149" s="44"/>
      <c r="K1149" s="44"/>
      <c r="L1149" s="47"/>
    </row>
    <row r="1150" spans="1:12" ht="21.95" customHeight="1" thickTop="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ht="21.95" customHeight="1" x14ac:dyDescent="0.2">
      <c r="A1151" s="10" t="s">
        <v>2</v>
      </c>
      <c r="B1151" s="279" t="s">
        <v>11</v>
      </c>
      <c r="C1151" s="279"/>
      <c r="D1151" s="279"/>
      <c r="E1151" s="279"/>
      <c r="F1151" s="279"/>
      <c r="G1151" s="279"/>
      <c r="H1151" s="279"/>
      <c r="I1151" s="279"/>
      <c r="J1151" s="279"/>
      <c r="K1151" s="279"/>
      <c r="L1151" s="279"/>
    </row>
    <row r="1152" spans="1:12" ht="21.95" customHeight="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 ht="21.95" customHeight="1" x14ac:dyDescent="0.2">
      <c r="A1153" s="280" t="s">
        <v>12</v>
      </c>
      <c r="B1153" s="280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</row>
    <row r="1154" spans="1:12" ht="21.95" customHeight="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ht="21.95" customHeight="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ht="21.95" customHeight="1" x14ac:dyDescent="0.25">
      <c r="A1156" s="1"/>
      <c r="B1156" s="1"/>
      <c r="C1156" s="1"/>
      <c r="D1156" s="1"/>
      <c r="E1156" s="1"/>
      <c r="F1156" s="1"/>
      <c r="G1156" s="1"/>
      <c r="H1156" s="4" t="s">
        <v>199</v>
      </c>
      <c r="J1156" s="286" t="s">
        <v>445</v>
      </c>
      <c r="K1156" s="286"/>
      <c r="L1156" s="286"/>
    </row>
    <row r="1157" spans="1:12" ht="21.95" customHeight="1" x14ac:dyDescent="0.25">
      <c r="A1157" s="1"/>
      <c r="B1157" s="1" t="s">
        <v>15</v>
      </c>
      <c r="C1157" s="1"/>
      <c r="D1157" s="1"/>
      <c r="E1157" s="1"/>
      <c r="F1157" s="1"/>
      <c r="G1157" s="1"/>
      <c r="H1157" s="4" t="s">
        <v>13</v>
      </c>
    </row>
    <row r="1158" spans="1:12" ht="21.95" customHeight="1" x14ac:dyDescent="0.25">
      <c r="A1158" s="1"/>
      <c r="B1158" s="1" t="s">
        <v>18</v>
      </c>
      <c r="C1158" s="1"/>
      <c r="D1158" s="1"/>
      <c r="E1158" s="1"/>
      <c r="F1158" s="1"/>
      <c r="G1158" s="1"/>
      <c r="H1158" s="4" t="s">
        <v>14</v>
      </c>
    </row>
    <row r="1159" spans="1:12" ht="21.95" customHeight="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 ht="21.95" customHeight="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 ht="21.95" customHeight="1" x14ac:dyDescent="0.25">
      <c r="A1161" s="1"/>
      <c r="B1161" s="103"/>
      <c r="C1161" s="103"/>
      <c r="D1161" s="103"/>
      <c r="E1161" s="103"/>
      <c r="F1161" s="103"/>
      <c r="G1161" s="103"/>
      <c r="H1161" s="103"/>
      <c r="I1161" s="103"/>
      <c r="J1161" s="103"/>
      <c r="K1161" s="103"/>
      <c r="L1161" s="1"/>
    </row>
    <row r="1162" spans="1:12" ht="21.95" customHeight="1" x14ac:dyDescent="0.25">
      <c r="A1162" s="1"/>
      <c r="K1162" s="103"/>
      <c r="L1162" s="1"/>
    </row>
    <row r="1163" spans="1:12" ht="21.95" customHeight="1" x14ac:dyDescent="0.25">
      <c r="A1163" s="1"/>
      <c r="B1163" s="95" t="s">
        <v>77</v>
      </c>
      <c r="H1163" s="26" t="s">
        <v>96</v>
      </c>
      <c r="I1163" s="95"/>
      <c r="J1163" s="92"/>
      <c r="K1163" s="103"/>
      <c r="L1163" s="1"/>
    </row>
    <row r="1164" spans="1:12" ht="21.95" customHeight="1" x14ac:dyDescent="0.25">
      <c r="A1164" s="1"/>
      <c r="B1164" s="99" t="s">
        <v>27</v>
      </c>
      <c r="C1164" s="57"/>
      <c r="H1164" s="28" t="s">
        <v>100</v>
      </c>
      <c r="K1164" s="103"/>
    </row>
    <row r="1167" spans="1:12" ht="21.95" customHeight="1" x14ac:dyDescent="0.25">
      <c r="A1167" s="3" t="s">
        <v>22</v>
      </c>
    </row>
    <row r="1168" spans="1:12" ht="21.95" customHeight="1" x14ac:dyDescent="0.2">
      <c r="A1168" s="122" t="s">
        <v>20</v>
      </c>
    </row>
    <row r="1169" spans="1:12" ht="21.95" customHeight="1" x14ac:dyDescent="0.2">
      <c r="A1169" s="122" t="s">
        <v>21</v>
      </c>
    </row>
    <row r="1173" spans="1:12" ht="21.95" customHeight="1" x14ac:dyDescent="0.3">
      <c r="A1173" s="276" t="s">
        <v>6</v>
      </c>
      <c r="B1173" s="276"/>
      <c r="C1173" s="276"/>
      <c r="D1173" s="276"/>
      <c r="E1173" s="276"/>
      <c r="F1173" s="276"/>
      <c r="G1173" s="276"/>
      <c r="H1173" s="276"/>
      <c r="I1173" s="276"/>
      <c r="J1173" s="276"/>
      <c r="K1173" s="276"/>
      <c r="L1173" s="276"/>
    </row>
    <row r="1174" spans="1:12" ht="21.95" customHeight="1" x14ac:dyDescent="0.3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</row>
    <row r="1175" spans="1:12" ht="21.95" customHeight="1" x14ac:dyDescent="0.3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</row>
    <row r="1176" spans="1:12" ht="21.95" customHeight="1" x14ac:dyDescent="0.25">
      <c r="A1176" s="1"/>
      <c r="B1176" s="1"/>
    </row>
    <row r="1177" spans="1:12" ht="21.95" customHeight="1" x14ac:dyDescent="0.25">
      <c r="A1177" s="1" t="s">
        <v>7</v>
      </c>
      <c r="B1177" s="1"/>
    </row>
    <row r="1178" spans="1:12" ht="21.95" customHeight="1" x14ac:dyDescent="0.25">
      <c r="A1178" s="1"/>
      <c r="B1178" s="1"/>
    </row>
    <row r="1179" spans="1:12" ht="21.95" customHeight="1" x14ac:dyDescent="0.25">
      <c r="A1179" s="1" t="s">
        <v>8</v>
      </c>
      <c r="C1179" s="9" t="s">
        <v>1</v>
      </c>
      <c r="D1179" s="33" t="s">
        <v>555</v>
      </c>
      <c r="E1179" s="76"/>
      <c r="F1179" s="76"/>
      <c r="G1179" s="76"/>
      <c r="H1179" s="76"/>
    </row>
    <row r="1180" spans="1:12" ht="21.95" customHeight="1" x14ac:dyDescent="0.25">
      <c r="A1180" s="1" t="s">
        <v>9</v>
      </c>
      <c r="C1180" s="9" t="s">
        <v>1</v>
      </c>
      <c r="D1180" s="27" t="s">
        <v>236</v>
      </c>
      <c r="E1180" s="76"/>
      <c r="F1180" s="76"/>
      <c r="G1180" s="76"/>
      <c r="H1180" s="76"/>
    </row>
    <row r="1181" spans="1:12" ht="21.95" customHeight="1" x14ac:dyDescent="0.2">
      <c r="A1181" s="50" t="s">
        <v>10</v>
      </c>
      <c r="B1181" s="76"/>
      <c r="C1181" s="91" t="s">
        <v>1</v>
      </c>
      <c r="D1181" s="4" t="s">
        <v>235</v>
      </c>
      <c r="E1181" s="76"/>
      <c r="F1181" s="76"/>
      <c r="G1181" s="76"/>
      <c r="H1181" s="76"/>
      <c r="I1181" s="76"/>
      <c r="J1181" s="76"/>
      <c r="K1181" s="76"/>
      <c r="L1181" s="76"/>
    </row>
    <row r="1182" spans="1:12" ht="21.95" customHeight="1" x14ac:dyDescent="0.25">
      <c r="A1182" s="1"/>
      <c r="B1182" s="1"/>
      <c r="D1182" s="1"/>
    </row>
    <row r="1183" spans="1:12" ht="21.95" customHeight="1" x14ac:dyDescent="0.2">
      <c r="A1183" s="277" t="s">
        <v>447</v>
      </c>
      <c r="B1183" s="277"/>
      <c r="C1183" s="277"/>
      <c r="D1183" s="277"/>
      <c r="E1183" s="277"/>
      <c r="F1183" s="277"/>
      <c r="G1183" s="277"/>
      <c r="H1183" s="277"/>
      <c r="I1183" s="277"/>
      <c r="J1183" s="277"/>
      <c r="K1183" s="277"/>
      <c r="L1183" s="277"/>
    </row>
    <row r="1184" spans="1:12" ht="21.95" customHeight="1" x14ac:dyDescent="0.25">
      <c r="A1184" s="1"/>
      <c r="B1184" s="1"/>
    </row>
    <row r="1185" spans="1:12" ht="21.95" customHeight="1" thickBot="1" x14ac:dyDescent="0.25">
      <c r="A1185" s="10" t="s">
        <v>0</v>
      </c>
      <c r="B1185" s="278" t="s">
        <v>91</v>
      </c>
      <c r="C1185" s="278"/>
      <c r="D1185" s="278"/>
      <c r="E1185" s="278"/>
      <c r="F1185" s="278"/>
      <c r="G1185" s="278"/>
      <c r="H1185" s="278"/>
      <c r="I1185" s="278"/>
      <c r="J1185" s="278"/>
      <c r="K1185" s="278"/>
      <c r="L1185" s="278"/>
    </row>
    <row r="1186" spans="1:12" ht="21.95" customHeight="1" thickTop="1" x14ac:dyDescent="0.25">
      <c r="A1186" s="1"/>
      <c r="B1186" s="11" t="s">
        <v>3</v>
      </c>
      <c r="C1186" s="12" t="s">
        <v>4</v>
      </c>
      <c r="D1186" s="13"/>
      <c r="E1186" s="13"/>
      <c r="F1186" s="13"/>
      <c r="G1186" s="13"/>
      <c r="H1186" s="14"/>
      <c r="I1186" s="15" t="s">
        <v>5</v>
      </c>
      <c r="J1186" s="12" t="s">
        <v>17</v>
      </c>
      <c r="K1186" s="13"/>
      <c r="L1186" s="14"/>
    </row>
    <row r="1187" spans="1:12" ht="21.95" customHeight="1" x14ac:dyDescent="0.2">
      <c r="B1187" s="96">
        <v>1</v>
      </c>
      <c r="C1187" s="140" t="s">
        <v>443</v>
      </c>
      <c r="D1187" s="76"/>
      <c r="E1187" s="150"/>
      <c r="F1187" s="144"/>
      <c r="G1187" s="76"/>
      <c r="H1187" s="79"/>
      <c r="I1187" s="56">
        <v>150000</v>
      </c>
      <c r="J1187" s="76" t="s">
        <v>204</v>
      </c>
      <c r="L1187" s="17"/>
    </row>
    <row r="1188" spans="1:12" ht="21.95" customHeight="1" x14ac:dyDescent="0.2">
      <c r="B1188" s="96"/>
      <c r="C1188" s="313"/>
      <c r="D1188" s="314"/>
      <c r="E1188" s="314"/>
      <c r="F1188" s="314"/>
      <c r="G1188" s="314"/>
      <c r="H1188" s="315"/>
      <c r="I1188" s="56"/>
      <c r="L1188" s="17"/>
    </row>
    <row r="1189" spans="1:12" ht="21.95" customHeight="1" x14ac:dyDescent="0.25">
      <c r="A1189" s="1"/>
      <c r="B1189" s="39"/>
      <c r="C1189" s="1"/>
      <c r="D1189" s="1"/>
      <c r="E1189" s="1"/>
      <c r="F1189" s="40" t="s">
        <v>5</v>
      </c>
      <c r="G1189" s="40"/>
      <c r="H1189" s="1"/>
      <c r="I1189" s="41">
        <f>I1187</f>
        <v>150000</v>
      </c>
      <c r="J1189" s="1"/>
      <c r="K1189" s="1"/>
      <c r="L1189" s="42"/>
    </row>
    <row r="1190" spans="1:12" ht="21.95" customHeight="1" thickBot="1" x14ac:dyDescent="0.3">
      <c r="A1190" s="1"/>
      <c r="B1190" s="43"/>
      <c r="C1190" s="44"/>
      <c r="D1190" s="44"/>
      <c r="E1190" s="44"/>
      <c r="F1190" s="45"/>
      <c r="G1190" s="45"/>
      <c r="H1190" s="44"/>
      <c r="I1190" s="46"/>
      <c r="J1190" s="44"/>
      <c r="K1190" s="44"/>
      <c r="L1190" s="47"/>
    </row>
    <row r="1191" spans="1:12" ht="21.95" customHeight="1" thickTop="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 ht="21.95" customHeight="1" x14ac:dyDescent="0.2">
      <c r="A1192" s="10" t="s">
        <v>2</v>
      </c>
      <c r="B1192" s="279" t="s">
        <v>11</v>
      </c>
      <c r="C1192" s="279"/>
      <c r="D1192" s="279"/>
      <c r="E1192" s="279"/>
      <c r="F1192" s="279"/>
      <c r="G1192" s="279"/>
      <c r="H1192" s="279"/>
      <c r="I1192" s="279"/>
      <c r="J1192" s="279"/>
      <c r="K1192" s="279"/>
      <c r="L1192" s="279"/>
    </row>
    <row r="1193" spans="1:12" ht="21.95" customHeight="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 ht="21.95" customHeight="1" x14ac:dyDescent="0.2">
      <c r="A1194" s="280" t="s">
        <v>12</v>
      </c>
      <c r="B1194" s="280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</row>
    <row r="1195" spans="1:12" ht="21.95" customHeight="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 ht="21.95" customHeight="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 ht="21.95" customHeight="1" x14ac:dyDescent="0.25">
      <c r="A1197" s="1"/>
      <c r="B1197" s="1"/>
      <c r="C1197" s="1"/>
      <c r="D1197" s="1"/>
      <c r="E1197" s="1"/>
      <c r="F1197" s="1"/>
      <c r="G1197" s="1"/>
      <c r="H1197" s="4" t="s">
        <v>199</v>
      </c>
      <c r="J1197" s="286" t="s">
        <v>445</v>
      </c>
      <c r="K1197" s="286"/>
      <c r="L1197" s="286"/>
    </row>
    <row r="1198" spans="1:12" ht="21.95" customHeight="1" x14ac:dyDescent="0.25">
      <c r="A1198" s="1"/>
      <c r="B1198" s="1" t="s">
        <v>15</v>
      </c>
      <c r="C1198" s="1"/>
      <c r="D1198" s="1"/>
      <c r="E1198" s="1"/>
      <c r="F1198" s="1"/>
      <c r="G1198" s="1"/>
      <c r="H1198" s="4" t="s">
        <v>13</v>
      </c>
    </row>
    <row r="1199" spans="1:12" ht="21.95" customHeight="1" x14ac:dyDescent="0.25">
      <c r="A1199" s="1"/>
      <c r="B1199" s="1" t="s">
        <v>18</v>
      </c>
      <c r="C1199" s="1"/>
      <c r="D1199" s="1"/>
      <c r="E1199" s="1"/>
      <c r="F1199" s="1"/>
      <c r="G1199" s="1"/>
      <c r="H1199" s="4" t="s">
        <v>14</v>
      </c>
    </row>
    <row r="1200" spans="1:12" ht="21.95" customHeight="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 s="99" customFormat="1" ht="21.95" customHeight="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 s="99" customFormat="1" ht="21.95" customHeight="1" x14ac:dyDescent="0.25">
      <c r="A1202" s="1"/>
      <c r="B1202" s="103"/>
      <c r="C1202" s="103"/>
      <c r="D1202" s="103"/>
      <c r="E1202" s="103"/>
      <c r="F1202" s="103"/>
      <c r="G1202" s="103"/>
      <c r="H1202" s="103"/>
      <c r="I1202" s="103"/>
      <c r="J1202" s="103"/>
      <c r="K1202" s="103"/>
      <c r="L1202" s="1"/>
    </row>
    <row r="1203" spans="1:12" ht="21.95" customHeight="1" x14ac:dyDescent="0.25">
      <c r="A1203" s="1"/>
      <c r="K1203" s="103"/>
      <c r="L1203" s="1"/>
    </row>
    <row r="1204" spans="1:12" ht="21.95" customHeight="1" x14ac:dyDescent="0.25">
      <c r="A1204" s="1"/>
      <c r="B1204" s="95" t="s">
        <v>77</v>
      </c>
      <c r="H1204" s="26" t="s">
        <v>555</v>
      </c>
      <c r="I1204" s="95"/>
      <c r="J1204" s="92"/>
      <c r="K1204" s="103"/>
      <c r="L1204" s="1"/>
    </row>
    <row r="1205" spans="1:12" ht="21.95" customHeight="1" x14ac:dyDescent="0.25">
      <c r="A1205" s="1"/>
      <c r="B1205" s="99" t="s">
        <v>27</v>
      </c>
      <c r="C1205" s="57"/>
      <c r="H1205" s="28" t="s">
        <v>46</v>
      </c>
      <c r="K1205" s="103"/>
    </row>
    <row r="1209" spans="1:12" ht="21.95" customHeight="1" x14ac:dyDescent="0.25">
      <c r="A1209" s="3" t="s">
        <v>22</v>
      </c>
    </row>
    <row r="1210" spans="1:12" ht="21.95" customHeight="1" x14ac:dyDescent="0.2">
      <c r="A1210" s="122" t="s">
        <v>20</v>
      </c>
    </row>
    <row r="1211" spans="1:12" ht="21.95" customHeight="1" x14ac:dyDescent="0.2">
      <c r="A1211" s="122" t="s">
        <v>21</v>
      </c>
    </row>
    <row r="1215" spans="1:12" ht="21.95" customHeight="1" x14ac:dyDescent="0.3">
      <c r="A1215" s="276" t="s">
        <v>6</v>
      </c>
      <c r="B1215" s="276"/>
      <c r="C1215" s="276"/>
      <c r="D1215" s="276"/>
      <c r="E1215" s="276"/>
      <c r="F1215" s="276"/>
      <c r="G1215" s="276"/>
      <c r="H1215" s="276"/>
      <c r="I1215" s="276"/>
      <c r="J1215" s="276"/>
      <c r="K1215" s="276"/>
      <c r="L1215" s="276"/>
    </row>
    <row r="1216" spans="1:12" ht="21.95" customHeight="1" x14ac:dyDescent="0.3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</row>
    <row r="1217" spans="1:12" ht="21.95" customHeight="1" x14ac:dyDescent="0.3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</row>
    <row r="1218" spans="1:12" ht="21.95" customHeight="1" x14ac:dyDescent="0.25">
      <c r="A1218" s="1"/>
      <c r="B1218" s="1"/>
    </row>
    <row r="1219" spans="1:12" ht="21.95" customHeight="1" x14ac:dyDescent="0.25">
      <c r="A1219" s="1" t="s">
        <v>7</v>
      </c>
      <c r="B1219" s="1"/>
    </row>
    <row r="1220" spans="1:12" ht="21.95" customHeight="1" x14ac:dyDescent="0.25">
      <c r="A1220" s="1"/>
      <c r="B1220" s="1"/>
    </row>
    <row r="1221" spans="1:12" ht="21.95" customHeight="1" x14ac:dyDescent="0.25">
      <c r="A1221" s="1" t="s">
        <v>8</v>
      </c>
      <c r="C1221" s="9" t="s">
        <v>1</v>
      </c>
      <c r="D1221" s="92" t="s">
        <v>77</v>
      </c>
      <c r="E1221" s="76"/>
      <c r="F1221" s="76"/>
      <c r="G1221" s="76"/>
      <c r="H1221" s="76"/>
    </row>
    <row r="1222" spans="1:12" ht="21.95" customHeight="1" x14ac:dyDescent="0.25">
      <c r="A1222" s="1" t="s">
        <v>9</v>
      </c>
      <c r="C1222" s="9" t="s">
        <v>1</v>
      </c>
      <c r="D1222" s="146" t="s">
        <v>201</v>
      </c>
      <c r="E1222" s="76"/>
      <c r="F1222" s="76"/>
      <c r="G1222" s="76"/>
      <c r="H1222" s="76"/>
    </row>
    <row r="1223" spans="1:12" ht="21.95" customHeight="1" x14ac:dyDescent="0.2">
      <c r="A1223" s="50" t="s">
        <v>10</v>
      </c>
      <c r="B1223" s="76"/>
      <c r="C1223" s="91" t="s">
        <v>1</v>
      </c>
      <c r="D1223" s="4" t="s">
        <v>265</v>
      </c>
      <c r="E1223" s="76"/>
      <c r="F1223" s="76"/>
      <c r="G1223" s="76"/>
      <c r="H1223" s="76"/>
      <c r="I1223" s="76"/>
      <c r="J1223" s="76"/>
      <c r="K1223" s="76"/>
      <c r="L1223" s="76"/>
    </row>
    <row r="1224" spans="1:12" ht="21.95" customHeight="1" x14ac:dyDescent="0.25">
      <c r="A1224" s="1"/>
      <c r="B1224" s="1"/>
      <c r="D1224" s="1"/>
    </row>
    <row r="1225" spans="1:12" ht="21.95" customHeight="1" x14ac:dyDescent="0.2">
      <c r="A1225" s="277" t="s">
        <v>447</v>
      </c>
      <c r="B1225" s="277"/>
      <c r="C1225" s="277"/>
      <c r="D1225" s="277"/>
      <c r="E1225" s="277"/>
      <c r="F1225" s="277"/>
      <c r="G1225" s="277"/>
      <c r="H1225" s="277"/>
      <c r="I1225" s="277"/>
      <c r="J1225" s="277"/>
      <c r="K1225" s="277"/>
      <c r="L1225" s="277"/>
    </row>
    <row r="1226" spans="1:12" ht="21.95" customHeight="1" x14ac:dyDescent="0.25">
      <c r="A1226" s="1"/>
      <c r="B1226" s="1"/>
    </row>
    <row r="1227" spans="1:12" ht="21.95" customHeight="1" thickBot="1" x14ac:dyDescent="0.25">
      <c r="A1227" s="10" t="s">
        <v>0</v>
      </c>
      <c r="B1227" s="278" t="s">
        <v>91</v>
      </c>
      <c r="C1227" s="278"/>
      <c r="D1227" s="278"/>
      <c r="E1227" s="278"/>
      <c r="F1227" s="278"/>
      <c r="G1227" s="278"/>
      <c r="H1227" s="278"/>
      <c r="I1227" s="278"/>
      <c r="J1227" s="278"/>
      <c r="K1227" s="278"/>
      <c r="L1227" s="278"/>
    </row>
    <row r="1228" spans="1:12" ht="21.95" customHeight="1" thickTop="1" x14ac:dyDescent="0.25">
      <c r="A1228" s="1"/>
      <c r="B1228" s="11" t="s">
        <v>3</v>
      </c>
      <c r="C1228" s="12" t="s">
        <v>4</v>
      </c>
      <c r="D1228" s="13"/>
      <c r="E1228" s="13"/>
      <c r="F1228" s="13"/>
      <c r="G1228" s="13"/>
      <c r="H1228" s="14"/>
      <c r="I1228" s="15" t="s">
        <v>5</v>
      </c>
      <c r="J1228" s="12" t="s">
        <v>17</v>
      </c>
      <c r="K1228" s="13"/>
      <c r="L1228" s="14"/>
    </row>
    <row r="1229" spans="1:12" ht="21.95" customHeight="1" x14ac:dyDescent="0.2">
      <c r="B1229" s="96">
        <v>1</v>
      </c>
      <c r="C1229" s="140" t="s">
        <v>443</v>
      </c>
      <c r="D1229" s="76"/>
      <c r="E1229" s="150"/>
      <c r="F1229" s="144"/>
      <c r="G1229" s="76"/>
      <c r="H1229" s="79"/>
      <c r="I1229" s="56">
        <v>150000</v>
      </c>
      <c r="J1229" s="76" t="s">
        <v>204</v>
      </c>
      <c r="L1229" s="17"/>
    </row>
    <row r="1230" spans="1:12" ht="21.95" customHeight="1" x14ac:dyDescent="0.2">
      <c r="B1230" s="96"/>
      <c r="C1230" s="313"/>
      <c r="D1230" s="314"/>
      <c r="E1230" s="314"/>
      <c r="F1230" s="314"/>
      <c r="G1230" s="314"/>
      <c r="H1230" s="315"/>
      <c r="I1230" s="56"/>
      <c r="L1230" s="17"/>
    </row>
    <row r="1231" spans="1:12" ht="21.95" customHeight="1" x14ac:dyDescent="0.25">
      <c r="A1231" s="1"/>
      <c r="B1231" s="39"/>
      <c r="C1231" s="1"/>
      <c r="D1231" s="1"/>
      <c r="E1231" s="1"/>
      <c r="F1231" s="40" t="s">
        <v>5</v>
      </c>
      <c r="G1231" s="40"/>
      <c r="H1231" s="1"/>
      <c r="I1231" s="41">
        <f>I1229</f>
        <v>150000</v>
      </c>
      <c r="J1231" s="1"/>
      <c r="K1231" s="1"/>
      <c r="L1231" s="42"/>
    </row>
    <row r="1232" spans="1:12" ht="21.95" customHeight="1" thickBot="1" x14ac:dyDescent="0.3">
      <c r="A1232" s="1"/>
      <c r="B1232" s="43"/>
      <c r="C1232" s="44"/>
      <c r="D1232" s="44"/>
      <c r="E1232" s="44"/>
      <c r="F1232" s="45"/>
      <c r="G1232" s="45"/>
      <c r="H1232" s="44"/>
      <c r="I1232" s="46"/>
      <c r="J1232" s="44"/>
      <c r="K1232" s="44"/>
      <c r="L1232" s="47"/>
    </row>
    <row r="1233" spans="1:12" ht="21.95" customHeight="1" thickTop="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 ht="21.95" customHeight="1" x14ac:dyDescent="0.2">
      <c r="A1234" s="10" t="s">
        <v>2</v>
      </c>
      <c r="B1234" s="279" t="s">
        <v>11</v>
      </c>
      <c r="C1234" s="279"/>
      <c r="D1234" s="279"/>
      <c r="E1234" s="279"/>
      <c r="F1234" s="279"/>
      <c r="G1234" s="279"/>
      <c r="H1234" s="279"/>
      <c r="I1234" s="279"/>
      <c r="J1234" s="279"/>
      <c r="K1234" s="279"/>
      <c r="L1234" s="279"/>
    </row>
    <row r="1235" spans="1:12" ht="21.95" customHeight="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 ht="21.95" customHeight="1" x14ac:dyDescent="0.2">
      <c r="A1236" s="280" t="s">
        <v>12</v>
      </c>
      <c r="B1236" s="280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</row>
    <row r="1237" spans="1:12" ht="21.95" customHeight="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 ht="21.95" customHeight="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 ht="21.95" customHeight="1" x14ac:dyDescent="0.25">
      <c r="A1239" s="1"/>
      <c r="B1239" s="1"/>
      <c r="C1239" s="1"/>
      <c r="D1239" s="1"/>
      <c r="E1239" s="1"/>
      <c r="F1239" s="1"/>
      <c r="G1239" s="1"/>
      <c r="H1239" s="4" t="s">
        <v>199</v>
      </c>
      <c r="J1239" s="286" t="s">
        <v>445</v>
      </c>
      <c r="K1239" s="286"/>
      <c r="L1239" s="286"/>
    </row>
    <row r="1240" spans="1:12" ht="21.95" customHeight="1" x14ac:dyDescent="0.25">
      <c r="A1240" s="1"/>
      <c r="B1240" s="1" t="s">
        <v>15</v>
      </c>
      <c r="C1240" s="1"/>
      <c r="D1240" s="1"/>
      <c r="E1240" s="1"/>
      <c r="F1240" s="1"/>
      <c r="G1240" s="1"/>
      <c r="H1240" s="4" t="s">
        <v>13</v>
      </c>
    </row>
    <row r="1241" spans="1:12" ht="21.95" customHeight="1" x14ac:dyDescent="0.25">
      <c r="A1241" s="1"/>
      <c r="B1241" s="1" t="s">
        <v>18</v>
      </c>
      <c r="C1241" s="1"/>
      <c r="D1241" s="1"/>
      <c r="E1241" s="1"/>
      <c r="F1241" s="1"/>
      <c r="G1241" s="1"/>
      <c r="H1241" s="4" t="s">
        <v>14</v>
      </c>
    </row>
    <row r="1242" spans="1:12" ht="21.95" customHeight="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 ht="21.95" customHeight="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 ht="21.95" customHeight="1" x14ac:dyDescent="0.25">
      <c r="A1244" s="1"/>
      <c r="B1244" s="103"/>
      <c r="C1244" s="103"/>
      <c r="D1244" s="103"/>
      <c r="E1244" s="103"/>
      <c r="F1244" s="103"/>
      <c r="G1244" s="103"/>
      <c r="H1244" s="103"/>
      <c r="I1244" s="103"/>
      <c r="J1244" s="103"/>
      <c r="K1244" s="103"/>
      <c r="L1244" s="1"/>
    </row>
    <row r="1245" spans="1:12" ht="21.95" customHeight="1" x14ac:dyDescent="0.25">
      <c r="A1245" s="1"/>
      <c r="K1245" s="103"/>
      <c r="L1245" s="1"/>
    </row>
    <row r="1246" spans="1:12" ht="21.95" customHeight="1" x14ac:dyDescent="0.25">
      <c r="A1246" s="1"/>
      <c r="B1246" s="95" t="s">
        <v>77</v>
      </c>
      <c r="H1246" s="95" t="s">
        <v>77</v>
      </c>
      <c r="I1246" s="95"/>
      <c r="J1246" s="92"/>
      <c r="K1246" s="103"/>
      <c r="L1246" s="1"/>
    </row>
    <row r="1247" spans="1:12" ht="21.95" customHeight="1" x14ac:dyDescent="0.25">
      <c r="A1247" s="1"/>
      <c r="B1247" s="99" t="s">
        <v>27</v>
      </c>
      <c r="C1247" s="57"/>
      <c r="H1247" s="99" t="s">
        <v>27</v>
      </c>
      <c r="K1247" s="103"/>
    </row>
    <row r="1253" spans="1:12" ht="21.95" customHeight="1" x14ac:dyDescent="0.25">
      <c r="A1253" s="3" t="s">
        <v>22</v>
      </c>
    </row>
    <row r="1254" spans="1:12" ht="21.95" customHeight="1" x14ac:dyDescent="0.2">
      <c r="A1254" s="122" t="s">
        <v>20</v>
      </c>
    </row>
    <row r="1255" spans="1:12" ht="21.95" customHeight="1" x14ac:dyDescent="0.2">
      <c r="A1255" s="122" t="s">
        <v>21</v>
      </c>
    </row>
    <row r="1259" spans="1:12" ht="21.95" customHeight="1" x14ac:dyDescent="0.3">
      <c r="A1259" s="276" t="s">
        <v>6</v>
      </c>
      <c r="B1259" s="276"/>
      <c r="C1259" s="276"/>
      <c r="D1259" s="276"/>
      <c r="E1259" s="276"/>
      <c r="F1259" s="276"/>
      <c r="G1259" s="276"/>
      <c r="H1259" s="276"/>
      <c r="I1259" s="276"/>
      <c r="J1259" s="276"/>
      <c r="K1259" s="276"/>
      <c r="L1259" s="276"/>
    </row>
    <row r="1260" spans="1:12" ht="21.95" customHeight="1" x14ac:dyDescent="0.3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</row>
    <row r="1261" spans="1:12" ht="21.95" customHeight="1" x14ac:dyDescent="0.3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</row>
    <row r="1262" spans="1:12" ht="21.95" customHeight="1" x14ac:dyDescent="0.25">
      <c r="A1262" s="1"/>
      <c r="B1262" s="1"/>
    </row>
    <row r="1263" spans="1:12" ht="21.95" customHeight="1" x14ac:dyDescent="0.25">
      <c r="A1263" s="1" t="s">
        <v>7</v>
      </c>
      <c r="B1263" s="1"/>
    </row>
    <row r="1264" spans="1:12" ht="21.95" customHeight="1" x14ac:dyDescent="0.25">
      <c r="A1264" s="1"/>
      <c r="B1264" s="1"/>
    </row>
    <row r="1265" spans="1:12" ht="21.95" customHeight="1" x14ac:dyDescent="0.25">
      <c r="A1265" s="1" t="s">
        <v>8</v>
      </c>
      <c r="C1265" s="9" t="s">
        <v>1</v>
      </c>
      <c r="D1265" s="33" t="s">
        <v>78</v>
      </c>
      <c r="E1265" s="76"/>
      <c r="F1265" s="76"/>
      <c r="G1265" s="76"/>
      <c r="H1265" s="76"/>
    </row>
    <row r="1266" spans="1:12" ht="21.95" customHeight="1" x14ac:dyDescent="0.25">
      <c r="A1266" s="1" t="s">
        <v>9</v>
      </c>
      <c r="C1266" s="9" t="s">
        <v>1</v>
      </c>
      <c r="D1266" s="27" t="s">
        <v>234</v>
      </c>
      <c r="E1266" s="76"/>
      <c r="F1266" s="76"/>
      <c r="G1266" s="76"/>
      <c r="H1266" s="76"/>
    </row>
    <row r="1267" spans="1:12" ht="21.95" customHeight="1" x14ac:dyDescent="0.2">
      <c r="A1267" s="50" t="s">
        <v>10</v>
      </c>
      <c r="B1267" s="76"/>
      <c r="C1267" s="91" t="s">
        <v>1</v>
      </c>
      <c r="D1267" s="50" t="s">
        <v>235</v>
      </c>
      <c r="E1267" s="76"/>
      <c r="F1267" s="76"/>
      <c r="G1267" s="76"/>
      <c r="H1267" s="76"/>
      <c r="I1267" s="76"/>
      <c r="J1267" s="76"/>
      <c r="K1267" s="76"/>
      <c r="L1267" s="76"/>
    </row>
    <row r="1268" spans="1:12" ht="21.95" customHeight="1" x14ac:dyDescent="0.25">
      <c r="A1268" s="1"/>
      <c r="B1268" s="1"/>
      <c r="D1268" s="1"/>
    </row>
    <row r="1269" spans="1:12" ht="21.95" customHeight="1" x14ac:dyDescent="0.2">
      <c r="A1269" s="277" t="s">
        <v>447</v>
      </c>
      <c r="B1269" s="277"/>
      <c r="C1269" s="277"/>
      <c r="D1269" s="277"/>
      <c r="E1269" s="277"/>
      <c r="F1269" s="277"/>
      <c r="G1269" s="277"/>
      <c r="H1269" s="277"/>
      <c r="I1269" s="277"/>
      <c r="J1269" s="277"/>
      <c r="K1269" s="277"/>
      <c r="L1269" s="277"/>
    </row>
    <row r="1270" spans="1:12" ht="21.95" customHeight="1" x14ac:dyDescent="0.25">
      <c r="A1270" s="1"/>
      <c r="B1270" s="1"/>
    </row>
    <row r="1271" spans="1:12" ht="21.95" customHeight="1" thickBot="1" x14ac:dyDescent="0.25">
      <c r="A1271" s="10" t="s">
        <v>0</v>
      </c>
      <c r="B1271" s="278" t="s">
        <v>91</v>
      </c>
      <c r="C1271" s="278"/>
      <c r="D1271" s="278"/>
      <c r="E1271" s="278"/>
      <c r="F1271" s="278"/>
      <c r="G1271" s="278"/>
      <c r="H1271" s="278"/>
      <c r="I1271" s="278"/>
      <c r="J1271" s="278"/>
      <c r="K1271" s="278"/>
      <c r="L1271" s="278"/>
    </row>
    <row r="1272" spans="1:12" ht="21.95" customHeight="1" thickTop="1" x14ac:dyDescent="0.25">
      <c r="A1272" s="1"/>
      <c r="B1272" s="11" t="s">
        <v>3</v>
      </c>
      <c r="C1272" s="12" t="s">
        <v>4</v>
      </c>
      <c r="D1272" s="13"/>
      <c r="E1272" s="13"/>
      <c r="F1272" s="13"/>
      <c r="G1272" s="13"/>
      <c r="H1272" s="14"/>
      <c r="I1272" s="15" t="s">
        <v>5</v>
      </c>
      <c r="J1272" s="12" t="s">
        <v>17</v>
      </c>
      <c r="K1272" s="13"/>
      <c r="L1272" s="14"/>
    </row>
    <row r="1273" spans="1:12" ht="21.95" customHeight="1" x14ac:dyDescent="0.2">
      <c r="B1273" s="96">
        <v>1</v>
      </c>
      <c r="C1273" s="140" t="s">
        <v>443</v>
      </c>
      <c r="D1273" s="76"/>
      <c r="E1273" s="150"/>
      <c r="F1273" s="144"/>
      <c r="G1273" s="76"/>
      <c r="H1273" s="79"/>
      <c r="I1273" s="56">
        <v>150000</v>
      </c>
      <c r="J1273" s="4" t="s">
        <v>204</v>
      </c>
      <c r="L1273" s="17"/>
    </row>
    <row r="1274" spans="1:12" ht="21.95" customHeight="1" x14ac:dyDescent="0.2">
      <c r="B1274" s="96"/>
      <c r="C1274" s="313"/>
      <c r="D1274" s="314"/>
      <c r="E1274" s="314"/>
      <c r="F1274" s="314"/>
      <c r="G1274" s="314"/>
      <c r="H1274" s="315"/>
      <c r="I1274" s="56"/>
      <c r="L1274" s="17"/>
    </row>
    <row r="1275" spans="1:12" ht="21.95" customHeight="1" x14ac:dyDescent="0.25">
      <c r="A1275" s="1"/>
      <c r="B1275" s="39"/>
      <c r="C1275" s="1"/>
      <c r="D1275" s="1"/>
      <c r="E1275" s="1"/>
      <c r="F1275" s="40" t="s">
        <v>5</v>
      </c>
      <c r="G1275" s="40"/>
      <c r="H1275" s="1"/>
      <c r="I1275" s="41">
        <f>I1273</f>
        <v>150000</v>
      </c>
      <c r="J1275" s="1"/>
      <c r="K1275" s="1"/>
      <c r="L1275" s="42"/>
    </row>
    <row r="1276" spans="1:12" ht="21.95" customHeight="1" thickBot="1" x14ac:dyDescent="0.3">
      <c r="A1276" s="1"/>
      <c r="B1276" s="43"/>
      <c r="C1276" s="44"/>
      <c r="D1276" s="44"/>
      <c r="E1276" s="44"/>
      <c r="F1276" s="45"/>
      <c r="G1276" s="45"/>
      <c r="H1276" s="44"/>
      <c r="I1276" s="46"/>
      <c r="J1276" s="44"/>
      <c r="K1276" s="44"/>
      <c r="L1276" s="47"/>
    </row>
    <row r="1277" spans="1:12" ht="21.95" customHeight="1" thickTop="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ht="21.95" customHeight="1" x14ac:dyDescent="0.2">
      <c r="A1278" s="10" t="s">
        <v>2</v>
      </c>
      <c r="B1278" s="279" t="s">
        <v>11</v>
      </c>
      <c r="C1278" s="279"/>
      <c r="D1278" s="279"/>
      <c r="E1278" s="279"/>
      <c r="F1278" s="279"/>
      <c r="G1278" s="279"/>
      <c r="H1278" s="279"/>
      <c r="I1278" s="279"/>
      <c r="J1278" s="279"/>
      <c r="K1278" s="279"/>
      <c r="L1278" s="279"/>
    </row>
    <row r="1279" spans="1:12" ht="21.95" customHeight="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ht="21.95" customHeight="1" x14ac:dyDescent="0.2">
      <c r="A1280" s="280" t="s">
        <v>12</v>
      </c>
      <c r="B1280" s="280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</row>
    <row r="1281" spans="1:12" ht="21.95" customHeight="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 ht="21.95" customHeight="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 ht="21.95" customHeight="1" x14ac:dyDescent="0.25">
      <c r="A1283" s="1"/>
      <c r="B1283" s="1"/>
      <c r="C1283" s="1"/>
      <c r="D1283" s="1"/>
      <c r="E1283" s="1"/>
      <c r="F1283" s="1"/>
      <c r="G1283" s="1"/>
      <c r="H1283" s="4" t="s">
        <v>199</v>
      </c>
      <c r="J1283" s="286" t="s">
        <v>445</v>
      </c>
      <c r="K1283" s="286"/>
      <c r="L1283" s="286"/>
    </row>
    <row r="1284" spans="1:12" ht="21.95" customHeight="1" x14ac:dyDescent="0.25">
      <c r="A1284" s="1"/>
      <c r="B1284" s="1" t="s">
        <v>15</v>
      </c>
      <c r="C1284" s="1"/>
      <c r="D1284" s="1"/>
      <c r="E1284" s="1"/>
      <c r="F1284" s="1"/>
      <c r="G1284" s="1"/>
      <c r="H1284" s="4" t="s">
        <v>13</v>
      </c>
    </row>
    <row r="1285" spans="1:12" ht="21.95" customHeight="1" x14ac:dyDescent="0.25">
      <c r="A1285" s="1"/>
      <c r="B1285" s="1" t="s">
        <v>18</v>
      </c>
      <c r="C1285" s="1"/>
      <c r="D1285" s="1"/>
      <c r="E1285" s="1"/>
      <c r="F1285" s="1"/>
      <c r="G1285" s="1"/>
      <c r="H1285" s="4" t="s">
        <v>14</v>
      </c>
    </row>
    <row r="1286" spans="1:12" ht="21.95" customHeight="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 ht="21.95" customHeight="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 ht="21.95" customHeight="1" x14ac:dyDescent="0.25">
      <c r="A1288" s="1"/>
      <c r="B1288" s="103"/>
      <c r="C1288" s="103"/>
      <c r="D1288" s="103"/>
      <c r="E1288" s="103"/>
      <c r="F1288" s="103"/>
      <c r="G1288" s="103"/>
      <c r="H1288" s="103"/>
      <c r="I1288" s="103"/>
      <c r="J1288" s="103"/>
      <c r="K1288" s="103"/>
      <c r="L1288" s="1"/>
    </row>
    <row r="1289" spans="1:12" ht="21.95" customHeight="1" x14ac:dyDescent="0.25">
      <c r="A1289" s="1"/>
      <c r="K1289" s="103"/>
      <c r="L1289" s="1"/>
    </row>
    <row r="1290" spans="1:12" ht="21.95" customHeight="1" x14ac:dyDescent="0.25">
      <c r="A1290" s="1"/>
      <c r="B1290" s="95" t="s">
        <v>77</v>
      </c>
      <c r="H1290" s="26" t="s">
        <v>78</v>
      </c>
      <c r="I1290" s="95"/>
      <c r="J1290" s="92"/>
      <c r="K1290" s="103"/>
      <c r="L1290" s="1"/>
    </row>
    <row r="1291" spans="1:12" ht="21.95" customHeight="1" x14ac:dyDescent="0.25">
      <c r="A1291" s="1"/>
      <c r="B1291" s="99" t="s">
        <v>27</v>
      </c>
      <c r="C1291" s="57"/>
      <c r="H1291" s="28" t="s">
        <v>79</v>
      </c>
      <c r="K1291" s="103"/>
    </row>
    <row r="1311" spans="1:1" ht="21.95" customHeight="1" x14ac:dyDescent="0.25">
      <c r="A1311" s="3" t="s">
        <v>22</v>
      </c>
    </row>
    <row r="1312" spans="1:1" ht="21.95" customHeight="1" x14ac:dyDescent="0.2">
      <c r="A1312" s="122" t="s">
        <v>20</v>
      </c>
    </row>
    <row r="1313" spans="1:12" ht="21.95" customHeight="1" x14ac:dyDescent="0.2">
      <c r="A1313" s="122" t="s">
        <v>21</v>
      </c>
    </row>
    <row r="1317" spans="1:12" ht="21.95" customHeight="1" x14ac:dyDescent="0.3">
      <c r="A1317" s="276" t="s">
        <v>6</v>
      </c>
      <c r="B1317" s="276"/>
      <c r="C1317" s="276"/>
      <c r="D1317" s="276"/>
      <c r="E1317" s="276"/>
      <c r="F1317" s="276"/>
      <c r="G1317" s="276"/>
      <c r="H1317" s="276"/>
      <c r="I1317" s="276"/>
      <c r="J1317" s="276"/>
      <c r="K1317" s="276"/>
      <c r="L1317" s="276"/>
    </row>
    <row r="1318" spans="1:12" ht="21.95" customHeight="1" x14ac:dyDescent="0.3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</row>
    <row r="1319" spans="1:12" ht="21.95" customHeight="1" x14ac:dyDescent="0.3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</row>
    <row r="1320" spans="1:12" ht="21.95" customHeight="1" x14ac:dyDescent="0.25">
      <c r="A1320" s="1"/>
      <c r="B1320" s="1"/>
    </row>
    <row r="1321" spans="1:12" ht="21.95" customHeight="1" x14ac:dyDescent="0.25">
      <c r="A1321" s="1" t="s">
        <v>7</v>
      </c>
      <c r="B1321" s="1"/>
    </row>
    <row r="1322" spans="1:12" ht="21.95" customHeight="1" x14ac:dyDescent="0.25">
      <c r="A1322" s="1"/>
      <c r="B1322" s="1"/>
    </row>
    <row r="1323" spans="1:12" ht="21.95" customHeight="1" x14ac:dyDescent="0.25">
      <c r="A1323" s="1" t="s">
        <v>8</v>
      </c>
      <c r="C1323" s="9" t="s">
        <v>1</v>
      </c>
      <c r="D1323" s="92" t="s">
        <v>77</v>
      </c>
      <c r="E1323" s="76"/>
      <c r="F1323" s="76"/>
      <c r="G1323" s="76"/>
      <c r="H1323" s="76"/>
    </row>
    <row r="1324" spans="1:12" ht="21.95" customHeight="1" x14ac:dyDescent="0.25">
      <c r="A1324" s="1" t="s">
        <v>9</v>
      </c>
      <c r="C1324" s="9" t="s">
        <v>1</v>
      </c>
      <c r="D1324" s="146" t="s">
        <v>201</v>
      </c>
      <c r="E1324" s="76"/>
      <c r="F1324" s="76"/>
      <c r="G1324" s="76"/>
      <c r="H1324" s="76"/>
    </row>
    <row r="1325" spans="1:12" ht="21.95" customHeight="1" x14ac:dyDescent="0.2">
      <c r="A1325" s="50" t="s">
        <v>10</v>
      </c>
      <c r="B1325" s="76"/>
      <c r="C1325" s="91" t="s">
        <v>1</v>
      </c>
      <c r="D1325" s="4" t="s">
        <v>265</v>
      </c>
      <c r="E1325" s="76"/>
      <c r="F1325" s="76"/>
      <c r="G1325" s="76"/>
      <c r="H1325" s="76"/>
      <c r="I1325" s="76"/>
      <c r="J1325" s="76"/>
      <c r="K1325" s="76"/>
      <c r="L1325" s="76"/>
    </row>
    <row r="1326" spans="1:12" ht="21.95" customHeight="1" x14ac:dyDescent="0.25">
      <c r="A1326" s="1"/>
      <c r="B1326" s="1"/>
      <c r="D1326" s="1"/>
    </row>
    <row r="1327" spans="1:12" ht="21.95" customHeight="1" x14ac:dyDescent="0.2">
      <c r="A1327" s="277" t="s">
        <v>448</v>
      </c>
      <c r="B1327" s="277"/>
      <c r="C1327" s="277"/>
      <c r="D1327" s="277"/>
      <c r="E1327" s="277"/>
      <c r="F1327" s="277"/>
      <c r="G1327" s="277"/>
      <c r="H1327" s="277"/>
      <c r="I1327" s="277"/>
      <c r="J1327" s="277"/>
      <c r="K1327" s="277"/>
      <c r="L1327" s="277"/>
    </row>
    <row r="1328" spans="1:12" ht="21.95" customHeight="1" x14ac:dyDescent="0.25">
      <c r="A1328" s="1"/>
      <c r="B1328" s="1"/>
    </row>
    <row r="1329" spans="1:12" ht="21.95" customHeight="1" thickBot="1" x14ac:dyDescent="0.25">
      <c r="A1329" s="10" t="s">
        <v>0</v>
      </c>
      <c r="B1329" s="278" t="s">
        <v>91</v>
      </c>
      <c r="C1329" s="278"/>
      <c r="D1329" s="278"/>
      <c r="E1329" s="278"/>
      <c r="F1329" s="278"/>
      <c r="G1329" s="278"/>
      <c r="H1329" s="278"/>
      <c r="I1329" s="278"/>
      <c r="J1329" s="278"/>
      <c r="K1329" s="278"/>
      <c r="L1329" s="278"/>
    </row>
    <row r="1330" spans="1:12" ht="21.95" customHeight="1" thickTop="1" x14ac:dyDescent="0.25">
      <c r="A1330" s="1"/>
      <c r="B1330" s="11" t="s">
        <v>3</v>
      </c>
      <c r="C1330" s="12" t="s">
        <v>4</v>
      </c>
      <c r="D1330" s="13"/>
      <c r="E1330" s="13"/>
      <c r="F1330" s="13"/>
      <c r="G1330" s="13"/>
      <c r="H1330" s="14"/>
      <c r="I1330" s="15" t="s">
        <v>5</v>
      </c>
      <c r="J1330" s="12" t="s">
        <v>17</v>
      </c>
      <c r="K1330" s="13"/>
      <c r="L1330" s="14"/>
    </row>
    <row r="1331" spans="1:12" ht="21.95" customHeight="1" x14ac:dyDescent="0.2">
      <c r="B1331" s="96">
        <v>1</v>
      </c>
      <c r="C1331" s="140" t="s">
        <v>238</v>
      </c>
      <c r="D1331" s="76"/>
      <c r="E1331" s="131">
        <v>1957000</v>
      </c>
      <c r="F1331" s="167" t="s">
        <v>239</v>
      </c>
      <c r="G1331" s="167"/>
      <c r="H1331" s="166"/>
      <c r="I1331" s="56">
        <f>E1331*30/100*3</f>
        <v>1761300</v>
      </c>
      <c r="J1331" s="76" t="s">
        <v>446</v>
      </c>
      <c r="L1331" s="17"/>
    </row>
    <row r="1332" spans="1:12" ht="21.95" customHeight="1" x14ac:dyDescent="0.2">
      <c r="B1332" s="96"/>
      <c r="C1332" s="313"/>
      <c r="D1332" s="314"/>
      <c r="E1332" s="314"/>
      <c r="F1332" s="314"/>
      <c r="G1332" s="314"/>
      <c r="H1332" s="315"/>
      <c r="I1332" s="56"/>
      <c r="L1332" s="17"/>
    </row>
    <row r="1333" spans="1:12" ht="21.95" customHeight="1" x14ac:dyDescent="0.25">
      <c r="A1333" s="1"/>
      <c r="B1333" s="39"/>
      <c r="C1333" s="1"/>
      <c r="D1333" s="1"/>
      <c r="E1333" s="1"/>
      <c r="F1333" s="40" t="s">
        <v>5</v>
      </c>
      <c r="G1333" s="40"/>
      <c r="H1333" s="1"/>
      <c r="I1333" s="41">
        <f>I1331</f>
        <v>1761300</v>
      </c>
      <c r="J1333" s="1"/>
      <c r="K1333" s="1"/>
      <c r="L1333" s="42"/>
    </row>
    <row r="1334" spans="1:12" ht="21.95" customHeight="1" thickBot="1" x14ac:dyDescent="0.3">
      <c r="A1334" s="1"/>
      <c r="B1334" s="43"/>
      <c r="C1334" s="44"/>
      <c r="D1334" s="44"/>
      <c r="E1334" s="44"/>
      <c r="F1334" s="45"/>
      <c r="G1334" s="45"/>
      <c r="H1334" s="44"/>
      <c r="I1334" s="46"/>
      <c r="J1334" s="44"/>
      <c r="K1334" s="44"/>
      <c r="L1334" s="47"/>
    </row>
    <row r="1335" spans="1:12" ht="21.95" customHeight="1" thickTop="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 ht="21.95" customHeight="1" x14ac:dyDescent="0.2">
      <c r="A1336" s="10" t="s">
        <v>2</v>
      </c>
      <c r="B1336" s="279" t="s">
        <v>11</v>
      </c>
      <c r="C1336" s="279"/>
      <c r="D1336" s="279"/>
      <c r="E1336" s="279"/>
      <c r="F1336" s="279"/>
      <c r="G1336" s="279"/>
      <c r="H1336" s="279"/>
      <c r="I1336" s="279"/>
      <c r="J1336" s="279"/>
      <c r="K1336" s="279"/>
      <c r="L1336" s="279"/>
    </row>
    <row r="1337" spans="1:12" ht="21.95" customHeight="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 ht="21.95" customHeight="1" x14ac:dyDescent="0.2">
      <c r="A1338" s="280" t="s">
        <v>12</v>
      </c>
      <c r="B1338" s="280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</row>
    <row r="1339" spans="1:12" ht="21.95" customHeight="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 ht="21.95" customHeight="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 ht="21.95" customHeight="1" x14ac:dyDescent="0.25">
      <c r="A1341" s="1"/>
      <c r="B1341" s="1"/>
      <c r="C1341" s="1"/>
      <c r="D1341" s="1"/>
      <c r="E1341" s="1"/>
      <c r="F1341" s="1"/>
      <c r="G1341" s="1"/>
      <c r="H1341" s="4" t="s">
        <v>199</v>
      </c>
      <c r="J1341" s="286" t="s">
        <v>445</v>
      </c>
      <c r="K1341" s="286"/>
      <c r="L1341" s="286"/>
    </row>
    <row r="1342" spans="1:12" ht="21.95" customHeight="1" x14ac:dyDescent="0.25">
      <c r="A1342" s="1"/>
      <c r="B1342" s="1" t="s">
        <v>15</v>
      </c>
      <c r="C1342" s="1"/>
      <c r="D1342" s="1"/>
      <c r="E1342" s="1"/>
      <c r="F1342" s="1"/>
      <c r="G1342" s="1"/>
      <c r="H1342" s="4" t="s">
        <v>13</v>
      </c>
    </row>
    <row r="1343" spans="1:12" ht="21.95" customHeight="1" x14ac:dyDescent="0.25">
      <c r="A1343" s="1"/>
      <c r="B1343" s="1" t="s">
        <v>18</v>
      </c>
      <c r="C1343" s="1"/>
      <c r="D1343" s="1"/>
      <c r="E1343" s="1"/>
      <c r="F1343" s="1"/>
      <c r="G1343" s="1"/>
      <c r="H1343" s="4" t="s">
        <v>14</v>
      </c>
    </row>
    <row r="1344" spans="1:12" ht="21.95" customHeight="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 ht="21.95" customHeight="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ht="21.95" customHeight="1" x14ac:dyDescent="0.25">
      <c r="A1346" s="1"/>
      <c r="B1346" s="103"/>
      <c r="C1346" s="103"/>
      <c r="D1346" s="103"/>
      <c r="E1346" s="103"/>
      <c r="F1346" s="103"/>
      <c r="G1346" s="103"/>
      <c r="H1346" s="103"/>
      <c r="I1346" s="103"/>
      <c r="J1346" s="103"/>
      <c r="K1346" s="103"/>
      <c r="L1346" s="1"/>
    </row>
    <row r="1347" spans="1:12" ht="21.95" customHeight="1" x14ac:dyDescent="0.25">
      <c r="A1347" s="1"/>
      <c r="K1347" s="103"/>
      <c r="L1347" s="1"/>
    </row>
    <row r="1348" spans="1:12" ht="21.95" customHeight="1" x14ac:dyDescent="0.25">
      <c r="A1348" s="1"/>
      <c r="B1348" s="95" t="s">
        <v>77</v>
      </c>
      <c r="H1348" s="95" t="s">
        <v>77</v>
      </c>
      <c r="I1348" s="95"/>
      <c r="J1348" s="92"/>
      <c r="K1348" s="103"/>
      <c r="L1348" s="1"/>
    </row>
    <row r="1349" spans="1:12" ht="21.95" customHeight="1" x14ac:dyDescent="0.25">
      <c r="A1349" s="1"/>
      <c r="B1349" s="99" t="s">
        <v>27</v>
      </c>
      <c r="C1349" s="57"/>
      <c r="H1349" s="99" t="s">
        <v>27</v>
      </c>
      <c r="K1349" s="103"/>
    </row>
    <row r="1361" spans="1:12" ht="21.95" customHeight="1" x14ac:dyDescent="0.25">
      <c r="A1361" s="3" t="s">
        <v>22</v>
      </c>
    </row>
    <row r="1362" spans="1:12" ht="21.95" customHeight="1" x14ac:dyDescent="0.2">
      <c r="A1362" s="122" t="s">
        <v>20</v>
      </c>
    </row>
    <row r="1363" spans="1:12" ht="21.95" customHeight="1" x14ac:dyDescent="0.2">
      <c r="A1363" s="122" t="s">
        <v>21</v>
      </c>
    </row>
    <row r="1367" spans="1:12" ht="21.95" customHeight="1" x14ac:dyDescent="0.3">
      <c r="A1367" s="276" t="s">
        <v>6</v>
      </c>
      <c r="B1367" s="276"/>
      <c r="C1367" s="276"/>
      <c r="D1367" s="276"/>
      <c r="E1367" s="276"/>
      <c r="F1367" s="276"/>
      <c r="G1367" s="276"/>
      <c r="H1367" s="276"/>
      <c r="I1367" s="276"/>
      <c r="J1367" s="276"/>
      <c r="K1367" s="276"/>
      <c r="L1367" s="276"/>
    </row>
    <row r="1368" spans="1:12" ht="21.95" customHeight="1" x14ac:dyDescent="0.3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</row>
    <row r="1369" spans="1:12" ht="21.95" customHeight="1" x14ac:dyDescent="0.3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</row>
    <row r="1370" spans="1:12" ht="21.95" customHeight="1" x14ac:dyDescent="0.25">
      <c r="A1370" s="1"/>
      <c r="B1370" s="1"/>
    </row>
    <row r="1371" spans="1:12" ht="21.95" customHeight="1" x14ac:dyDescent="0.25">
      <c r="A1371" s="1" t="s">
        <v>7</v>
      </c>
      <c r="B1371" s="1"/>
    </row>
    <row r="1372" spans="1:12" ht="21.95" customHeight="1" x14ac:dyDescent="0.25">
      <c r="A1372" s="1"/>
      <c r="B1372" s="1"/>
    </row>
    <row r="1373" spans="1:12" ht="21.95" customHeight="1" x14ac:dyDescent="0.25">
      <c r="A1373" s="1" t="s">
        <v>8</v>
      </c>
      <c r="C1373" s="9" t="s">
        <v>1</v>
      </c>
      <c r="D1373" s="92" t="s">
        <v>96</v>
      </c>
      <c r="E1373" s="76"/>
      <c r="F1373" s="76"/>
      <c r="G1373" s="76"/>
      <c r="H1373" s="76"/>
    </row>
    <row r="1374" spans="1:12" ht="21.95" customHeight="1" x14ac:dyDescent="0.25">
      <c r="A1374" s="1" t="s">
        <v>9</v>
      </c>
      <c r="C1374" s="9" t="s">
        <v>1</v>
      </c>
      <c r="D1374" s="57" t="s">
        <v>200</v>
      </c>
      <c r="E1374" s="76"/>
      <c r="F1374" s="76"/>
      <c r="G1374" s="76"/>
      <c r="H1374" s="76"/>
    </row>
    <row r="1375" spans="1:12" ht="21.95" customHeight="1" x14ac:dyDescent="0.2">
      <c r="A1375" s="50" t="s">
        <v>10</v>
      </c>
      <c r="B1375" s="76"/>
      <c r="C1375" s="91" t="s">
        <v>1</v>
      </c>
      <c r="D1375" s="50" t="s">
        <v>203</v>
      </c>
      <c r="E1375" s="76"/>
      <c r="F1375" s="76"/>
      <c r="G1375" s="76"/>
      <c r="H1375" s="76"/>
      <c r="I1375" s="76"/>
      <c r="J1375" s="76"/>
      <c r="K1375" s="76"/>
      <c r="L1375" s="76"/>
    </row>
    <row r="1376" spans="1:12" ht="21.95" customHeight="1" x14ac:dyDescent="0.25">
      <c r="A1376" s="1"/>
      <c r="B1376" s="1"/>
      <c r="D1376" s="1"/>
    </row>
    <row r="1377" spans="1:12" ht="21.95" customHeight="1" x14ac:dyDescent="0.2">
      <c r="A1377" s="277" t="s">
        <v>469</v>
      </c>
      <c r="B1377" s="277"/>
      <c r="C1377" s="277"/>
      <c r="D1377" s="277"/>
      <c r="E1377" s="277"/>
      <c r="F1377" s="277"/>
      <c r="G1377" s="277"/>
      <c r="H1377" s="277"/>
      <c r="I1377" s="277"/>
      <c r="J1377" s="277"/>
      <c r="K1377" s="277"/>
      <c r="L1377" s="277"/>
    </row>
    <row r="1378" spans="1:12" ht="21.95" customHeight="1" x14ac:dyDescent="0.25">
      <c r="A1378" s="1"/>
      <c r="B1378" s="1"/>
    </row>
    <row r="1379" spans="1:12" ht="21.95" customHeight="1" thickBot="1" x14ac:dyDescent="0.25">
      <c r="A1379" s="10" t="s">
        <v>0</v>
      </c>
      <c r="B1379" s="278" t="s">
        <v>91</v>
      </c>
      <c r="C1379" s="278"/>
      <c r="D1379" s="278"/>
      <c r="E1379" s="278"/>
      <c r="F1379" s="278"/>
      <c r="G1379" s="278"/>
      <c r="H1379" s="278"/>
      <c r="I1379" s="278"/>
      <c r="J1379" s="278"/>
      <c r="K1379" s="278"/>
      <c r="L1379" s="278"/>
    </row>
    <row r="1380" spans="1:12" ht="21.95" customHeight="1" thickTop="1" x14ac:dyDescent="0.25">
      <c r="A1380" s="1"/>
      <c r="B1380" s="11" t="s">
        <v>3</v>
      </c>
      <c r="C1380" s="12" t="s">
        <v>4</v>
      </c>
      <c r="D1380" s="13"/>
      <c r="E1380" s="13"/>
      <c r="F1380" s="13"/>
      <c r="G1380" s="13"/>
      <c r="H1380" s="14"/>
      <c r="I1380" s="15" t="s">
        <v>5</v>
      </c>
      <c r="J1380" s="12" t="s">
        <v>17</v>
      </c>
      <c r="K1380" s="13"/>
      <c r="L1380" s="14"/>
    </row>
    <row r="1381" spans="1:12" ht="21.95" customHeight="1" x14ac:dyDescent="0.2">
      <c r="B1381" s="96">
        <v>1</v>
      </c>
      <c r="C1381" s="140" t="s">
        <v>470</v>
      </c>
      <c r="D1381" s="76"/>
      <c r="E1381" s="131"/>
      <c r="F1381" s="167"/>
      <c r="G1381" s="167"/>
      <c r="H1381" s="166"/>
      <c r="I1381" s="56">
        <v>250000</v>
      </c>
      <c r="J1381" s="76"/>
      <c r="L1381" s="17"/>
    </row>
    <row r="1382" spans="1:12" ht="21.95" customHeight="1" x14ac:dyDescent="0.2">
      <c r="B1382" s="96"/>
      <c r="C1382" s="313"/>
      <c r="D1382" s="314"/>
      <c r="E1382" s="169"/>
      <c r="F1382" s="316"/>
      <c r="G1382" s="314"/>
      <c r="H1382" s="315"/>
      <c r="I1382" s="56"/>
      <c r="L1382" s="17"/>
    </row>
    <row r="1383" spans="1:12" ht="21.95" customHeight="1" x14ac:dyDescent="0.2">
      <c r="B1383" s="96"/>
      <c r="C1383" s="119"/>
      <c r="D1383" s="119"/>
      <c r="E1383" s="169"/>
      <c r="F1383" s="170"/>
      <c r="G1383" s="168"/>
      <c r="H1383" s="168"/>
      <c r="I1383" s="56"/>
      <c r="L1383" s="17"/>
    </row>
    <row r="1384" spans="1:12" ht="21.95" customHeight="1" x14ac:dyDescent="0.25">
      <c r="A1384" s="1"/>
      <c r="B1384" s="39"/>
      <c r="C1384" s="1"/>
      <c r="D1384" s="1"/>
      <c r="E1384" s="1"/>
      <c r="F1384" s="40" t="s">
        <v>5</v>
      </c>
      <c r="G1384" s="40"/>
      <c r="H1384" s="1"/>
      <c r="I1384" s="41">
        <f>SUM(I1381:I1382)</f>
        <v>250000</v>
      </c>
      <c r="J1384" s="1"/>
      <c r="K1384" s="1"/>
      <c r="L1384" s="42"/>
    </row>
    <row r="1385" spans="1:12" ht="21.95" customHeight="1" thickBot="1" x14ac:dyDescent="0.3">
      <c r="A1385" s="1"/>
      <c r="B1385" s="43"/>
      <c r="C1385" s="44"/>
      <c r="D1385" s="44"/>
      <c r="E1385" s="44"/>
      <c r="F1385" s="45"/>
      <c r="G1385" s="45"/>
      <c r="H1385" s="44"/>
      <c r="I1385" s="46"/>
      <c r="J1385" s="44"/>
      <c r="K1385" s="44"/>
      <c r="L1385" s="47"/>
    </row>
    <row r="1386" spans="1:12" ht="21.95" customHeight="1" thickTop="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 ht="21.95" customHeight="1" x14ac:dyDescent="0.2">
      <c r="A1387" s="10" t="s">
        <v>2</v>
      </c>
      <c r="B1387" s="279" t="s">
        <v>11</v>
      </c>
      <c r="C1387" s="279"/>
      <c r="D1387" s="279"/>
      <c r="E1387" s="279"/>
      <c r="F1387" s="279"/>
      <c r="G1387" s="279"/>
      <c r="H1387" s="279"/>
      <c r="I1387" s="279"/>
      <c r="J1387" s="279"/>
      <c r="K1387" s="279"/>
      <c r="L1387" s="279"/>
    </row>
    <row r="1388" spans="1:12" ht="21.95" customHeight="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 ht="21.95" customHeight="1" x14ac:dyDescent="0.2">
      <c r="A1389" s="280" t="s">
        <v>12</v>
      </c>
      <c r="B1389" s="280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</row>
    <row r="1390" spans="1:12" ht="21.95" customHeight="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 ht="21.95" customHeight="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 ht="21.95" customHeight="1" x14ac:dyDescent="0.25">
      <c r="A1392" s="1"/>
      <c r="B1392" s="1"/>
      <c r="C1392" s="1"/>
      <c r="D1392" s="1"/>
      <c r="E1392" s="1"/>
      <c r="F1392" s="1"/>
      <c r="G1392" s="1"/>
      <c r="H1392" s="4" t="s">
        <v>199</v>
      </c>
      <c r="J1392" s="286" t="s">
        <v>471</v>
      </c>
      <c r="K1392" s="286"/>
      <c r="L1392" s="286"/>
    </row>
    <row r="1393" spans="1:12" ht="21.95" customHeight="1" x14ac:dyDescent="0.25">
      <c r="A1393" s="1"/>
      <c r="B1393" s="1" t="s">
        <v>15</v>
      </c>
      <c r="C1393" s="1"/>
      <c r="D1393" s="1"/>
      <c r="E1393" s="1"/>
      <c r="F1393" s="1"/>
      <c r="G1393" s="1"/>
      <c r="H1393" s="4" t="s">
        <v>13</v>
      </c>
    </row>
    <row r="1394" spans="1:12" ht="21.95" customHeight="1" x14ac:dyDescent="0.25">
      <c r="A1394" s="1"/>
      <c r="B1394" s="1" t="s">
        <v>18</v>
      </c>
      <c r="C1394" s="1"/>
      <c r="D1394" s="1"/>
      <c r="E1394" s="1"/>
      <c r="F1394" s="1"/>
      <c r="G1394" s="1"/>
      <c r="H1394" s="4" t="s">
        <v>14</v>
      </c>
    </row>
    <row r="1395" spans="1:12" ht="21.95" customHeight="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ht="21.95" customHeight="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ht="21.95" customHeight="1" x14ac:dyDescent="0.25">
      <c r="A1397" s="1"/>
      <c r="B1397" s="103"/>
      <c r="C1397" s="103"/>
      <c r="D1397" s="103"/>
      <c r="E1397" s="103"/>
      <c r="F1397" s="103"/>
      <c r="G1397" s="103"/>
      <c r="H1397" s="103"/>
      <c r="I1397" s="103"/>
      <c r="J1397" s="103"/>
      <c r="K1397" s="103"/>
      <c r="L1397" s="1"/>
    </row>
    <row r="1398" spans="1:12" ht="21.95" customHeight="1" x14ac:dyDescent="0.25">
      <c r="A1398" s="1"/>
      <c r="K1398" s="103"/>
      <c r="L1398" s="1"/>
    </row>
    <row r="1399" spans="1:12" ht="21.95" customHeight="1" x14ac:dyDescent="0.25">
      <c r="A1399" s="1"/>
      <c r="B1399" s="95" t="s">
        <v>77</v>
      </c>
      <c r="H1399" s="26" t="s">
        <v>96</v>
      </c>
      <c r="I1399" s="95"/>
      <c r="J1399" s="92"/>
      <c r="K1399" s="103"/>
      <c r="L1399" s="1"/>
    </row>
    <row r="1400" spans="1:12" ht="21.95" customHeight="1" x14ac:dyDescent="0.25">
      <c r="A1400" s="1"/>
      <c r="B1400" s="99" t="s">
        <v>27</v>
      </c>
      <c r="C1400" s="57"/>
      <c r="H1400" s="28" t="s">
        <v>100</v>
      </c>
      <c r="K1400" s="103"/>
    </row>
    <row r="1401" spans="1:12" s="99" customFormat="1" ht="21.95" customHeight="1" x14ac:dyDescent="0.2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</row>
    <row r="1410" spans="1:12" ht="21.95" customHeight="1" x14ac:dyDescent="0.25">
      <c r="A1410" s="3" t="s">
        <v>22</v>
      </c>
    </row>
    <row r="1411" spans="1:12" ht="21.95" customHeight="1" x14ac:dyDescent="0.2">
      <c r="A1411" s="122" t="s">
        <v>20</v>
      </c>
    </row>
    <row r="1412" spans="1:12" ht="21.95" customHeight="1" x14ac:dyDescent="0.2">
      <c r="A1412" s="122" t="s">
        <v>21</v>
      </c>
    </row>
    <row r="1416" spans="1:12" ht="21.95" customHeight="1" x14ac:dyDescent="0.3">
      <c r="A1416" s="276" t="s">
        <v>6</v>
      </c>
      <c r="B1416" s="276"/>
      <c r="C1416" s="276"/>
      <c r="D1416" s="276"/>
      <c r="E1416" s="276"/>
      <c r="F1416" s="276"/>
      <c r="G1416" s="276"/>
      <c r="H1416" s="276"/>
      <c r="I1416" s="276"/>
      <c r="J1416" s="276"/>
      <c r="K1416" s="276"/>
      <c r="L1416" s="276"/>
    </row>
    <row r="1417" spans="1:12" ht="21.95" customHeight="1" x14ac:dyDescent="0.3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</row>
    <row r="1418" spans="1:12" ht="21.95" customHeight="1" x14ac:dyDescent="0.3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</row>
    <row r="1419" spans="1:12" ht="21.95" customHeight="1" x14ac:dyDescent="0.25">
      <c r="A1419" s="1"/>
      <c r="B1419" s="1"/>
    </row>
    <row r="1420" spans="1:12" ht="21.95" customHeight="1" x14ac:dyDescent="0.25">
      <c r="A1420" s="1" t="s">
        <v>7</v>
      </c>
      <c r="B1420" s="1"/>
    </row>
    <row r="1421" spans="1:12" ht="21.95" customHeight="1" x14ac:dyDescent="0.25">
      <c r="A1421" s="1"/>
      <c r="B1421" s="1"/>
    </row>
    <row r="1422" spans="1:12" ht="21.95" customHeight="1" x14ac:dyDescent="0.25">
      <c r="A1422" s="1" t="s">
        <v>8</v>
      </c>
      <c r="C1422" s="9" t="s">
        <v>1</v>
      </c>
      <c r="D1422" s="92" t="s">
        <v>77</v>
      </c>
      <c r="E1422" s="76"/>
      <c r="F1422" s="76"/>
      <c r="G1422" s="76"/>
      <c r="H1422" s="76"/>
    </row>
    <row r="1423" spans="1:12" ht="21.95" customHeight="1" x14ac:dyDescent="0.25">
      <c r="A1423" s="1" t="s">
        <v>9</v>
      </c>
      <c r="C1423" s="9" t="s">
        <v>1</v>
      </c>
      <c r="D1423" s="146" t="s">
        <v>201</v>
      </c>
      <c r="E1423" s="76"/>
      <c r="F1423" s="76"/>
      <c r="G1423" s="76"/>
      <c r="H1423" s="76"/>
    </row>
    <row r="1424" spans="1:12" ht="21.95" customHeight="1" x14ac:dyDescent="0.2">
      <c r="A1424" s="50" t="s">
        <v>10</v>
      </c>
      <c r="B1424" s="76"/>
      <c r="C1424" s="91" t="s">
        <v>1</v>
      </c>
      <c r="D1424" s="4" t="s">
        <v>265</v>
      </c>
      <c r="E1424" s="76"/>
      <c r="F1424" s="76"/>
      <c r="G1424" s="76"/>
      <c r="H1424" s="76"/>
      <c r="I1424" s="76"/>
      <c r="J1424" s="76"/>
      <c r="K1424" s="76"/>
      <c r="L1424" s="76"/>
    </row>
    <row r="1425" spans="1:12" ht="21.95" customHeight="1" x14ac:dyDescent="0.25">
      <c r="A1425" s="1"/>
      <c r="B1425" s="1"/>
      <c r="D1425" s="1"/>
    </row>
    <row r="1426" spans="1:12" ht="21.95" customHeight="1" x14ac:dyDescent="0.2">
      <c r="A1426" s="277" t="s">
        <v>469</v>
      </c>
      <c r="B1426" s="277"/>
      <c r="C1426" s="277"/>
      <c r="D1426" s="277"/>
      <c r="E1426" s="277"/>
      <c r="F1426" s="277"/>
      <c r="G1426" s="277"/>
      <c r="H1426" s="277"/>
      <c r="I1426" s="277"/>
      <c r="J1426" s="277"/>
      <c r="K1426" s="277"/>
      <c r="L1426" s="277"/>
    </row>
    <row r="1427" spans="1:12" ht="21.95" customHeight="1" x14ac:dyDescent="0.25">
      <c r="A1427" s="1"/>
      <c r="B1427" s="1"/>
    </row>
    <row r="1428" spans="1:12" ht="21.95" customHeight="1" thickBot="1" x14ac:dyDescent="0.25">
      <c r="A1428" s="10" t="s">
        <v>0</v>
      </c>
      <c r="B1428" s="278" t="s">
        <v>91</v>
      </c>
      <c r="C1428" s="278"/>
      <c r="D1428" s="278"/>
      <c r="E1428" s="278"/>
      <c r="F1428" s="278"/>
      <c r="G1428" s="278"/>
      <c r="H1428" s="278"/>
      <c r="I1428" s="278"/>
      <c r="J1428" s="278"/>
      <c r="K1428" s="278"/>
      <c r="L1428" s="278"/>
    </row>
    <row r="1429" spans="1:12" ht="21.95" customHeight="1" thickTop="1" x14ac:dyDescent="0.25">
      <c r="A1429" s="1"/>
      <c r="B1429" s="11" t="s">
        <v>3</v>
      </c>
      <c r="C1429" s="12" t="s">
        <v>4</v>
      </c>
      <c r="D1429" s="13"/>
      <c r="E1429" s="13"/>
      <c r="F1429" s="13"/>
      <c r="G1429" s="13"/>
      <c r="H1429" s="14"/>
      <c r="I1429" s="15" t="s">
        <v>5</v>
      </c>
      <c r="J1429" s="12" t="s">
        <v>17</v>
      </c>
      <c r="K1429" s="13"/>
      <c r="L1429" s="14"/>
    </row>
    <row r="1430" spans="1:12" ht="21.95" customHeight="1" x14ac:dyDescent="0.2">
      <c r="B1430" s="96">
        <v>1</v>
      </c>
      <c r="C1430" s="140" t="s">
        <v>470</v>
      </c>
      <c r="D1430" s="76"/>
      <c r="E1430" s="131"/>
      <c r="F1430" s="167"/>
      <c r="G1430" s="167"/>
      <c r="H1430" s="166"/>
      <c r="I1430" s="56">
        <v>250000</v>
      </c>
      <c r="J1430" s="76"/>
      <c r="L1430" s="17"/>
    </row>
    <row r="1431" spans="1:12" ht="21.95" customHeight="1" x14ac:dyDescent="0.2">
      <c r="B1431" s="96"/>
      <c r="C1431" s="313"/>
      <c r="D1431" s="314"/>
      <c r="E1431" s="314"/>
      <c r="F1431" s="314"/>
      <c r="G1431" s="314"/>
      <c r="H1431" s="315"/>
      <c r="I1431" s="56"/>
      <c r="L1431" s="17"/>
    </row>
    <row r="1432" spans="1:12" ht="21.95" customHeight="1" x14ac:dyDescent="0.25">
      <c r="A1432" s="1"/>
      <c r="B1432" s="39"/>
      <c r="C1432" s="1"/>
      <c r="D1432" s="1"/>
      <c r="E1432" s="1"/>
      <c r="F1432" s="40" t="s">
        <v>5</v>
      </c>
      <c r="G1432" s="40"/>
      <c r="H1432" s="1"/>
      <c r="I1432" s="41">
        <f>I1430</f>
        <v>250000</v>
      </c>
      <c r="J1432" s="1"/>
      <c r="K1432" s="1"/>
      <c r="L1432" s="42"/>
    </row>
    <row r="1433" spans="1:12" ht="21.95" customHeight="1" thickBot="1" x14ac:dyDescent="0.3">
      <c r="A1433" s="1"/>
      <c r="B1433" s="43"/>
      <c r="C1433" s="44"/>
      <c r="D1433" s="44"/>
      <c r="E1433" s="44"/>
      <c r="F1433" s="45"/>
      <c r="G1433" s="45"/>
      <c r="H1433" s="44"/>
      <c r="I1433" s="46"/>
      <c r="J1433" s="44"/>
      <c r="K1433" s="44"/>
      <c r="L1433" s="47"/>
    </row>
    <row r="1434" spans="1:12" s="99" customFormat="1" ht="21.95" customHeight="1" thickTop="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s="99" customFormat="1" ht="21.95" customHeight="1" x14ac:dyDescent="0.2">
      <c r="A1435" s="10" t="s">
        <v>2</v>
      </c>
      <c r="B1435" s="279" t="s">
        <v>11</v>
      </c>
      <c r="C1435" s="279"/>
      <c r="D1435" s="279"/>
      <c r="E1435" s="279"/>
      <c r="F1435" s="279"/>
      <c r="G1435" s="279"/>
      <c r="H1435" s="279"/>
      <c r="I1435" s="279"/>
      <c r="J1435" s="279"/>
      <c r="K1435" s="279"/>
      <c r="L1435" s="279"/>
    </row>
    <row r="1436" spans="1:12" ht="21.95" customHeight="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ht="21.95" customHeight="1" x14ac:dyDescent="0.2">
      <c r="A1437" s="280" t="s">
        <v>12</v>
      </c>
      <c r="B1437" s="280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</row>
    <row r="1438" spans="1:12" ht="21.95" customHeight="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ht="21.95" customHeight="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ht="21.95" customHeight="1" x14ac:dyDescent="0.25">
      <c r="A1440" s="1"/>
      <c r="B1440" s="1"/>
      <c r="C1440" s="1"/>
      <c r="D1440" s="1"/>
      <c r="E1440" s="1"/>
      <c r="F1440" s="1"/>
      <c r="G1440" s="1"/>
      <c r="H1440" s="4" t="s">
        <v>199</v>
      </c>
      <c r="J1440" s="286" t="s">
        <v>471</v>
      </c>
      <c r="K1440" s="286"/>
      <c r="L1440" s="286"/>
    </row>
    <row r="1441" spans="1:12" s="76" customFormat="1" ht="21.95" customHeight="1" x14ac:dyDescent="0.25">
      <c r="A1441" s="1"/>
      <c r="B1441" s="1" t="s">
        <v>15</v>
      </c>
      <c r="C1441" s="1"/>
      <c r="D1441" s="1"/>
      <c r="E1441" s="1"/>
      <c r="F1441" s="1"/>
      <c r="G1441" s="1"/>
      <c r="H1441" s="4" t="s">
        <v>13</v>
      </c>
      <c r="I1441" s="4"/>
      <c r="J1441" s="4"/>
      <c r="K1441" s="4"/>
      <c r="L1441" s="4"/>
    </row>
    <row r="1442" spans="1:12" ht="21.95" customHeight="1" x14ac:dyDescent="0.25">
      <c r="A1442" s="1"/>
      <c r="B1442" s="1" t="s">
        <v>18</v>
      </c>
      <c r="C1442" s="1"/>
      <c r="D1442" s="1"/>
      <c r="E1442" s="1"/>
      <c r="F1442" s="1"/>
      <c r="G1442" s="1"/>
      <c r="H1442" s="4" t="s">
        <v>14</v>
      </c>
    </row>
    <row r="1443" spans="1:12" ht="21.95" customHeight="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ht="21.95" customHeight="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ht="21.95" customHeight="1" x14ac:dyDescent="0.25">
      <c r="A1445" s="1"/>
      <c r="B1445" s="103"/>
      <c r="C1445" s="103"/>
      <c r="D1445" s="103"/>
      <c r="E1445" s="103"/>
      <c r="F1445" s="103"/>
      <c r="G1445" s="103"/>
      <c r="H1445" s="103"/>
      <c r="I1445" s="103"/>
      <c r="J1445" s="103"/>
      <c r="K1445" s="103"/>
      <c r="L1445" s="1"/>
    </row>
    <row r="1446" spans="1:12" ht="21.95" customHeight="1" x14ac:dyDescent="0.25">
      <c r="A1446" s="1"/>
      <c r="K1446" s="103"/>
      <c r="L1446" s="1"/>
    </row>
    <row r="1447" spans="1:12" ht="21.95" customHeight="1" x14ac:dyDescent="0.25">
      <c r="A1447" s="1"/>
      <c r="B1447" s="95" t="s">
        <v>77</v>
      </c>
      <c r="H1447" s="95" t="s">
        <v>77</v>
      </c>
      <c r="I1447" s="95"/>
      <c r="J1447" s="92"/>
      <c r="K1447" s="103"/>
      <c r="L1447" s="1"/>
    </row>
    <row r="1448" spans="1:12" ht="21.95" customHeight="1" x14ac:dyDescent="0.25">
      <c r="A1448" s="1"/>
      <c r="B1448" s="99" t="s">
        <v>27</v>
      </c>
      <c r="C1448" s="57"/>
      <c r="H1448" s="99" t="s">
        <v>27</v>
      </c>
      <c r="K1448" s="103"/>
    </row>
    <row r="1467" spans="1:1" ht="21.95" customHeight="1" x14ac:dyDescent="0.25">
      <c r="A1467" s="3" t="s">
        <v>22</v>
      </c>
    </row>
    <row r="1468" spans="1:1" ht="21.95" customHeight="1" x14ac:dyDescent="0.2">
      <c r="A1468" s="122" t="s">
        <v>20</v>
      </c>
    </row>
    <row r="1469" spans="1:1" ht="21.95" customHeight="1" x14ac:dyDescent="0.2">
      <c r="A1469" s="122" t="s">
        <v>21</v>
      </c>
    </row>
    <row r="1473" spans="1:12" ht="21.95" customHeight="1" x14ac:dyDescent="0.3">
      <c r="A1473" s="276" t="s">
        <v>6</v>
      </c>
      <c r="B1473" s="276"/>
      <c r="C1473" s="276"/>
      <c r="D1473" s="276"/>
      <c r="E1473" s="276"/>
      <c r="F1473" s="276"/>
      <c r="G1473" s="276"/>
      <c r="H1473" s="276"/>
      <c r="I1473" s="276"/>
      <c r="J1473" s="276"/>
      <c r="K1473" s="276"/>
      <c r="L1473" s="276"/>
    </row>
    <row r="1474" spans="1:12" ht="21.95" customHeight="1" x14ac:dyDescent="0.3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</row>
    <row r="1475" spans="1:12" ht="21.95" customHeight="1" x14ac:dyDescent="0.3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</row>
    <row r="1476" spans="1:12" ht="21.95" customHeight="1" x14ac:dyDescent="0.25">
      <c r="A1476" s="1"/>
      <c r="B1476" s="1"/>
    </row>
    <row r="1477" spans="1:12" ht="21.95" customHeight="1" x14ac:dyDescent="0.25">
      <c r="A1477" s="1" t="s">
        <v>7</v>
      </c>
      <c r="B1477" s="1"/>
    </row>
    <row r="1478" spans="1:12" ht="21.95" customHeight="1" x14ac:dyDescent="0.25">
      <c r="A1478" s="1"/>
      <c r="B1478" s="1"/>
    </row>
    <row r="1479" spans="1:12" s="99" customFormat="1" ht="21.95" customHeight="1" x14ac:dyDescent="0.25">
      <c r="A1479" s="1" t="s">
        <v>8</v>
      </c>
      <c r="B1479" s="4"/>
      <c r="C1479" s="9" t="s">
        <v>1</v>
      </c>
      <c r="D1479" s="33" t="s">
        <v>78</v>
      </c>
      <c r="E1479" s="76"/>
      <c r="F1479" s="76"/>
      <c r="G1479" s="76"/>
      <c r="H1479" s="76"/>
      <c r="I1479" s="4"/>
      <c r="J1479" s="4"/>
      <c r="K1479" s="4"/>
      <c r="L1479" s="4"/>
    </row>
    <row r="1480" spans="1:12" s="99" customFormat="1" ht="21.95" customHeight="1" x14ac:dyDescent="0.25">
      <c r="A1480" s="1" t="s">
        <v>9</v>
      </c>
      <c r="B1480" s="4"/>
      <c r="C1480" s="9" t="s">
        <v>1</v>
      </c>
      <c r="D1480" s="27" t="s">
        <v>234</v>
      </c>
      <c r="E1480" s="76"/>
      <c r="F1480" s="76"/>
      <c r="G1480" s="76"/>
      <c r="H1480" s="76"/>
      <c r="I1480" s="4"/>
      <c r="J1480" s="4"/>
      <c r="K1480" s="4"/>
      <c r="L1480" s="4"/>
    </row>
    <row r="1481" spans="1:12" s="99" customFormat="1" ht="21.95" customHeight="1" x14ac:dyDescent="0.2">
      <c r="A1481" s="50" t="s">
        <v>10</v>
      </c>
      <c r="B1481" s="76"/>
      <c r="C1481" s="91" t="s">
        <v>1</v>
      </c>
      <c r="D1481" s="50" t="s">
        <v>235</v>
      </c>
      <c r="E1481" s="76"/>
      <c r="F1481" s="76"/>
      <c r="G1481" s="76"/>
      <c r="H1481" s="76"/>
      <c r="I1481" s="76"/>
      <c r="J1481" s="76"/>
      <c r="K1481" s="76"/>
      <c r="L1481" s="76"/>
    </row>
    <row r="1482" spans="1:12" ht="21.95" customHeight="1" x14ac:dyDescent="0.25">
      <c r="A1482" s="1"/>
      <c r="B1482" s="1"/>
      <c r="D1482" s="1"/>
    </row>
    <row r="1483" spans="1:12" ht="21.95" customHeight="1" x14ac:dyDescent="0.2">
      <c r="A1483" s="277" t="s">
        <v>450</v>
      </c>
      <c r="B1483" s="277"/>
      <c r="C1483" s="277"/>
      <c r="D1483" s="277"/>
      <c r="E1483" s="277"/>
      <c r="F1483" s="277"/>
      <c r="G1483" s="277"/>
      <c r="H1483" s="277"/>
      <c r="I1483" s="277"/>
      <c r="J1483" s="277"/>
      <c r="K1483" s="277"/>
      <c r="L1483" s="277"/>
    </row>
    <row r="1484" spans="1:12" ht="21.95" customHeight="1" x14ac:dyDescent="0.25">
      <c r="A1484" s="1"/>
      <c r="B1484" s="1"/>
    </row>
    <row r="1485" spans="1:12" ht="21.95" customHeight="1" thickBot="1" x14ac:dyDescent="0.25">
      <c r="A1485" s="10" t="s">
        <v>0</v>
      </c>
      <c r="B1485" s="278" t="s">
        <v>91</v>
      </c>
      <c r="C1485" s="278"/>
      <c r="D1485" s="278"/>
      <c r="E1485" s="278"/>
      <c r="F1485" s="278"/>
      <c r="G1485" s="278"/>
      <c r="H1485" s="278"/>
      <c r="I1485" s="278"/>
      <c r="J1485" s="278"/>
      <c r="K1485" s="278"/>
      <c r="L1485" s="278"/>
    </row>
    <row r="1486" spans="1:12" ht="21.95" customHeight="1" thickTop="1" x14ac:dyDescent="0.25">
      <c r="A1486" s="1"/>
      <c r="B1486" s="11" t="s">
        <v>3</v>
      </c>
      <c r="C1486" s="12" t="s">
        <v>4</v>
      </c>
      <c r="D1486" s="13"/>
      <c r="E1486" s="13"/>
      <c r="F1486" s="13"/>
      <c r="G1486" s="13"/>
      <c r="H1486" s="14"/>
      <c r="I1486" s="15" t="s">
        <v>5</v>
      </c>
      <c r="J1486" s="12" t="s">
        <v>17</v>
      </c>
      <c r="K1486" s="13"/>
      <c r="L1486" s="14"/>
    </row>
    <row r="1487" spans="1:12" ht="21.95" customHeight="1" x14ac:dyDescent="0.2">
      <c r="B1487" s="96">
        <v>1</v>
      </c>
      <c r="C1487" s="140" t="s">
        <v>443</v>
      </c>
      <c r="D1487" s="76"/>
      <c r="E1487" s="150"/>
      <c r="F1487" s="144"/>
      <c r="G1487" s="76"/>
      <c r="H1487" s="79"/>
      <c r="I1487" s="56">
        <v>150000</v>
      </c>
      <c r="J1487" s="4" t="s">
        <v>204</v>
      </c>
      <c r="L1487" s="17"/>
    </row>
    <row r="1488" spans="1:12" ht="21.95" customHeight="1" x14ac:dyDescent="0.2">
      <c r="B1488" s="96"/>
      <c r="C1488" s="313"/>
      <c r="D1488" s="314"/>
      <c r="E1488" s="314"/>
      <c r="F1488" s="314"/>
      <c r="G1488" s="314"/>
      <c r="H1488" s="315"/>
      <c r="I1488" s="56"/>
      <c r="L1488" s="17"/>
    </row>
    <row r="1489" spans="1:12" ht="21.95" customHeight="1" x14ac:dyDescent="0.25">
      <c r="A1489" s="1"/>
      <c r="B1489" s="39"/>
      <c r="C1489" s="1"/>
      <c r="D1489" s="1"/>
      <c r="E1489" s="1"/>
      <c r="F1489" s="40" t="s">
        <v>5</v>
      </c>
      <c r="G1489" s="40"/>
      <c r="H1489" s="1"/>
      <c r="I1489" s="41">
        <f>I1487</f>
        <v>150000</v>
      </c>
      <c r="J1489" s="1"/>
      <c r="K1489" s="1"/>
      <c r="L1489" s="42"/>
    </row>
    <row r="1490" spans="1:12" ht="21.95" customHeight="1" thickBot="1" x14ac:dyDescent="0.3">
      <c r="A1490" s="1"/>
      <c r="B1490" s="43"/>
      <c r="C1490" s="44"/>
      <c r="D1490" s="44"/>
      <c r="E1490" s="44"/>
      <c r="F1490" s="45"/>
      <c r="G1490" s="45"/>
      <c r="H1490" s="44"/>
      <c r="I1490" s="46"/>
      <c r="J1490" s="44"/>
      <c r="K1490" s="44"/>
      <c r="L1490" s="47"/>
    </row>
    <row r="1491" spans="1:12" ht="21.95" customHeight="1" thickTop="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ht="21.95" customHeight="1" x14ac:dyDescent="0.2">
      <c r="A1492" s="10" t="s">
        <v>2</v>
      </c>
      <c r="B1492" s="279" t="s">
        <v>11</v>
      </c>
      <c r="C1492" s="279"/>
      <c r="D1492" s="279"/>
      <c r="E1492" s="279"/>
      <c r="F1492" s="279"/>
      <c r="G1492" s="279"/>
      <c r="H1492" s="279"/>
      <c r="I1492" s="279"/>
      <c r="J1492" s="279"/>
      <c r="K1492" s="279"/>
      <c r="L1492" s="279"/>
    </row>
    <row r="1493" spans="1:12" ht="21.95" customHeight="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ht="21.95" customHeight="1" x14ac:dyDescent="0.2">
      <c r="A1494" s="280" t="s">
        <v>12</v>
      </c>
      <c r="B1494" s="280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</row>
    <row r="1495" spans="1:12" ht="21.95" customHeight="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ht="21.95" customHeight="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ht="21.95" customHeight="1" x14ac:dyDescent="0.25">
      <c r="A1497" s="1"/>
      <c r="B1497" s="1"/>
      <c r="C1497" s="1"/>
      <c r="D1497" s="1"/>
      <c r="E1497" s="1"/>
      <c r="F1497" s="1"/>
      <c r="G1497" s="1"/>
      <c r="H1497" s="4" t="s">
        <v>199</v>
      </c>
      <c r="J1497" s="286" t="s">
        <v>449</v>
      </c>
      <c r="K1497" s="286"/>
      <c r="L1497" s="286"/>
    </row>
    <row r="1498" spans="1:12" ht="21.95" customHeight="1" x14ac:dyDescent="0.25">
      <c r="A1498" s="1"/>
      <c r="B1498" s="1" t="s">
        <v>15</v>
      </c>
      <c r="C1498" s="1"/>
      <c r="D1498" s="1"/>
      <c r="E1498" s="1"/>
      <c r="F1498" s="1"/>
      <c r="G1498" s="1"/>
      <c r="H1498" s="4" t="s">
        <v>13</v>
      </c>
    </row>
    <row r="1499" spans="1:12" ht="21.95" customHeight="1" x14ac:dyDescent="0.25">
      <c r="A1499" s="1"/>
      <c r="B1499" s="1" t="s">
        <v>18</v>
      </c>
      <c r="C1499" s="1"/>
      <c r="D1499" s="1"/>
      <c r="E1499" s="1"/>
      <c r="F1499" s="1"/>
      <c r="G1499" s="1"/>
      <c r="H1499" s="4" t="s">
        <v>14</v>
      </c>
    </row>
    <row r="1500" spans="1:12" ht="21.95" customHeight="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ht="21.95" customHeight="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ht="21.95" customHeight="1" x14ac:dyDescent="0.25">
      <c r="A1502" s="1"/>
      <c r="B1502" s="103"/>
      <c r="C1502" s="103"/>
      <c r="D1502" s="103"/>
      <c r="E1502" s="103"/>
      <c r="F1502" s="103"/>
      <c r="G1502" s="103"/>
      <c r="H1502" s="103"/>
      <c r="I1502" s="103"/>
      <c r="J1502" s="103"/>
      <c r="K1502" s="103"/>
      <c r="L1502" s="1"/>
    </row>
    <row r="1503" spans="1:12" ht="21.95" customHeight="1" x14ac:dyDescent="0.25">
      <c r="A1503" s="1"/>
      <c r="K1503" s="103"/>
      <c r="L1503" s="1"/>
    </row>
    <row r="1504" spans="1:12" ht="21.95" customHeight="1" x14ac:dyDescent="0.25">
      <c r="A1504" s="1"/>
      <c r="B1504" s="95" t="s">
        <v>77</v>
      </c>
      <c r="H1504" s="26" t="s">
        <v>78</v>
      </c>
      <c r="I1504" s="95"/>
      <c r="J1504" s="92"/>
      <c r="K1504" s="103"/>
      <c r="L1504" s="1"/>
    </row>
    <row r="1505" spans="1:12" ht="21.95" customHeight="1" x14ac:dyDescent="0.25">
      <c r="A1505" s="1"/>
      <c r="B1505" s="99" t="s">
        <v>27</v>
      </c>
      <c r="C1505" s="57"/>
      <c r="H1505" s="28" t="s">
        <v>79</v>
      </c>
      <c r="K1505" s="103"/>
    </row>
    <row r="1509" spans="1:12" ht="21.95" customHeight="1" x14ac:dyDescent="0.25">
      <c r="A1509" s="3" t="s">
        <v>22</v>
      </c>
    </row>
    <row r="1510" spans="1:12" ht="21.95" customHeight="1" x14ac:dyDescent="0.2">
      <c r="A1510" s="122" t="s">
        <v>20</v>
      </c>
    </row>
    <row r="1511" spans="1:12" ht="21.95" customHeight="1" x14ac:dyDescent="0.2">
      <c r="A1511" s="122" t="s">
        <v>21</v>
      </c>
    </row>
    <row r="1515" spans="1:12" ht="21.95" customHeight="1" x14ac:dyDescent="0.3">
      <c r="A1515" s="276" t="s">
        <v>6</v>
      </c>
      <c r="B1515" s="276"/>
      <c r="C1515" s="276"/>
      <c r="D1515" s="276"/>
      <c r="E1515" s="276"/>
      <c r="F1515" s="276"/>
      <c r="G1515" s="276"/>
      <c r="H1515" s="276"/>
      <c r="I1515" s="276"/>
      <c r="J1515" s="276"/>
      <c r="K1515" s="276"/>
      <c r="L1515" s="276"/>
    </row>
    <row r="1516" spans="1:12" ht="21.95" customHeight="1" x14ac:dyDescent="0.3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</row>
    <row r="1517" spans="1:12" ht="21.95" customHeight="1" x14ac:dyDescent="0.3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</row>
    <row r="1518" spans="1:12" ht="21.95" customHeight="1" x14ac:dyDescent="0.25">
      <c r="A1518" s="1"/>
      <c r="B1518" s="1"/>
    </row>
    <row r="1519" spans="1:12" ht="21.95" customHeight="1" x14ac:dyDescent="0.25">
      <c r="A1519" s="1" t="s">
        <v>7</v>
      </c>
      <c r="B1519" s="1"/>
    </row>
    <row r="1520" spans="1:12" ht="21.95" customHeight="1" x14ac:dyDescent="0.25">
      <c r="A1520" s="1"/>
      <c r="B1520" s="1"/>
    </row>
    <row r="1521" spans="1:12" ht="21.95" customHeight="1" x14ac:dyDescent="0.25">
      <c r="A1521" s="1" t="s">
        <v>8</v>
      </c>
      <c r="C1521" s="9" t="s">
        <v>1</v>
      </c>
      <c r="D1521" s="33" t="s">
        <v>355</v>
      </c>
      <c r="E1521" s="76"/>
      <c r="F1521" s="76"/>
      <c r="G1521" s="76"/>
      <c r="H1521" s="76"/>
    </row>
    <row r="1522" spans="1:12" ht="21.95" customHeight="1" x14ac:dyDescent="0.25">
      <c r="A1522" s="1" t="s">
        <v>9</v>
      </c>
      <c r="C1522" s="9" t="s">
        <v>1</v>
      </c>
      <c r="D1522" s="27" t="s">
        <v>74</v>
      </c>
      <c r="E1522" s="76"/>
      <c r="F1522" s="76"/>
      <c r="G1522" s="76"/>
      <c r="H1522" s="76"/>
    </row>
    <row r="1523" spans="1:12" ht="21.95" customHeight="1" x14ac:dyDescent="0.2">
      <c r="A1523" s="50" t="s">
        <v>10</v>
      </c>
      <c r="B1523" s="76"/>
      <c r="C1523" s="91" t="s">
        <v>1</v>
      </c>
      <c r="D1523" s="50" t="s">
        <v>451</v>
      </c>
      <c r="E1523" s="76"/>
      <c r="F1523" s="76"/>
      <c r="G1523" s="76"/>
      <c r="H1523" s="76"/>
      <c r="I1523" s="76"/>
      <c r="J1523" s="76"/>
      <c r="K1523" s="76"/>
      <c r="L1523" s="76"/>
    </row>
    <row r="1524" spans="1:12" ht="21.95" customHeight="1" x14ac:dyDescent="0.25">
      <c r="A1524" s="1"/>
      <c r="B1524" s="1"/>
      <c r="D1524" s="1"/>
    </row>
    <row r="1525" spans="1:12" ht="21.95" customHeight="1" x14ac:dyDescent="0.2">
      <c r="A1525" s="277" t="s">
        <v>450</v>
      </c>
      <c r="B1525" s="277"/>
      <c r="C1525" s="277"/>
      <c r="D1525" s="277"/>
      <c r="E1525" s="277"/>
      <c r="F1525" s="277"/>
      <c r="G1525" s="277"/>
      <c r="H1525" s="277"/>
      <c r="I1525" s="277"/>
      <c r="J1525" s="277"/>
      <c r="K1525" s="277"/>
      <c r="L1525" s="277"/>
    </row>
    <row r="1526" spans="1:12" ht="21.95" customHeight="1" x14ac:dyDescent="0.25">
      <c r="A1526" s="1"/>
      <c r="B1526" s="1"/>
    </row>
    <row r="1527" spans="1:12" ht="21.95" customHeight="1" thickBot="1" x14ac:dyDescent="0.25">
      <c r="A1527" s="10" t="s">
        <v>0</v>
      </c>
      <c r="B1527" s="278" t="s">
        <v>91</v>
      </c>
      <c r="C1527" s="278"/>
      <c r="D1527" s="278"/>
      <c r="E1527" s="278"/>
      <c r="F1527" s="278"/>
      <c r="G1527" s="278"/>
      <c r="H1527" s="278"/>
      <c r="I1527" s="278"/>
      <c r="J1527" s="278"/>
      <c r="K1527" s="278"/>
      <c r="L1527" s="278"/>
    </row>
    <row r="1528" spans="1:12" ht="21.95" customHeight="1" thickTop="1" x14ac:dyDescent="0.25">
      <c r="A1528" s="1"/>
      <c r="B1528" s="11" t="s">
        <v>3</v>
      </c>
      <c r="C1528" s="12" t="s">
        <v>4</v>
      </c>
      <c r="D1528" s="13"/>
      <c r="E1528" s="13"/>
      <c r="F1528" s="13"/>
      <c r="G1528" s="13"/>
      <c r="H1528" s="14"/>
      <c r="I1528" s="15" t="s">
        <v>5</v>
      </c>
      <c r="J1528" s="12" t="s">
        <v>17</v>
      </c>
      <c r="K1528" s="13"/>
      <c r="L1528" s="14"/>
    </row>
    <row r="1529" spans="1:12" ht="21.95" customHeight="1" x14ac:dyDescent="0.2">
      <c r="B1529" s="96">
        <v>1</v>
      </c>
      <c r="C1529" s="140" t="s">
        <v>443</v>
      </c>
      <c r="D1529" s="76"/>
      <c r="E1529" s="150"/>
      <c r="F1529" s="144"/>
      <c r="G1529" s="76"/>
      <c r="H1529" s="79"/>
      <c r="I1529" s="56">
        <v>150000</v>
      </c>
      <c r="J1529" s="4" t="s">
        <v>204</v>
      </c>
      <c r="L1529" s="17"/>
    </row>
    <row r="1530" spans="1:12" ht="21.95" customHeight="1" x14ac:dyDescent="0.2">
      <c r="B1530" s="96"/>
      <c r="C1530" s="313"/>
      <c r="D1530" s="314"/>
      <c r="E1530" s="314"/>
      <c r="F1530" s="314"/>
      <c r="G1530" s="314"/>
      <c r="H1530" s="315"/>
      <c r="I1530" s="56"/>
      <c r="L1530" s="17"/>
    </row>
    <row r="1531" spans="1:12" ht="21.95" customHeight="1" x14ac:dyDescent="0.25">
      <c r="A1531" s="1"/>
      <c r="B1531" s="39"/>
      <c r="C1531" s="1"/>
      <c r="D1531" s="1"/>
      <c r="E1531" s="1"/>
      <c r="F1531" s="40" t="s">
        <v>5</v>
      </c>
      <c r="G1531" s="40"/>
      <c r="H1531" s="1"/>
      <c r="I1531" s="41">
        <f>I1529</f>
        <v>150000</v>
      </c>
      <c r="J1531" s="1"/>
      <c r="K1531" s="1"/>
      <c r="L1531" s="42"/>
    </row>
    <row r="1532" spans="1:12" ht="21.95" customHeight="1" thickBot="1" x14ac:dyDescent="0.3">
      <c r="A1532" s="1"/>
      <c r="B1532" s="43"/>
      <c r="C1532" s="44"/>
      <c r="D1532" s="44"/>
      <c r="E1532" s="44"/>
      <c r="F1532" s="45"/>
      <c r="G1532" s="45"/>
      <c r="H1532" s="44"/>
      <c r="I1532" s="46"/>
      <c r="J1532" s="44"/>
      <c r="K1532" s="44"/>
      <c r="L1532" s="47"/>
    </row>
    <row r="1533" spans="1:12" ht="21.95" customHeight="1" thickTop="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ht="21.95" customHeight="1" x14ac:dyDescent="0.2">
      <c r="A1534" s="10" t="s">
        <v>2</v>
      </c>
      <c r="B1534" s="279" t="s">
        <v>11</v>
      </c>
      <c r="C1534" s="279"/>
      <c r="D1534" s="279"/>
      <c r="E1534" s="279"/>
      <c r="F1534" s="279"/>
      <c r="G1534" s="279"/>
      <c r="H1534" s="279"/>
      <c r="I1534" s="279"/>
      <c r="J1534" s="279"/>
      <c r="K1534" s="279"/>
      <c r="L1534" s="279"/>
    </row>
    <row r="1535" spans="1:12" ht="21.95" customHeight="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ht="21.95" customHeight="1" x14ac:dyDescent="0.2">
      <c r="A1536" s="280" t="s">
        <v>12</v>
      </c>
      <c r="B1536" s="280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</row>
    <row r="1537" spans="1:12" ht="21.95" customHeight="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ht="21.95" customHeight="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ht="21.95" customHeight="1" x14ac:dyDescent="0.25">
      <c r="A1539" s="1"/>
      <c r="B1539" s="1"/>
      <c r="C1539" s="1"/>
      <c r="D1539" s="1"/>
      <c r="E1539" s="1"/>
      <c r="F1539" s="1"/>
      <c r="G1539" s="1"/>
      <c r="H1539" s="4" t="s">
        <v>199</v>
      </c>
      <c r="J1539" s="286" t="s">
        <v>449</v>
      </c>
      <c r="K1539" s="286"/>
      <c r="L1539" s="286"/>
    </row>
    <row r="1540" spans="1:12" ht="21.95" customHeight="1" x14ac:dyDescent="0.25">
      <c r="A1540" s="1"/>
      <c r="B1540" s="1" t="s">
        <v>15</v>
      </c>
      <c r="C1540" s="1"/>
      <c r="D1540" s="1"/>
      <c r="E1540" s="1"/>
      <c r="F1540" s="1"/>
      <c r="G1540" s="1"/>
      <c r="H1540" s="4" t="s">
        <v>13</v>
      </c>
    </row>
    <row r="1541" spans="1:12" ht="21.95" customHeight="1" x14ac:dyDescent="0.25">
      <c r="A1541" s="1"/>
      <c r="B1541" s="1" t="s">
        <v>18</v>
      </c>
      <c r="C1541" s="1"/>
      <c r="D1541" s="1"/>
      <c r="E1541" s="1"/>
      <c r="F1541" s="1"/>
      <c r="G1541" s="1"/>
      <c r="H1541" s="4" t="s">
        <v>14</v>
      </c>
    </row>
    <row r="1542" spans="1:12" ht="21.95" customHeight="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 ht="21.95" customHeight="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 ht="21.95" customHeight="1" x14ac:dyDescent="0.25">
      <c r="A1544" s="1"/>
      <c r="B1544" s="103"/>
      <c r="C1544" s="103"/>
      <c r="D1544" s="103"/>
      <c r="E1544" s="103"/>
      <c r="F1544" s="103"/>
      <c r="G1544" s="103"/>
      <c r="H1544" s="103"/>
      <c r="I1544" s="103"/>
      <c r="J1544" s="103"/>
      <c r="K1544" s="103"/>
      <c r="L1544" s="1"/>
    </row>
    <row r="1545" spans="1:12" ht="21.95" customHeight="1" x14ac:dyDescent="0.25">
      <c r="A1545" s="1"/>
      <c r="K1545" s="103"/>
      <c r="L1545" s="1"/>
    </row>
    <row r="1546" spans="1:12" ht="21.95" customHeight="1" x14ac:dyDescent="0.25">
      <c r="A1546" s="1"/>
      <c r="B1546" s="95" t="s">
        <v>77</v>
      </c>
      <c r="H1546" s="26" t="str">
        <f>D1521</f>
        <v>Donny Tua Hamonangan, S.H</v>
      </c>
      <c r="I1546" s="95"/>
      <c r="J1546" s="92"/>
      <c r="K1546" s="103"/>
      <c r="L1546" s="1"/>
    </row>
    <row r="1547" spans="1:12" ht="21.95" customHeight="1" x14ac:dyDescent="0.25">
      <c r="A1547" s="1"/>
      <c r="B1547" s="99" t="s">
        <v>27</v>
      </c>
      <c r="C1547" s="57"/>
      <c r="H1547" s="28"/>
      <c r="K1547" s="103"/>
    </row>
    <row r="1556" spans="1:12" ht="21.95" customHeight="1" x14ac:dyDescent="0.25">
      <c r="A1556" s="3" t="s">
        <v>22</v>
      </c>
    </row>
    <row r="1557" spans="1:12" ht="21.95" customHeight="1" x14ac:dyDescent="0.2">
      <c r="A1557" s="122" t="s">
        <v>20</v>
      </c>
    </row>
    <row r="1558" spans="1:12" ht="21.95" customHeight="1" x14ac:dyDescent="0.2">
      <c r="A1558" s="122" t="s">
        <v>21</v>
      </c>
    </row>
    <row r="1562" spans="1:12" ht="21.95" customHeight="1" x14ac:dyDescent="0.3">
      <c r="A1562" s="276" t="s">
        <v>6</v>
      </c>
      <c r="B1562" s="276"/>
      <c r="C1562" s="276"/>
      <c r="D1562" s="276"/>
      <c r="E1562" s="276"/>
      <c r="F1562" s="276"/>
      <c r="G1562" s="276"/>
      <c r="H1562" s="276"/>
      <c r="I1562" s="276"/>
      <c r="J1562" s="276"/>
      <c r="K1562" s="276"/>
      <c r="L1562" s="276"/>
    </row>
    <row r="1563" spans="1:12" ht="21.95" customHeight="1" x14ac:dyDescent="0.3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</row>
    <row r="1564" spans="1:12" ht="21.95" customHeight="1" x14ac:dyDescent="0.3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</row>
    <row r="1565" spans="1:12" ht="21.95" customHeight="1" x14ac:dyDescent="0.25">
      <c r="A1565" s="1"/>
      <c r="B1565" s="1"/>
    </row>
    <row r="1566" spans="1:12" ht="21.95" customHeight="1" x14ac:dyDescent="0.25">
      <c r="A1566" s="1" t="s">
        <v>7</v>
      </c>
      <c r="B1566" s="1"/>
    </row>
    <row r="1567" spans="1:12" ht="21.95" customHeight="1" x14ac:dyDescent="0.25">
      <c r="A1567" s="1"/>
      <c r="B1567" s="1"/>
    </row>
    <row r="1568" spans="1:12" ht="21.95" customHeight="1" x14ac:dyDescent="0.25">
      <c r="A1568" s="1" t="s">
        <v>8</v>
      </c>
      <c r="C1568" s="9" t="s">
        <v>1</v>
      </c>
      <c r="D1568" s="33" t="s">
        <v>78</v>
      </c>
      <c r="E1568" s="76"/>
      <c r="F1568" s="76"/>
      <c r="G1568" s="76"/>
      <c r="H1568" s="76"/>
    </row>
    <row r="1569" spans="1:12" ht="21.95" customHeight="1" x14ac:dyDescent="0.25">
      <c r="A1569" s="1" t="s">
        <v>9</v>
      </c>
      <c r="C1569" s="9" t="s">
        <v>1</v>
      </c>
      <c r="D1569" s="27" t="s">
        <v>234</v>
      </c>
      <c r="E1569" s="76"/>
      <c r="F1569" s="76"/>
      <c r="G1569" s="76"/>
      <c r="H1569" s="76"/>
    </row>
    <row r="1570" spans="1:12" ht="21.95" customHeight="1" x14ac:dyDescent="0.2">
      <c r="A1570" s="50" t="s">
        <v>10</v>
      </c>
      <c r="B1570" s="76"/>
      <c r="C1570" s="91" t="s">
        <v>1</v>
      </c>
      <c r="D1570" s="50" t="s">
        <v>235</v>
      </c>
      <c r="E1570" s="76"/>
      <c r="F1570" s="76"/>
      <c r="G1570" s="76"/>
      <c r="H1570" s="76"/>
      <c r="I1570" s="76"/>
      <c r="J1570" s="76"/>
      <c r="K1570" s="76"/>
      <c r="L1570" s="76"/>
    </row>
    <row r="1571" spans="1:12" ht="21.95" customHeight="1" x14ac:dyDescent="0.25">
      <c r="A1571" s="1"/>
      <c r="B1571" s="1"/>
      <c r="D1571" s="1"/>
    </row>
    <row r="1572" spans="1:12" ht="21.95" customHeight="1" x14ac:dyDescent="0.2">
      <c r="A1572" s="277" t="s">
        <v>452</v>
      </c>
      <c r="B1572" s="277"/>
      <c r="C1572" s="277"/>
      <c r="D1572" s="277"/>
      <c r="E1572" s="277"/>
      <c r="F1572" s="277"/>
      <c r="G1572" s="277"/>
      <c r="H1572" s="277"/>
      <c r="I1572" s="277"/>
      <c r="J1572" s="277"/>
      <c r="K1572" s="277"/>
      <c r="L1572" s="277"/>
    </row>
    <row r="1573" spans="1:12" ht="21.95" customHeight="1" x14ac:dyDescent="0.25">
      <c r="A1573" s="1"/>
      <c r="B1573" s="1"/>
    </row>
    <row r="1574" spans="1:12" ht="21.95" customHeight="1" thickBot="1" x14ac:dyDescent="0.25">
      <c r="A1574" s="10" t="s">
        <v>0</v>
      </c>
      <c r="B1574" s="278" t="s">
        <v>91</v>
      </c>
      <c r="C1574" s="278"/>
      <c r="D1574" s="278"/>
      <c r="E1574" s="278"/>
      <c r="F1574" s="278"/>
      <c r="G1574" s="278"/>
      <c r="H1574" s="278"/>
      <c r="I1574" s="278"/>
      <c r="J1574" s="278"/>
      <c r="K1574" s="278"/>
      <c r="L1574" s="278"/>
    </row>
    <row r="1575" spans="1:12" ht="21.95" customHeight="1" thickTop="1" x14ac:dyDescent="0.25">
      <c r="A1575" s="1"/>
      <c r="B1575" s="11" t="s">
        <v>3</v>
      </c>
      <c r="C1575" s="12" t="s">
        <v>4</v>
      </c>
      <c r="D1575" s="13"/>
      <c r="E1575" s="13"/>
      <c r="F1575" s="13"/>
      <c r="G1575" s="13"/>
      <c r="H1575" s="14"/>
      <c r="I1575" s="15" t="s">
        <v>5</v>
      </c>
      <c r="J1575" s="12" t="s">
        <v>17</v>
      </c>
      <c r="K1575" s="13"/>
      <c r="L1575" s="14"/>
    </row>
    <row r="1576" spans="1:12" ht="21.95" customHeight="1" x14ac:dyDescent="0.2">
      <c r="B1576" s="96">
        <v>1</v>
      </c>
      <c r="C1576" s="140" t="s">
        <v>443</v>
      </c>
      <c r="D1576" s="76"/>
      <c r="E1576" s="150"/>
      <c r="F1576" s="144"/>
      <c r="G1576" s="76"/>
      <c r="H1576" s="79"/>
      <c r="I1576" s="56">
        <v>150000</v>
      </c>
      <c r="J1576" s="4" t="s">
        <v>204</v>
      </c>
      <c r="L1576" s="17"/>
    </row>
    <row r="1577" spans="1:12" ht="21.95" customHeight="1" x14ac:dyDescent="0.2">
      <c r="B1577" s="96"/>
      <c r="C1577" s="313"/>
      <c r="D1577" s="314"/>
      <c r="E1577" s="314"/>
      <c r="F1577" s="314"/>
      <c r="G1577" s="314"/>
      <c r="H1577" s="315"/>
      <c r="I1577" s="56"/>
      <c r="L1577" s="17"/>
    </row>
    <row r="1578" spans="1:12" ht="21.95" customHeight="1" x14ac:dyDescent="0.25">
      <c r="A1578" s="1"/>
      <c r="B1578" s="39"/>
      <c r="C1578" s="1"/>
      <c r="D1578" s="1"/>
      <c r="E1578" s="1"/>
      <c r="F1578" s="40" t="s">
        <v>5</v>
      </c>
      <c r="G1578" s="40"/>
      <c r="H1578" s="1"/>
      <c r="I1578" s="41">
        <f>I1576</f>
        <v>150000</v>
      </c>
      <c r="J1578" s="1"/>
      <c r="K1578" s="1"/>
      <c r="L1578" s="42"/>
    </row>
    <row r="1579" spans="1:12" ht="21.95" customHeight="1" thickBot="1" x14ac:dyDescent="0.3">
      <c r="A1579" s="1"/>
      <c r="B1579" s="43"/>
      <c r="C1579" s="44"/>
      <c r="D1579" s="44"/>
      <c r="E1579" s="44"/>
      <c r="F1579" s="45"/>
      <c r="G1579" s="45"/>
      <c r="H1579" s="44"/>
      <c r="I1579" s="46"/>
      <c r="J1579" s="44"/>
      <c r="K1579" s="44"/>
      <c r="L1579" s="47"/>
    </row>
    <row r="1580" spans="1:12" ht="21.95" customHeight="1" thickTop="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ht="21.95" customHeight="1" x14ac:dyDescent="0.2">
      <c r="A1581" s="10" t="s">
        <v>2</v>
      </c>
      <c r="B1581" s="279" t="s">
        <v>11</v>
      </c>
      <c r="C1581" s="279"/>
      <c r="D1581" s="279"/>
      <c r="E1581" s="279"/>
      <c r="F1581" s="279"/>
      <c r="G1581" s="279"/>
      <c r="H1581" s="279"/>
      <c r="I1581" s="279"/>
      <c r="J1581" s="279"/>
      <c r="K1581" s="279"/>
      <c r="L1581" s="279"/>
    </row>
    <row r="1582" spans="1:12" ht="21.95" customHeight="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ht="21.95" customHeight="1" x14ac:dyDescent="0.2">
      <c r="A1583" s="280" t="s">
        <v>12</v>
      </c>
      <c r="B1583" s="280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</row>
    <row r="1584" spans="1:12" ht="21.95" customHeight="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ht="21.95" customHeight="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ht="21.95" customHeight="1" x14ac:dyDescent="0.25">
      <c r="A1586" s="1"/>
      <c r="B1586" s="1"/>
      <c r="C1586" s="1"/>
      <c r="D1586" s="1"/>
      <c r="E1586" s="1"/>
      <c r="F1586" s="1"/>
      <c r="G1586" s="1"/>
      <c r="H1586" s="4" t="s">
        <v>199</v>
      </c>
      <c r="J1586" s="286" t="s">
        <v>445</v>
      </c>
      <c r="K1586" s="286"/>
      <c r="L1586" s="286"/>
    </row>
    <row r="1587" spans="1:12" ht="21.95" customHeight="1" x14ac:dyDescent="0.25">
      <c r="A1587" s="1"/>
      <c r="B1587" s="1" t="s">
        <v>15</v>
      </c>
      <c r="C1587" s="1"/>
      <c r="D1587" s="1"/>
      <c r="E1587" s="1"/>
      <c r="F1587" s="1"/>
      <c r="G1587" s="1"/>
      <c r="H1587" s="4" t="s">
        <v>13</v>
      </c>
    </row>
    <row r="1588" spans="1:12" ht="21.95" customHeight="1" x14ac:dyDescent="0.25">
      <c r="A1588" s="1"/>
      <c r="B1588" s="1" t="s">
        <v>18</v>
      </c>
      <c r="C1588" s="1"/>
      <c r="D1588" s="1"/>
      <c r="E1588" s="1"/>
      <c r="F1588" s="1"/>
      <c r="G1588" s="1"/>
      <c r="H1588" s="4" t="s">
        <v>14</v>
      </c>
    </row>
    <row r="1589" spans="1:12" ht="21.95" customHeight="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ht="21.95" customHeight="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ht="21.95" customHeight="1" x14ac:dyDescent="0.25">
      <c r="A1591" s="1"/>
      <c r="B1591" s="103"/>
      <c r="C1591" s="103"/>
      <c r="D1591" s="103"/>
      <c r="E1591" s="103"/>
      <c r="F1591" s="103"/>
      <c r="G1591" s="103"/>
      <c r="H1591" s="103"/>
      <c r="I1591" s="103"/>
      <c r="J1591" s="103"/>
      <c r="K1591" s="103"/>
      <c r="L1591" s="1"/>
    </row>
    <row r="1592" spans="1:12" ht="21.95" customHeight="1" x14ac:dyDescent="0.25">
      <c r="A1592" s="1"/>
      <c r="K1592" s="103"/>
      <c r="L1592" s="1"/>
    </row>
    <row r="1593" spans="1:12" ht="21.95" customHeight="1" x14ac:dyDescent="0.25">
      <c r="A1593" s="1"/>
      <c r="B1593" s="95" t="s">
        <v>77</v>
      </c>
      <c r="H1593" s="26" t="s">
        <v>78</v>
      </c>
      <c r="I1593" s="95"/>
      <c r="J1593" s="92"/>
      <c r="K1593" s="103"/>
      <c r="L1593" s="1"/>
    </row>
    <row r="1594" spans="1:12" ht="21.95" customHeight="1" x14ac:dyDescent="0.25">
      <c r="A1594" s="1"/>
      <c r="B1594" s="99" t="s">
        <v>27</v>
      </c>
      <c r="C1594" s="57"/>
      <c r="H1594" s="28" t="s">
        <v>79</v>
      </c>
      <c r="K1594" s="103"/>
    </row>
    <row r="1598" spans="1:12" ht="21.95" customHeight="1" x14ac:dyDescent="0.25">
      <c r="A1598" s="3" t="s">
        <v>22</v>
      </c>
    </row>
    <row r="1599" spans="1:12" ht="21.95" customHeight="1" x14ac:dyDescent="0.2">
      <c r="A1599" s="122" t="s">
        <v>20</v>
      </c>
    </row>
    <row r="1600" spans="1:12" ht="21.95" customHeight="1" x14ac:dyDescent="0.2">
      <c r="A1600" s="122" t="s">
        <v>21</v>
      </c>
    </row>
    <row r="1604" spans="1:12" ht="21.95" customHeight="1" x14ac:dyDescent="0.3">
      <c r="A1604" s="276" t="s">
        <v>6</v>
      </c>
      <c r="B1604" s="276"/>
      <c r="C1604" s="276"/>
      <c r="D1604" s="276"/>
      <c r="E1604" s="276"/>
      <c r="F1604" s="276"/>
      <c r="G1604" s="276"/>
      <c r="H1604" s="276"/>
      <c r="I1604" s="276"/>
      <c r="J1604" s="276"/>
      <c r="K1604" s="276"/>
      <c r="L1604" s="276"/>
    </row>
    <row r="1605" spans="1:12" ht="21.95" customHeight="1" x14ac:dyDescent="0.3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</row>
    <row r="1606" spans="1:12" ht="21.95" customHeight="1" x14ac:dyDescent="0.3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</row>
    <row r="1607" spans="1:12" ht="21.95" customHeight="1" x14ac:dyDescent="0.25">
      <c r="A1607" s="1"/>
      <c r="B1607" s="1"/>
    </row>
    <row r="1608" spans="1:12" ht="21.95" customHeight="1" x14ac:dyDescent="0.25">
      <c r="A1608" s="1" t="s">
        <v>7</v>
      </c>
      <c r="B1608" s="1"/>
    </row>
    <row r="1609" spans="1:12" ht="21.95" customHeight="1" x14ac:dyDescent="0.25">
      <c r="A1609" s="1"/>
      <c r="B1609" s="1"/>
    </row>
    <row r="1610" spans="1:12" ht="21.95" customHeight="1" x14ac:dyDescent="0.25">
      <c r="A1610" s="1" t="s">
        <v>8</v>
      </c>
      <c r="C1610" s="9" t="s">
        <v>1</v>
      </c>
      <c r="D1610" s="40" t="s">
        <v>103</v>
      </c>
      <c r="E1610" s="76"/>
      <c r="F1610" s="76"/>
      <c r="G1610" s="76"/>
      <c r="H1610" s="76"/>
    </row>
    <row r="1611" spans="1:12" ht="21.95" customHeight="1" x14ac:dyDescent="0.25">
      <c r="A1611" s="1" t="s">
        <v>9</v>
      </c>
      <c r="C1611" s="9" t="s">
        <v>1</v>
      </c>
      <c r="D1611" s="7" t="s">
        <v>284</v>
      </c>
      <c r="E1611" s="76"/>
      <c r="F1611" s="76"/>
      <c r="G1611" s="76"/>
      <c r="H1611" s="76"/>
    </row>
    <row r="1612" spans="1:12" ht="21.95" customHeight="1" x14ac:dyDescent="0.2">
      <c r="A1612" s="50" t="s">
        <v>10</v>
      </c>
      <c r="B1612" s="76"/>
      <c r="C1612" s="91" t="s">
        <v>1</v>
      </c>
      <c r="D1612" s="50" t="s">
        <v>275</v>
      </c>
      <c r="E1612" s="76"/>
      <c r="F1612" s="76"/>
      <c r="G1612" s="76"/>
      <c r="H1612" s="76"/>
      <c r="I1612" s="76"/>
      <c r="J1612" s="76"/>
      <c r="K1612" s="76"/>
      <c r="L1612" s="76"/>
    </row>
    <row r="1613" spans="1:12" ht="21.95" customHeight="1" x14ac:dyDescent="0.25">
      <c r="A1613" s="1"/>
      <c r="B1613" s="1"/>
      <c r="D1613" s="1"/>
    </row>
    <row r="1614" spans="1:12" ht="21.95" customHeight="1" x14ac:dyDescent="0.2">
      <c r="A1614" s="277" t="s">
        <v>452</v>
      </c>
      <c r="B1614" s="277"/>
      <c r="C1614" s="277"/>
      <c r="D1614" s="277"/>
      <c r="E1614" s="277"/>
      <c r="F1614" s="277"/>
      <c r="G1614" s="277"/>
      <c r="H1614" s="277"/>
      <c r="I1614" s="277"/>
      <c r="J1614" s="277"/>
      <c r="K1614" s="277"/>
      <c r="L1614" s="277"/>
    </row>
    <row r="1615" spans="1:12" ht="21.95" customHeight="1" x14ac:dyDescent="0.25">
      <c r="A1615" s="1"/>
      <c r="B1615" s="1"/>
    </row>
    <row r="1616" spans="1:12" ht="21.95" customHeight="1" thickBot="1" x14ac:dyDescent="0.25">
      <c r="A1616" s="10" t="s">
        <v>0</v>
      </c>
      <c r="B1616" s="278" t="s">
        <v>91</v>
      </c>
      <c r="C1616" s="278"/>
      <c r="D1616" s="278"/>
      <c r="E1616" s="278"/>
      <c r="F1616" s="278"/>
      <c r="G1616" s="278"/>
      <c r="H1616" s="278"/>
      <c r="I1616" s="278"/>
      <c r="J1616" s="278"/>
      <c r="K1616" s="278"/>
      <c r="L1616" s="278"/>
    </row>
    <row r="1617" spans="1:12" ht="21.95" customHeight="1" thickTop="1" x14ac:dyDescent="0.25">
      <c r="A1617" s="1"/>
      <c r="B1617" s="11" t="s">
        <v>3</v>
      </c>
      <c r="C1617" s="12" t="s">
        <v>4</v>
      </c>
      <c r="D1617" s="13"/>
      <c r="E1617" s="13"/>
      <c r="F1617" s="13"/>
      <c r="G1617" s="13"/>
      <c r="H1617" s="14"/>
      <c r="I1617" s="15" t="s">
        <v>5</v>
      </c>
      <c r="J1617" s="12" t="s">
        <v>17</v>
      </c>
      <c r="K1617" s="13"/>
      <c r="L1617" s="14"/>
    </row>
    <row r="1618" spans="1:12" ht="21.95" customHeight="1" x14ac:dyDescent="0.2">
      <c r="B1618" s="96">
        <v>1</v>
      </c>
      <c r="C1618" s="140" t="s">
        <v>443</v>
      </c>
      <c r="D1618" s="76"/>
      <c r="E1618" s="150"/>
      <c r="F1618" s="144"/>
      <c r="G1618" s="76"/>
      <c r="H1618" s="79"/>
      <c r="I1618" s="56">
        <v>150000</v>
      </c>
      <c r="J1618" s="4" t="s">
        <v>204</v>
      </c>
      <c r="L1618" s="17"/>
    </row>
    <row r="1619" spans="1:12" ht="21.95" customHeight="1" x14ac:dyDescent="0.2">
      <c r="B1619" s="96"/>
      <c r="C1619" s="313"/>
      <c r="D1619" s="314"/>
      <c r="E1619" s="314"/>
      <c r="F1619" s="314"/>
      <c r="G1619" s="314"/>
      <c r="H1619" s="315"/>
      <c r="I1619" s="56"/>
      <c r="L1619" s="17"/>
    </row>
    <row r="1620" spans="1:12" ht="21.95" customHeight="1" x14ac:dyDescent="0.25">
      <c r="A1620" s="1"/>
      <c r="B1620" s="39"/>
      <c r="C1620" s="1"/>
      <c r="D1620" s="1"/>
      <c r="E1620" s="1"/>
      <c r="F1620" s="40" t="s">
        <v>5</v>
      </c>
      <c r="G1620" s="40"/>
      <c r="H1620" s="1"/>
      <c r="I1620" s="41">
        <f>I1618</f>
        <v>150000</v>
      </c>
      <c r="J1620" s="1"/>
      <c r="K1620" s="1"/>
      <c r="L1620" s="42"/>
    </row>
    <row r="1621" spans="1:12" ht="21.95" customHeight="1" thickBot="1" x14ac:dyDescent="0.3">
      <c r="A1621" s="1"/>
      <c r="B1621" s="43"/>
      <c r="C1621" s="44"/>
      <c r="D1621" s="44"/>
      <c r="E1621" s="44"/>
      <c r="F1621" s="45"/>
      <c r="G1621" s="45"/>
      <c r="H1621" s="44"/>
      <c r="I1621" s="46"/>
      <c r="J1621" s="44"/>
      <c r="K1621" s="44"/>
      <c r="L1621" s="47"/>
    </row>
    <row r="1622" spans="1:12" ht="21.95" customHeight="1" thickTop="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ht="21.95" customHeight="1" x14ac:dyDescent="0.2">
      <c r="A1623" s="10" t="s">
        <v>2</v>
      </c>
      <c r="B1623" s="279" t="s">
        <v>11</v>
      </c>
      <c r="C1623" s="279"/>
      <c r="D1623" s="279"/>
      <c r="E1623" s="279"/>
      <c r="F1623" s="279"/>
      <c r="G1623" s="279"/>
      <c r="H1623" s="279"/>
      <c r="I1623" s="279"/>
      <c r="J1623" s="279"/>
      <c r="K1623" s="279"/>
      <c r="L1623" s="279"/>
    </row>
    <row r="1624" spans="1:12" ht="21.95" customHeight="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ht="21.95" customHeight="1" x14ac:dyDescent="0.2">
      <c r="A1625" s="280" t="s">
        <v>12</v>
      </c>
      <c r="B1625" s="280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</row>
    <row r="1626" spans="1:12" ht="21.95" customHeight="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ht="21.95" customHeight="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ht="21.95" customHeight="1" x14ac:dyDescent="0.25">
      <c r="A1628" s="1"/>
      <c r="B1628" s="1"/>
      <c r="C1628" s="1"/>
      <c r="D1628" s="1"/>
      <c r="E1628" s="1"/>
      <c r="F1628" s="1"/>
      <c r="G1628" s="1"/>
      <c r="H1628" s="4" t="s">
        <v>199</v>
      </c>
      <c r="J1628" s="286" t="s">
        <v>445</v>
      </c>
      <c r="K1628" s="286"/>
      <c r="L1628" s="286"/>
    </row>
    <row r="1629" spans="1:12" ht="21.95" customHeight="1" x14ac:dyDescent="0.25">
      <c r="A1629" s="1"/>
      <c r="B1629" s="1" t="s">
        <v>15</v>
      </c>
      <c r="C1629" s="1"/>
      <c r="D1629" s="1"/>
      <c r="E1629" s="1"/>
      <c r="F1629" s="1"/>
      <c r="G1629" s="1"/>
      <c r="H1629" s="4" t="s">
        <v>13</v>
      </c>
    </row>
    <row r="1630" spans="1:12" ht="21.95" customHeight="1" x14ac:dyDescent="0.25">
      <c r="A1630" s="1"/>
      <c r="B1630" s="1" t="s">
        <v>18</v>
      </c>
      <c r="C1630" s="1"/>
      <c r="D1630" s="1"/>
      <c r="E1630" s="1"/>
      <c r="F1630" s="1"/>
      <c r="G1630" s="1"/>
      <c r="H1630" s="4" t="s">
        <v>14</v>
      </c>
    </row>
    <row r="1631" spans="1:12" ht="21.95" customHeight="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ht="21.95" customHeight="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 ht="21.95" customHeight="1" x14ac:dyDescent="0.25">
      <c r="A1633" s="1"/>
      <c r="B1633" s="103"/>
      <c r="C1633" s="103"/>
      <c r="D1633" s="103"/>
      <c r="E1633" s="103"/>
      <c r="F1633" s="103"/>
      <c r="G1633" s="103"/>
      <c r="H1633" s="103"/>
      <c r="I1633" s="103"/>
      <c r="J1633" s="103"/>
      <c r="K1633" s="103"/>
      <c r="L1633" s="1"/>
    </row>
    <row r="1634" spans="1:12" ht="21.95" customHeight="1" x14ac:dyDescent="0.25">
      <c r="A1634" s="1"/>
      <c r="K1634" s="103"/>
      <c r="L1634" s="1"/>
    </row>
    <row r="1635" spans="1:12" ht="21.95" customHeight="1" x14ac:dyDescent="0.25">
      <c r="A1635" s="1"/>
      <c r="B1635" s="95" t="s">
        <v>77</v>
      </c>
      <c r="H1635" s="37" t="s">
        <v>103</v>
      </c>
      <c r="I1635" s="95"/>
      <c r="J1635" s="92"/>
      <c r="K1635" s="103"/>
      <c r="L1635" s="1"/>
    </row>
    <row r="1636" spans="1:12" ht="21.95" customHeight="1" x14ac:dyDescent="0.25">
      <c r="A1636" s="1"/>
      <c r="B1636" s="99" t="s">
        <v>27</v>
      </c>
      <c r="C1636" s="57"/>
      <c r="H1636" s="1" t="s">
        <v>104</v>
      </c>
      <c r="K1636" s="103"/>
    </row>
    <row r="1639" spans="1:12" ht="21.95" customHeight="1" x14ac:dyDescent="0.25">
      <c r="A1639" s="3" t="s">
        <v>22</v>
      </c>
    </row>
    <row r="1640" spans="1:12" ht="21.95" customHeight="1" x14ac:dyDescent="0.2">
      <c r="A1640" s="122" t="s">
        <v>20</v>
      </c>
    </row>
    <row r="1641" spans="1:12" ht="21.95" customHeight="1" x14ac:dyDescent="0.2">
      <c r="A1641" s="122" t="s">
        <v>21</v>
      </c>
    </row>
    <row r="1645" spans="1:12" ht="21.95" customHeight="1" x14ac:dyDescent="0.3">
      <c r="A1645" s="276" t="s">
        <v>6</v>
      </c>
      <c r="B1645" s="276"/>
      <c r="C1645" s="276"/>
      <c r="D1645" s="276"/>
      <c r="E1645" s="276"/>
      <c r="F1645" s="276"/>
      <c r="G1645" s="276"/>
      <c r="H1645" s="276"/>
      <c r="I1645" s="276"/>
      <c r="J1645" s="276"/>
      <c r="K1645" s="276"/>
      <c r="L1645" s="276"/>
    </row>
    <row r="1646" spans="1:12" ht="21.95" customHeight="1" x14ac:dyDescent="0.3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</row>
    <row r="1647" spans="1:12" ht="21.95" customHeight="1" x14ac:dyDescent="0.3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</row>
    <row r="1648" spans="1:12" ht="21.95" customHeight="1" x14ac:dyDescent="0.25">
      <c r="A1648" s="1"/>
      <c r="B1648" s="1"/>
    </row>
    <row r="1649" spans="1:12" ht="21.95" customHeight="1" x14ac:dyDescent="0.25">
      <c r="A1649" s="1" t="s">
        <v>7</v>
      </c>
      <c r="B1649" s="1"/>
    </row>
    <row r="1650" spans="1:12" ht="21.95" customHeight="1" x14ac:dyDescent="0.25">
      <c r="A1650" s="1"/>
      <c r="B1650" s="1"/>
    </row>
    <row r="1651" spans="1:12" ht="21.95" customHeight="1" x14ac:dyDescent="0.25">
      <c r="A1651" s="1" t="s">
        <v>8</v>
      </c>
      <c r="C1651" s="9" t="s">
        <v>1</v>
      </c>
      <c r="D1651" s="40" t="s">
        <v>181</v>
      </c>
      <c r="E1651" s="76"/>
      <c r="F1651" s="76"/>
      <c r="G1651" s="76"/>
      <c r="H1651" s="76"/>
    </row>
    <row r="1652" spans="1:12" ht="21.95" customHeight="1" x14ac:dyDescent="0.25">
      <c r="A1652" s="1" t="s">
        <v>9</v>
      </c>
      <c r="C1652" s="9" t="s">
        <v>1</v>
      </c>
      <c r="D1652" s="10" t="s">
        <v>453</v>
      </c>
      <c r="E1652" s="76"/>
      <c r="F1652" s="76"/>
      <c r="G1652" s="76"/>
      <c r="H1652" s="76"/>
    </row>
    <row r="1653" spans="1:12" ht="21.95" customHeight="1" x14ac:dyDescent="0.2">
      <c r="A1653" s="50" t="s">
        <v>10</v>
      </c>
      <c r="B1653" s="76"/>
      <c r="C1653" s="91" t="s">
        <v>1</v>
      </c>
      <c r="D1653" s="50" t="s">
        <v>275</v>
      </c>
      <c r="E1653" s="76"/>
      <c r="F1653" s="76"/>
      <c r="G1653" s="76"/>
      <c r="H1653" s="76"/>
      <c r="I1653" s="76"/>
      <c r="J1653" s="76"/>
      <c r="K1653" s="76"/>
      <c r="L1653" s="76"/>
    </row>
    <row r="1654" spans="1:12" ht="21.95" customHeight="1" x14ac:dyDescent="0.25">
      <c r="A1654" s="1"/>
      <c r="B1654" s="1"/>
      <c r="D1654" s="1"/>
    </row>
    <row r="1655" spans="1:12" ht="21.95" customHeight="1" x14ac:dyDescent="0.2">
      <c r="A1655" s="277" t="s">
        <v>452</v>
      </c>
      <c r="B1655" s="277"/>
      <c r="C1655" s="277"/>
      <c r="D1655" s="277"/>
      <c r="E1655" s="277"/>
      <c r="F1655" s="277"/>
      <c r="G1655" s="277"/>
      <c r="H1655" s="277"/>
      <c r="I1655" s="277"/>
      <c r="J1655" s="277"/>
      <c r="K1655" s="277"/>
      <c r="L1655" s="277"/>
    </row>
    <row r="1656" spans="1:12" ht="21.95" customHeight="1" x14ac:dyDescent="0.25">
      <c r="A1656" s="1"/>
      <c r="B1656" s="1"/>
    </row>
    <row r="1657" spans="1:12" ht="21.95" customHeight="1" thickBot="1" x14ac:dyDescent="0.25">
      <c r="A1657" s="10" t="s">
        <v>0</v>
      </c>
      <c r="B1657" s="278" t="s">
        <v>91</v>
      </c>
      <c r="C1657" s="278"/>
      <c r="D1657" s="278"/>
      <c r="E1657" s="278"/>
      <c r="F1657" s="278"/>
      <c r="G1657" s="278"/>
      <c r="H1657" s="278"/>
      <c r="I1657" s="278"/>
      <c r="J1657" s="278"/>
      <c r="K1657" s="278"/>
      <c r="L1657" s="278"/>
    </row>
    <row r="1658" spans="1:12" ht="21.95" customHeight="1" thickTop="1" x14ac:dyDescent="0.25">
      <c r="A1658" s="1"/>
      <c r="B1658" s="11" t="s">
        <v>3</v>
      </c>
      <c r="C1658" s="12" t="s">
        <v>4</v>
      </c>
      <c r="D1658" s="13"/>
      <c r="E1658" s="13"/>
      <c r="F1658" s="13"/>
      <c r="G1658" s="13"/>
      <c r="H1658" s="14"/>
      <c r="I1658" s="15" t="s">
        <v>5</v>
      </c>
      <c r="J1658" s="12" t="s">
        <v>17</v>
      </c>
      <c r="K1658" s="13"/>
      <c r="L1658" s="14"/>
    </row>
    <row r="1659" spans="1:12" ht="21.95" customHeight="1" x14ac:dyDescent="0.2">
      <c r="B1659" s="96">
        <v>1</v>
      </c>
      <c r="C1659" s="140" t="s">
        <v>443</v>
      </c>
      <c r="D1659" s="76"/>
      <c r="E1659" s="150"/>
      <c r="F1659" s="144"/>
      <c r="G1659" s="76"/>
      <c r="H1659" s="79"/>
      <c r="I1659" s="56">
        <v>150000</v>
      </c>
      <c r="J1659" s="4" t="s">
        <v>204</v>
      </c>
      <c r="L1659" s="17"/>
    </row>
    <row r="1660" spans="1:12" ht="21.95" customHeight="1" x14ac:dyDescent="0.2">
      <c r="B1660" s="96"/>
      <c r="C1660" s="313"/>
      <c r="D1660" s="314"/>
      <c r="E1660" s="314"/>
      <c r="F1660" s="314"/>
      <c r="G1660" s="314"/>
      <c r="H1660" s="315"/>
      <c r="I1660" s="56"/>
      <c r="L1660" s="17"/>
    </row>
    <row r="1661" spans="1:12" ht="21.95" customHeight="1" x14ac:dyDescent="0.25">
      <c r="A1661" s="1"/>
      <c r="B1661" s="39"/>
      <c r="C1661" s="1"/>
      <c r="D1661" s="1"/>
      <c r="E1661" s="1"/>
      <c r="F1661" s="40" t="s">
        <v>5</v>
      </c>
      <c r="G1661" s="40"/>
      <c r="H1661" s="1"/>
      <c r="I1661" s="41">
        <f>I1659</f>
        <v>150000</v>
      </c>
      <c r="J1661" s="1"/>
      <c r="K1661" s="1"/>
      <c r="L1661" s="42"/>
    </row>
    <row r="1662" spans="1:12" ht="21.95" customHeight="1" thickBot="1" x14ac:dyDescent="0.3">
      <c r="A1662" s="1"/>
      <c r="B1662" s="43"/>
      <c r="C1662" s="44"/>
      <c r="D1662" s="44"/>
      <c r="E1662" s="44"/>
      <c r="F1662" s="45"/>
      <c r="G1662" s="45"/>
      <c r="H1662" s="44"/>
      <c r="I1662" s="46"/>
      <c r="J1662" s="44"/>
      <c r="K1662" s="44"/>
      <c r="L1662" s="47"/>
    </row>
    <row r="1663" spans="1:12" ht="21.95" customHeight="1" thickTop="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ht="21.95" customHeight="1" x14ac:dyDescent="0.2">
      <c r="A1664" s="10" t="s">
        <v>2</v>
      </c>
      <c r="B1664" s="279" t="s">
        <v>11</v>
      </c>
      <c r="C1664" s="279"/>
      <c r="D1664" s="279"/>
      <c r="E1664" s="279"/>
      <c r="F1664" s="279"/>
      <c r="G1664" s="279"/>
      <c r="H1664" s="279"/>
      <c r="I1664" s="279"/>
      <c r="J1664" s="279"/>
      <c r="K1664" s="279"/>
      <c r="L1664" s="279"/>
    </row>
    <row r="1665" spans="1:12" ht="21.95" customHeight="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 ht="21.95" customHeight="1" x14ac:dyDescent="0.2">
      <c r="A1666" s="280" t="s">
        <v>12</v>
      </c>
      <c r="B1666" s="280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</row>
    <row r="1667" spans="1:12" ht="21.95" customHeight="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 ht="21.95" customHeight="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 ht="21.95" customHeight="1" x14ac:dyDescent="0.25">
      <c r="A1669" s="1"/>
      <c r="B1669" s="1"/>
      <c r="C1669" s="1"/>
      <c r="D1669" s="1"/>
      <c r="E1669" s="1"/>
      <c r="F1669" s="1"/>
      <c r="G1669" s="1"/>
      <c r="H1669" s="4" t="s">
        <v>199</v>
      </c>
      <c r="J1669" s="286" t="s">
        <v>445</v>
      </c>
      <c r="K1669" s="286"/>
      <c r="L1669" s="286"/>
    </row>
    <row r="1670" spans="1:12" ht="21.95" customHeight="1" x14ac:dyDescent="0.25">
      <c r="A1670" s="1"/>
      <c r="B1670" s="1" t="s">
        <v>15</v>
      </c>
      <c r="C1670" s="1"/>
      <c r="D1670" s="1"/>
      <c r="E1670" s="1"/>
      <c r="F1670" s="1"/>
      <c r="G1670" s="1"/>
      <c r="H1670" s="4" t="s">
        <v>13</v>
      </c>
    </row>
    <row r="1671" spans="1:12" ht="21.95" customHeight="1" x14ac:dyDescent="0.25">
      <c r="A1671" s="1"/>
      <c r="B1671" s="1" t="s">
        <v>18</v>
      </c>
      <c r="C1671" s="1"/>
      <c r="D1671" s="1"/>
      <c r="E1671" s="1"/>
      <c r="F1671" s="1"/>
      <c r="G1671" s="1"/>
      <c r="H1671" s="4" t="s">
        <v>14</v>
      </c>
    </row>
    <row r="1672" spans="1:12" ht="21.95" customHeight="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ht="21.95" customHeight="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 ht="21.95" customHeight="1" x14ac:dyDescent="0.25">
      <c r="A1674" s="1"/>
      <c r="B1674" s="103"/>
      <c r="C1674" s="103"/>
      <c r="D1674" s="103"/>
      <c r="E1674" s="103"/>
      <c r="F1674" s="103"/>
      <c r="G1674" s="103"/>
      <c r="H1674" s="103"/>
      <c r="I1674" s="103"/>
      <c r="J1674" s="103"/>
      <c r="K1674" s="103"/>
      <c r="L1674" s="1"/>
    </row>
    <row r="1675" spans="1:12" ht="21.95" customHeight="1" x14ac:dyDescent="0.25">
      <c r="A1675" s="1"/>
      <c r="K1675" s="103"/>
      <c r="L1675" s="1"/>
    </row>
    <row r="1676" spans="1:12" ht="21.95" customHeight="1" x14ac:dyDescent="0.25">
      <c r="A1676" s="1"/>
      <c r="B1676" s="95" t="s">
        <v>77</v>
      </c>
      <c r="H1676" s="37" t="s">
        <v>181</v>
      </c>
      <c r="I1676" s="95"/>
      <c r="J1676" s="92"/>
      <c r="K1676" s="103"/>
      <c r="L1676" s="1"/>
    </row>
    <row r="1677" spans="1:12" ht="21.95" customHeight="1" x14ac:dyDescent="0.25">
      <c r="A1677" s="1"/>
      <c r="B1677" s="99" t="s">
        <v>27</v>
      </c>
      <c r="C1677" s="57"/>
      <c r="H1677" s="48" t="s">
        <v>182</v>
      </c>
      <c r="K1677" s="103"/>
    </row>
    <row r="1682" spans="1:12" ht="21.95" customHeight="1" x14ac:dyDescent="0.25">
      <c r="A1682" s="3" t="s">
        <v>22</v>
      </c>
    </row>
    <row r="1683" spans="1:12" ht="21.95" customHeight="1" x14ac:dyDescent="0.2">
      <c r="A1683" s="122" t="s">
        <v>20</v>
      </c>
    </row>
    <row r="1684" spans="1:12" ht="21.95" customHeight="1" x14ac:dyDescent="0.2">
      <c r="A1684" s="122" t="s">
        <v>21</v>
      </c>
    </row>
    <row r="1688" spans="1:12" ht="21.95" customHeight="1" x14ac:dyDescent="0.3">
      <c r="A1688" s="276" t="s">
        <v>6</v>
      </c>
      <c r="B1688" s="276"/>
      <c r="C1688" s="276"/>
      <c r="D1688" s="276"/>
      <c r="E1688" s="276"/>
      <c r="F1688" s="276"/>
      <c r="G1688" s="276"/>
      <c r="H1688" s="276"/>
      <c r="I1688" s="276"/>
      <c r="J1688" s="276"/>
      <c r="K1688" s="276"/>
      <c r="L1688" s="276"/>
    </row>
    <row r="1689" spans="1:12" ht="21.95" customHeight="1" x14ac:dyDescent="0.3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</row>
    <row r="1690" spans="1:12" ht="21.95" customHeight="1" x14ac:dyDescent="0.3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</row>
    <row r="1691" spans="1:12" ht="21.95" customHeight="1" x14ac:dyDescent="0.25">
      <c r="A1691" s="1"/>
      <c r="B1691" s="1"/>
    </row>
    <row r="1692" spans="1:12" ht="21.95" customHeight="1" x14ac:dyDescent="0.25">
      <c r="A1692" s="1" t="s">
        <v>7</v>
      </c>
      <c r="B1692" s="1"/>
    </row>
    <row r="1693" spans="1:12" ht="21.95" customHeight="1" x14ac:dyDescent="0.25">
      <c r="A1693" s="1"/>
      <c r="B1693" s="1"/>
    </row>
    <row r="1694" spans="1:12" ht="21.95" customHeight="1" x14ac:dyDescent="0.25">
      <c r="A1694" s="1" t="s">
        <v>8</v>
      </c>
      <c r="C1694" s="9" t="s">
        <v>1</v>
      </c>
      <c r="D1694" s="40" t="s">
        <v>36</v>
      </c>
      <c r="E1694" s="76"/>
      <c r="F1694" s="76"/>
      <c r="G1694" s="76"/>
      <c r="H1694" s="76"/>
    </row>
    <row r="1695" spans="1:12" ht="21.95" customHeight="1" x14ac:dyDescent="0.25">
      <c r="A1695" s="1" t="s">
        <v>9</v>
      </c>
      <c r="C1695" s="9" t="s">
        <v>1</v>
      </c>
      <c r="D1695" s="7" t="s">
        <v>363</v>
      </c>
      <c r="E1695" s="76"/>
      <c r="F1695" s="76"/>
      <c r="G1695" s="76"/>
      <c r="H1695" s="76"/>
    </row>
    <row r="1696" spans="1:12" ht="21.95" customHeight="1" x14ac:dyDescent="0.2">
      <c r="A1696" s="50" t="s">
        <v>10</v>
      </c>
      <c r="B1696" s="76"/>
      <c r="C1696" s="91" t="s">
        <v>1</v>
      </c>
      <c r="D1696" s="50" t="s">
        <v>235</v>
      </c>
      <c r="E1696" s="76"/>
      <c r="F1696" s="76"/>
      <c r="G1696" s="76"/>
      <c r="H1696" s="76"/>
      <c r="I1696" s="76"/>
      <c r="J1696" s="76"/>
      <c r="K1696" s="76"/>
      <c r="L1696" s="76"/>
    </row>
    <row r="1697" spans="1:12" ht="21.95" customHeight="1" x14ac:dyDescent="0.25">
      <c r="A1697" s="1"/>
      <c r="B1697" s="1"/>
      <c r="D1697" s="1"/>
    </row>
    <row r="1698" spans="1:12" ht="21.95" customHeight="1" x14ac:dyDescent="0.2">
      <c r="A1698" s="277" t="s">
        <v>452</v>
      </c>
      <c r="B1698" s="277"/>
      <c r="C1698" s="277"/>
      <c r="D1698" s="277"/>
      <c r="E1698" s="277"/>
      <c r="F1698" s="277"/>
      <c r="G1698" s="277"/>
      <c r="H1698" s="277"/>
      <c r="I1698" s="277"/>
      <c r="J1698" s="277"/>
      <c r="K1698" s="277"/>
      <c r="L1698" s="277"/>
    </row>
    <row r="1699" spans="1:12" ht="21.95" customHeight="1" x14ac:dyDescent="0.25">
      <c r="A1699" s="1"/>
      <c r="B1699" s="1"/>
    </row>
    <row r="1700" spans="1:12" ht="21.95" customHeight="1" thickBot="1" x14ac:dyDescent="0.25">
      <c r="A1700" s="10" t="s">
        <v>0</v>
      </c>
      <c r="B1700" s="278" t="s">
        <v>91</v>
      </c>
      <c r="C1700" s="278"/>
      <c r="D1700" s="278"/>
      <c r="E1700" s="278"/>
      <c r="F1700" s="278"/>
      <c r="G1700" s="278"/>
      <c r="H1700" s="278"/>
      <c r="I1700" s="278"/>
      <c r="J1700" s="278"/>
      <c r="K1700" s="278"/>
      <c r="L1700" s="278"/>
    </row>
    <row r="1701" spans="1:12" ht="21.95" customHeight="1" thickTop="1" x14ac:dyDescent="0.25">
      <c r="A1701" s="1"/>
      <c r="B1701" s="11" t="s">
        <v>3</v>
      </c>
      <c r="C1701" s="12" t="s">
        <v>4</v>
      </c>
      <c r="D1701" s="13"/>
      <c r="E1701" s="13"/>
      <c r="F1701" s="13"/>
      <c r="G1701" s="13"/>
      <c r="H1701" s="14"/>
      <c r="I1701" s="15" t="s">
        <v>5</v>
      </c>
      <c r="J1701" s="12" t="s">
        <v>17</v>
      </c>
      <c r="K1701" s="13"/>
      <c r="L1701" s="14"/>
    </row>
    <row r="1702" spans="1:12" ht="21.95" customHeight="1" x14ac:dyDescent="0.2">
      <c r="B1702" s="96">
        <v>1</v>
      </c>
      <c r="C1702" s="140" t="s">
        <v>443</v>
      </c>
      <c r="D1702" s="76"/>
      <c r="E1702" s="150"/>
      <c r="F1702" s="144"/>
      <c r="G1702" s="76"/>
      <c r="H1702" s="79"/>
      <c r="I1702" s="56">
        <v>150000</v>
      </c>
      <c r="J1702" s="4" t="s">
        <v>204</v>
      </c>
      <c r="L1702" s="17"/>
    </row>
    <row r="1703" spans="1:12" ht="21.95" customHeight="1" x14ac:dyDescent="0.2">
      <c r="B1703" s="96"/>
      <c r="C1703" s="313"/>
      <c r="D1703" s="314"/>
      <c r="E1703" s="314"/>
      <c r="F1703" s="314"/>
      <c r="G1703" s="314"/>
      <c r="H1703" s="315"/>
      <c r="I1703" s="56"/>
      <c r="L1703" s="17"/>
    </row>
    <row r="1704" spans="1:12" ht="21.95" customHeight="1" x14ac:dyDescent="0.25">
      <c r="A1704" s="1"/>
      <c r="B1704" s="39"/>
      <c r="C1704" s="1"/>
      <c r="D1704" s="1"/>
      <c r="E1704" s="1"/>
      <c r="F1704" s="40" t="s">
        <v>5</v>
      </c>
      <c r="G1704" s="40"/>
      <c r="H1704" s="1"/>
      <c r="I1704" s="41">
        <f>I1702</f>
        <v>150000</v>
      </c>
      <c r="J1704" s="1"/>
      <c r="K1704" s="1"/>
      <c r="L1704" s="42"/>
    </row>
    <row r="1705" spans="1:12" ht="21.95" customHeight="1" thickBot="1" x14ac:dyDescent="0.3">
      <c r="A1705" s="1"/>
      <c r="B1705" s="43"/>
      <c r="C1705" s="44"/>
      <c r="D1705" s="44"/>
      <c r="E1705" s="44"/>
      <c r="F1705" s="45"/>
      <c r="G1705" s="45"/>
      <c r="H1705" s="44"/>
      <c r="I1705" s="46"/>
      <c r="J1705" s="44"/>
      <c r="K1705" s="44"/>
      <c r="L1705" s="47"/>
    </row>
    <row r="1706" spans="1:12" ht="21.95" customHeight="1" thickTop="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ht="21.95" customHeight="1" x14ac:dyDescent="0.2">
      <c r="A1707" s="10" t="s">
        <v>2</v>
      </c>
      <c r="B1707" s="279" t="s">
        <v>11</v>
      </c>
      <c r="C1707" s="279"/>
      <c r="D1707" s="279"/>
      <c r="E1707" s="279"/>
      <c r="F1707" s="279"/>
      <c r="G1707" s="279"/>
      <c r="H1707" s="279"/>
      <c r="I1707" s="279"/>
      <c r="J1707" s="279"/>
      <c r="K1707" s="279"/>
      <c r="L1707" s="279"/>
    </row>
    <row r="1708" spans="1:12" ht="21.95" customHeight="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 ht="21.95" customHeight="1" x14ac:dyDescent="0.2">
      <c r="A1709" s="280" t="s">
        <v>12</v>
      </c>
      <c r="B1709" s="280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</row>
    <row r="1710" spans="1:12" ht="21.95" customHeight="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 ht="21.95" customHeight="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 ht="21.95" customHeight="1" x14ac:dyDescent="0.25">
      <c r="A1712" s="1"/>
      <c r="B1712" s="1"/>
      <c r="C1712" s="1"/>
      <c r="D1712" s="1"/>
      <c r="E1712" s="1"/>
      <c r="F1712" s="1"/>
      <c r="G1712" s="1"/>
      <c r="H1712" s="4" t="s">
        <v>199</v>
      </c>
      <c r="J1712" s="286" t="s">
        <v>445</v>
      </c>
      <c r="K1712" s="286"/>
      <c r="L1712" s="286"/>
    </row>
    <row r="1713" spans="1:12" s="148" customFormat="1" ht="21.95" customHeight="1" x14ac:dyDescent="0.25">
      <c r="A1713" s="1"/>
      <c r="B1713" s="1" t="s">
        <v>15</v>
      </c>
      <c r="C1713" s="1"/>
      <c r="D1713" s="1"/>
      <c r="E1713" s="1"/>
      <c r="F1713" s="1"/>
      <c r="G1713" s="1"/>
      <c r="H1713" s="4" t="s">
        <v>13</v>
      </c>
      <c r="I1713" s="4"/>
      <c r="J1713" s="4"/>
      <c r="K1713" s="4"/>
      <c r="L1713" s="4"/>
    </row>
    <row r="1714" spans="1:12" ht="21.95" customHeight="1" x14ac:dyDescent="0.25">
      <c r="A1714" s="1"/>
      <c r="B1714" s="1" t="s">
        <v>18</v>
      </c>
      <c r="C1714" s="1"/>
      <c r="D1714" s="1"/>
      <c r="E1714" s="1"/>
      <c r="F1714" s="1"/>
      <c r="G1714" s="1"/>
      <c r="H1714" s="4" t="s">
        <v>14</v>
      </c>
    </row>
    <row r="1715" spans="1:12" ht="21.95" customHeight="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 ht="21.95" customHeight="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 ht="21.95" customHeight="1" x14ac:dyDescent="0.25">
      <c r="A1717" s="1"/>
      <c r="B1717" s="103"/>
      <c r="C1717" s="103"/>
      <c r="D1717" s="103"/>
      <c r="E1717" s="103"/>
      <c r="F1717" s="103"/>
      <c r="G1717" s="103"/>
      <c r="H1717" s="103"/>
      <c r="I1717" s="103"/>
      <c r="J1717" s="103"/>
      <c r="K1717" s="103"/>
      <c r="L1717" s="1"/>
    </row>
    <row r="1718" spans="1:12" ht="21.95" customHeight="1" x14ac:dyDescent="0.25">
      <c r="A1718" s="1"/>
      <c r="K1718" s="103"/>
      <c r="L1718" s="1"/>
    </row>
    <row r="1719" spans="1:12" ht="21.95" customHeight="1" x14ac:dyDescent="0.25">
      <c r="A1719" s="1"/>
      <c r="B1719" s="95" t="s">
        <v>77</v>
      </c>
      <c r="H1719" s="37" t="s">
        <v>36</v>
      </c>
      <c r="I1719" s="95"/>
      <c r="J1719" s="92"/>
      <c r="K1719" s="103"/>
      <c r="L1719" s="1"/>
    </row>
    <row r="1720" spans="1:12" ht="21.95" customHeight="1" x14ac:dyDescent="0.25">
      <c r="A1720" s="1"/>
      <c r="B1720" s="99" t="s">
        <v>27</v>
      </c>
      <c r="C1720" s="57"/>
      <c r="H1720" s="48" t="s">
        <v>31</v>
      </c>
      <c r="K1720" s="103"/>
    </row>
    <row r="1723" spans="1:12" ht="21.95" customHeight="1" x14ac:dyDescent="0.25">
      <c r="A1723" s="3" t="s">
        <v>22</v>
      </c>
    </row>
    <row r="1724" spans="1:12" ht="21.95" customHeight="1" x14ac:dyDescent="0.2">
      <c r="A1724" s="122" t="s">
        <v>20</v>
      </c>
    </row>
    <row r="1725" spans="1:12" ht="21.95" customHeight="1" x14ac:dyDescent="0.2">
      <c r="A1725" s="122" t="s">
        <v>21</v>
      </c>
    </row>
    <row r="1729" spans="1:12" ht="21.95" customHeight="1" x14ac:dyDescent="0.3">
      <c r="A1729" s="276" t="s">
        <v>6</v>
      </c>
      <c r="B1729" s="276"/>
      <c r="C1729" s="276"/>
      <c r="D1729" s="276"/>
      <c r="E1729" s="276"/>
      <c r="F1729" s="276"/>
      <c r="G1729" s="276"/>
      <c r="H1729" s="276"/>
      <c r="I1729" s="276"/>
      <c r="J1729" s="276"/>
      <c r="K1729" s="276"/>
      <c r="L1729" s="276"/>
    </row>
    <row r="1730" spans="1:12" ht="21.95" customHeight="1" x14ac:dyDescent="0.3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</row>
    <row r="1731" spans="1:12" ht="21.95" customHeight="1" x14ac:dyDescent="0.3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</row>
    <row r="1732" spans="1:12" ht="21.95" customHeight="1" x14ac:dyDescent="0.25">
      <c r="A1732" s="1"/>
      <c r="B1732" s="1"/>
    </row>
    <row r="1733" spans="1:12" ht="21.95" customHeight="1" x14ac:dyDescent="0.25">
      <c r="A1733" s="1" t="s">
        <v>7</v>
      </c>
      <c r="B1733" s="1"/>
    </row>
    <row r="1734" spans="1:12" ht="21.95" customHeight="1" x14ac:dyDescent="0.25">
      <c r="A1734" s="1"/>
      <c r="B1734" s="1"/>
    </row>
    <row r="1735" spans="1:12" ht="21.95" customHeight="1" x14ac:dyDescent="0.25">
      <c r="A1735" s="1" t="s">
        <v>8</v>
      </c>
      <c r="C1735" s="9" t="s">
        <v>1</v>
      </c>
      <c r="D1735" s="40" t="s">
        <v>205</v>
      </c>
      <c r="E1735" s="76"/>
      <c r="F1735" s="76"/>
      <c r="G1735" s="76"/>
      <c r="H1735" s="76"/>
    </row>
    <row r="1736" spans="1:12" ht="21.95" customHeight="1" x14ac:dyDescent="0.25">
      <c r="A1736" s="1" t="s">
        <v>9</v>
      </c>
      <c r="C1736" s="9" t="s">
        <v>1</v>
      </c>
      <c r="D1736" s="7" t="s">
        <v>74</v>
      </c>
      <c r="E1736" s="76"/>
      <c r="F1736" s="76"/>
      <c r="G1736" s="76"/>
      <c r="H1736" s="76"/>
    </row>
    <row r="1737" spans="1:12" ht="21.95" customHeight="1" x14ac:dyDescent="0.2">
      <c r="A1737" s="50" t="s">
        <v>10</v>
      </c>
      <c r="B1737" s="76"/>
      <c r="C1737" s="91" t="s">
        <v>1</v>
      </c>
      <c r="D1737" s="50" t="s">
        <v>243</v>
      </c>
      <c r="E1737" s="76"/>
      <c r="F1737" s="76"/>
      <c r="G1737" s="76"/>
      <c r="H1737" s="76"/>
      <c r="I1737" s="76"/>
      <c r="J1737" s="76"/>
      <c r="K1737" s="76"/>
      <c r="L1737" s="76"/>
    </row>
    <row r="1738" spans="1:12" ht="21.95" customHeight="1" x14ac:dyDescent="0.25">
      <c r="A1738" s="1"/>
      <c r="B1738" s="1"/>
      <c r="D1738" s="1"/>
    </row>
    <row r="1739" spans="1:12" ht="21.95" customHeight="1" x14ac:dyDescent="0.2">
      <c r="A1739" s="277" t="s">
        <v>452</v>
      </c>
      <c r="B1739" s="277"/>
      <c r="C1739" s="277"/>
      <c r="D1739" s="277"/>
      <c r="E1739" s="277"/>
      <c r="F1739" s="277"/>
      <c r="G1739" s="277"/>
      <c r="H1739" s="277"/>
      <c r="I1739" s="277"/>
      <c r="J1739" s="277"/>
      <c r="K1739" s="277"/>
      <c r="L1739" s="277"/>
    </row>
    <row r="1740" spans="1:12" ht="21.95" customHeight="1" x14ac:dyDescent="0.25">
      <c r="A1740" s="1"/>
      <c r="B1740" s="1"/>
    </row>
    <row r="1741" spans="1:12" ht="21.95" customHeight="1" thickBot="1" x14ac:dyDescent="0.25">
      <c r="A1741" s="10" t="s">
        <v>0</v>
      </c>
      <c r="B1741" s="278" t="s">
        <v>91</v>
      </c>
      <c r="C1741" s="278"/>
      <c r="D1741" s="278"/>
      <c r="E1741" s="278"/>
      <c r="F1741" s="278"/>
      <c r="G1741" s="278"/>
      <c r="H1741" s="278"/>
      <c r="I1741" s="278"/>
      <c r="J1741" s="278"/>
      <c r="K1741" s="278"/>
      <c r="L1741" s="278"/>
    </row>
    <row r="1742" spans="1:12" ht="21.95" customHeight="1" thickTop="1" x14ac:dyDescent="0.25">
      <c r="A1742" s="1"/>
      <c r="B1742" s="11" t="s">
        <v>3</v>
      </c>
      <c r="C1742" s="12" t="s">
        <v>4</v>
      </c>
      <c r="D1742" s="13"/>
      <c r="E1742" s="13"/>
      <c r="F1742" s="13"/>
      <c r="G1742" s="13"/>
      <c r="H1742" s="14"/>
      <c r="I1742" s="15" t="s">
        <v>5</v>
      </c>
      <c r="J1742" s="12" t="s">
        <v>17</v>
      </c>
      <c r="K1742" s="13"/>
      <c r="L1742" s="14"/>
    </row>
    <row r="1743" spans="1:12" ht="21.95" customHeight="1" x14ac:dyDescent="0.2">
      <c r="B1743" s="96">
        <v>1</v>
      </c>
      <c r="C1743" s="140" t="s">
        <v>443</v>
      </c>
      <c r="D1743" s="76"/>
      <c r="E1743" s="150"/>
      <c r="F1743" s="144"/>
      <c r="G1743" s="76"/>
      <c r="H1743" s="79"/>
      <c r="I1743" s="56">
        <v>150000</v>
      </c>
      <c r="J1743" s="4" t="s">
        <v>204</v>
      </c>
      <c r="L1743" s="17"/>
    </row>
    <row r="1744" spans="1:12" ht="21.95" customHeight="1" x14ac:dyDescent="0.2">
      <c r="B1744" s="96"/>
      <c r="C1744" s="313"/>
      <c r="D1744" s="314"/>
      <c r="E1744" s="314"/>
      <c r="F1744" s="314"/>
      <c r="G1744" s="314"/>
      <c r="H1744" s="315"/>
      <c r="I1744" s="56"/>
      <c r="L1744" s="17"/>
    </row>
    <row r="1745" spans="1:12" ht="21.95" customHeight="1" x14ac:dyDescent="0.25">
      <c r="A1745" s="1"/>
      <c r="B1745" s="39"/>
      <c r="C1745" s="1"/>
      <c r="D1745" s="1"/>
      <c r="E1745" s="1"/>
      <c r="F1745" s="40" t="s">
        <v>5</v>
      </c>
      <c r="G1745" s="40"/>
      <c r="H1745" s="1"/>
      <c r="I1745" s="41">
        <f>I1743</f>
        <v>150000</v>
      </c>
      <c r="J1745" s="1"/>
      <c r="K1745" s="1"/>
      <c r="L1745" s="42"/>
    </row>
    <row r="1746" spans="1:12" ht="21.95" customHeight="1" thickBot="1" x14ac:dyDescent="0.3">
      <c r="A1746" s="1"/>
      <c r="B1746" s="43"/>
      <c r="C1746" s="44"/>
      <c r="D1746" s="44"/>
      <c r="E1746" s="44"/>
      <c r="F1746" s="45"/>
      <c r="G1746" s="45"/>
      <c r="H1746" s="44"/>
      <c r="I1746" s="46"/>
      <c r="J1746" s="44"/>
      <c r="K1746" s="44"/>
      <c r="L1746" s="47"/>
    </row>
    <row r="1747" spans="1:12" ht="21.95" customHeight="1" thickTop="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 ht="21.95" customHeight="1" x14ac:dyDescent="0.2">
      <c r="A1748" s="10" t="s">
        <v>2</v>
      </c>
      <c r="B1748" s="279" t="s">
        <v>11</v>
      </c>
      <c r="C1748" s="279"/>
      <c r="D1748" s="279"/>
      <c r="E1748" s="279"/>
      <c r="F1748" s="279"/>
      <c r="G1748" s="279"/>
      <c r="H1748" s="279"/>
      <c r="I1748" s="279"/>
      <c r="J1748" s="279"/>
      <c r="K1748" s="279"/>
      <c r="L1748" s="279"/>
    </row>
    <row r="1749" spans="1:12" ht="21.95" customHeight="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 ht="21.95" customHeight="1" x14ac:dyDescent="0.2">
      <c r="A1750" s="280" t="s">
        <v>12</v>
      </c>
      <c r="B1750" s="280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</row>
    <row r="1751" spans="1:12" ht="21.95" customHeight="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 ht="21.95" customHeight="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 ht="21.95" customHeight="1" x14ac:dyDescent="0.25">
      <c r="A1753" s="1"/>
      <c r="B1753" s="1"/>
      <c r="C1753" s="1"/>
      <c r="D1753" s="1"/>
      <c r="E1753" s="1"/>
      <c r="F1753" s="1"/>
      <c r="G1753" s="1"/>
      <c r="H1753" s="4" t="s">
        <v>199</v>
      </c>
      <c r="J1753" s="286" t="s">
        <v>445</v>
      </c>
      <c r="K1753" s="286"/>
      <c r="L1753" s="286"/>
    </row>
    <row r="1754" spans="1:12" ht="21.95" customHeight="1" x14ac:dyDescent="0.25">
      <c r="A1754" s="1"/>
      <c r="B1754" s="1" t="s">
        <v>15</v>
      </c>
      <c r="C1754" s="1"/>
      <c r="D1754" s="1"/>
      <c r="E1754" s="1"/>
      <c r="F1754" s="1"/>
      <c r="G1754" s="1"/>
      <c r="H1754" s="4" t="s">
        <v>13</v>
      </c>
    </row>
    <row r="1755" spans="1:12" ht="21.95" customHeight="1" x14ac:dyDescent="0.25">
      <c r="A1755" s="1"/>
      <c r="B1755" s="1" t="s">
        <v>18</v>
      </c>
      <c r="C1755" s="1"/>
      <c r="D1755" s="1"/>
      <c r="E1755" s="1"/>
      <c r="F1755" s="1"/>
      <c r="G1755" s="1"/>
      <c r="H1755" s="4" t="s">
        <v>14</v>
      </c>
    </row>
    <row r="1756" spans="1:12" ht="21.95" customHeight="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 s="148" customFormat="1" ht="21.95" customHeight="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 ht="21.95" customHeight="1" x14ac:dyDescent="0.25">
      <c r="A1758" s="1"/>
      <c r="B1758" s="103"/>
      <c r="C1758" s="103"/>
      <c r="D1758" s="103"/>
      <c r="E1758" s="103"/>
      <c r="F1758" s="103"/>
      <c r="G1758" s="103"/>
      <c r="H1758" s="103"/>
      <c r="I1758" s="103"/>
      <c r="J1758" s="103"/>
      <c r="K1758" s="103"/>
      <c r="L1758" s="1"/>
    </row>
    <row r="1759" spans="1:12" ht="21.95" customHeight="1" x14ac:dyDescent="0.25">
      <c r="A1759" s="1"/>
      <c r="K1759" s="103"/>
      <c r="L1759" s="1"/>
    </row>
    <row r="1760" spans="1:12" ht="21.95" customHeight="1" x14ac:dyDescent="0.25">
      <c r="A1760" s="1"/>
      <c r="B1760" s="95" t="s">
        <v>77</v>
      </c>
      <c r="H1760" s="40" t="s">
        <v>205</v>
      </c>
      <c r="I1760" s="95"/>
      <c r="J1760" s="92"/>
      <c r="K1760" s="103"/>
      <c r="L1760" s="1"/>
    </row>
    <row r="1761" spans="1:12" ht="21.95" customHeight="1" x14ac:dyDescent="0.25">
      <c r="A1761" s="1"/>
      <c r="B1761" s="99" t="s">
        <v>27</v>
      </c>
      <c r="C1761" s="57"/>
      <c r="H1761" s="48"/>
      <c r="K1761" s="103"/>
    </row>
    <row r="1765" spans="1:12" ht="21.95" customHeight="1" x14ac:dyDescent="0.25">
      <c r="A1765" s="3" t="s">
        <v>22</v>
      </c>
    </row>
    <row r="1766" spans="1:12" ht="21.95" customHeight="1" x14ac:dyDescent="0.2">
      <c r="A1766" s="122" t="s">
        <v>20</v>
      </c>
    </row>
    <row r="1767" spans="1:12" ht="21.95" customHeight="1" x14ac:dyDescent="0.2">
      <c r="A1767" s="122" t="s">
        <v>21</v>
      </c>
    </row>
    <row r="1771" spans="1:12" ht="21.95" customHeight="1" x14ac:dyDescent="0.3">
      <c r="A1771" s="276" t="s">
        <v>6</v>
      </c>
      <c r="B1771" s="276"/>
      <c r="C1771" s="276"/>
      <c r="D1771" s="276"/>
      <c r="E1771" s="276"/>
      <c r="F1771" s="276"/>
      <c r="G1771" s="276"/>
      <c r="H1771" s="276"/>
      <c r="I1771" s="276"/>
      <c r="J1771" s="276"/>
      <c r="K1771" s="276"/>
      <c r="L1771" s="276"/>
    </row>
    <row r="1772" spans="1:12" ht="21.95" customHeight="1" x14ac:dyDescent="0.3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</row>
    <row r="1773" spans="1:12" ht="21.95" customHeight="1" x14ac:dyDescent="0.3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</row>
    <row r="1774" spans="1:12" ht="21.95" customHeight="1" x14ac:dyDescent="0.25">
      <c r="A1774" s="1"/>
      <c r="B1774" s="1"/>
    </row>
    <row r="1775" spans="1:12" ht="21.95" customHeight="1" x14ac:dyDescent="0.25">
      <c r="A1775" s="1" t="s">
        <v>7</v>
      </c>
      <c r="B1775" s="1"/>
    </row>
    <row r="1776" spans="1:12" ht="21.95" customHeight="1" x14ac:dyDescent="0.25">
      <c r="A1776" s="1"/>
      <c r="B1776" s="1"/>
    </row>
    <row r="1777" spans="1:12" ht="21.95" customHeight="1" x14ac:dyDescent="0.25">
      <c r="A1777" s="1" t="s">
        <v>8</v>
      </c>
      <c r="C1777" s="9" t="s">
        <v>1</v>
      </c>
      <c r="D1777" s="40" t="s">
        <v>455</v>
      </c>
      <c r="E1777" s="76"/>
      <c r="F1777" s="76"/>
      <c r="G1777" s="76"/>
      <c r="H1777" s="76"/>
    </row>
    <row r="1778" spans="1:12" ht="21.95" customHeight="1" x14ac:dyDescent="0.25">
      <c r="A1778" s="1" t="s">
        <v>9</v>
      </c>
      <c r="C1778" s="9" t="s">
        <v>1</v>
      </c>
      <c r="D1778" s="7" t="s">
        <v>74</v>
      </c>
      <c r="E1778" s="76"/>
      <c r="F1778" s="76"/>
      <c r="G1778" s="76"/>
      <c r="H1778" s="76"/>
    </row>
    <row r="1779" spans="1:12" ht="21.95" customHeight="1" x14ac:dyDescent="0.2">
      <c r="A1779" s="50" t="s">
        <v>10</v>
      </c>
      <c r="B1779" s="76"/>
      <c r="C1779" s="91" t="s">
        <v>1</v>
      </c>
      <c r="D1779" s="50" t="s">
        <v>454</v>
      </c>
      <c r="E1779" s="76"/>
      <c r="F1779" s="76"/>
      <c r="G1779" s="76"/>
      <c r="H1779" s="76"/>
      <c r="I1779" s="76"/>
      <c r="J1779" s="76"/>
      <c r="K1779" s="76"/>
      <c r="L1779" s="76"/>
    </row>
    <row r="1780" spans="1:12" ht="21.95" customHeight="1" x14ac:dyDescent="0.25">
      <c r="A1780" s="1"/>
      <c r="B1780" s="1"/>
      <c r="D1780" s="1"/>
    </row>
    <row r="1781" spans="1:12" ht="21.95" customHeight="1" x14ac:dyDescent="0.2">
      <c r="A1781" s="277" t="s">
        <v>452</v>
      </c>
      <c r="B1781" s="277"/>
      <c r="C1781" s="277"/>
      <c r="D1781" s="277"/>
      <c r="E1781" s="277"/>
      <c r="F1781" s="277"/>
      <c r="G1781" s="277"/>
      <c r="H1781" s="277"/>
      <c r="I1781" s="277"/>
      <c r="J1781" s="277"/>
      <c r="K1781" s="277"/>
      <c r="L1781" s="277"/>
    </row>
    <row r="1782" spans="1:12" ht="21.95" customHeight="1" x14ac:dyDescent="0.25">
      <c r="A1782" s="1"/>
      <c r="B1782" s="1"/>
    </row>
    <row r="1783" spans="1:12" ht="21.95" customHeight="1" thickBot="1" x14ac:dyDescent="0.25">
      <c r="A1783" s="10" t="s">
        <v>0</v>
      </c>
      <c r="B1783" s="278" t="s">
        <v>91</v>
      </c>
      <c r="C1783" s="278"/>
      <c r="D1783" s="278"/>
      <c r="E1783" s="278"/>
      <c r="F1783" s="278"/>
      <c r="G1783" s="278"/>
      <c r="H1783" s="278"/>
      <c r="I1783" s="278"/>
      <c r="J1783" s="278"/>
      <c r="K1783" s="278"/>
      <c r="L1783" s="278"/>
    </row>
    <row r="1784" spans="1:12" ht="21.95" customHeight="1" thickTop="1" x14ac:dyDescent="0.25">
      <c r="A1784" s="1"/>
      <c r="B1784" s="11" t="s">
        <v>3</v>
      </c>
      <c r="C1784" s="12" t="s">
        <v>4</v>
      </c>
      <c r="D1784" s="13"/>
      <c r="E1784" s="13"/>
      <c r="F1784" s="13"/>
      <c r="G1784" s="13"/>
      <c r="H1784" s="14"/>
      <c r="I1784" s="15" t="s">
        <v>5</v>
      </c>
      <c r="J1784" s="12" t="s">
        <v>17</v>
      </c>
      <c r="K1784" s="13"/>
      <c r="L1784" s="14"/>
    </row>
    <row r="1785" spans="1:12" ht="21.95" customHeight="1" x14ac:dyDescent="0.2">
      <c r="B1785" s="96">
        <v>1</v>
      </c>
      <c r="C1785" s="140" t="s">
        <v>443</v>
      </c>
      <c r="D1785" s="76"/>
      <c r="E1785" s="150"/>
      <c r="F1785" s="144"/>
      <c r="G1785" s="76"/>
      <c r="H1785" s="79"/>
      <c r="I1785" s="56">
        <v>150000</v>
      </c>
      <c r="J1785" s="4" t="s">
        <v>204</v>
      </c>
      <c r="L1785" s="17"/>
    </row>
    <row r="1786" spans="1:12" ht="21.95" customHeight="1" x14ac:dyDescent="0.2">
      <c r="B1786" s="96"/>
      <c r="C1786" s="313"/>
      <c r="D1786" s="314"/>
      <c r="E1786" s="314"/>
      <c r="F1786" s="314"/>
      <c r="G1786" s="314"/>
      <c r="H1786" s="315"/>
      <c r="I1786" s="56"/>
      <c r="L1786" s="17"/>
    </row>
    <row r="1787" spans="1:12" ht="21.95" customHeight="1" x14ac:dyDescent="0.25">
      <c r="A1787" s="1"/>
      <c r="B1787" s="39"/>
      <c r="C1787" s="1"/>
      <c r="D1787" s="1"/>
      <c r="E1787" s="1"/>
      <c r="F1787" s="40" t="s">
        <v>5</v>
      </c>
      <c r="G1787" s="40"/>
      <c r="H1787" s="1"/>
      <c r="I1787" s="41">
        <f>I1785</f>
        <v>150000</v>
      </c>
      <c r="J1787" s="1"/>
      <c r="K1787" s="1"/>
      <c r="L1787" s="42"/>
    </row>
    <row r="1788" spans="1:12" ht="21.95" customHeight="1" thickBot="1" x14ac:dyDescent="0.3">
      <c r="A1788" s="1"/>
      <c r="B1788" s="43"/>
      <c r="C1788" s="44"/>
      <c r="D1788" s="44"/>
      <c r="E1788" s="44"/>
      <c r="F1788" s="45"/>
      <c r="G1788" s="45"/>
      <c r="H1788" s="44"/>
      <c r="I1788" s="46"/>
      <c r="J1788" s="44"/>
      <c r="K1788" s="44"/>
      <c r="L1788" s="47"/>
    </row>
    <row r="1789" spans="1:12" ht="21.95" customHeight="1" thickTop="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 ht="21.95" customHeight="1" x14ac:dyDescent="0.2">
      <c r="A1790" s="10" t="s">
        <v>2</v>
      </c>
      <c r="B1790" s="279" t="s">
        <v>11</v>
      </c>
      <c r="C1790" s="279"/>
      <c r="D1790" s="279"/>
      <c r="E1790" s="279"/>
      <c r="F1790" s="279"/>
      <c r="G1790" s="279"/>
      <c r="H1790" s="279"/>
      <c r="I1790" s="279"/>
      <c r="J1790" s="279"/>
      <c r="K1790" s="279"/>
      <c r="L1790" s="279"/>
    </row>
    <row r="1791" spans="1:12" ht="21.95" customHeight="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ht="21.95" customHeight="1" x14ac:dyDescent="0.2">
      <c r="A1792" s="280" t="s">
        <v>12</v>
      </c>
      <c r="B1792" s="280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</row>
    <row r="1793" spans="1:12" ht="21.95" customHeight="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ht="21.95" customHeight="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ht="21.95" customHeight="1" x14ac:dyDescent="0.25">
      <c r="A1795" s="1"/>
      <c r="B1795" s="1"/>
      <c r="C1795" s="1"/>
      <c r="D1795" s="1"/>
      <c r="E1795" s="1"/>
      <c r="F1795" s="1"/>
      <c r="G1795" s="1"/>
      <c r="H1795" s="4" t="s">
        <v>199</v>
      </c>
      <c r="J1795" s="286" t="s">
        <v>445</v>
      </c>
      <c r="K1795" s="286"/>
      <c r="L1795" s="286"/>
    </row>
    <row r="1796" spans="1:12" ht="21.95" customHeight="1" x14ac:dyDescent="0.25">
      <c r="A1796" s="1"/>
      <c r="B1796" s="1" t="s">
        <v>15</v>
      </c>
      <c r="C1796" s="1"/>
      <c r="D1796" s="1"/>
      <c r="E1796" s="1"/>
      <c r="F1796" s="1"/>
      <c r="G1796" s="1"/>
      <c r="H1796" s="4" t="s">
        <v>13</v>
      </c>
    </row>
    <row r="1797" spans="1:12" ht="21.95" customHeight="1" x14ac:dyDescent="0.25">
      <c r="A1797" s="1"/>
      <c r="B1797" s="1" t="s">
        <v>18</v>
      </c>
      <c r="C1797" s="1"/>
      <c r="D1797" s="1"/>
      <c r="E1797" s="1"/>
      <c r="F1797" s="1"/>
      <c r="G1797" s="1"/>
      <c r="H1797" s="4" t="s">
        <v>14</v>
      </c>
    </row>
    <row r="1798" spans="1:12" ht="21.95" customHeight="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ht="21.95" customHeight="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 ht="21.95" customHeight="1" x14ac:dyDescent="0.25">
      <c r="A1800" s="1"/>
      <c r="B1800" s="103"/>
      <c r="C1800" s="103"/>
      <c r="D1800" s="103"/>
      <c r="E1800" s="103"/>
      <c r="F1800" s="103"/>
      <c r="G1800" s="103"/>
      <c r="H1800" s="103"/>
      <c r="I1800" s="103"/>
      <c r="J1800" s="103"/>
      <c r="K1800" s="103"/>
      <c r="L1800" s="1"/>
    </row>
    <row r="1801" spans="1:12" ht="21.95" customHeight="1" x14ac:dyDescent="0.25">
      <c r="A1801" s="1"/>
      <c r="K1801" s="103"/>
      <c r="L1801" s="1"/>
    </row>
    <row r="1802" spans="1:12" ht="21.95" customHeight="1" x14ac:dyDescent="0.25">
      <c r="A1802" s="1"/>
      <c r="B1802" s="95" t="s">
        <v>77</v>
      </c>
      <c r="H1802" s="40" t="s">
        <v>455</v>
      </c>
      <c r="I1802" s="95"/>
      <c r="J1802" s="92"/>
      <c r="K1802" s="103"/>
      <c r="L1802" s="1"/>
    </row>
    <row r="1803" spans="1:12" ht="21.95" customHeight="1" x14ac:dyDescent="0.25">
      <c r="A1803" s="1"/>
      <c r="B1803" s="99" t="s">
        <v>27</v>
      </c>
      <c r="C1803" s="57"/>
      <c r="H1803" s="48"/>
      <c r="K1803" s="103"/>
    </row>
    <row r="1810" spans="1:12" ht="21.95" customHeight="1" x14ac:dyDescent="0.25">
      <c r="A1810" s="3" t="s">
        <v>22</v>
      </c>
    </row>
    <row r="1811" spans="1:12" ht="21.95" customHeight="1" x14ac:dyDescent="0.2">
      <c r="A1811" s="122" t="s">
        <v>20</v>
      </c>
    </row>
    <row r="1812" spans="1:12" ht="21.95" customHeight="1" x14ac:dyDescent="0.2">
      <c r="A1812" s="122" t="s">
        <v>21</v>
      </c>
    </row>
    <row r="1816" spans="1:12" ht="21.95" customHeight="1" x14ac:dyDescent="0.3">
      <c r="A1816" s="276" t="s">
        <v>6</v>
      </c>
      <c r="B1816" s="276"/>
      <c r="C1816" s="276"/>
      <c r="D1816" s="276"/>
      <c r="E1816" s="276"/>
      <c r="F1816" s="276"/>
      <c r="G1816" s="276"/>
      <c r="H1816" s="276"/>
      <c r="I1816" s="276"/>
      <c r="J1816" s="276"/>
      <c r="K1816" s="276"/>
      <c r="L1816" s="276"/>
    </row>
    <row r="1817" spans="1:12" ht="21.95" customHeight="1" x14ac:dyDescent="0.3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</row>
    <row r="1818" spans="1:12" ht="21.95" customHeight="1" x14ac:dyDescent="0.3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</row>
    <row r="1819" spans="1:12" ht="21.95" customHeight="1" x14ac:dyDescent="0.25">
      <c r="A1819" s="1"/>
      <c r="B1819" s="1"/>
    </row>
    <row r="1820" spans="1:12" ht="21.95" customHeight="1" x14ac:dyDescent="0.25">
      <c r="A1820" s="1" t="s">
        <v>7</v>
      </c>
      <c r="B1820" s="1"/>
    </row>
    <row r="1821" spans="1:12" ht="21.95" customHeight="1" x14ac:dyDescent="0.25">
      <c r="A1821" s="1"/>
      <c r="B1821" s="1"/>
    </row>
    <row r="1822" spans="1:12" ht="21.95" customHeight="1" x14ac:dyDescent="0.25">
      <c r="A1822" s="1" t="s">
        <v>8</v>
      </c>
      <c r="C1822" s="9" t="s">
        <v>1</v>
      </c>
      <c r="D1822" s="92" t="s">
        <v>77</v>
      </c>
      <c r="E1822" s="76"/>
      <c r="F1822" s="76"/>
      <c r="G1822" s="76"/>
      <c r="H1822" s="76"/>
    </row>
    <row r="1823" spans="1:12" ht="21.95" customHeight="1" x14ac:dyDescent="0.25">
      <c r="A1823" s="1" t="s">
        <v>9</v>
      </c>
      <c r="C1823" s="9" t="s">
        <v>1</v>
      </c>
      <c r="D1823" s="146" t="s">
        <v>201</v>
      </c>
      <c r="E1823" s="76"/>
      <c r="F1823" s="76"/>
      <c r="G1823" s="76"/>
      <c r="H1823" s="76"/>
    </row>
    <row r="1824" spans="1:12" ht="21.95" customHeight="1" x14ac:dyDescent="0.2">
      <c r="A1824" s="50" t="s">
        <v>10</v>
      </c>
      <c r="B1824" s="76"/>
      <c r="C1824" s="91" t="s">
        <v>1</v>
      </c>
      <c r="D1824" s="4" t="s">
        <v>265</v>
      </c>
      <c r="E1824" s="76"/>
      <c r="F1824" s="76"/>
      <c r="G1824" s="76"/>
      <c r="H1824" s="76"/>
      <c r="I1824" s="76"/>
      <c r="J1824" s="76"/>
      <c r="K1824" s="76"/>
      <c r="L1824" s="76"/>
    </row>
    <row r="1825" spans="1:12" ht="21.95" customHeight="1" x14ac:dyDescent="0.25">
      <c r="A1825" s="1"/>
      <c r="B1825" s="1"/>
      <c r="D1825" s="1"/>
    </row>
    <row r="1826" spans="1:12" ht="21.95" customHeight="1" x14ac:dyDescent="0.2">
      <c r="A1826" s="277" t="s">
        <v>456</v>
      </c>
      <c r="B1826" s="277"/>
      <c r="C1826" s="277"/>
      <c r="D1826" s="277"/>
      <c r="E1826" s="277"/>
      <c r="F1826" s="277"/>
      <c r="G1826" s="277"/>
      <c r="H1826" s="277"/>
      <c r="I1826" s="277"/>
      <c r="J1826" s="277"/>
      <c r="K1826" s="277"/>
      <c r="L1826" s="277"/>
    </row>
    <row r="1827" spans="1:12" ht="21.95" customHeight="1" x14ac:dyDescent="0.25">
      <c r="A1827" s="1"/>
      <c r="B1827" s="1"/>
    </row>
    <row r="1828" spans="1:12" ht="21.95" customHeight="1" thickBot="1" x14ac:dyDescent="0.25">
      <c r="A1828" s="10" t="s">
        <v>0</v>
      </c>
      <c r="B1828" s="278" t="s">
        <v>91</v>
      </c>
      <c r="C1828" s="278"/>
      <c r="D1828" s="278"/>
      <c r="E1828" s="278"/>
      <c r="F1828" s="278"/>
      <c r="G1828" s="278"/>
      <c r="H1828" s="278"/>
      <c r="I1828" s="278"/>
      <c r="J1828" s="278"/>
      <c r="K1828" s="278"/>
      <c r="L1828" s="278"/>
    </row>
    <row r="1829" spans="1:12" ht="21.95" customHeight="1" thickTop="1" x14ac:dyDescent="0.25">
      <c r="A1829" s="1"/>
      <c r="B1829" s="11" t="s">
        <v>3</v>
      </c>
      <c r="C1829" s="12" t="s">
        <v>4</v>
      </c>
      <c r="D1829" s="13"/>
      <c r="E1829" s="13"/>
      <c r="F1829" s="13"/>
      <c r="G1829" s="13"/>
      <c r="H1829" s="14"/>
      <c r="I1829" s="15" t="s">
        <v>5</v>
      </c>
      <c r="J1829" s="12" t="s">
        <v>17</v>
      </c>
      <c r="K1829" s="13"/>
      <c r="L1829" s="14"/>
    </row>
    <row r="1830" spans="1:12" ht="21.95" customHeight="1" x14ac:dyDescent="0.2">
      <c r="B1830" s="96">
        <v>1</v>
      </c>
      <c r="C1830" s="140" t="s">
        <v>238</v>
      </c>
      <c r="D1830" s="76"/>
      <c r="E1830" s="131">
        <v>1957000</v>
      </c>
      <c r="F1830" s="167" t="s">
        <v>239</v>
      </c>
      <c r="G1830" s="167"/>
      <c r="H1830" s="166"/>
      <c r="I1830" s="56">
        <f>E1830*30/100*1</f>
        <v>587100</v>
      </c>
      <c r="J1830" s="76" t="s">
        <v>240</v>
      </c>
      <c r="L1830" s="17"/>
    </row>
    <row r="1831" spans="1:12" ht="21.95" customHeight="1" x14ac:dyDescent="0.2">
      <c r="B1831" s="96"/>
      <c r="C1831" s="313"/>
      <c r="D1831" s="314"/>
      <c r="E1831" s="314"/>
      <c r="F1831" s="314"/>
      <c r="G1831" s="314"/>
      <c r="H1831" s="315"/>
      <c r="I1831" s="56"/>
      <c r="L1831" s="17"/>
    </row>
    <row r="1832" spans="1:12" ht="21.95" customHeight="1" x14ac:dyDescent="0.25">
      <c r="A1832" s="1"/>
      <c r="B1832" s="39"/>
      <c r="C1832" s="1"/>
      <c r="D1832" s="1"/>
      <c r="E1832" s="1"/>
      <c r="F1832" s="40" t="s">
        <v>5</v>
      </c>
      <c r="G1832" s="40"/>
      <c r="H1832" s="1"/>
      <c r="I1832" s="41">
        <f>I1830</f>
        <v>587100</v>
      </c>
      <c r="J1832" s="1"/>
      <c r="K1832" s="1"/>
      <c r="L1832" s="42"/>
    </row>
    <row r="1833" spans="1:12" ht="21.95" customHeight="1" thickBot="1" x14ac:dyDescent="0.3">
      <c r="A1833" s="1"/>
      <c r="B1833" s="43"/>
      <c r="C1833" s="44"/>
      <c r="D1833" s="44"/>
      <c r="E1833" s="44"/>
      <c r="F1833" s="45"/>
      <c r="G1833" s="45"/>
      <c r="H1833" s="44"/>
      <c r="I1833" s="46"/>
      <c r="J1833" s="44"/>
      <c r="K1833" s="44"/>
      <c r="L1833" s="47"/>
    </row>
    <row r="1834" spans="1:12" ht="21.95" customHeight="1" thickTop="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 ht="21.95" customHeight="1" x14ac:dyDescent="0.2">
      <c r="A1835" s="10" t="s">
        <v>2</v>
      </c>
      <c r="B1835" s="279" t="s">
        <v>11</v>
      </c>
      <c r="C1835" s="279"/>
      <c r="D1835" s="279"/>
      <c r="E1835" s="279"/>
      <c r="F1835" s="279"/>
      <c r="G1835" s="279"/>
      <c r="H1835" s="279"/>
      <c r="I1835" s="279"/>
      <c r="J1835" s="279"/>
      <c r="K1835" s="279"/>
      <c r="L1835" s="279"/>
    </row>
    <row r="1836" spans="1:12" ht="21.95" customHeight="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ht="21.95" customHeight="1" x14ac:dyDescent="0.2">
      <c r="A1837" s="280" t="s">
        <v>12</v>
      </c>
      <c r="B1837" s="280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</row>
    <row r="1838" spans="1:12" ht="21.95" customHeight="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 ht="21.95" customHeight="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 ht="21.95" customHeight="1" x14ac:dyDescent="0.25">
      <c r="A1840" s="1"/>
      <c r="B1840" s="1"/>
      <c r="C1840" s="1"/>
      <c r="D1840" s="1"/>
      <c r="E1840" s="1"/>
      <c r="F1840" s="1"/>
      <c r="G1840" s="1"/>
      <c r="H1840" s="4" t="s">
        <v>199</v>
      </c>
      <c r="J1840" s="286" t="s">
        <v>449</v>
      </c>
      <c r="K1840" s="286"/>
      <c r="L1840" s="286"/>
    </row>
    <row r="1841" spans="1:12" ht="21.95" customHeight="1" x14ac:dyDescent="0.25">
      <c r="A1841" s="1"/>
      <c r="B1841" s="1" t="s">
        <v>15</v>
      </c>
      <c r="C1841" s="1"/>
      <c r="D1841" s="1"/>
      <c r="E1841" s="1"/>
      <c r="F1841" s="1"/>
      <c r="G1841" s="1"/>
      <c r="H1841" s="4" t="s">
        <v>13</v>
      </c>
    </row>
    <row r="1842" spans="1:12" ht="21.95" customHeight="1" x14ac:dyDescent="0.25">
      <c r="A1842" s="1"/>
      <c r="B1842" s="1" t="s">
        <v>18</v>
      </c>
      <c r="C1842" s="1"/>
      <c r="D1842" s="1"/>
      <c r="E1842" s="1"/>
      <c r="F1842" s="1"/>
      <c r="G1842" s="1"/>
      <c r="H1842" s="4" t="s">
        <v>14</v>
      </c>
    </row>
    <row r="1843" spans="1:12" ht="21.95" customHeight="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 ht="21.95" customHeight="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 ht="21.95" customHeight="1" x14ac:dyDescent="0.25">
      <c r="A1845" s="1"/>
      <c r="B1845" s="103"/>
      <c r="C1845" s="103"/>
      <c r="D1845" s="103"/>
      <c r="E1845" s="103"/>
      <c r="F1845" s="103"/>
      <c r="G1845" s="103"/>
      <c r="H1845" s="103"/>
      <c r="I1845" s="103"/>
      <c r="J1845" s="103"/>
      <c r="K1845" s="103"/>
      <c r="L1845" s="1"/>
    </row>
    <row r="1846" spans="1:12" ht="21.95" customHeight="1" x14ac:dyDescent="0.25">
      <c r="A1846" s="1"/>
      <c r="K1846" s="103"/>
      <c r="L1846" s="1"/>
    </row>
    <row r="1847" spans="1:12" ht="21.95" customHeight="1" x14ac:dyDescent="0.25">
      <c r="A1847" s="1"/>
      <c r="B1847" s="95" t="s">
        <v>77</v>
      </c>
      <c r="H1847" s="95" t="s">
        <v>77</v>
      </c>
      <c r="I1847" s="95"/>
      <c r="J1847" s="92"/>
      <c r="K1847" s="103"/>
      <c r="L1847" s="1"/>
    </row>
    <row r="1848" spans="1:12" ht="21.95" customHeight="1" x14ac:dyDescent="0.25">
      <c r="A1848" s="1"/>
      <c r="B1848" s="99" t="s">
        <v>27</v>
      </c>
      <c r="C1848" s="57"/>
      <c r="H1848" s="99" t="s">
        <v>27</v>
      </c>
      <c r="K1848" s="103"/>
    </row>
    <row r="1853" spans="1:12" ht="21.95" customHeight="1" x14ac:dyDescent="0.25">
      <c r="A1853" s="3" t="s">
        <v>22</v>
      </c>
    </row>
    <row r="1854" spans="1:12" ht="21.95" customHeight="1" x14ac:dyDescent="0.2">
      <c r="A1854" s="122" t="s">
        <v>20</v>
      </c>
    </row>
    <row r="1855" spans="1:12" ht="21.95" customHeight="1" x14ac:dyDescent="0.2">
      <c r="A1855" s="122" t="s">
        <v>21</v>
      </c>
    </row>
    <row r="1859" spans="1:12" ht="21.95" customHeight="1" x14ac:dyDescent="0.3">
      <c r="A1859" s="276" t="s">
        <v>6</v>
      </c>
      <c r="B1859" s="276"/>
      <c r="C1859" s="276"/>
      <c r="D1859" s="276"/>
      <c r="E1859" s="276"/>
      <c r="F1859" s="276"/>
      <c r="G1859" s="276"/>
      <c r="H1859" s="276"/>
      <c r="I1859" s="276"/>
      <c r="J1859" s="276"/>
      <c r="K1859" s="276"/>
      <c r="L1859" s="276"/>
    </row>
    <row r="1860" spans="1:12" ht="21.95" customHeight="1" x14ac:dyDescent="0.3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</row>
    <row r="1861" spans="1:12" ht="21.95" customHeight="1" x14ac:dyDescent="0.3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</row>
    <row r="1862" spans="1:12" ht="21.95" customHeight="1" x14ac:dyDescent="0.25">
      <c r="A1862" s="1"/>
      <c r="B1862" s="1"/>
    </row>
    <row r="1863" spans="1:12" ht="21.95" customHeight="1" x14ac:dyDescent="0.25">
      <c r="A1863" s="1" t="s">
        <v>7</v>
      </c>
      <c r="B1863" s="1"/>
    </row>
    <row r="1864" spans="1:12" ht="21.95" customHeight="1" x14ac:dyDescent="0.25">
      <c r="A1864" s="1"/>
      <c r="B1864" s="1"/>
    </row>
    <row r="1865" spans="1:12" ht="21.95" customHeight="1" x14ac:dyDescent="0.25">
      <c r="A1865" s="1" t="s">
        <v>8</v>
      </c>
      <c r="C1865" s="9" t="s">
        <v>1</v>
      </c>
      <c r="D1865" s="40" t="s">
        <v>455</v>
      </c>
      <c r="E1865" s="76"/>
      <c r="F1865" s="76"/>
      <c r="G1865" s="76"/>
      <c r="H1865" s="76"/>
    </row>
    <row r="1866" spans="1:12" ht="21.95" customHeight="1" x14ac:dyDescent="0.25">
      <c r="A1866" s="1" t="s">
        <v>9</v>
      </c>
      <c r="C1866" s="9" t="s">
        <v>1</v>
      </c>
      <c r="D1866" s="7" t="s">
        <v>74</v>
      </c>
      <c r="E1866" s="76"/>
      <c r="F1866" s="76"/>
      <c r="G1866" s="76"/>
      <c r="H1866" s="76"/>
    </row>
    <row r="1867" spans="1:12" ht="21.95" customHeight="1" x14ac:dyDescent="0.2">
      <c r="A1867" s="50" t="s">
        <v>10</v>
      </c>
      <c r="B1867" s="76"/>
      <c r="C1867" s="91" t="s">
        <v>1</v>
      </c>
      <c r="D1867" s="50" t="s">
        <v>454</v>
      </c>
      <c r="E1867" s="76"/>
      <c r="F1867" s="76"/>
      <c r="G1867" s="76"/>
      <c r="H1867" s="76"/>
      <c r="I1867" s="76"/>
      <c r="J1867" s="76"/>
      <c r="K1867" s="76"/>
      <c r="L1867" s="76"/>
    </row>
    <row r="1868" spans="1:12" ht="21.95" customHeight="1" x14ac:dyDescent="0.25">
      <c r="A1868" s="1"/>
      <c r="B1868" s="1"/>
      <c r="D1868" s="1"/>
    </row>
    <row r="1869" spans="1:12" ht="21.95" customHeight="1" x14ac:dyDescent="0.2">
      <c r="A1869" s="277" t="s">
        <v>457</v>
      </c>
      <c r="B1869" s="277"/>
      <c r="C1869" s="277"/>
      <c r="D1869" s="277"/>
      <c r="E1869" s="277"/>
      <c r="F1869" s="277"/>
      <c r="G1869" s="277"/>
      <c r="H1869" s="277"/>
      <c r="I1869" s="277"/>
      <c r="J1869" s="277"/>
      <c r="K1869" s="277"/>
      <c r="L1869" s="277"/>
    </row>
    <row r="1870" spans="1:12" ht="21.95" customHeight="1" x14ac:dyDescent="0.25">
      <c r="A1870" s="1"/>
      <c r="B1870" s="1"/>
    </row>
    <row r="1871" spans="1:12" ht="21.95" customHeight="1" thickBot="1" x14ac:dyDescent="0.25">
      <c r="A1871" s="10" t="s">
        <v>0</v>
      </c>
      <c r="B1871" s="278" t="s">
        <v>91</v>
      </c>
      <c r="C1871" s="278"/>
      <c r="D1871" s="278"/>
      <c r="E1871" s="278"/>
      <c r="F1871" s="278"/>
      <c r="G1871" s="278"/>
      <c r="H1871" s="278"/>
      <c r="I1871" s="278"/>
      <c r="J1871" s="278"/>
      <c r="K1871" s="278"/>
      <c r="L1871" s="278"/>
    </row>
    <row r="1872" spans="1:12" ht="21.95" customHeight="1" thickTop="1" x14ac:dyDescent="0.25">
      <c r="A1872" s="1"/>
      <c r="B1872" s="11" t="s">
        <v>3</v>
      </c>
      <c r="C1872" s="12" t="s">
        <v>4</v>
      </c>
      <c r="D1872" s="13"/>
      <c r="E1872" s="13"/>
      <c r="F1872" s="13"/>
      <c r="G1872" s="13"/>
      <c r="H1872" s="14"/>
      <c r="I1872" s="15" t="s">
        <v>5</v>
      </c>
      <c r="J1872" s="12" t="s">
        <v>17</v>
      </c>
      <c r="K1872" s="13"/>
      <c r="L1872" s="14"/>
    </row>
    <row r="1873" spans="1:12" ht="21.95" customHeight="1" x14ac:dyDescent="0.2">
      <c r="B1873" s="96">
        <v>1</v>
      </c>
      <c r="C1873" s="140" t="s">
        <v>443</v>
      </c>
      <c r="D1873" s="76"/>
      <c r="E1873" s="150"/>
      <c r="F1873" s="144"/>
      <c r="G1873" s="76"/>
      <c r="H1873" s="79"/>
      <c r="I1873" s="56">
        <v>150000</v>
      </c>
      <c r="J1873" s="99" t="s">
        <v>204</v>
      </c>
      <c r="L1873" s="17"/>
    </row>
    <row r="1874" spans="1:12" ht="21.95" customHeight="1" x14ac:dyDescent="0.2">
      <c r="B1874" s="96"/>
      <c r="C1874" s="313"/>
      <c r="D1874" s="314"/>
      <c r="E1874" s="314"/>
      <c r="F1874" s="314"/>
      <c r="G1874" s="314"/>
      <c r="H1874" s="315"/>
      <c r="I1874" s="56"/>
      <c r="L1874" s="17"/>
    </row>
    <row r="1875" spans="1:12" ht="21.95" customHeight="1" x14ac:dyDescent="0.25">
      <c r="A1875" s="1"/>
      <c r="B1875" s="39"/>
      <c r="C1875" s="1"/>
      <c r="D1875" s="1"/>
      <c r="E1875" s="1"/>
      <c r="F1875" s="40" t="s">
        <v>5</v>
      </c>
      <c r="G1875" s="40"/>
      <c r="H1875" s="1"/>
      <c r="I1875" s="41">
        <f>I1873</f>
        <v>150000</v>
      </c>
      <c r="J1875" s="1"/>
      <c r="K1875" s="1"/>
      <c r="L1875" s="42"/>
    </row>
    <row r="1876" spans="1:12" ht="21.95" customHeight="1" thickBot="1" x14ac:dyDescent="0.3">
      <c r="A1876" s="1"/>
      <c r="B1876" s="43"/>
      <c r="C1876" s="44"/>
      <c r="D1876" s="44"/>
      <c r="E1876" s="44"/>
      <c r="F1876" s="45"/>
      <c r="G1876" s="45"/>
      <c r="H1876" s="44"/>
      <c r="I1876" s="46"/>
      <c r="J1876" s="44"/>
      <c r="K1876" s="44"/>
      <c r="L1876" s="47"/>
    </row>
    <row r="1877" spans="1:12" ht="21.95" customHeight="1" thickTop="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ht="21.95" customHeight="1" x14ac:dyDescent="0.2">
      <c r="A1878" s="10" t="s">
        <v>2</v>
      </c>
      <c r="B1878" s="279" t="s">
        <v>11</v>
      </c>
      <c r="C1878" s="279"/>
      <c r="D1878" s="279"/>
      <c r="E1878" s="279"/>
      <c r="F1878" s="279"/>
      <c r="G1878" s="279"/>
      <c r="H1878" s="279"/>
      <c r="I1878" s="279"/>
      <c r="J1878" s="279"/>
      <c r="K1878" s="279"/>
      <c r="L1878" s="279"/>
    </row>
    <row r="1879" spans="1:12" ht="21.95" customHeight="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 ht="21.95" customHeight="1" x14ac:dyDescent="0.2">
      <c r="A1880" s="280" t="s">
        <v>12</v>
      </c>
      <c r="B1880" s="280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</row>
    <row r="1881" spans="1:12" ht="21.95" customHeight="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 ht="21.95" customHeight="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 ht="21.95" customHeight="1" x14ac:dyDescent="0.25">
      <c r="A1883" s="1"/>
      <c r="B1883" s="1"/>
      <c r="C1883" s="1"/>
      <c r="D1883" s="1"/>
      <c r="E1883" s="1"/>
      <c r="F1883" s="1"/>
      <c r="G1883" s="1"/>
      <c r="H1883" s="4" t="s">
        <v>199</v>
      </c>
      <c r="J1883" s="286" t="s">
        <v>449</v>
      </c>
      <c r="K1883" s="286"/>
      <c r="L1883" s="286"/>
    </row>
    <row r="1884" spans="1:12" ht="21.95" customHeight="1" x14ac:dyDescent="0.25">
      <c r="A1884" s="1"/>
      <c r="B1884" s="1" t="s">
        <v>15</v>
      </c>
      <c r="C1884" s="1"/>
      <c r="D1884" s="1"/>
      <c r="E1884" s="1"/>
      <c r="F1884" s="1"/>
      <c r="G1884" s="1"/>
      <c r="H1884" s="4" t="s">
        <v>13</v>
      </c>
    </row>
    <row r="1885" spans="1:12" ht="21.95" customHeight="1" x14ac:dyDescent="0.25">
      <c r="A1885" s="1"/>
      <c r="B1885" s="1" t="s">
        <v>18</v>
      </c>
      <c r="C1885" s="1"/>
      <c r="D1885" s="1"/>
      <c r="E1885" s="1"/>
      <c r="F1885" s="1"/>
      <c r="G1885" s="1"/>
      <c r="H1885" s="4" t="s">
        <v>14</v>
      </c>
    </row>
    <row r="1886" spans="1:12" ht="21.95" customHeight="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 ht="21.95" customHeight="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ht="21.95" customHeight="1" x14ac:dyDescent="0.25">
      <c r="A1888" s="1"/>
      <c r="B1888" s="103"/>
      <c r="C1888" s="103"/>
      <c r="D1888" s="103"/>
      <c r="E1888" s="103"/>
      <c r="F1888" s="103"/>
      <c r="G1888" s="103"/>
      <c r="H1888" s="103"/>
      <c r="I1888" s="103"/>
      <c r="J1888" s="103"/>
      <c r="K1888" s="103"/>
      <c r="L1888" s="1"/>
    </row>
    <row r="1889" spans="1:12" ht="21.95" customHeight="1" x14ac:dyDescent="0.25">
      <c r="A1889" s="1"/>
      <c r="K1889" s="103"/>
      <c r="L1889" s="1"/>
    </row>
    <row r="1890" spans="1:12" ht="21.95" customHeight="1" x14ac:dyDescent="0.25">
      <c r="A1890" s="1"/>
      <c r="B1890" s="95" t="s">
        <v>77</v>
      </c>
      <c r="H1890" s="40" t="s">
        <v>455</v>
      </c>
      <c r="I1890" s="95"/>
      <c r="J1890" s="92"/>
      <c r="K1890" s="103"/>
      <c r="L1890" s="1"/>
    </row>
    <row r="1891" spans="1:12" ht="21.95" customHeight="1" x14ac:dyDescent="0.25">
      <c r="A1891" s="1"/>
      <c r="B1891" s="99" t="s">
        <v>27</v>
      </c>
      <c r="C1891" s="57"/>
      <c r="H1891" s="48"/>
      <c r="K1891" s="103"/>
    </row>
    <row r="1894" spans="1:12" ht="21.95" customHeight="1" x14ac:dyDescent="0.25">
      <c r="A1894" s="3" t="s">
        <v>22</v>
      </c>
    </row>
    <row r="1895" spans="1:12" ht="21.95" customHeight="1" x14ac:dyDescent="0.2">
      <c r="A1895" s="122" t="s">
        <v>20</v>
      </c>
    </row>
    <row r="1896" spans="1:12" ht="21.95" customHeight="1" x14ac:dyDescent="0.2">
      <c r="A1896" s="122" t="s">
        <v>21</v>
      </c>
    </row>
    <row r="1900" spans="1:12" ht="21.95" customHeight="1" x14ac:dyDescent="0.3">
      <c r="A1900" s="276" t="s">
        <v>6</v>
      </c>
      <c r="B1900" s="276"/>
      <c r="C1900" s="276"/>
      <c r="D1900" s="276"/>
      <c r="E1900" s="276"/>
      <c r="F1900" s="276"/>
      <c r="G1900" s="276"/>
      <c r="H1900" s="276"/>
      <c r="I1900" s="276"/>
      <c r="J1900" s="276"/>
      <c r="K1900" s="276"/>
      <c r="L1900" s="276"/>
    </row>
    <row r="1901" spans="1:12" ht="21.95" customHeight="1" x14ac:dyDescent="0.3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</row>
    <row r="1902" spans="1:12" ht="21.95" customHeight="1" x14ac:dyDescent="0.3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</row>
    <row r="1903" spans="1:12" ht="21.95" customHeight="1" x14ac:dyDescent="0.25">
      <c r="A1903" s="1"/>
      <c r="B1903" s="1"/>
    </row>
    <row r="1904" spans="1:12" ht="21.95" customHeight="1" x14ac:dyDescent="0.25">
      <c r="A1904" s="1" t="s">
        <v>7</v>
      </c>
      <c r="B1904" s="1"/>
    </row>
    <row r="1905" spans="1:12" ht="21.95" customHeight="1" x14ac:dyDescent="0.25">
      <c r="A1905" s="1"/>
      <c r="B1905" s="1"/>
    </row>
    <row r="1906" spans="1:12" ht="21.95" customHeight="1" x14ac:dyDescent="0.25">
      <c r="A1906" s="1" t="s">
        <v>8</v>
      </c>
      <c r="C1906" s="9" t="s">
        <v>1</v>
      </c>
      <c r="D1906" s="40" t="s">
        <v>205</v>
      </c>
      <c r="E1906" s="76"/>
      <c r="F1906" s="76"/>
      <c r="G1906" s="76"/>
      <c r="H1906" s="76"/>
    </row>
    <row r="1907" spans="1:12" ht="21.95" customHeight="1" x14ac:dyDescent="0.25">
      <c r="A1907" s="1" t="s">
        <v>9</v>
      </c>
      <c r="C1907" s="9" t="s">
        <v>1</v>
      </c>
      <c r="D1907" s="7" t="s">
        <v>74</v>
      </c>
      <c r="E1907" s="76"/>
      <c r="F1907" s="76"/>
      <c r="G1907" s="76"/>
      <c r="H1907" s="76"/>
    </row>
    <row r="1908" spans="1:12" ht="21.95" customHeight="1" x14ac:dyDescent="0.2">
      <c r="A1908" s="50" t="s">
        <v>10</v>
      </c>
      <c r="B1908" s="76"/>
      <c r="C1908" s="91" t="s">
        <v>1</v>
      </c>
      <c r="D1908" s="50" t="s">
        <v>243</v>
      </c>
      <c r="E1908" s="76"/>
      <c r="F1908" s="76"/>
      <c r="G1908" s="76"/>
      <c r="H1908" s="76"/>
      <c r="I1908" s="76"/>
      <c r="J1908" s="76"/>
      <c r="K1908" s="76"/>
      <c r="L1908" s="76"/>
    </row>
    <row r="1909" spans="1:12" ht="21.95" customHeight="1" x14ac:dyDescent="0.25">
      <c r="A1909" s="1"/>
      <c r="B1909" s="1"/>
      <c r="D1909" s="1"/>
    </row>
    <row r="1910" spans="1:12" ht="21.95" customHeight="1" x14ac:dyDescent="0.2">
      <c r="A1910" s="277" t="s">
        <v>457</v>
      </c>
      <c r="B1910" s="277"/>
      <c r="C1910" s="277"/>
      <c r="D1910" s="277"/>
      <c r="E1910" s="277"/>
      <c r="F1910" s="277"/>
      <c r="G1910" s="277"/>
      <c r="H1910" s="277"/>
      <c r="I1910" s="277"/>
      <c r="J1910" s="277"/>
      <c r="K1910" s="277"/>
      <c r="L1910" s="277"/>
    </row>
    <row r="1911" spans="1:12" ht="21.95" customHeight="1" x14ac:dyDescent="0.25">
      <c r="A1911" s="1"/>
      <c r="B1911" s="1"/>
    </row>
    <row r="1912" spans="1:12" ht="21.95" customHeight="1" thickBot="1" x14ac:dyDescent="0.25">
      <c r="A1912" s="10" t="s">
        <v>0</v>
      </c>
      <c r="B1912" s="278" t="s">
        <v>91</v>
      </c>
      <c r="C1912" s="278"/>
      <c r="D1912" s="278"/>
      <c r="E1912" s="278"/>
      <c r="F1912" s="278"/>
      <c r="G1912" s="278"/>
      <c r="H1912" s="278"/>
      <c r="I1912" s="278"/>
      <c r="J1912" s="278"/>
      <c r="K1912" s="278"/>
      <c r="L1912" s="278"/>
    </row>
    <row r="1913" spans="1:12" ht="21.95" customHeight="1" thickTop="1" x14ac:dyDescent="0.25">
      <c r="A1913" s="1"/>
      <c r="B1913" s="11" t="s">
        <v>3</v>
      </c>
      <c r="C1913" s="12" t="s">
        <v>4</v>
      </c>
      <c r="D1913" s="13"/>
      <c r="E1913" s="13"/>
      <c r="F1913" s="13"/>
      <c r="G1913" s="13"/>
      <c r="H1913" s="14"/>
      <c r="I1913" s="15" t="s">
        <v>5</v>
      </c>
      <c r="J1913" s="12" t="s">
        <v>17</v>
      </c>
      <c r="K1913" s="13"/>
      <c r="L1913" s="14"/>
    </row>
    <row r="1914" spans="1:12" ht="21.95" customHeight="1" x14ac:dyDescent="0.2">
      <c r="B1914" s="96">
        <v>1</v>
      </c>
      <c r="C1914" s="140" t="s">
        <v>443</v>
      </c>
      <c r="D1914" s="76"/>
      <c r="E1914" s="150"/>
      <c r="F1914" s="144"/>
      <c r="G1914" s="76"/>
      <c r="H1914" s="79"/>
      <c r="I1914" s="56">
        <v>150000</v>
      </c>
      <c r="J1914" s="76" t="s">
        <v>204</v>
      </c>
      <c r="L1914" s="17"/>
    </row>
    <row r="1915" spans="1:12" ht="21.95" customHeight="1" x14ac:dyDescent="0.2">
      <c r="B1915" s="96"/>
      <c r="C1915" s="313"/>
      <c r="D1915" s="314"/>
      <c r="E1915" s="314"/>
      <c r="F1915" s="314"/>
      <c r="G1915" s="314"/>
      <c r="H1915" s="315"/>
      <c r="I1915" s="56"/>
      <c r="L1915" s="17"/>
    </row>
    <row r="1916" spans="1:12" ht="21.95" customHeight="1" x14ac:dyDescent="0.25">
      <c r="A1916" s="1"/>
      <c r="B1916" s="39"/>
      <c r="C1916" s="1"/>
      <c r="D1916" s="1"/>
      <c r="E1916" s="1"/>
      <c r="F1916" s="40" t="s">
        <v>5</v>
      </c>
      <c r="G1916" s="40"/>
      <c r="H1916" s="1"/>
      <c r="I1916" s="41">
        <f>I1914</f>
        <v>150000</v>
      </c>
      <c r="J1916" s="1"/>
      <c r="K1916" s="1"/>
      <c r="L1916" s="42"/>
    </row>
    <row r="1917" spans="1:12" ht="21.95" customHeight="1" thickBot="1" x14ac:dyDescent="0.3">
      <c r="A1917" s="1"/>
      <c r="B1917" s="43"/>
      <c r="C1917" s="44"/>
      <c r="D1917" s="44"/>
      <c r="E1917" s="44"/>
      <c r="F1917" s="45"/>
      <c r="G1917" s="45"/>
      <c r="H1917" s="44"/>
      <c r="I1917" s="46"/>
      <c r="J1917" s="44"/>
      <c r="K1917" s="44"/>
      <c r="L1917" s="47"/>
    </row>
    <row r="1918" spans="1:12" ht="21.95" customHeight="1" thickTop="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 ht="21.95" customHeight="1" x14ac:dyDescent="0.2">
      <c r="A1919" s="10" t="s">
        <v>2</v>
      </c>
      <c r="B1919" s="279" t="s">
        <v>11</v>
      </c>
      <c r="C1919" s="279"/>
      <c r="D1919" s="279"/>
      <c r="E1919" s="279"/>
      <c r="F1919" s="279"/>
      <c r="G1919" s="279"/>
      <c r="H1919" s="279"/>
      <c r="I1919" s="279"/>
      <c r="J1919" s="279"/>
      <c r="K1919" s="279"/>
      <c r="L1919" s="279"/>
    </row>
    <row r="1920" spans="1:12" ht="21.95" customHeight="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 ht="21.95" customHeight="1" x14ac:dyDescent="0.2">
      <c r="A1921" s="280" t="s">
        <v>12</v>
      </c>
      <c r="B1921" s="280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</row>
    <row r="1922" spans="1:12" ht="21.95" customHeight="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 ht="21.95" customHeight="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 ht="21.95" customHeight="1" x14ac:dyDescent="0.25">
      <c r="A1924" s="1"/>
      <c r="B1924" s="1"/>
      <c r="C1924" s="1"/>
      <c r="D1924" s="1"/>
      <c r="E1924" s="1"/>
      <c r="F1924" s="1"/>
      <c r="G1924" s="1"/>
      <c r="H1924" s="4" t="s">
        <v>199</v>
      </c>
      <c r="J1924" s="286" t="s">
        <v>449</v>
      </c>
      <c r="K1924" s="286"/>
      <c r="L1924" s="286"/>
    </row>
    <row r="1925" spans="1:12" ht="21.95" customHeight="1" x14ac:dyDescent="0.25">
      <c r="A1925" s="1"/>
      <c r="B1925" s="1" t="s">
        <v>15</v>
      </c>
      <c r="C1925" s="1"/>
      <c r="D1925" s="1"/>
      <c r="E1925" s="1"/>
      <c r="F1925" s="1"/>
      <c r="G1925" s="1"/>
      <c r="H1925" s="4" t="s">
        <v>13</v>
      </c>
    </row>
    <row r="1926" spans="1:12" ht="21.95" customHeight="1" x14ac:dyDescent="0.25">
      <c r="A1926" s="1"/>
      <c r="B1926" s="1" t="s">
        <v>18</v>
      </c>
      <c r="C1926" s="1"/>
      <c r="D1926" s="1"/>
      <c r="E1926" s="1"/>
      <c r="F1926" s="1"/>
      <c r="G1926" s="1"/>
      <c r="H1926" s="4" t="s">
        <v>14</v>
      </c>
    </row>
    <row r="1927" spans="1:12" ht="21.95" customHeight="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 ht="21.95" customHeight="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 ht="21.95" customHeight="1" x14ac:dyDescent="0.25">
      <c r="A1929" s="1"/>
      <c r="B1929" s="103"/>
      <c r="C1929" s="103"/>
      <c r="D1929" s="103"/>
      <c r="E1929" s="103"/>
      <c r="F1929" s="103"/>
      <c r="G1929" s="103"/>
      <c r="H1929" s="103"/>
      <c r="I1929" s="103"/>
      <c r="J1929" s="103"/>
      <c r="K1929" s="103"/>
      <c r="L1929" s="1"/>
    </row>
    <row r="1930" spans="1:12" ht="21.95" customHeight="1" x14ac:dyDescent="0.25">
      <c r="A1930" s="1"/>
      <c r="K1930" s="103"/>
      <c r="L1930" s="1"/>
    </row>
    <row r="1931" spans="1:12" ht="21.95" customHeight="1" x14ac:dyDescent="0.25">
      <c r="A1931" s="1"/>
      <c r="B1931" s="95" t="s">
        <v>77</v>
      </c>
      <c r="H1931" s="40" t="s">
        <v>205</v>
      </c>
      <c r="I1931" s="95"/>
      <c r="J1931" s="92"/>
      <c r="K1931" s="103"/>
      <c r="L1931" s="1"/>
    </row>
    <row r="1932" spans="1:12" ht="21.95" customHeight="1" x14ac:dyDescent="0.25">
      <c r="A1932" s="1"/>
      <c r="B1932" s="99" t="s">
        <v>27</v>
      </c>
      <c r="C1932" s="57"/>
      <c r="H1932" s="48"/>
      <c r="K1932" s="103"/>
    </row>
    <row r="1935" spans="1:12" ht="21.95" customHeight="1" x14ac:dyDescent="0.25">
      <c r="A1935" s="3" t="s">
        <v>22</v>
      </c>
    </row>
    <row r="1936" spans="1:12" ht="21.95" customHeight="1" x14ac:dyDescent="0.2">
      <c r="A1936" s="122" t="s">
        <v>20</v>
      </c>
    </row>
    <row r="1937" spans="1:12" ht="21.95" customHeight="1" x14ac:dyDescent="0.2">
      <c r="A1937" s="122" t="s">
        <v>21</v>
      </c>
    </row>
    <row r="1941" spans="1:12" ht="21.95" customHeight="1" x14ac:dyDescent="0.3">
      <c r="A1941" s="276" t="s">
        <v>6</v>
      </c>
      <c r="B1941" s="276"/>
      <c r="C1941" s="276"/>
      <c r="D1941" s="276"/>
      <c r="E1941" s="276"/>
      <c r="F1941" s="276"/>
      <c r="G1941" s="276"/>
      <c r="H1941" s="276"/>
      <c r="I1941" s="276"/>
      <c r="J1941" s="276"/>
      <c r="K1941" s="276"/>
      <c r="L1941" s="276"/>
    </row>
    <row r="1942" spans="1:12" ht="21.95" customHeight="1" x14ac:dyDescent="0.3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</row>
    <row r="1943" spans="1:12" ht="21.95" customHeight="1" x14ac:dyDescent="0.3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</row>
    <row r="1944" spans="1:12" ht="21.95" customHeight="1" x14ac:dyDescent="0.25">
      <c r="A1944" s="1"/>
      <c r="B1944" s="1"/>
    </row>
    <row r="1945" spans="1:12" ht="21.95" customHeight="1" x14ac:dyDescent="0.25">
      <c r="A1945" s="1" t="s">
        <v>7</v>
      </c>
      <c r="B1945" s="1"/>
    </row>
    <row r="1946" spans="1:12" ht="21.95" customHeight="1" x14ac:dyDescent="0.25">
      <c r="A1946" s="1"/>
      <c r="B1946" s="1"/>
    </row>
    <row r="1947" spans="1:12" ht="21.95" customHeight="1" x14ac:dyDescent="0.25">
      <c r="A1947" s="1" t="s">
        <v>8</v>
      </c>
      <c r="C1947" s="9" t="s">
        <v>1</v>
      </c>
      <c r="D1947" s="40" t="s">
        <v>181</v>
      </c>
      <c r="E1947" s="76"/>
      <c r="F1947" s="76"/>
      <c r="G1947" s="76"/>
      <c r="H1947" s="76"/>
    </row>
    <row r="1948" spans="1:12" ht="21.95" customHeight="1" x14ac:dyDescent="0.25">
      <c r="A1948" s="1" t="s">
        <v>9</v>
      </c>
      <c r="C1948" s="9" t="s">
        <v>1</v>
      </c>
      <c r="D1948" s="10" t="s">
        <v>453</v>
      </c>
      <c r="E1948" s="76"/>
      <c r="F1948" s="76"/>
      <c r="G1948" s="76"/>
      <c r="H1948" s="76"/>
    </row>
    <row r="1949" spans="1:12" ht="21.95" customHeight="1" x14ac:dyDescent="0.2">
      <c r="A1949" s="50" t="s">
        <v>10</v>
      </c>
      <c r="B1949" s="76"/>
      <c r="C1949" s="91" t="s">
        <v>1</v>
      </c>
      <c r="D1949" s="50" t="s">
        <v>275</v>
      </c>
      <c r="E1949" s="76"/>
      <c r="F1949" s="76"/>
      <c r="G1949" s="76"/>
      <c r="H1949" s="76"/>
      <c r="I1949" s="76"/>
      <c r="J1949" s="76"/>
      <c r="K1949" s="76"/>
      <c r="L1949" s="76"/>
    </row>
    <row r="1950" spans="1:12" ht="21.95" customHeight="1" x14ac:dyDescent="0.25">
      <c r="A1950" s="1"/>
      <c r="B1950" s="1"/>
      <c r="D1950" s="1"/>
    </row>
    <row r="1951" spans="1:12" ht="21.95" customHeight="1" x14ac:dyDescent="0.2">
      <c r="A1951" s="277" t="s">
        <v>457</v>
      </c>
      <c r="B1951" s="277"/>
      <c r="C1951" s="277"/>
      <c r="D1951" s="277"/>
      <c r="E1951" s="277"/>
      <c r="F1951" s="277"/>
      <c r="G1951" s="277"/>
      <c r="H1951" s="277"/>
      <c r="I1951" s="277"/>
      <c r="J1951" s="277"/>
      <c r="K1951" s="277"/>
      <c r="L1951" s="277"/>
    </row>
    <row r="1952" spans="1:12" ht="21.95" customHeight="1" x14ac:dyDescent="0.25">
      <c r="A1952" s="1"/>
      <c r="B1952" s="1"/>
    </row>
    <row r="1953" spans="1:12" ht="21.95" customHeight="1" thickBot="1" x14ac:dyDescent="0.25">
      <c r="A1953" s="10" t="s">
        <v>0</v>
      </c>
      <c r="B1953" s="278" t="s">
        <v>91</v>
      </c>
      <c r="C1953" s="278"/>
      <c r="D1953" s="278"/>
      <c r="E1953" s="278"/>
      <c r="F1953" s="278"/>
      <c r="G1953" s="278"/>
      <c r="H1953" s="278"/>
      <c r="I1953" s="278"/>
      <c r="J1953" s="278"/>
      <c r="K1953" s="278"/>
      <c r="L1953" s="278"/>
    </row>
    <row r="1954" spans="1:12" ht="21.95" customHeight="1" thickTop="1" x14ac:dyDescent="0.25">
      <c r="A1954" s="1"/>
      <c r="B1954" s="11" t="s">
        <v>3</v>
      </c>
      <c r="C1954" s="12" t="s">
        <v>4</v>
      </c>
      <c r="D1954" s="13"/>
      <c r="E1954" s="13"/>
      <c r="F1954" s="13"/>
      <c r="G1954" s="13"/>
      <c r="H1954" s="14"/>
      <c r="I1954" s="15" t="s">
        <v>5</v>
      </c>
      <c r="J1954" s="12" t="s">
        <v>17</v>
      </c>
      <c r="K1954" s="13"/>
      <c r="L1954" s="14"/>
    </row>
    <row r="1955" spans="1:12" ht="21.95" customHeight="1" x14ac:dyDescent="0.2">
      <c r="B1955" s="96">
        <v>1</v>
      </c>
      <c r="C1955" s="140" t="s">
        <v>443</v>
      </c>
      <c r="D1955" s="76"/>
      <c r="E1955" s="150"/>
      <c r="F1955" s="144"/>
      <c r="G1955" s="76"/>
      <c r="H1955" s="79"/>
      <c r="I1955" s="56">
        <v>150000</v>
      </c>
      <c r="J1955" s="76" t="s">
        <v>204</v>
      </c>
      <c r="L1955" s="17"/>
    </row>
    <row r="1956" spans="1:12" ht="21.95" customHeight="1" x14ac:dyDescent="0.2">
      <c r="B1956" s="96"/>
      <c r="C1956" s="313"/>
      <c r="D1956" s="314"/>
      <c r="E1956" s="314"/>
      <c r="F1956" s="314"/>
      <c r="G1956" s="314"/>
      <c r="H1956" s="315"/>
      <c r="I1956" s="56"/>
      <c r="L1956" s="17"/>
    </row>
    <row r="1957" spans="1:12" ht="21.95" customHeight="1" x14ac:dyDescent="0.25">
      <c r="A1957" s="1"/>
      <c r="B1957" s="39"/>
      <c r="C1957" s="1"/>
      <c r="D1957" s="1"/>
      <c r="E1957" s="1"/>
      <c r="F1957" s="40" t="s">
        <v>5</v>
      </c>
      <c r="G1957" s="40"/>
      <c r="H1957" s="1"/>
      <c r="I1957" s="41">
        <f>I1955</f>
        <v>150000</v>
      </c>
      <c r="J1957" s="1"/>
      <c r="K1957" s="1"/>
      <c r="L1957" s="42"/>
    </row>
    <row r="1958" spans="1:12" ht="21.95" customHeight="1" thickBot="1" x14ac:dyDescent="0.3">
      <c r="A1958" s="1"/>
      <c r="B1958" s="43"/>
      <c r="C1958" s="44"/>
      <c r="D1958" s="44"/>
      <c r="E1958" s="44"/>
      <c r="F1958" s="45"/>
      <c r="G1958" s="45"/>
      <c r="H1958" s="44"/>
      <c r="I1958" s="46"/>
      <c r="J1958" s="44"/>
      <c r="K1958" s="44"/>
      <c r="L1958" s="47"/>
    </row>
    <row r="1959" spans="1:12" ht="21.95" customHeight="1" thickTop="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 ht="21.95" customHeight="1" x14ac:dyDescent="0.2">
      <c r="A1960" s="10" t="s">
        <v>2</v>
      </c>
      <c r="B1960" s="279" t="s">
        <v>11</v>
      </c>
      <c r="C1960" s="279"/>
      <c r="D1960" s="279"/>
      <c r="E1960" s="279"/>
      <c r="F1960" s="279"/>
      <c r="G1960" s="279"/>
      <c r="H1960" s="279"/>
      <c r="I1960" s="279"/>
      <c r="J1960" s="279"/>
      <c r="K1960" s="279"/>
      <c r="L1960" s="279"/>
    </row>
    <row r="1961" spans="1:12" ht="21.95" customHeight="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 ht="21.95" customHeight="1" x14ac:dyDescent="0.2">
      <c r="A1962" s="280" t="s">
        <v>12</v>
      </c>
      <c r="B1962" s="280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</row>
    <row r="1963" spans="1:12" ht="21.95" customHeight="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 ht="21.95" customHeight="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 ht="21.95" customHeight="1" x14ac:dyDescent="0.25">
      <c r="A1965" s="1"/>
      <c r="B1965" s="1"/>
      <c r="C1965" s="1"/>
      <c r="D1965" s="1"/>
      <c r="E1965" s="1"/>
      <c r="F1965" s="1"/>
      <c r="G1965" s="1"/>
      <c r="H1965" s="4" t="s">
        <v>199</v>
      </c>
      <c r="J1965" s="286" t="s">
        <v>449</v>
      </c>
      <c r="K1965" s="286"/>
      <c r="L1965" s="286"/>
    </row>
    <row r="1966" spans="1:12" ht="21.95" customHeight="1" x14ac:dyDescent="0.25">
      <c r="A1966" s="1"/>
      <c r="B1966" s="1" t="s">
        <v>15</v>
      </c>
      <c r="C1966" s="1"/>
      <c r="D1966" s="1"/>
      <c r="E1966" s="1"/>
      <c r="F1966" s="1"/>
      <c r="G1966" s="1"/>
      <c r="H1966" s="4" t="s">
        <v>13</v>
      </c>
    </row>
    <row r="1967" spans="1:12" ht="21.95" customHeight="1" x14ac:dyDescent="0.25">
      <c r="A1967" s="1"/>
      <c r="B1967" s="1" t="s">
        <v>18</v>
      </c>
      <c r="C1967" s="1"/>
      <c r="D1967" s="1"/>
      <c r="E1967" s="1"/>
      <c r="F1967" s="1"/>
      <c r="G1967" s="1"/>
      <c r="H1967" s="4" t="s">
        <v>14</v>
      </c>
    </row>
    <row r="1968" spans="1:12" ht="21.95" customHeight="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 ht="21.95" customHeight="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 ht="21.95" customHeight="1" x14ac:dyDescent="0.25">
      <c r="A1970" s="1"/>
      <c r="B1970" s="103"/>
      <c r="C1970" s="103"/>
      <c r="D1970" s="103"/>
      <c r="E1970" s="103"/>
      <c r="F1970" s="103"/>
      <c r="G1970" s="103"/>
      <c r="H1970" s="103"/>
      <c r="I1970" s="103"/>
      <c r="J1970" s="103"/>
      <c r="K1970" s="103"/>
      <c r="L1970" s="1"/>
    </row>
    <row r="1971" spans="1:12" ht="21.95" customHeight="1" x14ac:dyDescent="0.25">
      <c r="A1971" s="1"/>
      <c r="K1971" s="103"/>
      <c r="L1971" s="1"/>
    </row>
    <row r="1972" spans="1:12" ht="21.95" customHeight="1" x14ac:dyDescent="0.25">
      <c r="A1972" s="1"/>
      <c r="B1972" s="95" t="s">
        <v>77</v>
      </c>
      <c r="H1972" s="37" t="s">
        <v>181</v>
      </c>
      <c r="I1972" s="95"/>
      <c r="J1972" s="92"/>
      <c r="K1972" s="103"/>
      <c r="L1972" s="1"/>
    </row>
    <row r="1973" spans="1:12" ht="21.95" customHeight="1" x14ac:dyDescent="0.25">
      <c r="A1973" s="1"/>
      <c r="B1973" s="99" t="s">
        <v>27</v>
      </c>
      <c r="C1973" s="57"/>
      <c r="H1973" s="48" t="s">
        <v>182</v>
      </c>
      <c r="K1973" s="103"/>
    </row>
    <row r="1977" spans="1:12" ht="21.95" customHeight="1" x14ac:dyDescent="0.25">
      <c r="A1977" s="3" t="s">
        <v>22</v>
      </c>
    </row>
    <row r="1978" spans="1:12" ht="21.95" customHeight="1" x14ac:dyDescent="0.2">
      <c r="A1978" s="122" t="s">
        <v>20</v>
      </c>
    </row>
    <row r="1979" spans="1:12" ht="21.95" customHeight="1" x14ac:dyDescent="0.2">
      <c r="A1979" s="122" t="s">
        <v>21</v>
      </c>
    </row>
    <row r="1983" spans="1:12" ht="21.95" customHeight="1" x14ac:dyDescent="0.3">
      <c r="A1983" s="276" t="s">
        <v>6</v>
      </c>
      <c r="B1983" s="276"/>
      <c r="C1983" s="276"/>
      <c r="D1983" s="276"/>
      <c r="E1983" s="276"/>
      <c r="F1983" s="276"/>
      <c r="G1983" s="276"/>
      <c r="H1983" s="276"/>
      <c r="I1983" s="276"/>
      <c r="J1983" s="276"/>
      <c r="K1983" s="276"/>
      <c r="L1983" s="276"/>
    </row>
    <row r="1984" spans="1:12" ht="21.95" customHeight="1" x14ac:dyDescent="0.3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</row>
    <row r="1985" spans="1:12" ht="21.95" customHeight="1" x14ac:dyDescent="0.3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</row>
    <row r="1986" spans="1:12" ht="21.95" customHeight="1" x14ac:dyDescent="0.25">
      <c r="A1986" s="1"/>
      <c r="B1986" s="1"/>
    </row>
    <row r="1987" spans="1:12" ht="21.95" customHeight="1" x14ac:dyDescent="0.25">
      <c r="A1987" s="1" t="s">
        <v>7</v>
      </c>
      <c r="B1987" s="1"/>
    </row>
    <row r="1988" spans="1:12" ht="21.95" customHeight="1" x14ac:dyDescent="0.25">
      <c r="A1988" s="1"/>
      <c r="B1988" s="1"/>
    </row>
    <row r="1989" spans="1:12" ht="21.95" customHeight="1" x14ac:dyDescent="0.25">
      <c r="A1989" s="1" t="s">
        <v>8</v>
      </c>
      <c r="C1989" s="9" t="s">
        <v>1</v>
      </c>
      <c r="D1989" s="40" t="s">
        <v>458</v>
      </c>
      <c r="E1989" s="76"/>
      <c r="F1989" s="76"/>
      <c r="G1989" s="76"/>
      <c r="H1989" s="76"/>
    </row>
    <row r="1990" spans="1:12" ht="21.95" customHeight="1" x14ac:dyDescent="0.25">
      <c r="A1990" s="1" t="s">
        <v>9</v>
      </c>
      <c r="C1990" s="9" t="s">
        <v>1</v>
      </c>
      <c r="D1990" s="10" t="s">
        <v>459</v>
      </c>
      <c r="E1990" s="76"/>
      <c r="F1990" s="76"/>
      <c r="G1990" s="76"/>
      <c r="H1990" s="76"/>
    </row>
    <row r="1991" spans="1:12" ht="21.95" customHeight="1" x14ac:dyDescent="0.2">
      <c r="A1991" s="50" t="s">
        <v>10</v>
      </c>
      <c r="B1991" s="76"/>
      <c r="C1991" s="91" t="s">
        <v>1</v>
      </c>
      <c r="D1991" s="50" t="s">
        <v>460</v>
      </c>
      <c r="E1991" s="76"/>
      <c r="F1991" s="76"/>
      <c r="G1991" s="76"/>
      <c r="H1991" s="76"/>
      <c r="I1991" s="76"/>
      <c r="J1991" s="76"/>
      <c r="K1991" s="76"/>
      <c r="L1991" s="76"/>
    </row>
    <row r="1992" spans="1:12" ht="21.95" customHeight="1" x14ac:dyDescent="0.25">
      <c r="A1992" s="1"/>
      <c r="B1992" s="1"/>
      <c r="D1992" s="1"/>
    </row>
    <row r="1993" spans="1:12" ht="21.95" customHeight="1" x14ac:dyDescent="0.2">
      <c r="A1993" s="277" t="s">
        <v>457</v>
      </c>
      <c r="B1993" s="277"/>
      <c r="C1993" s="277"/>
      <c r="D1993" s="277"/>
      <c r="E1993" s="277"/>
      <c r="F1993" s="277"/>
      <c r="G1993" s="277"/>
      <c r="H1993" s="277"/>
      <c r="I1993" s="277"/>
      <c r="J1993" s="277"/>
      <c r="K1993" s="277"/>
      <c r="L1993" s="277"/>
    </row>
    <row r="1994" spans="1:12" ht="21.95" customHeight="1" x14ac:dyDescent="0.25">
      <c r="A1994" s="1"/>
      <c r="B1994" s="1"/>
    </row>
    <row r="1995" spans="1:12" ht="21.95" customHeight="1" thickBot="1" x14ac:dyDescent="0.25">
      <c r="A1995" s="10" t="s">
        <v>0</v>
      </c>
      <c r="B1995" s="278" t="s">
        <v>91</v>
      </c>
      <c r="C1995" s="278"/>
      <c r="D1995" s="278"/>
      <c r="E1995" s="278"/>
      <c r="F1995" s="278"/>
      <c r="G1995" s="278"/>
      <c r="H1995" s="278"/>
      <c r="I1995" s="278"/>
      <c r="J1995" s="278"/>
      <c r="K1995" s="278"/>
      <c r="L1995" s="278"/>
    </row>
    <row r="1996" spans="1:12" ht="21.95" customHeight="1" thickTop="1" x14ac:dyDescent="0.25">
      <c r="A1996" s="1"/>
      <c r="B1996" s="11" t="s">
        <v>3</v>
      </c>
      <c r="C1996" s="12" t="s">
        <v>4</v>
      </c>
      <c r="D1996" s="13"/>
      <c r="E1996" s="13"/>
      <c r="F1996" s="13"/>
      <c r="G1996" s="13"/>
      <c r="H1996" s="14"/>
      <c r="I1996" s="15" t="s">
        <v>5</v>
      </c>
      <c r="J1996" s="12" t="s">
        <v>17</v>
      </c>
      <c r="K1996" s="13"/>
      <c r="L1996" s="14"/>
    </row>
    <row r="1997" spans="1:12" ht="21.95" customHeight="1" x14ac:dyDescent="0.2">
      <c r="B1997" s="96">
        <v>1</v>
      </c>
      <c r="C1997" s="140" t="s">
        <v>443</v>
      </c>
      <c r="D1997" s="76"/>
      <c r="E1997" s="150"/>
      <c r="F1997" s="144"/>
      <c r="G1997" s="76"/>
      <c r="H1997" s="79"/>
      <c r="I1997" s="56">
        <v>150000</v>
      </c>
      <c r="J1997" s="76" t="s">
        <v>204</v>
      </c>
      <c r="L1997" s="17"/>
    </row>
    <row r="1998" spans="1:12" ht="21.95" customHeight="1" x14ac:dyDescent="0.2">
      <c r="B1998" s="96"/>
      <c r="C1998" s="313"/>
      <c r="D1998" s="314"/>
      <c r="E1998" s="314"/>
      <c r="F1998" s="314"/>
      <c r="G1998" s="314"/>
      <c r="H1998" s="315"/>
      <c r="I1998" s="56"/>
      <c r="L1998" s="17"/>
    </row>
    <row r="1999" spans="1:12" ht="21.95" customHeight="1" x14ac:dyDescent="0.25">
      <c r="A1999" s="1"/>
      <c r="B1999" s="39"/>
      <c r="C1999" s="1"/>
      <c r="D1999" s="1"/>
      <c r="E1999" s="1"/>
      <c r="F1999" s="40" t="s">
        <v>5</v>
      </c>
      <c r="G1999" s="40"/>
      <c r="H1999" s="1"/>
      <c r="I1999" s="41">
        <f>I1997</f>
        <v>150000</v>
      </c>
      <c r="J1999" s="1"/>
      <c r="K1999" s="1"/>
      <c r="L1999" s="42"/>
    </row>
    <row r="2000" spans="1:12" ht="21.95" customHeight="1" thickBot="1" x14ac:dyDescent="0.3">
      <c r="A2000" s="1"/>
      <c r="B2000" s="43"/>
      <c r="C2000" s="44"/>
      <c r="D2000" s="44"/>
      <c r="E2000" s="44"/>
      <c r="F2000" s="45"/>
      <c r="G2000" s="45"/>
      <c r="H2000" s="44"/>
      <c r="I2000" s="46"/>
      <c r="J2000" s="44"/>
      <c r="K2000" s="44"/>
      <c r="L2000" s="47"/>
    </row>
    <row r="2001" spans="1:12" ht="21.95" customHeight="1" thickTop="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 spans="1:12" ht="21.95" customHeight="1" x14ac:dyDescent="0.2">
      <c r="A2002" s="10" t="s">
        <v>2</v>
      </c>
      <c r="B2002" s="279" t="s">
        <v>11</v>
      </c>
      <c r="C2002" s="279"/>
      <c r="D2002" s="279"/>
      <c r="E2002" s="279"/>
      <c r="F2002" s="279"/>
      <c r="G2002" s="279"/>
      <c r="H2002" s="279"/>
      <c r="I2002" s="279"/>
      <c r="J2002" s="279"/>
      <c r="K2002" s="279"/>
      <c r="L2002" s="279"/>
    </row>
    <row r="2003" spans="1:12" ht="21.95" customHeight="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 spans="1:12" ht="21.95" customHeight="1" x14ac:dyDescent="0.2">
      <c r="A2004" s="280" t="s">
        <v>12</v>
      </c>
      <c r="B2004" s="280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</row>
    <row r="2005" spans="1:12" ht="21.95" customHeight="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 spans="1:12" ht="21.95" customHeight="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 spans="1:12" ht="21.95" customHeight="1" x14ac:dyDescent="0.25">
      <c r="A2007" s="1"/>
      <c r="B2007" s="1"/>
      <c r="C2007" s="1"/>
      <c r="D2007" s="1"/>
      <c r="E2007" s="1"/>
      <c r="F2007" s="1"/>
      <c r="G2007" s="1"/>
      <c r="H2007" s="4" t="s">
        <v>199</v>
      </c>
      <c r="J2007" s="286" t="s">
        <v>449</v>
      </c>
      <c r="K2007" s="286"/>
      <c r="L2007" s="286"/>
    </row>
    <row r="2008" spans="1:12" ht="21.95" customHeight="1" x14ac:dyDescent="0.25">
      <c r="A2008" s="1"/>
      <c r="B2008" s="1" t="s">
        <v>15</v>
      </c>
      <c r="C2008" s="1"/>
      <c r="D2008" s="1"/>
      <c r="E2008" s="1"/>
      <c r="F2008" s="1"/>
      <c r="G2008" s="1"/>
      <c r="H2008" s="4" t="s">
        <v>13</v>
      </c>
    </row>
    <row r="2009" spans="1:12" ht="21.95" customHeight="1" x14ac:dyDescent="0.25">
      <c r="A2009" s="1"/>
      <c r="B2009" s="1" t="s">
        <v>18</v>
      </c>
      <c r="C2009" s="1"/>
      <c r="D2009" s="1"/>
      <c r="E2009" s="1"/>
      <c r="F2009" s="1"/>
      <c r="G2009" s="1"/>
      <c r="H2009" s="4" t="s">
        <v>14</v>
      </c>
    </row>
    <row r="2010" spans="1:12" ht="21.95" customHeight="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 spans="1:12" ht="21.95" customHeight="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 ht="21.95" customHeight="1" x14ac:dyDescent="0.25">
      <c r="A2012" s="1"/>
      <c r="B2012" s="103"/>
      <c r="C2012" s="103"/>
      <c r="D2012" s="103"/>
      <c r="E2012" s="103"/>
      <c r="F2012" s="103"/>
      <c r="G2012" s="103"/>
      <c r="H2012" s="103"/>
      <c r="I2012" s="103"/>
      <c r="J2012" s="103"/>
      <c r="K2012" s="103"/>
      <c r="L2012" s="1"/>
    </row>
    <row r="2013" spans="1:12" ht="21.95" customHeight="1" x14ac:dyDescent="0.25">
      <c r="A2013" s="1"/>
      <c r="K2013" s="103"/>
      <c r="L2013" s="1"/>
    </row>
    <row r="2014" spans="1:12" ht="21.95" customHeight="1" x14ac:dyDescent="0.25">
      <c r="A2014" s="1"/>
      <c r="B2014" s="95" t="s">
        <v>77</v>
      </c>
      <c r="H2014" s="37" t="str">
        <f>D1989</f>
        <v xml:space="preserve">apt.Angela Marselly Br Barus, S.Farm </v>
      </c>
      <c r="I2014" s="95"/>
      <c r="J2014" s="92"/>
      <c r="K2014" s="103"/>
      <c r="L2014" s="1"/>
    </row>
    <row r="2015" spans="1:12" s="99" customFormat="1" ht="21.95" customHeight="1" x14ac:dyDescent="0.25">
      <c r="A2015" s="1"/>
      <c r="B2015" s="99" t="s">
        <v>27</v>
      </c>
      <c r="C2015" s="57"/>
      <c r="D2015" s="4"/>
      <c r="E2015" s="4"/>
      <c r="F2015" s="4"/>
      <c r="G2015" s="4"/>
      <c r="H2015" s="48" t="s">
        <v>461</v>
      </c>
      <c r="I2015" s="4"/>
      <c r="J2015" s="4"/>
      <c r="K2015" s="103"/>
      <c r="L2015" s="4"/>
    </row>
    <row r="2020" spans="1:12" ht="21.95" customHeight="1" x14ac:dyDescent="0.25">
      <c r="A2020" s="3" t="s">
        <v>22</v>
      </c>
    </row>
    <row r="2021" spans="1:12" ht="21.95" customHeight="1" x14ac:dyDescent="0.2">
      <c r="A2021" s="122" t="s">
        <v>20</v>
      </c>
    </row>
    <row r="2022" spans="1:12" ht="21.95" customHeight="1" x14ac:dyDescent="0.2">
      <c r="A2022" s="122" t="s">
        <v>21</v>
      </c>
    </row>
    <row r="2026" spans="1:12" ht="21.95" customHeight="1" x14ac:dyDescent="0.3">
      <c r="A2026" s="276" t="s">
        <v>6</v>
      </c>
      <c r="B2026" s="276"/>
      <c r="C2026" s="276"/>
      <c r="D2026" s="276"/>
      <c r="E2026" s="276"/>
      <c r="F2026" s="276"/>
      <c r="G2026" s="276"/>
      <c r="H2026" s="276"/>
      <c r="I2026" s="276"/>
      <c r="J2026" s="276"/>
      <c r="K2026" s="276"/>
      <c r="L2026" s="276"/>
    </row>
    <row r="2027" spans="1:12" ht="21.95" customHeight="1" x14ac:dyDescent="0.3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</row>
    <row r="2028" spans="1:12" ht="21.95" customHeight="1" x14ac:dyDescent="0.3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</row>
    <row r="2029" spans="1:12" ht="21.95" customHeight="1" x14ac:dyDescent="0.25">
      <c r="A2029" s="1"/>
      <c r="B2029" s="1"/>
    </row>
    <row r="2030" spans="1:12" ht="21.95" customHeight="1" x14ac:dyDescent="0.25">
      <c r="A2030" s="1" t="s">
        <v>7</v>
      </c>
      <c r="B2030" s="1"/>
    </row>
    <row r="2031" spans="1:12" ht="21.95" customHeight="1" x14ac:dyDescent="0.25">
      <c r="A2031" s="1"/>
      <c r="B2031" s="1"/>
    </row>
    <row r="2032" spans="1:12" ht="21.95" customHeight="1" x14ac:dyDescent="0.25">
      <c r="A2032" s="1" t="s">
        <v>8</v>
      </c>
      <c r="C2032" s="9" t="s">
        <v>1</v>
      </c>
      <c r="D2032" s="40" t="s">
        <v>462</v>
      </c>
      <c r="E2032" s="76"/>
      <c r="F2032" s="76"/>
      <c r="G2032" s="76"/>
      <c r="H2032" s="76"/>
    </row>
    <row r="2033" spans="1:12" ht="21.95" customHeight="1" x14ac:dyDescent="0.25">
      <c r="A2033" s="1" t="s">
        <v>9</v>
      </c>
      <c r="C2033" s="9" t="s">
        <v>1</v>
      </c>
      <c r="D2033" s="10" t="s">
        <v>463</v>
      </c>
      <c r="E2033" s="76"/>
      <c r="F2033" s="76"/>
      <c r="G2033" s="76"/>
      <c r="H2033" s="76"/>
    </row>
    <row r="2034" spans="1:12" ht="21.95" customHeight="1" x14ac:dyDescent="0.2">
      <c r="A2034" s="50" t="s">
        <v>10</v>
      </c>
      <c r="B2034" s="76"/>
      <c r="C2034" s="91" t="s">
        <v>1</v>
      </c>
      <c r="D2034" s="50" t="s">
        <v>460</v>
      </c>
      <c r="E2034" s="76"/>
      <c r="F2034" s="76"/>
      <c r="G2034" s="76"/>
      <c r="H2034" s="76"/>
      <c r="I2034" s="76"/>
      <c r="J2034" s="76"/>
      <c r="K2034" s="76"/>
      <c r="L2034" s="76"/>
    </row>
    <row r="2035" spans="1:12" ht="21.95" customHeight="1" x14ac:dyDescent="0.25">
      <c r="A2035" s="1"/>
      <c r="B2035" s="1"/>
      <c r="D2035" s="1"/>
    </row>
    <row r="2036" spans="1:12" ht="21.95" customHeight="1" x14ac:dyDescent="0.2">
      <c r="A2036" s="277" t="s">
        <v>457</v>
      </c>
      <c r="B2036" s="277"/>
      <c r="C2036" s="277"/>
      <c r="D2036" s="277"/>
      <c r="E2036" s="277"/>
      <c r="F2036" s="277"/>
      <c r="G2036" s="277"/>
      <c r="H2036" s="277"/>
      <c r="I2036" s="277"/>
      <c r="J2036" s="277"/>
      <c r="K2036" s="277"/>
      <c r="L2036" s="277"/>
    </row>
    <row r="2037" spans="1:12" ht="21.95" customHeight="1" x14ac:dyDescent="0.25">
      <c r="A2037" s="1"/>
      <c r="B2037" s="1"/>
    </row>
    <row r="2038" spans="1:12" ht="21.95" customHeight="1" thickBot="1" x14ac:dyDescent="0.25">
      <c r="A2038" s="10" t="s">
        <v>0</v>
      </c>
      <c r="B2038" s="278" t="s">
        <v>91</v>
      </c>
      <c r="C2038" s="278"/>
      <c r="D2038" s="278"/>
      <c r="E2038" s="278"/>
      <c r="F2038" s="278"/>
      <c r="G2038" s="278"/>
      <c r="H2038" s="278"/>
      <c r="I2038" s="278"/>
      <c r="J2038" s="278"/>
      <c r="K2038" s="278"/>
      <c r="L2038" s="278"/>
    </row>
    <row r="2039" spans="1:12" ht="21.95" customHeight="1" thickTop="1" x14ac:dyDescent="0.25">
      <c r="A2039" s="1"/>
      <c r="B2039" s="11" t="s">
        <v>3</v>
      </c>
      <c r="C2039" s="12" t="s">
        <v>4</v>
      </c>
      <c r="D2039" s="13"/>
      <c r="E2039" s="13"/>
      <c r="F2039" s="13"/>
      <c r="G2039" s="13"/>
      <c r="H2039" s="14"/>
      <c r="I2039" s="15" t="s">
        <v>5</v>
      </c>
      <c r="J2039" s="12" t="s">
        <v>17</v>
      </c>
      <c r="K2039" s="13"/>
      <c r="L2039" s="14"/>
    </row>
    <row r="2040" spans="1:12" ht="21.95" customHeight="1" x14ac:dyDescent="0.2">
      <c r="B2040" s="96">
        <v>1</v>
      </c>
      <c r="C2040" s="140" t="s">
        <v>443</v>
      </c>
      <c r="D2040" s="76"/>
      <c r="E2040" s="150"/>
      <c r="F2040" s="144"/>
      <c r="G2040" s="76"/>
      <c r="H2040" s="79"/>
      <c r="I2040" s="56">
        <v>150000</v>
      </c>
      <c r="J2040" s="76" t="s">
        <v>204</v>
      </c>
      <c r="L2040" s="17"/>
    </row>
    <row r="2041" spans="1:12" ht="21.95" customHeight="1" x14ac:dyDescent="0.2">
      <c r="B2041" s="96"/>
      <c r="C2041" s="313"/>
      <c r="D2041" s="314"/>
      <c r="E2041" s="314"/>
      <c r="F2041" s="314"/>
      <c r="G2041" s="314"/>
      <c r="H2041" s="315"/>
      <c r="I2041" s="56"/>
      <c r="L2041" s="17"/>
    </row>
    <row r="2042" spans="1:12" ht="21.95" customHeight="1" x14ac:dyDescent="0.25">
      <c r="A2042" s="1"/>
      <c r="B2042" s="39"/>
      <c r="C2042" s="1"/>
      <c r="D2042" s="1"/>
      <c r="E2042" s="1"/>
      <c r="F2042" s="40" t="s">
        <v>5</v>
      </c>
      <c r="G2042" s="40"/>
      <c r="H2042" s="1"/>
      <c r="I2042" s="41">
        <f>I2040</f>
        <v>150000</v>
      </c>
      <c r="J2042" s="1"/>
      <c r="K2042" s="1"/>
      <c r="L2042" s="42"/>
    </row>
    <row r="2043" spans="1:12" ht="21.95" customHeight="1" thickBot="1" x14ac:dyDescent="0.3">
      <c r="A2043" s="1"/>
      <c r="B2043" s="43"/>
      <c r="C2043" s="44"/>
      <c r="D2043" s="44"/>
      <c r="E2043" s="44"/>
      <c r="F2043" s="45"/>
      <c r="G2043" s="45"/>
      <c r="H2043" s="44"/>
      <c r="I2043" s="46"/>
      <c r="J2043" s="44"/>
      <c r="K2043" s="44"/>
      <c r="L2043" s="47"/>
    </row>
    <row r="2044" spans="1:12" ht="21.95" customHeight="1" thickTop="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</row>
    <row r="2045" spans="1:12" ht="21.95" customHeight="1" x14ac:dyDescent="0.2">
      <c r="A2045" s="10" t="s">
        <v>2</v>
      </c>
      <c r="B2045" s="279" t="s">
        <v>11</v>
      </c>
      <c r="C2045" s="279"/>
      <c r="D2045" s="279"/>
      <c r="E2045" s="279"/>
      <c r="F2045" s="279"/>
      <c r="G2045" s="279"/>
      <c r="H2045" s="279"/>
      <c r="I2045" s="279"/>
      <c r="J2045" s="279"/>
      <c r="K2045" s="279"/>
      <c r="L2045" s="279"/>
    </row>
    <row r="2046" spans="1:12" ht="21.95" customHeight="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</row>
    <row r="2047" spans="1:12" ht="21.95" customHeight="1" x14ac:dyDescent="0.2">
      <c r="A2047" s="280" t="s">
        <v>12</v>
      </c>
      <c r="B2047" s="280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</row>
    <row r="2048" spans="1:12" ht="21.95" customHeight="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</row>
    <row r="2049" spans="1:12" ht="21.95" customHeight="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 spans="1:12" ht="21.95" customHeight="1" x14ac:dyDescent="0.25">
      <c r="A2050" s="1"/>
      <c r="B2050" s="1"/>
      <c r="C2050" s="1"/>
      <c r="D2050" s="1"/>
      <c r="E2050" s="1"/>
      <c r="F2050" s="1"/>
      <c r="G2050" s="1"/>
      <c r="H2050" s="4" t="s">
        <v>199</v>
      </c>
      <c r="J2050" s="286" t="s">
        <v>449</v>
      </c>
      <c r="K2050" s="286"/>
      <c r="L2050" s="286"/>
    </row>
    <row r="2051" spans="1:12" ht="21.95" customHeight="1" x14ac:dyDescent="0.25">
      <c r="A2051" s="1"/>
      <c r="B2051" s="1" t="s">
        <v>15</v>
      </c>
      <c r="C2051" s="1"/>
      <c r="D2051" s="1"/>
      <c r="E2051" s="1"/>
      <c r="F2051" s="1"/>
      <c r="G2051" s="1"/>
      <c r="H2051" s="4" t="s">
        <v>13</v>
      </c>
    </row>
    <row r="2052" spans="1:12" ht="21.95" customHeight="1" x14ac:dyDescent="0.25">
      <c r="A2052" s="1"/>
      <c r="B2052" s="1" t="s">
        <v>18</v>
      </c>
      <c r="C2052" s="1"/>
      <c r="D2052" s="1"/>
      <c r="E2052" s="1"/>
      <c r="F2052" s="1"/>
      <c r="G2052" s="1"/>
      <c r="H2052" s="4" t="s">
        <v>14</v>
      </c>
    </row>
    <row r="2053" spans="1:12" ht="21.95" customHeight="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 spans="1:12" ht="21.95" customHeight="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</row>
    <row r="2055" spans="1:12" ht="21.95" customHeight="1" x14ac:dyDescent="0.25">
      <c r="A2055" s="1"/>
      <c r="B2055" s="103"/>
      <c r="C2055" s="103"/>
      <c r="D2055" s="103"/>
      <c r="E2055" s="103"/>
      <c r="F2055" s="103"/>
      <c r="G2055" s="103"/>
      <c r="H2055" s="103"/>
      <c r="I2055" s="103"/>
      <c r="J2055" s="103"/>
      <c r="K2055" s="103"/>
      <c r="L2055" s="1"/>
    </row>
    <row r="2056" spans="1:12" ht="21.95" customHeight="1" x14ac:dyDescent="0.25">
      <c r="A2056" s="1"/>
      <c r="K2056" s="103"/>
      <c r="L2056" s="1"/>
    </row>
    <row r="2057" spans="1:12" ht="21.95" customHeight="1" x14ac:dyDescent="0.25">
      <c r="A2057" s="1"/>
      <c r="B2057" s="95" t="s">
        <v>77</v>
      </c>
      <c r="H2057" s="37" t="str">
        <f>D2032</f>
        <v>Riska widiyana, S.Si</v>
      </c>
      <c r="I2057" s="95"/>
      <c r="J2057" s="92"/>
      <c r="K2057" s="103"/>
      <c r="L2057" s="1"/>
    </row>
    <row r="2058" spans="1:12" ht="21.95" customHeight="1" x14ac:dyDescent="0.25">
      <c r="A2058" s="1"/>
      <c r="B2058" s="99" t="s">
        <v>27</v>
      </c>
      <c r="C2058" s="57"/>
      <c r="H2058" s="48" t="s">
        <v>464</v>
      </c>
      <c r="K2058" s="103"/>
    </row>
    <row r="2066" spans="1:12" ht="21.95" customHeight="1" x14ac:dyDescent="0.25">
      <c r="A2066" s="3" t="s">
        <v>22</v>
      </c>
    </row>
    <row r="2067" spans="1:12" ht="21.95" customHeight="1" x14ac:dyDescent="0.2">
      <c r="A2067" s="122" t="s">
        <v>20</v>
      </c>
    </row>
    <row r="2068" spans="1:12" ht="21.95" customHeight="1" x14ac:dyDescent="0.2">
      <c r="A2068" s="122" t="s">
        <v>21</v>
      </c>
    </row>
    <row r="2072" spans="1:12" ht="21.95" customHeight="1" x14ac:dyDescent="0.3">
      <c r="A2072" s="276" t="s">
        <v>6</v>
      </c>
      <c r="B2072" s="276"/>
      <c r="C2072" s="276"/>
      <c r="D2072" s="276"/>
      <c r="E2072" s="276"/>
      <c r="F2072" s="276"/>
      <c r="G2072" s="276"/>
      <c r="H2072" s="276"/>
      <c r="I2072" s="276"/>
      <c r="J2072" s="276"/>
      <c r="K2072" s="276"/>
      <c r="L2072" s="276"/>
    </row>
    <row r="2073" spans="1:12" ht="21.95" customHeight="1" x14ac:dyDescent="0.3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</row>
    <row r="2074" spans="1:12" ht="21.95" customHeight="1" x14ac:dyDescent="0.3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</row>
    <row r="2075" spans="1:12" ht="21.95" customHeight="1" x14ac:dyDescent="0.25">
      <c r="A2075" s="1"/>
      <c r="B2075" s="1"/>
    </row>
    <row r="2076" spans="1:12" ht="21.95" customHeight="1" x14ac:dyDescent="0.25">
      <c r="A2076" s="1" t="s">
        <v>7</v>
      </c>
      <c r="B2076" s="1"/>
    </row>
    <row r="2077" spans="1:12" ht="21.95" customHeight="1" x14ac:dyDescent="0.25">
      <c r="A2077" s="1"/>
      <c r="B2077" s="1"/>
    </row>
    <row r="2078" spans="1:12" ht="21.95" customHeight="1" x14ac:dyDescent="0.25">
      <c r="A2078" s="1" t="s">
        <v>8</v>
      </c>
      <c r="C2078" s="9" t="s">
        <v>1</v>
      </c>
      <c r="D2078" s="40" t="s">
        <v>83</v>
      </c>
      <c r="E2078" s="76"/>
      <c r="F2078" s="76"/>
      <c r="G2078" s="76"/>
      <c r="H2078" s="76"/>
    </row>
    <row r="2079" spans="1:12" ht="21.95" customHeight="1" x14ac:dyDescent="0.25">
      <c r="A2079" s="1" t="s">
        <v>9</v>
      </c>
      <c r="C2079" s="9" t="s">
        <v>1</v>
      </c>
      <c r="D2079" s="7" t="s">
        <v>368</v>
      </c>
      <c r="E2079" s="76"/>
      <c r="F2079" s="76"/>
      <c r="G2079" s="76"/>
      <c r="H2079" s="76"/>
    </row>
    <row r="2080" spans="1:12" ht="21.95" customHeight="1" x14ac:dyDescent="0.2">
      <c r="A2080" s="50" t="s">
        <v>10</v>
      </c>
      <c r="B2080" s="76"/>
      <c r="C2080" s="91" t="s">
        <v>1</v>
      </c>
      <c r="D2080" s="50" t="s">
        <v>203</v>
      </c>
      <c r="E2080" s="76"/>
      <c r="F2080" s="76"/>
      <c r="G2080" s="76"/>
      <c r="H2080" s="76"/>
      <c r="I2080" s="76"/>
      <c r="J2080" s="76"/>
      <c r="K2080" s="76"/>
      <c r="L2080" s="76"/>
    </row>
    <row r="2081" spans="1:12" ht="21.95" customHeight="1" x14ac:dyDescent="0.25">
      <c r="A2081" s="1"/>
      <c r="B2081" s="1"/>
      <c r="D2081" s="1"/>
    </row>
    <row r="2082" spans="1:12" ht="21.95" customHeight="1" x14ac:dyDescent="0.2">
      <c r="A2082" s="277" t="s">
        <v>457</v>
      </c>
      <c r="B2082" s="277"/>
      <c r="C2082" s="277"/>
      <c r="D2082" s="277"/>
      <c r="E2082" s="277"/>
      <c r="F2082" s="277"/>
      <c r="G2082" s="277"/>
      <c r="H2082" s="277"/>
      <c r="I2082" s="277"/>
      <c r="J2082" s="277"/>
      <c r="K2082" s="277"/>
      <c r="L2082" s="277"/>
    </row>
    <row r="2083" spans="1:12" ht="21.95" customHeight="1" x14ac:dyDescent="0.25">
      <c r="A2083" s="1"/>
      <c r="B2083" s="1"/>
    </row>
    <row r="2084" spans="1:12" ht="21.95" customHeight="1" thickBot="1" x14ac:dyDescent="0.25">
      <c r="A2084" s="10" t="s">
        <v>0</v>
      </c>
      <c r="B2084" s="278" t="s">
        <v>91</v>
      </c>
      <c r="C2084" s="278"/>
      <c r="D2084" s="278"/>
      <c r="E2084" s="278"/>
      <c r="F2084" s="278"/>
      <c r="G2084" s="278"/>
      <c r="H2084" s="278"/>
      <c r="I2084" s="278"/>
      <c r="J2084" s="278"/>
      <c r="K2084" s="278"/>
      <c r="L2084" s="278"/>
    </row>
    <row r="2085" spans="1:12" ht="21.95" customHeight="1" thickTop="1" x14ac:dyDescent="0.25">
      <c r="A2085" s="1"/>
      <c r="B2085" s="11" t="s">
        <v>3</v>
      </c>
      <c r="C2085" s="12" t="s">
        <v>4</v>
      </c>
      <c r="D2085" s="13"/>
      <c r="E2085" s="13"/>
      <c r="F2085" s="13"/>
      <c r="G2085" s="13"/>
      <c r="H2085" s="14"/>
      <c r="I2085" s="15" t="s">
        <v>5</v>
      </c>
      <c r="J2085" s="12" t="s">
        <v>17</v>
      </c>
      <c r="K2085" s="13"/>
      <c r="L2085" s="14"/>
    </row>
    <row r="2086" spans="1:12" ht="21.95" customHeight="1" x14ac:dyDescent="0.2">
      <c r="B2086" s="96">
        <v>1</v>
      </c>
      <c r="C2086" s="140" t="s">
        <v>443</v>
      </c>
      <c r="D2086" s="76"/>
      <c r="E2086" s="150"/>
      <c r="F2086" s="144"/>
      <c r="G2086" s="76"/>
      <c r="H2086" s="79"/>
      <c r="I2086" s="56">
        <v>150000</v>
      </c>
      <c r="J2086" s="76" t="s">
        <v>204</v>
      </c>
      <c r="L2086" s="17"/>
    </row>
    <row r="2087" spans="1:12" ht="21.95" customHeight="1" x14ac:dyDescent="0.2">
      <c r="B2087" s="96"/>
      <c r="C2087" s="313"/>
      <c r="D2087" s="314"/>
      <c r="E2087" s="314"/>
      <c r="F2087" s="314"/>
      <c r="G2087" s="314"/>
      <c r="H2087" s="315"/>
      <c r="I2087" s="56"/>
      <c r="L2087" s="17"/>
    </row>
    <row r="2088" spans="1:12" ht="21.95" customHeight="1" x14ac:dyDescent="0.25">
      <c r="A2088" s="1"/>
      <c r="B2088" s="39"/>
      <c r="C2088" s="1"/>
      <c r="D2088" s="1"/>
      <c r="E2088" s="1"/>
      <c r="F2088" s="40" t="s">
        <v>5</v>
      </c>
      <c r="G2088" s="40"/>
      <c r="H2088" s="1"/>
      <c r="I2088" s="41">
        <f>I2086</f>
        <v>150000</v>
      </c>
      <c r="J2088" s="1"/>
      <c r="K2088" s="1"/>
      <c r="L2088" s="42"/>
    </row>
    <row r="2089" spans="1:12" ht="21.95" customHeight="1" thickBot="1" x14ac:dyDescent="0.3">
      <c r="A2089" s="1"/>
      <c r="B2089" s="43"/>
      <c r="C2089" s="44"/>
      <c r="D2089" s="44"/>
      <c r="E2089" s="44"/>
      <c r="F2089" s="45"/>
      <c r="G2089" s="45"/>
      <c r="H2089" s="44"/>
      <c r="I2089" s="46"/>
      <c r="J2089" s="44"/>
      <c r="K2089" s="44"/>
      <c r="L2089" s="47"/>
    </row>
    <row r="2090" spans="1:12" ht="21.95" customHeight="1" thickTop="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 ht="21.95" customHeight="1" x14ac:dyDescent="0.2">
      <c r="A2091" s="10" t="s">
        <v>2</v>
      </c>
      <c r="B2091" s="279" t="s">
        <v>11</v>
      </c>
      <c r="C2091" s="279"/>
      <c r="D2091" s="279"/>
      <c r="E2091" s="279"/>
      <c r="F2091" s="279"/>
      <c r="G2091" s="279"/>
      <c r="H2091" s="279"/>
      <c r="I2091" s="279"/>
      <c r="J2091" s="279"/>
      <c r="K2091" s="279"/>
      <c r="L2091" s="279"/>
    </row>
    <row r="2092" spans="1:12" ht="21.95" customHeight="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ht="21.95" customHeight="1" x14ac:dyDescent="0.2">
      <c r="A2093" s="280" t="s">
        <v>12</v>
      </c>
      <c r="B2093" s="280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</row>
    <row r="2094" spans="1:12" ht="21.95" customHeight="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 ht="21.95" customHeight="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 spans="1:12" ht="21.95" customHeight="1" x14ac:dyDescent="0.25">
      <c r="A2096" s="1"/>
      <c r="B2096" s="1"/>
      <c r="C2096" s="1"/>
      <c r="D2096" s="1"/>
      <c r="E2096" s="1"/>
      <c r="F2096" s="1"/>
      <c r="G2096" s="1"/>
      <c r="H2096" s="4" t="s">
        <v>199</v>
      </c>
      <c r="J2096" s="286" t="s">
        <v>449</v>
      </c>
      <c r="K2096" s="286"/>
      <c r="L2096" s="286"/>
    </row>
    <row r="2097" spans="1:12" ht="21.95" customHeight="1" x14ac:dyDescent="0.25">
      <c r="A2097" s="1"/>
      <c r="B2097" s="1" t="s">
        <v>15</v>
      </c>
      <c r="C2097" s="1"/>
      <c r="D2097" s="1"/>
      <c r="E2097" s="1"/>
      <c r="F2097" s="1"/>
      <c r="G2097" s="1"/>
      <c r="H2097" s="4" t="s">
        <v>13</v>
      </c>
    </row>
    <row r="2098" spans="1:12" ht="21.95" customHeight="1" x14ac:dyDescent="0.25">
      <c r="A2098" s="1"/>
      <c r="B2098" s="1" t="s">
        <v>18</v>
      </c>
      <c r="C2098" s="1"/>
      <c r="D2098" s="1"/>
      <c r="E2098" s="1"/>
      <c r="F2098" s="1"/>
      <c r="G2098" s="1"/>
      <c r="H2098" s="4" t="s">
        <v>14</v>
      </c>
    </row>
    <row r="2099" spans="1:12" ht="21.95" customHeight="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</row>
    <row r="2100" spans="1:12" ht="21.95" customHeight="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</row>
    <row r="2101" spans="1:12" ht="21.95" customHeight="1" x14ac:dyDescent="0.25">
      <c r="A2101" s="1"/>
      <c r="B2101" s="103"/>
      <c r="C2101" s="103"/>
      <c r="D2101" s="103"/>
      <c r="E2101" s="103"/>
      <c r="F2101" s="103"/>
      <c r="G2101" s="103"/>
      <c r="H2101" s="103"/>
      <c r="I2101" s="103"/>
      <c r="J2101" s="103"/>
      <c r="K2101" s="103"/>
      <c r="L2101" s="1"/>
    </row>
    <row r="2102" spans="1:12" ht="21.95" customHeight="1" x14ac:dyDescent="0.25">
      <c r="A2102" s="1"/>
      <c r="K2102" s="103"/>
      <c r="L2102" s="1"/>
    </row>
    <row r="2103" spans="1:12" ht="21.95" customHeight="1" x14ac:dyDescent="0.25">
      <c r="A2103" s="1"/>
      <c r="B2103" s="95" t="s">
        <v>77</v>
      </c>
      <c r="H2103" s="37" t="s">
        <v>83</v>
      </c>
      <c r="I2103" s="95"/>
      <c r="J2103" s="92"/>
      <c r="K2103" s="103"/>
      <c r="L2103" s="1"/>
    </row>
    <row r="2104" spans="1:12" ht="21.95" customHeight="1" x14ac:dyDescent="0.25">
      <c r="A2104" s="1"/>
      <c r="B2104" s="99" t="s">
        <v>27</v>
      </c>
      <c r="C2104" s="57"/>
      <c r="H2104" s="1" t="s">
        <v>99</v>
      </c>
      <c r="K2104" s="103"/>
    </row>
    <row r="2109" spans="1:12" ht="21.95" customHeight="1" x14ac:dyDescent="0.25">
      <c r="A2109" s="3" t="s">
        <v>22</v>
      </c>
    </row>
    <row r="2110" spans="1:12" ht="21.95" customHeight="1" x14ac:dyDescent="0.2">
      <c r="A2110" s="122" t="s">
        <v>20</v>
      </c>
    </row>
    <row r="2111" spans="1:12" ht="21.95" customHeight="1" x14ac:dyDescent="0.2">
      <c r="A2111" s="122" t="s">
        <v>21</v>
      </c>
    </row>
    <row r="2115" spans="1:12" ht="21.95" customHeight="1" x14ac:dyDescent="0.3">
      <c r="A2115" s="276" t="s">
        <v>6</v>
      </c>
      <c r="B2115" s="276"/>
      <c r="C2115" s="276"/>
      <c r="D2115" s="276"/>
      <c r="E2115" s="276"/>
      <c r="F2115" s="276"/>
      <c r="G2115" s="276"/>
      <c r="H2115" s="276"/>
      <c r="I2115" s="276"/>
      <c r="J2115" s="276"/>
      <c r="K2115" s="276"/>
      <c r="L2115" s="276"/>
    </row>
    <row r="2116" spans="1:12" ht="21.95" customHeight="1" x14ac:dyDescent="0.3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</row>
    <row r="2117" spans="1:12" ht="21.95" customHeight="1" x14ac:dyDescent="0.3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</row>
    <row r="2118" spans="1:12" ht="21.95" customHeight="1" x14ac:dyDescent="0.25">
      <c r="A2118" s="1"/>
      <c r="B2118" s="1"/>
    </row>
    <row r="2119" spans="1:12" ht="21.95" customHeight="1" x14ac:dyDescent="0.25">
      <c r="A2119" s="1" t="s">
        <v>7</v>
      </c>
      <c r="B2119" s="1"/>
    </row>
    <row r="2120" spans="1:12" ht="21.95" customHeight="1" x14ac:dyDescent="0.25">
      <c r="A2120" s="1"/>
      <c r="B2120" s="1"/>
    </row>
    <row r="2121" spans="1:12" ht="21.95" customHeight="1" x14ac:dyDescent="0.25">
      <c r="A2121" s="1" t="s">
        <v>8</v>
      </c>
      <c r="C2121" s="9" t="s">
        <v>1</v>
      </c>
      <c r="D2121" s="40" t="s">
        <v>159</v>
      </c>
      <c r="E2121" s="76"/>
      <c r="F2121" s="76"/>
      <c r="G2121" s="76"/>
      <c r="H2121" s="76"/>
    </row>
    <row r="2122" spans="1:12" ht="21.95" customHeight="1" x14ac:dyDescent="0.25">
      <c r="A2122" s="1" t="s">
        <v>9</v>
      </c>
      <c r="C2122" s="9" t="s">
        <v>1</v>
      </c>
      <c r="D2122" s="10" t="s">
        <v>465</v>
      </c>
      <c r="E2122" s="76"/>
      <c r="F2122" s="76"/>
      <c r="G2122" s="76"/>
      <c r="H2122" s="76"/>
    </row>
    <row r="2123" spans="1:12" ht="21.95" customHeight="1" x14ac:dyDescent="0.2">
      <c r="A2123" s="50" t="s">
        <v>10</v>
      </c>
      <c r="B2123" s="76"/>
      <c r="C2123" s="91" t="s">
        <v>1</v>
      </c>
      <c r="D2123" s="50" t="s">
        <v>275</v>
      </c>
      <c r="E2123" s="76"/>
      <c r="F2123" s="76"/>
      <c r="G2123" s="76"/>
      <c r="H2123" s="76"/>
      <c r="I2123" s="76"/>
      <c r="J2123" s="76"/>
      <c r="K2123" s="76"/>
      <c r="L2123" s="76"/>
    </row>
    <row r="2124" spans="1:12" ht="21.95" customHeight="1" x14ac:dyDescent="0.25">
      <c r="A2124" s="1"/>
      <c r="B2124" s="1"/>
      <c r="D2124" s="1"/>
    </row>
    <row r="2125" spans="1:12" ht="21.95" customHeight="1" x14ac:dyDescent="0.2">
      <c r="A2125" s="277" t="s">
        <v>457</v>
      </c>
      <c r="B2125" s="277"/>
      <c r="C2125" s="277"/>
      <c r="D2125" s="277"/>
      <c r="E2125" s="277"/>
      <c r="F2125" s="277"/>
      <c r="G2125" s="277"/>
      <c r="H2125" s="277"/>
      <c r="I2125" s="277"/>
      <c r="J2125" s="277"/>
      <c r="K2125" s="277"/>
      <c r="L2125" s="277"/>
    </row>
    <row r="2126" spans="1:12" ht="21.95" customHeight="1" x14ac:dyDescent="0.25">
      <c r="A2126" s="1"/>
      <c r="B2126" s="1"/>
    </row>
    <row r="2127" spans="1:12" ht="21.95" customHeight="1" thickBot="1" x14ac:dyDescent="0.25">
      <c r="A2127" s="10" t="s">
        <v>0</v>
      </c>
      <c r="B2127" s="278" t="s">
        <v>91</v>
      </c>
      <c r="C2127" s="278"/>
      <c r="D2127" s="278"/>
      <c r="E2127" s="278"/>
      <c r="F2127" s="278"/>
      <c r="G2127" s="278"/>
      <c r="H2127" s="278"/>
      <c r="I2127" s="278"/>
      <c r="J2127" s="278"/>
      <c r="K2127" s="278"/>
      <c r="L2127" s="278"/>
    </row>
    <row r="2128" spans="1:12" ht="21.95" customHeight="1" thickTop="1" x14ac:dyDescent="0.25">
      <c r="A2128" s="1"/>
      <c r="B2128" s="11" t="s">
        <v>3</v>
      </c>
      <c r="C2128" s="12" t="s">
        <v>4</v>
      </c>
      <c r="D2128" s="13"/>
      <c r="E2128" s="13"/>
      <c r="F2128" s="13"/>
      <c r="G2128" s="13"/>
      <c r="H2128" s="14"/>
      <c r="I2128" s="15" t="s">
        <v>5</v>
      </c>
      <c r="J2128" s="12" t="s">
        <v>17</v>
      </c>
      <c r="K2128" s="13"/>
      <c r="L2128" s="14"/>
    </row>
    <row r="2129" spans="1:12" ht="21.95" customHeight="1" x14ac:dyDescent="0.2">
      <c r="B2129" s="96">
        <v>1</v>
      </c>
      <c r="C2129" s="140" t="s">
        <v>443</v>
      </c>
      <c r="D2129" s="76"/>
      <c r="E2129" s="150"/>
      <c r="F2129" s="144"/>
      <c r="G2129" s="76"/>
      <c r="H2129" s="79"/>
      <c r="I2129" s="56">
        <v>150000</v>
      </c>
      <c r="J2129" s="76" t="s">
        <v>204</v>
      </c>
      <c r="L2129" s="17"/>
    </row>
    <row r="2130" spans="1:12" ht="21.95" customHeight="1" x14ac:dyDescent="0.2">
      <c r="B2130" s="96"/>
      <c r="C2130" s="313"/>
      <c r="D2130" s="314"/>
      <c r="E2130" s="314"/>
      <c r="F2130" s="314"/>
      <c r="G2130" s="314"/>
      <c r="H2130" s="315"/>
      <c r="I2130" s="56"/>
      <c r="L2130" s="17"/>
    </row>
    <row r="2131" spans="1:12" ht="21.95" customHeight="1" x14ac:dyDescent="0.25">
      <c r="A2131" s="1"/>
      <c r="B2131" s="39"/>
      <c r="C2131" s="1"/>
      <c r="D2131" s="1"/>
      <c r="E2131" s="1"/>
      <c r="F2131" s="40" t="s">
        <v>5</v>
      </c>
      <c r="G2131" s="40"/>
      <c r="H2131" s="1"/>
      <c r="I2131" s="41">
        <f>I2129</f>
        <v>150000</v>
      </c>
      <c r="J2131" s="1"/>
      <c r="K2131" s="1"/>
      <c r="L2131" s="42"/>
    </row>
    <row r="2132" spans="1:12" ht="21.95" customHeight="1" thickBot="1" x14ac:dyDescent="0.3">
      <c r="A2132" s="1"/>
      <c r="B2132" s="43"/>
      <c r="C2132" s="44"/>
      <c r="D2132" s="44"/>
      <c r="E2132" s="44"/>
      <c r="F2132" s="45"/>
      <c r="G2132" s="45"/>
      <c r="H2132" s="44"/>
      <c r="I2132" s="46"/>
      <c r="J2132" s="44"/>
      <c r="K2132" s="44"/>
      <c r="L2132" s="47"/>
    </row>
    <row r="2133" spans="1:12" ht="21.95" customHeight="1" thickTop="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</row>
    <row r="2134" spans="1:12" ht="21.95" customHeight="1" x14ac:dyDescent="0.2">
      <c r="A2134" s="10" t="s">
        <v>2</v>
      </c>
      <c r="B2134" s="279" t="s">
        <v>11</v>
      </c>
      <c r="C2134" s="279"/>
      <c r="D2134" s="279"/>
      <c r="E2134" s="279"/>
      <c r="F2134" s="279"/>
      <c r="G2134" s="279"/>
      <c r="H2134" s="279"/>
      <c r="I2134" s="279"/>
      <c r="J2134" s="279"/>
      <c r="K2134" s="279"/>
      <c r="L2134" s="279"/>
    </row>
    <row r="2135" spans="1:12" ht="21.95" customHeight="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 spans="1:12" ht="21.95" customHeight="1" x14ac:dyDescent="0.2">
      <c r="A2136" s="280" t="s">
        <v>12</v>
      </c>
      <c r="B2136" s="280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</row>
    <row r="2137" spans="1:12" ht="21.95" customHeight="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 spans="1:12" ht="21.95" customHeight="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</row>
    <row r="2139" spans="1:12" ht="21.95" customHeight="1" x14ac:dyDescent="0.25">
      <c r="A2139" s="1"/>
      <c r="B2139" s="1"/>
      <c r="C2139" s="1"/>
      <c r="D2139" s="1"/>
      <c r="E2139" s="1"/>
      <c r="F2139" s="1"/>
      <c r="G2139" s="1"/>
      <c r="H2139" s="4" t="s">
        <v>199</v>
      </c>
      <c r="J2139" s="286" t="s">
        <v>449</v>
      </c>
      <c r="K2139" s="286"/>
      <c r="L2139" s="286"/>
    </row>
    <row r="2140" spans="1:12" ht="21.95" customHeight="1" x14ac:dyDescent="0.25">
      <c r="A2140" s="1"/>
      <c r="B2140" s="1" t="s">
        <v>15</v>
      </c>
      <c r="C2140" s="1"/>
      <c r="D2140" s="1"/>
      <c r="E2140" s="1"/>
      <c r="F2140" s="1"/>
      <c r="G2140" s="1"/>
      <c r="H2140" s="4" t="s">
        <v>13</v>
      </c>
    </row>
    <row r="2141" spans="1:12" ht="21.95" customHeight="1" x14ac:dyDescent="0.25">
      <c r="A2141" s="1"/>
      <c r="B2141" s="1" t="s">
        <v>18</v>
      </c>
      <c r="C2141" s="1"/>
      <c r="D2141" s="1"/>
      <c r="E2141" s="1"/>
      <c r="F2141" s="1"/>
      <c r="G2141" s="1"/>
      <c r="H2141" s="4" t="s">
        <v>14</v>
      </c>
    </row>
    <row r="2142" spans="1:12" ht="21.95" customHeight="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 ht="21.95" customHeight="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 ht="21.95" customHeight="1" x14ac:dyDescent="0.25">
      <c r="A2144" s="1"/>
      <c r="B2144" s="103"/>
      <c r="C2144" s="103"/>
      <c r="D2144" s="103"/>
      <c r="E2144" s="103"/>
      <c r="F2144" s="103"/>
      <c r="G2144" s="103"/>
      <c r="H2144" s="103"/>
      <c r="I2144" s="103"/>
      <c r="J2144" s="103"/>
      <c r="K2144" s="103"/>
      <c r="L2144" s="1"/>
    </row>
    <row r="2145" spans="1:12" ht="21.95" customHeight="1" x14ac:dyDescent="0.25">
      <c r="A2145" s="1"/>
      <c r="K2145" s="103"/>
      <c r="L2145" s="1"/>
    </row>
    <row r="2146" spans="1:12" ht="21.95" customHeight="1" x14ac:dyDescent="0.25">
      <c r="A2146" s="1"/>
      <c r="B2146" s="95" t="s">
        <v>77</v>
      </c>
      <c r="H2146" s="37" t="s">
        <v>159</v>
      </c>
      <c r="I2146" s="95"/>
      <c r="J2146" s="92"/>
      <c r="K2146" s="103"/>
      <c r="L2146" s="1"/>
    </row>
    <row r="2147" spans="1:12" ht="21.95" customHeight="1" x14ac:dyDescent="0.25">
      <c r="A2147" s="1"/>
      <c r="B2147" s="99" t="s">
        <v>27</v>
      </c>
      <c r="C2147" s="57"/>
      <c r="H2147" s="48" t="s">
        <v>160</v>
      </c>
      <c r="K2147" s="103"/>
    </row>
    <row r="2152" spans="1:12" ht="21.95" customHeight="1" x14ac:dyDescent="0.25">
      <c r="A2152" s="3" t="s">
        <v>22</v>
      </c>
    </row>
    <row r="2153" spans="1:12" ht="21.95" customHeight="1" x14ac:dyDescent="0.2">
      <c r="A2153" s="122" t="s">
        <v>20</v>
      </c>
    </row>
    <row r="2154" spans="1:12" ht="21.95" customHeight="1" x14ac:dyDescent="0.2">
      <c r="A2154" s="122" t="s">
        <v>21</v>
      </c>
    </row>
    <row r="2158" spans="1:12" ht="21.95" customHeight="1" x14ac:dyDescent="0.3">
      <c r="A2158" s="276" t="s">
        <v>6</v>
      </c>
      <c r="B2158" s="276"/>
      <c r="C2158" s="276"/>
      <c r="D2158" s="276"/>
      <c r="E2158" s="276"/>
      <c r="F2158" s="276"/>
      <c r="G2158" s="276"/>
      <c r="H2158" s="276"/>
      <c r="I2158" s="276"/>
      <c r="J2158" s="276"/>
      <c r="K2158" s="276"/>
      <c r="L2158" s="276"/>
    </row>
    <row r="2159" spans="1:12" ht="21.95" customHeight="1" x14ac:dyDescent="0.3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</row>
    <row r="2160" spans="1:12" ht="21.95" customHeight="1" x14ac:dyDescent="0.3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</row>
    <row r="2161" spans="1:12" ht="21.95" customHeight="1" x14ac:dyDescent="0.25">
      <c r="A2161" s="1"/>
      <c r="B2161" s="1"/>
    </row>
    <row r="2162" spans="1:12" ht="21.95" customHeight="1" x14ac:dyDescent="0.25">
      <c r="A2162" s="1" t="s">
        <v>7</v>
      </c>
      <c r="B2162" s="1"/>
    </row>
    <row r="2163" spans="1:12" ht="21.95" customHeight="1" x14ac:dyDescent="0.25">
      <c r="A2163" s="1"/>
      <c r="B2163" s="1"/>
    </row>
    <row r="2164" spans="1:12" ht="21.95" customHeight="1" x14ac:dyDescent="0.25">
      <c r="A2164" s="1" t="s">
        <v>8</v>
      </c>
      <c r="C2164" s="9" t="s">
        <v>1</v>
      </c>
      <c r="D2164" s="40" t="s">
        <v>466</v>
      </c>
      <c r="E2164" s="76"/>
      <c r="F2164" s="76"/>
      <c r="G2164" s="76"/>
      <c r="H2164" s="76"/>
    </row>
    <row r="2165" spans="1:12" ht="21.95" customHeight="1" x14ac:dyDescent="0.25">
      <c r="A2165" s="1" t="s">
        <v>9</v>
      </c>
      <c r="C2165" s="9" t="s">
        <v>1</v>
      </c>
      <c r="D2165" s="10" t="s">
        <v>74</v>
      </c>
      <c r="E2165" s="76"/>
      <c r="F2165" s="76"/>
      <c r="G2165" s="76"/>
      <c r="H2165" s="76"/>
    </row>
    <row r="2166" spans="1:12" ht="21.95" customHeight="1" x14ac:dyDescent="0.2">
      <c r="A2166" s="50" t="s">
        <v>10</v>
      </c>
      <c r="B2166" s="76"/>
      <c r="C2166" s="91" t="s">
        <v>1</v>
      </c>
      <c r="D2166" s="50" t="s">
        <v>467</v>
      </c>
      <c r="E2166" s="76"/>
      <c r="F2166" s="76"/>
      <c r="G2166" s="76"/>
      <c r="H2166" s="76"/>
      <c r="I2166" s="76"/>
      <c r="J2166" s="76"/>
      <c r="K2166" s="76"/>
      <c r="L2166" s="76"/>
    </row>
    <row r="2167" spans="1:12" ht="21.95" customHeight="1" x14ac:dyDescent="0.25">
      <c r="A2167" s="1"/>
      <c r="B2167" s="1"/>
      <c r="D2167" s="1"/>
    </row>
    <row r="2168" spans="1:12" ht="21.95" customHeight="1" x14ac:dyDescent="0.2">
      <c r="A2168" s="277" t="s">
        <v>457</v>
      </c>
      <c r="B2168" s="277"/>
      <c r="C2168" s="277"/>
      <c r="D2168" s="277"/>
      <c r="E2168" s="277"/>
      <c r="F2168" s="277"/>
      <c r="G2168" s="277"/>
      <c r="H2168" s="277"/>
      <c r="I2168" s="277"/>
      <c r="J2168" s="277"/>
      <c r="K2168" s="277"/>
      <c r="L2168" s="277"/>
    </row>
    <row r="2169" spans="1:12" ht="21.95" customHeight="1" x14ac:dyDescent="0.25">
      <c r="A2169" s="1"/>
      <c r="B2169" s="1"/>
    </row>
    <row r="2170" spans="1:12" ht="21.95" customHeight="1" thickBot="1" x14ac:dyDescent="0.25">
      <c r="A2170" s="10" t="s">
        <v>0</v>
      </c>
      <c r="B2170" s="278" t="s">
        <v>91</v>
      </c>
      <c r="C2170" s="278"/>
      <c r="D2170" s="278"/>
      <c r="E2170" s="278"/>
      <c r="F2170" s="278"/>
      <c r="G2170" s="278"/>
      <c r="H2170" s="278"/>
      <c r="I2170" s="278"/>
      <c r="J2170" s="278"/>
      <c r="K2170" s="278"/>
      <c r="L2170" s="278"/>
    </row>
    <row r="2171" spans="1:12" ht="21.95" customHeight="1" thickTop="1" x14ac:dyDescent="0.25">
      <c r="A2171" s="1"/>
      <c r="B2171" s="11" t="s">
        <v>3</v>
      </c>
      <c r="C2171" s="12" t="s">
        <v>4</v>
      </c>
      <c r="D2171" s="13"/>
      <c r="E2171" s="13"/>
      <c r="F2171" s="13"/>
      <c r="G2171" s="13"/>
      <c r="H2171" s="14"/>
      <c r="I2171" s="15" t="s">
        <v>5</v>
      </c>
      <c r="J2171" s="12" t="s">
        <v>17</v>
      </c>
      <c r="K2171" s="13"/>
      <c r="L2171" s="14"/>
    </row>
    <row r="2172" spans="1:12" ht="21.95" customHeight="1" x14ac:dyDescent="0.2">
      <c r="B2172" s="96">
        <v>1</v>
      </c>
      <c r="C2172" s="140" t="s">
        <v>443</v>
      </c>
      <c r="D2172" s="76"/>
      <c r="E2172" s="150"/>
      <c r="F2172" s="144"/>
      <c r="G2172" s="76"/>
      <c r="H2172" s="79"/>
      <c r="I2172" s="56">
        <v>50000</v>
      </c>
      <c r="J2172" s="76" t="s">
        <v>204</v>
      </c>
      <c r="L2172" s="17"/>
    </row>
    <row r="2173" spans="1:12" ht="21.95" customHeight="1" x14ac:dyDescent="0.2">
      <c r="B2173" s="96"/>
      <c r="C2173" s="313"/>
      <c r="D2173" s="314"/>
      <c r="E2173" s="314"/>
      <c r="F2173" s="314"/>
      <c r="G2173" s="314"/>
      <c r="H2173" s="315"/>
      <c r="I2173" s="56"/>
      <c r="L2173" s="17"/>
    </row>
    <row r="2174" spans="1:12" ht="21.95" customHeight="1" x14ac:dyDescent="0.25">
      <c r="A2174" s="1"/>
      <c r="B2174" s="39"/>
      <c r="C2174" s="1"/>
      <c r="D2174" s="1"/>
      <c r="E2174" s="1"/>
      <c r="F2174" s="40" t="s">
        <v>5</v>
      </c>
      <c r="G2174" s="40"/>
      <c r="H2174" s="1"/>
      <c r="I2174" s="41">
        <f>I2172</f>
        <v>50000</v>
      </c>
      <c r="J2174" s="1"/>
      <c r="K2174" s="1"/>
      <c r="L2174" s="42"/>
    </row>
    <row r="2175" spans="1:12" ht="21.95" customHeight="1" thickBot="1" x14ac:dyDescent="0.3">
      <c r="A2175" s="1"/>
      <c r="B2175" s="43"/>
      <c r="C2175" s="44"/>
      <c r="D2175" s="44"/>
      <c r="E2175" s="44"/>
      <c r="F2175" s="45"/>
      <c r="G2175" s="45"/>
      <c r="H2175" s="44"/>
      <c r="I2175" s="46"/>
      <c r="J2175" s="44"/>
      <c r="K2175" s="44"/>
      <c r="L2175" s="47"/>
    </row>
    <row r="2176" spans="1:12" ht="21.95" customHeight="1" thickTop="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 ht="21.95" customHeight="1" x14ac:dyDescent="0.2">
      <c r="A2177" s="10" t="s">
        <v>2</v>
      </c>
      <c r="B2177" s="279" t="s">
        <v>11</v>
      </c>
      <c r="C2177" s="279"/>
      <c r="D2177" s="279"/>
      <c r="E2177" s="279"/>
      <c r="F2177" s="279"/>
      <c r="G2177" s="279"/>
      <c r="H2177" s="279"/>
      <c r="I2177" s="279"/>
      <c r="J2177" s="279"/>
      <c r="K2177" s="279"/>
      <c r="L2177" s="279"/>
    </row>
    <row r="2178" spans="1:12" ht="21.95" customHeight="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 ht="21.95" customHeight="1" x14ac:dyDescent="0.2">
      <c r="A2179" s="280" t="s">
        <v>12</v>
      </c>
      <c r="B2179" s="280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</row>
    <row r="2180" spans="1:12" ht="21.95" customHeight="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 ht="21.95" customHeight="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 ht="21.95" customHeight="1" x14ac:dyDescent="0.25">
      <c r="A2182" s="1"/>
      <c r="B2182" s="1"/>
      <c r="C2182" s="1"/>
      <c r="D2182" s="1"/>
      <c r="E2182" s="1"/>
      <c r="F2182" s="1"/>
      <c r="G2182" s="1"/>
      <c r="H2182" s="4" t="s">
        <v>199</v>
      </c>
      <c r="J2182" s="286" t="s">
        <v>449</v>
      </c>
      <c r="K2182" s="286"/>
      <c r="L2182" s="286"/>
    </row>
    <row r="2183" spans="1:12" ht="21.95" customHeight="1" x14ac:dyDescent="0.25">
      <c r="A2183" s="1"/>
      <c r="B2183" s="1" t="s">
        <v>15</v>
      </c>
      <c r="C2183" s="1"/>
      <c r="D2183" s="1"/>
      <c r="E2183" s="1"/>
      <c r="F2183" s="1"/>
      <c r="G2183" s="1"/>
      <c r="H2183" s="4" t="s">
        <v>13</v>
      </c>
    </row>
    <row r="2184" spans="1:12" ht="21.95" customHeight="1" x14ac:dyDescent="0.25">
      <c r="A2184" s="1"/>
      <c r="B2184" s="1" t="s">
        <v>18</v>
      </c>
      <c r="C2184" s="1"/>
      <c r="D2184" s="1"/>
      <c r="E2184" s="1"/>
      <c r="F2184" s="1"/>
      <c r="G2184" s="1"/>
      <c r="H2184" s="4" t="s">
        <v>14</v>
      </c>
    </row>
    <row r="2185" spans="1:12" ht="21.95" customHeight="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 ht="21.95" customHeight="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 ht="21.95" customHeight="1" x14ac:dyDescent="0.25">
      <c r="A2187" s="1"/>
      <c r="B2187" s="103"/>
      <c r="C2187" s="103"/>
      <c r="D2187" s="103"/>
      <c r="E2187" s="103"/>
      <c r="F2187" s="103"/>
      <c r="G2187" s="103"/>
      <c r="H2187" s="103"/>
      <c r="I2187" s="103"/>
      <c r="J2187" s="103"/>
      <c r="K2187" s="103"/>
      <c r="L2187" s="1"/>
    </row>
    <row r="2188" spans="1:12" ht="21.95" customHeight="1" x14ac:dyDescent="0.25">
      <c r="A2188" s="1"/>
      <c r="K2188" s="103"/>
      <c r="L2188" s="1"/>
    </row>
    <row r="2189" spans="1:12" ht="21.95" customHeight="1" x14ac:dyDescent="0.25">
      <c r="A2189" s="1"/>
      <c r="B2189" s="95" t="s">
        <v>77</v>
      </c>
      <c r="H2189" s="37" t="str">
        <f>D2164</f>
        <v>Akhlakul Kanaah</v>
      </c>
      <c r="I2189" s="95"/>
      <c r="J2189" s="92"/>
      <c r="K2189" s="103"/>
      <c r="L2189" s="1"/>
    </row>
    <row r="2190" spans="1:12" ht="21.95" customHeight="1" x14ac:dyDescent="0.25">
      <c r="A2190" s="1"/>
      <c r="B2190" s="99" t="s">
        <v>27</v>
      </c>
      <c r="C2190" s="57"/>
      <c r="H2190" s="48"/>
      <c r="K2190" s="103"/>
    </row>
    <row r="2195" spans="1:12" ht="21.95" customHeight="1" x14ac:dyDescent="0.25">
      <c r="A2195" s="3" t="s">
        <v>22</v>
      </c>
    </row>
    <row r="2196" spans="1:12" ht="21.95" customHeight="1" x14ac:dyDescent="0.2">
      <c r="A2196" s="122" t="s">
        <v>20</v>
      </c>
    </row>
    <row r="2197" spans="1:12" ht="21.95" customHeight="1" x14ac:dyDescent="0.2">
      <c r="A2197" s="122" t="s">
        <v>21</v>
      </c>
    </row>
    <row r="2201" spans="1:12" ht="21.95" customHeight="1" x14ac:dyDescent="0.3">
      <c r="A2201" s="276" t="s">
        <v>6</v>
      </c>
      <c r="B2201" s="276"/>
      <c r="C2201" s="276"/>
      <c r="D2201" s="276"/>
      <c r="E2201" s="276"/>
      <c r="F2201" s="276"/>
      <c r="G2201" s="276"/>
      <c r="H2201" s="276"/>
      <c r="I2201" s="276"/>
      <c r="J2201" s="276"/>
      <c r="K2201" s="276"/>
      <c r="L2201" s="276"/>
    </row>
    <row r="2202" spans="1:12" ht="21.95" customHeight="1" x14ac:dyDescent="0.3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</row>
    <row r="2203" spans="1:12" ht="21.95" customHeight="1" x14ac:dyDescent="0.3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</row>
    <row r="2204" spans="1:12" ht="21.95" customHeight="1" x14ac:dyDescent="0.25">
      <c r="A2204" s="1"/>
      <c r="B2204" s="1"/>
    </row>
    <row r="2205" spans="1:12" ht="21.95" customHeight="1" x14ac:dyDescent="0.25">
      <c r="A2205" s="1" t="s">
        <v>7</v>
      </c>
      <c r="B2205" s="1"/>
    </row>
    <row r="2206" spans="1:12" ht="21.95" customHeight="1" x14ac:dyDescent="0.25">
      <c r="A2206" s="1"/>
      <c r="B2206" s="1"/>
    </row>
    <row r="2207" spans="1:12" ht="21.95" customHeight="1" x14ac:dyDescent="0.25">
      <c r="A2207" s="1" t="s">
        <v>8</v>
      </c>
      <c r="C2207" s="9" t="s">
        <v>1</v>
      </c>
      <c r="D2207" s="40" t="s">
        <v>468</v>
      </c>
      <c r="E2207" s="76"/>
      <c r="F2207" s="76"/>
      <c r="G2207" s="76"/>
      <c r="H2207" s="76"/>
    </row>
    <row r="2208" spans="1:12" ht="21.95" customHeight="1" x14ac:dyDescent="0.25">
      <c r="A2208" s="1" t="s">
        <v>9</v>
      </c>
      <c r="C2208" s="9" t="s">
        <v>1</v>
      </c>
      <c r="D2208" s="10" t="s">
        <v>74</v>
      </c>
      <c r="E2208" s="76"/>
      <c r="F2208" s="76"/>
      <c r="G2208" s="76"/>
      <c r="H2208" s="76"/>
    </row>
    <row r="2209" spans="1:12" ht="21.95" customHeight="1" x14ac:dyDescent="0.2">
      <c r="A2209" s="50" t="s">
        <v>10</v>
      </c>
      <c r="B2209" s="76"/>
      <c r="C2209" s="91" t="s">
        <v>1</v>
      </c>
      <c r="D2209" s="50" t="s">
        <v>467</v>
      </c>
      <c r="E2209" s="76"/>
      <c r="F2209" s="76"/>
      <c r="G2209" s="76"/>
      <c r="H2209" s="76"/>
      <c r="I2209" s="76"/>
      <c r="J2209" s="76"/>
      <c r="K2209" s="76"/>
      <c r="L2209" s="76"/>
    </row>
    <row r="2210" spans="1:12" ht="21.95" customHeight="1" x14ac:dyDescent="0.25">
      <c r="A2210" s="1"/>
      <c r="B2210" s="1"/>
      <c r="D2210" s="1"/>
    </row>
    <row r="2211" spans="1:12" ht="21.95" customHeight="1" x14ac:dyDescent="0.2">
      <c r="A2211" s="277" t="s">
        <v>457</v>
      </c>
      <c r="B2211" s="277"/>
      <c r="C2211" s="277"/>
      <c r="D2211" s="277"/>
      <c r="E2211" s="277"/>
      <c r="F2211" s="277"/>
      <c r="G2211" s="277"/>
      <c r="H2211" s="277"/>
      <c r="I2211" s="277"/>
      <c r="J2211" s="277"/>
      <c r="K2211" s="277"/>
      <c r="L2211" s="277"/>
    </row>
    <row r="2212" spans="1:12" ht="21.95" customHeight="1" x14ac:dyDescent="0.25">
      <c r="A2212" s="1"/>
      <c r="B2212" s="1"/>
    </row>
    <row r="2213" spans="1:12" ht="21.95" customHeight="1" thickBot="1" x14ac:dyDescent="0.25">
      <c r="A2213" s="10" t="s">
        <v>0</v>
      </c>
      <c r="B2213" s="278" t="s">
        <v>91</v>
      </c>
      <c r="C2213" s="278"/>
      <c r="D2213" s="278"/>
      <c r="E2213" s="278"/>
      <c r="F2213" s="278"/>
      <c r="G2213" s="278"/>
      <c r="H2213" s="278"/>
      <c r="I2213" s="278"/>
      <c r="J2213" s="278"/>
      <c r="K2213" s="278"/>
      <c r="L2213" s="278"/>
    </row>
    <row r="2214" spans="1:12" ht="21.95" customHeight="1" thickTop="1" x14ac:dyDescent="0.25">
      <c r="A2214" s="1"/>
      <c r="B2214" s="11" t="s">
        <v>3</v>
      </c>
      <c r="C2214" s="12" t="s">
        <v>4</v>
      </c>
      <c r="D2214" s="13"/>
      <c r="E2214" s="13"/>
      <c r="F2214" s="13"/>
      <c r="G2214" s="13"/>
      <c r="H2214" s="14"/>
      <c r="I2214" s="15" t="s">
        <v>5</v>
      </c>
      <c r="J2214" s="12" t="s">
        <v>17</v>
      </c>
      <c r="K2214" s="13"/>
      <c r="L2214" s="14"/>
    </row>
    <row r="2215" spans="1:12" ht="21.95" customHeight="1" x14ac:dyDescent="0.2">
      <c r="B2215" s="96">
        <v>1</v>
      </c>
      <c r="C2215" s="140" t="s">
        <v>443</v>
      </c>
      <c r="D2215" s="76"/>
      <c r="E2215" s="150"/>
      <c r="F2215" s="144"/>
      <c r="G2215" s="76"/>
      <c r="H2215" s="79"/>
      <c r="I2215" s="56">
        <v>50000</v>
      </c>
      <c r="J2215" s="76" t="s">
        <v>204</v>
      </c>
      <c r="L2215" s="17"/>
    </row>
    <row r="2216" spans="1:12" ht="21.95" customHeight="1" x14ac:dyDescent="0.2">
      <c r="B2216" s="96"/>
      <c r="C2216" s="313"/>
      <c r="D2216" s="314"/>
      <c r="E2216" s="314"/>
      <c r="F2216" s="314"/>
      <c r="G2216" s="314"/>
      <c r="H2216" s="315"/>
      <c r="I2216" s="56"/>
      <c r="L2216" s="17"/>
    </row>
    <row r="2217" spans="1:12" ht="21.95" customHeight="1" x14ac:dyDescent="0.25">
      <c r="A2217" s="1"/>
      <c r="B2217" s="39"/>
      <c r="C2217" s="1"/>
      <c r="D2217" s="1"/>
      <c r="E2217" s="1"/>
      <c r="F2217" s="40" t="s">
        <v>5</v>
      </c>
      <c r="G2217" s="40"/>
      <c r="H2217" s="1"/>
      <c r="I2217" s="41">
        <f>I2215</f>
        <v>50000</v>
      </c>
      <c r="J2217" s="1"/>
      <c r="K2217" s="1"/>
      <c r="L2217" s="42"/>
    </row>
    <row r="2218" spans="1:12" ht="21.95" customHeight="1" thickBot="1" x14ac:dyDescent="0.3">
      <c r="A2218" s="1"/>
      <c r="B2218" s="43"/>
      <c r="C2218" s="44"/>
      <c r="D2218" s="44"/>
      <c r="E2218" s="44"/>
      <c r="F2218" s="45"/>
      <c r="G2218" s="45"/>
      <c r="H2218" s="44"/>
      <c r="I2218" s="46"/>
      <c r="J2218" s="44"/>
      <c r="K2218" s="44"/>
      <c r="L2218" s="47"/>
    </row>
    <row r="2219" spans="1:12" ht="21.95" customHeight="1" thickTop="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 ht="21.95" customHeight="1" x14ac:dyDescent="0.2">
      <c r="A2220" s="10" t="s">
        <v>2</v>
      </c>
      <c r="B2220" s="279" t="s">
        <v>11</v>
      </c>
      <c r="C2220" s="279"/>
      <c r="D2220" s="279"/>
      <c r="E2220" s="279"/>
      <c r="F2220" s="279"/>
      <c r="G2220" s="279"/>
      <c r="H2220" s="279"/>
      <c r="I2220" s="279"/>
      <c r="J2220" s="279"/>
      <c r="K2220" s="279"/>
      <c r="L2220" s="279"/>
    </row>
    <row r="2221" spans="1:12" ht="21.95" customHeight="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12" ht="21.95" customHeight="1" x14ac:dyDescent="0.2">
      <c r="A2222" s="280" t="s">
        <v>12</v>
      </c>
      <c r="B2222" s="280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</row>
    <row r="2223" spans="1:12" ht="21.95" customHeight="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</row>
    <row r="2224" spans="1:12" ht="21.95" customHeight="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</row>
    <row r="2225" spans="1:12" ht="21.95" customHeight="1" x14ac:dyDescent="0.25">
      <c r="A2225" s="1"/>
      <c r="B2225" s="1"/>
      <c r="C2225" s="1"/>
      <c r="D2225" s="1"/>
      <c r="E2225" s="1"/>
      <c r="F2225" s="1"/>
      <c r="G2225" s="1"/>
      <c r="H2225" s="4" t="s">
        <v>199</v>
      </c>
      <c r="J2225" s="286" t="s">
        <v>449</v>
      </c>
      <c r="K2225" s="286"/>
      <c r="L2225" s="286"/>
    </row>
    <row r="2226" spans="1:12" ht="21.95" customHeight="1" x14ac:dyDescent="0.25">
      <c r="A2226" s="1"/>
      <c r="B2226" s="1" t="s">
        <v>15</v>
      </c>
      <c r="C2226" s="1"/>
      <c r="D2226" s="1"/>
      <c r="E2226" s="1"/>
      <c r="F2226" s="1"/>
      <c r="G2226" s="1"/>
      <c r="H2226" s="4" t="s">
        <v>13</v>
      </c>
    </row>
    <row r="2227" spans="1:12" ht="21.95" customHeight="1" x14ac:dyDescent="0.25">
      <c r="A2227" s="1"/>
      <c r="B2227" s="1" t="s">
        <v>18</v>
      </c>
      <c r="C2227" s="1"/>
      <c r="D2227" s="1"/>
      <c r="E2227" s="1"/>
      <c r="F2227" s="1"/>
      <c r="G2227" s="1"/>
      <c r="H2227" s="4" t="s">
        <v>14</v>
      </c>
    </row>
    <row r="2228" spans="1:12" ht="21.95" customHeight="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 spans="1:12" ht="21.95" customHeight="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 ht="21.95" customHeight="1" x14ac:dyDescent="0.25">
      <c r="A2230" s="1"/>
      <c r="B2230" s="103"/>
      <c r="C2230" s="103"/>
      <c r="D2230" s="103"/>
      <c r="E2230" s="103"/>
      <c r="F2230" s="103"/>
      <c r="G2230" s="103"/>
      <c r="H2230" s="103"/>
      <c r="I2230" s="103"/>
      <c r="J2230" s="103"/>
      <c r="K2230" s="103"/>
      <c r="L2230" s="1"/>
    </row>
    <row r="2231" spans="1:12" ht="21.95" customHeight="1" x14ac:dyDescent="0.25">
      <c r="A2231" s="1"/>
      <c r="K2231" s="103"/>
      <c r="L2231" s="1"/>
    </row>
    <row r="2232" spans="1:12" ht="21.95" customHeight="1" x14ac:dyDescent="0.25">
      <c r="A2232" s="1"/>
      <c r="B2232" s="95" t="s">
        <v>77</v>
      </c>
      <c r="H2232" s="37" t="str">
        <f>D2207</f>
        <v>Andre</v>
      </c>
      <c r="I2232" s="95"/>
      <c r="J2232" s="92"/>
      <c r="K2232" s="103"/>
      <c r="L2232" s="1"/>
    </row>
    <row r="2233" spans="1:12" ht="21.95" customHeight="1" x14ac:dyDescent="0.25">
      <c r="A2233" s="1"/>
      <c r="B2233" s="99" t="s">
        <v>27</v>
      </c>
      <c r="C2233" s="57"/>
      <c r="H2233" s="48"/>
      <c r="K2233" s="103"/>
    </row>
    <row r="2238" spans="1:12" ht="21.95" customHeight="1" x14ac:dyDescent="0.25">
      <c r="A2238" s="3" t="s">
        <v>22</v>
      </c>
    </row>
    <row r="2239" spans="1:12" ht="21.95" customHeight="1" x14ac:dyDescent="0.2">
      <c r="A2239" s="122" t="s">
        <v>20</v>
      </c>
    </row>
    <row r="2240" spans="1:12" ht="21.95" customHeight="1" x14ac:dyDescent="0.2">
      <c r="A2240" s="122" t="s">
        <v>21</v>
      </c>
    </row>
    <row r="2244" spans="1:12" ht="21.95" customHeight="1" x14ac:dyDescent="0.3">
      <c r="A2244" s="276" t="s">
        <v>6</v>
      </c>
      <c r="B2244" s="276"/>
      <c r="C2244" s="276"/>
      <c r="D2244" s="276"/>
      <c r="E2244" s="276"/>
      <c r="F2244" s="276"/>
      <c r="G2244" s="276"/>
      <c r="H2244" s="276"/>
      <c r="I2244" s="276"/>
      <c r="J2244" s="276"/>
      <c r="K2244" s="276"/>
      <c r="L2244" s="276"/>
    </row>
    <row r="2245" spans="1:12" ht="21.95" customHeight="1" x14ac:dyDescent="0.3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</row>
    <row r="2246" spans="1:12" ht="21.95" customHeight="1" x14ac:dyDescent="0.3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</row>
    <row r="2247" spans="1:12" ht="21.95" customHeight="1" x14ac:dyDescent="0.25">
      <c r="A2247" s="1"/>
      <c r="B2247" s="1"/>
    </row>
    <row r="2248" spans="1:12" ht="21.95" customHeight="1" x14ac:dyDescent="0.25">
      <c r="A2248" s="1" t="s">
        <v>7</v>
      </c>
      <c r="B2248" s="1"/>
    </row>
    <row r="2249" spans="1:12" ht="21.95" customHeight="1" x14ac:dyDescent="0.25">
      <c r="A2249" s="1"/>
      <c r="B2249" s="1"/>
    </row>
    <row r="2250" spans="1:12" ht="21.95" customHeight="1" x14ac:dyDescent="0.25">
      <c r="A2250" s="1" t="s">
        <v>8</v>
      </c>
      <c r="C2250" s="9" t="s">
        <v>1</v>
      </c>
      <c r="D2250" s="40" t="s">
        <v>181</v>
      </c>
      <c r="E2250" s="76"/>
      <c r="F2250" s="76"/>
      <c r="G2250" s="76"/>
      <c r="H2250" s="76"/>
    </row>
    <row r="2251" spans="1:12" ht="21.95" customHeight="1" x14ac:dyDescent="0.25">
      <c r="A2251" s="1" t="s">
        <v>9</v>
      </c>
      <c r="C2251" s="9" t="s">
        <v>1</v>
      </c>
      <c r="D2251" s="10" t="s">
        <v>453</v>
      </c>
      <c r="E2251" s="76"/>
      <c r="F2251" s="76"/>
      <c r="G2251" s="76"/>
      <c r="H2251" s="76"/>
    </row>
    <row r="2252" spans="1:12" ht="21.95" customHeight="1" x14ac:dyDescent="0.2">
      <c r="A2252" s="50" t="s">
        <v>10</v>
      </c>
      <c r="B2252" s="76"/>
      <c r="C2252" s="91" t="s">
        <v>1</v>
      </c>
      <c r="D2252" s="50" t="s">
        <v>275</v>
      </c>
      <c r="E2252" s="76"/>
      <c r="F2252" s="76"/>
      <c r="G2252" s="76"/>
      <c r="H2252" s="76"/>
      <c r="I2252" s="76"/>
      <c r="J2252" s="76"/>
      <c r="K2252" s="76"/>
      <c r="L2252" s="76"/>
    </row>
    <row r="2253" spans="1:12" ht="21.95" customHeight="1" x14ac:dyDescent="0.25">
      <c r="A2253" s="1"/>
      <c r="B2253" s="1"/>
      <c r="D2253" s="1"/>
    </row>
    <row r="2254" spans="1:12" ht="21.95" customHeight="1" x14ac:dyDescent="0.2">
      <c r="A2254" s="277" t="s">
        <v>472</v>
      </c>
      <c r="B2254" s="277"/>
      <c r="C2254" s="277"/>
      <c r="D2254" s="277"/>
      <c r="E2254" s="277"/>
      <c r="F2254" s="277"/>
      <c r="G2254" s="277"/>
      <c r="H2254" s="277"/>
      <c r="I2254" s="277"/>
      <c r="J2254" s="277"/>
      <c r="K2254" s="277"/>
      <c r="L2254" s="277"/>
    </row>
    <row r="2255" spans="1:12" ht="21.95" customHeight="1" x14ac:dyDescent="0.25">
      <c r="A2255" s="1"/>
      <c r="B2255" s="1"/>
    </row>
    <row r="2256" spans="1:12" ht="21.95" customHeight="1" thickBot="1" x14ac:dyDescent="0.25">
      <c r="A2256" s="10" t="s">
        <v>0</v>
      </c>
      <c r="B2256" s="278" t="s">
        <v>91</v>
      </c>
      <c r="C2256" s="278"/>
      <c r="D2256" s="278"/>
      <c r="E2256" s="278"/>
      <c r="F2256" s="278"/>
      <c r="G2256" s="278"/>
      <c r="H2256" s="278"/>
      <c r="I2256" s="278"/>
      <c r="J2256" s="278"/>
      <c r="K2256" s="278"/>
      <c r="L2256" s="278"/>
    </row>
    <row r="2257" spans="1:12" ht="21.95" customHeight="1" thickTop="1" x14ac:dyDescent="0.25">
      <c r="A2257" s="1"/>
      <c r="B2257" s="11" t="s">
        <v>3</v>
      </c>
      <c r="C2257" s="12" t="s">
        <v>4</v>
      </c>
      <c r="D2257" s="13"/>
      <c r="E2257" s="13"/>
      <c r="F2257" s="13"/>
      <c r="G2257" s="13"/>
      <c r="H2257" s="14"/>
      <c r="I2257" s="15" t="s">
        <v>5</v>
      </c>
      <c r="J2257" s="12" t="s">
        <v>17</v>
      </c>
      <c r="K2257" s="13"/>
      <c r="L2257" s="14"/>
    </row>
    <row r="2258" spans="1:12" ht="21.95" customHeight="1" x14ac:dyDescent="0.2">
      <c r="B2258" s="96">
        <v>1</v>
      </c>
      <c r="C2258" s="140" t="s">
        <v>443</v>
      </c>
      <c r="D2258" s="76"/>
      <c r="E2258" s="150"/>
      <c r="F2258" s="144"/>
      <c r="G2258" s="76"/>
      <c r="H2258" s="79"/>
      <c r="I2258" s="56">
        <v>150000</v>
      </c>
      <c r="J2258" s="4" t="s">
        <v>204</v>
      </c>
      <c r="L2258" s="17"/>
    </row>
    <row r="2259" spans="1:12" ht="21.95" customHeight="1" x14ac:dyDescent="0.2">
      <c r="B2259" s="96"/>
      <c r="C2259" s="313"/>
      <c r="D2259" s="314"/>
      <c r="E2259" s="314"/>
      <c r="F2259" s="314"/>
      <c r="G2259" s="314"/>
      <c r="H2259" s="315"/>
      <c r="I2259" s="56"/>
      <c r="L2259" s="17"/>
    </row>
    <row r="2260" spans="1:12" ht="21.95" customHeight="1" x14ac:dyDescent="0.25">
      <c r="A2260" s="1"/>
      <c r="B2260" s="39"/>
      <c r="C2260" s="1"/>
      <c r="D2260" s="1"/>
      <c r="E2260" s="1"/>
      <c r="F2260" s="40" t="s">
        <v>5</v>
      </c>
      <c r="G2260" s="40"/>
      <c r="H2260" s="1"/>
      <c r="I2260" s="41">
        <f>I2258</f>
        <v>150000</v>
      </c>
      <c r="J2260" s="1"/>
      <c r="K2260" s="1"/>
      <c r="L2260" s="42"/>
    </row>
    <row r="2261" spans="1:12" ht="21.95" customHeight="1" thickBot="1" x14ac:dyDescent="0.3">
      <c r="A2261" s="1"/>
      <c r="B2261" s="43"/>
      <c r="C2261" s="44"/>
      <c r="D2261" s="44"/>
      <c r="E2261" s="44"/>
      <c r="F2261" s="45"/>
      <c r="G2261" s="45"/>
      <c r="H2261" s="44"/>
      <c r="I2261" s="46"/>
      <c r="J2261" s="44"/>
      <c r="K2261" s="44"/>
      <c r="L2261" s="47"/>
    </row>
    <row r="2262" spans="1:12" ht="21.95" customHeight="1" thickTop="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 ht="21.95" customHeight="1" x14ac:dyDescent="0.2">
      <c r="A2263" s="10" t="s">
        <v>2</v>
      </c>
      <c r="B2263" s="279" t="s">
        <v>11</v>
      </c>
      <c r="C2263" s="279"/>
      <c r="D2263" s="279"/>
      <c r="E2263" s="279"/>
      <c r="F2263" s="279"/>
      <c r="G2263" s="279"/>
      <c r="H2263" s="279"/>
      <c r="I2263" s="279"/>
      <c r="J2263" s="279"/>
      <c r="K2263" s="279"/>
      <c r="L2263" s="279"/>
    </row>
    <row r="2264" spans="1:12" ht="21.95" customHeight="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 spans="1:12" ht="21.95" customHeight="1" x14ac:dyDescent="0.2">
      <c r="A2265" s="280" t="s">
        <v>12</v>
      </c>
      <c r="B2265" s="280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</row>
    <row r="2266" spans="1:12" ht="21.95" customHeight="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 spans="1:12" ht="21.95" customHeight="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 ht="21.95" customHeight="1" x14ac:dyDescent="0.25">
      <c r="A2268" s="1"/>
      <c r="B2268" s="1"/>
      <c r="C2268" s="1"/>
      <c r="D2268" s="1"/>
      <c r="E2268" s="1"/>
      <c r="F2268" s="1"/>
      <c r="G2268" s="1"/>
      <c r="H2268" s="4" t="s">
        <v>199</v>
      </c>
      <c r="J2268" s="286" t="s">
        <v>471</v>
      </c>
      <c r="K2268" s="286"/>
      <c r="L2268" s="286"/>
    </row>
    <row r="2269" spans="1:12" ht="21.95" customHeight="1" x14ac:dyDescent="0.25">
      <c r="A2269" s="1"/>
      <c r="B2269" s="1" t="s">
        <v>15</v>
      </c>
      <c r="C2269" s="1"/>
      <c r="D2269" s="1"/>
      <c r="E2269" s="1"/>
      <c r="F2269" s="1"/>
      <c r="G2269" s="1"/>
      <c r="H2269" s="4" t="s">
        <v>13</v>
      </c>
    </row>
    <row r="2270" spans="1:12" ht="21.95" customHeight="1" x14ac:dyDescent="0.25">
      <c r="A2270" s="1"/>
      <c r="B2270" s="1" t="s">
        <v>18</v>
      </c>
      <c r="C2270" s="1"/>
      <c r="D2270" s="1"/>
      <c r="E2270" s="1"/>
      <c r="F2270" s="1"/>
      <c r="G2270" s="1"/>
      <c r="H2270" s="4" t="s">
        <v>14</v>
      </c>
    </row>
    <row r="2271" spans="1:12" ht="21.95" customHeight="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 ht="21.95" customHeight="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 ht="21.95" customHeight="1" x14ac:dyDescent="0.25">
      <c r="A2273" s="1"/>
      <c r="B2273" s="103"/>
      <c r="C2273" s="103"/>
      <c r="D2273" s="103"/>
      <c r="E2273" s="103"/>
      <c r="F2273" s="103"/>
      <c r="G2273" s="103"/>
      <c r="H2273" s="103"/>
      <c r="I2273" s="103"/>
      <c r="J2273" s="103"/>
      <c r="K2273" s="103"/>
      <c r="L2273" s="1"/>
    </row>
    <row r="2274" spans="1:12" ht="21.95" customHeight="1" x14ac:dyDescent="0.25">
      <c r="A2274" s="1"/>
      <c r="K2274" s="103"/>
      <c r="L2274" s="1"/>
    </row>
    <row r="2275" spans="1:12" ht="21.95" customHeight="1" x14ac:dyDescent="0.25">
      <c r="A2275" s="1"/>
      <c r="B2275" s="95" t="s">
        <v>77</v>
      </c>
      <c r="H2275" s="37" t="s">
        <v>181</v>
      </c>
      <c r="I2275" s="95"/>
      <c r="J2275" s="92"/>
      <c r="K2275" s="103"/>
      <c r="L2275" s="1"/>
    </row>
    <row r="2276" spans="1:12" ht="21.95" customHeight="1" x14ac:dyDescent="0.25">
      <c r="A2276" s="1"/>
      <c r="B2276" s="99" t="s">
        <v>27</v>
      </c>
      <c r="C2276" s="57"/>
      <c r="H2276" s="48" t="s">
        <v>182</v>
      </c>
      <c r="K2276" s="103"/>
    </row>
    <row r="2280" spans="1:12" ht="21.95" customHeight="1" x14ac:dyDescent="0.25">
      <c r="A2280" s="3" t="s">
        <v>22</v>
      </c>
    </row>
    <row r="2281" spans="1:12" ht="21.95" customHeight="1" x14ac:dyDescent="0.2">
      <c r="A2281" s="122" t="s">
        <v>20</v>
      </c>
    </row>
    <row r="2282" spans="1:12" ht="21.95" customHeight="1" x14ac:dyDescent="0.2">
      <c r="A2282" s="122" t="s">
        <v>21</v>
      </c>
    </row>
    <row r="2286" spans="1:12" ht="21.95" customHeight="1" x14ac:dyDescent="0.3">
      <c r="A2286" s="276" t="s">
        <v>6</v>
      </c>
      <c r="B2286" s="276"/>
      <c r="C2286" s="276"/>
      <c r="D2286" s="276"/>
      <c r="E2286" s="276"/>
      <c r="F2286" s="276"/>
      <c r="G2286" s="276"/>
      <c r="H2286" s="276"/>
      <c r="I2286" s="276"/>
      <c r="J2286" s="276"/>
      <c r="K2286" s="276"/>
      <c r="L2286" s="276"/>
    </row>
    <row r="2287" spans="1:12" ht="21.95" customHeight="1" x14ac:dyDescent="0.3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</row>
    <row r="2288" spans="1:12" ht="21.95" customHeight="1" x14ac:dyDescent="0.3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</row>
    <row r="2289" spans="1:12" ht="21.95" customHeight="1" x14ac:dyDescent="0.25">
      <c r="A2289" s="1"/>
      <c r="B2289" s="1"/>
    </row>
    <row r="2290" spans="1:12" ht="21.95" customHeight="1" x14ac:dyDescent="0.25">
      <c r="A2290" s="1" t="s">
        <v>7</v>
      </c>
      <c r="B2290" s="1"/>
    </row>
    <row r="2291" spans="1:12" ht="21.95" customHeight="1" x14ac:dyDescent="0.25">
      <c r="A2291" s="1"/>
      <c r="B2291" s="1"/>
    </row>
    <row r="2292" spans="1:12" ht="21.95" customHeight="1" x14ac:dyDescent="0.25">
      <c r="A2292" s="1" t="s">
        <v>8</v>
      </c>
      <c r="C2292" s="9" t="s">
        <v>1</v>
      </c>
      <c r="D2292" s="40" t="s">
        <v>147</v>
      </c>
      <c r="E2292" s="76"/>
      <c r="F2292" s="76"/>
      <c r="G2292" s="76"/>
      <c r="H2292" s="76"/>
    </row>
    <row r="2293" spans="1:12" ht="21.95" customHeight="1" x14ac:dyDescent="0.25">
      <c r="A2293" s="1" t="s">
        <v>9</v>
      </c>
      <c r="C2293" s="9" t="s">
        <v>1</v>
      </c>
      <c r="D2293" s="10" t="s">
        <v>276</v>
      </c>
      <c r="E2293" s="76"/>
      <c r="F2293" s="76"/>
      <c r="G2293" s="76"/>
      <c r="H2293" s="76"/>
    </row>
    <row r="2294" spans="1:12" ht="21.95" customHeight="1" x14ac:dyDescent="0.2">
      <c r="A2294" s="50" t="s">
        <v>10</v>
      </c>
      <c r="B2294" s="76"/>
      <c r="C2294" s="91" t="s">
        <v>1</v>
      </c>
      <c r="D2294" s="50" t="s">
        <v>275</v>
      </c>
      <c r="E2294" s="76"/>
      <c r="F2294" s="76"/>
      <c r="G2294" s="76"/>
      <c r="H2294" s="76"/>
      <c r="I2294" s="76"/>
      <c r="J2294" s="76"/>
      <c r="K2294" s="76"/>
      <c r="L2294" s="76"/>
    </row>
    <row r="2295" spans="1:12" ht="21.95" customHeight="1" x14ac:dyDescent="0.25">
      <c r="A2295" s="1"/>
      <c r="B2295" s="1"/>
      <c r="D2295" s="1"/>
    </row>
    <row r="2296" spans="1:12" ht="21.95" customHeight="1" x14ac:dyDescent="0.2">
      <c r="A2296" s="277" t="s">
        <v>472</v>
      </c>
      <c r="B2296" s="277"/>
      <c r="C2296" s="277"/>
      <c r="D2296" s="277"/>
      <c r="E2296" s="277"/>
      <c r="F2296" s="277"/>
      <c r="G2296" s="277"/>
      <c r="H2296" s="277"/>
      <c r="I2296" s="277"/>
      <c r="J2296" s="277"/>
      <c r="K2296" s="277"/>
      <c r="L2296" s="277"/>
    </row>
    <row r="2297" spans="1:12" ht="21.95" customHeight="1" x14ac:dyDescent="0.25">
      <c r="A2297" s="1"/>
      <c r="B2297" s="1"/>
    </row>
    <row r="2298" spans="1:12" ht="21.95" customHeight="1" thickBot="1" x14ac:dyDescent="0.25">
      <c r="A2298" s="10" t="s">
        <v>0</v>
      </c>
      <c r="B2298" s="278" t="s">
        <v>91</v>
      </c>
      <c r="C2298" s="278"/>
      <c r="D2298" s="278"/>
      <c r="E2298" s="278"/>
      <c r="F2298" s="278"/>
      <c r="G2298" s="278"/>
      <c r="H2298" s="278"/>
      <c r="I2298" s="278"/>
      <c r="J2298" s="278"/>
      <c r="K2298" s="278"/>
      <c r="L2298" s="278"/>
    </row>
    <row r="2299" spans="1:12" ht="21.95" customHeight="1" thickTop="1" x14ac:dyDescent="0.25">
      <c r="A2299" s="1"/>
      <c r="B2299" s="11" t="s">
        <v>3</v>
      </c>
      <c r="C2299" s="12" t="s">
        <v>4</v>
      </c>
      <c r="D2299" s="13"/>
      <c r="E2299" s="13"/>
      <c r="F2299" s="13"/>
      <c r="G2299" s="13"/>
      <c r="H2299" s="14"/>
      <c r="I2299" s="15" t="s">
        <v>5</v>
      </c>
      <c r="J2299" s="12" t="s">
        <v>17</v>
      </c>
      <c r="K2299" s="13"/>
      <c r="L2299" s="14"/>
    </row>
    <row r="2300" spans="1:12" ht="21.95" customHeight="1" x14ac:dyDescent="0.2">
      <c r="B2300" s="96">
        <v>1</v>
      </c>
      <c r="C2300" s="140" t="s">
        <v>443</v>
      </c>
      <c r="D2300" s="76"/>
      <c r="E2300" s="150"/>
      <c r="F2300" s="144"/>
      <c r="G2300" s="76"/>
      <c r="H2300" s="79"/>
      <c r="I2300" s="56">
        <v>150000</v>
      </c>
      <c r="J2300" s="4" t="s">
        <v>204</v>
      </c>
      <c r="L2300" s="17"/>
    </row>
    <row r="2301" spans="1:12" ht="21.95" customHeight="1" x14ac:dyDescent="0.2">
      <c r="B2301" s="96"/>
      <c r="C2301" s="313"/>
      <c r="D2301" s="314"/>
      <c r="E2301" s="314"/>
      <c r="F2301" s="314"/>
      <c r="G2301" s="314"/>
      <c r="H2301" s="315"/>
      <c r="I2301" s="56"/>
      <c r="L2301" s="17"/>
    </row>
    <row r="2302" spans="1:12" ht="21.95" customHeight="1" x14ac:dyDescent="0.25">
      <c r="A2302" s="1"/>
      <c r="B2302" s="39"/>
      <c r="C2302" s="1"/>
      <c r="D2302" s="1"/>
      <c r="E2302" s="1"/>
      <c r="F2302" s="40" t="s">
        <v>5</v>
      </c>
      <c r="G2302" s="40"/>
      <c r="H2302" s="1"/>
      <c r="I2302" s="41">
        <f>I2300</f>
        <v>150000</v>
      </c>
      <c r="J2302" s="1"/>
      <c r="K2302" s="1"/>
      <c r="L2302" s="42"/>
    </row>
    <row r="2303" spans="1:12" ht="21.95" customHeight="1" thickBot="1" x14ac:dyDescent="0.3">
      <c r="A2303" s="1"/>
      <c r="B2303" s="43"/>
      <c r="C2303" s="44"/>
      <c r="D2303" s="44"/>
      <c r="E2303" s="44"/>
      <c r="F2303" s="45"/>
      <c r="G2303" s="45"/>
      <c r="H2303" s="44"/>
      <c r="I2303" s="46"/>
      <c r="J2303" s="44"/>
      <c r="K2303" s="44"/>
      <c r="L2303" s="47"/>
    </row>
    <row r="2304" spans="1:12" ht="21.95" customHeight="1" thickTop="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</row>
    <row r="2305" spans="1:12" ht="21.95" customHeight="1" x14ac:dyDescent="0.2">
      <c r="A2305" s="10" t="s">
        <v>2</v>
      </c>
      <c r="B2305" s="279" t="s">
        <v>11</v>
      </c>
      <c r="C2305" s="279"/>
      <c r="D2305" s="279"/>
      <c r="E2305" s="279"/>
      <c r="F2305" s="279"/>
      <c r="G2305" s="279"/>
      <c r="H2305" s="279"/>
      <c r="I2305" s="279"/>
      <c r="J2305" s="279"/>
      <c r="K2305" s="279"/>
      <c r="L2305" s="279"/>
    </row>
    <row r="2306" spans="1:12" ht="21.95" customHeight="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 ht="21.95" customHeight="1" x14ac:dyDescent="0.2">
      <c r="A2307" s="280" t="s">
        <v>12</v>
      </c>
      <c r="B2307" s="280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</row>
    <row r="2308" spans="1:12" ht="21.95" customHeight="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 ht="21.95" customHeight="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 ht="21.95" customHeight="1" x14ac:dyDescent="0.25">
      <c r="A2310" s="1"/>
      <c r="B2310" s="1"/>
      <c r="C2310" s="1"/>
      <c r="D2310" s="1"/>
      <c r="E2310" s="1"/>
      <c r="F2310" s="1"/>
      <c r="G2310" s="1"/>
      <c r="H2310" s="4" t="s">
        <v>199</v>
      </c>
      <c r="J2310" s="286" t="s">
        <v>471</v>
      </c>
      <c r="K2310" s="286"/>
      <c r="L2310" s="286"/>
    </row>
    <row r="2311" spans="1:12" ht="21.95" customHeight="1" x14ac:dyDescent="0.25">
      <c r="A2311" s="1"/>
      <c r="B2311" s="1" t="s">
        <v>15</v>
      </c>
      <c r="C2311" s="1"/>
      <c r="D2311" s="1"/>
      <c r="E2311" s="1"/>
      <c r="F2311" s="1"/>
      <c r="G2311" s="1"/>
      <c r="H2311" s="4" t="s">
        <v>13</v>
      </c>
    </row>
    <row r="2312" spans="1:12" ht="21.95" customHeight="1" x14ac:dyDescent="0.25">
      <c r="A2312" s="1"/>
      <c r="B2312" s="1" t="s">
        <v>18</v>
      </c>
      <c r="C2312" s="1"/>
      <c r="D2312" s="1"/>
      <c r="E2312" s="1"/>
      <c r="F2312" s="1"/>
      <c r="G2312" s="1"/>
      <c r="H2312" s="4" t="s">
        <v>14</v>
      </c>
    </row>
    <row r="2313" spans="1:12" ht="21.95" customHeight="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</row>
    <row r="2314" spans="1:12" ht="21.95" customHeight="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</row>
    <row r="2315" spans="1:12" ht="21.95" customHeight="1" x14ac:dyDescent="0.25">
      <c r="A2315" s="1"/>
      <c r="B2315" s="103"/>
      <c r="C2315" s="103"/>
      <c r="D2315" s="103"/>
      <c r="E2315" s="103"/>
      <c r="F2315" s="103"/>
      <c r="G2315" s="103"/>
      <c r="H2315" s="103"/>
      <c r="I2315" s="103"/>
      <c r="J2315" s="103"/>
      <c r="K2315" s="103"/>
      <c r="L2315" s="1"/>
    </row>
    <row r="2316" spans="1:12" ht="21.95" customHeight="1" x14ac:dyDescent="0.25">
      <c r="A2316" s="1"/>
      <c r="K2316" s="103"/>
      <c r="L2316" s="1"/>
    </row>
    <row r="2317" spans="1:12" ht="21.95" customHeight="1" x14ac:dyDescent="0.25">
      <c r="A2317" s="1"/>
      <c r="B2317" s="95" t="s">
        <v>77</v>
      </c>
      <c r="H2317" s="37" t="s">
        <v>147</v>
      </c>
      <c r="I2317" s="95"/>
      <c r="J2317" s="92"/>
      <c r="K2317" s="103"/>
      <c r="L2317" s="1"/>
    </row>
    <row r="2318" spans="1:12" ht="21.95" customHeight="1" x14ac:dyDescent="0.25">
      <c r="A2318" s="1"/>
      <c r="B2318" s="99" t="s">
        <v>27</v>
      </c>
      <c r="C2318" s="57"/>
      <c r="H2318" s="48" t="s">
        <v>148</v>
      </c>
      <c r="K2318" s="103"/>
    </row>
    <row r="2323" spans="1:12" ht="21.95" customHeight="1" x14ac:dyDescent="0.25">
      <c r="A2323" s="3" t="s">
        <v>22</v>
      </c>
    </row>
    <row r="2324" spans="1:12" ht="21.95" customHeight="1" x14ac:dyDescent="0.2">
      <c r="A2324" s="122" t="s">
        <v>20</v>
      </c>
    </row>
    <row r="2325" spans="1:12" ht="21.95" customHeight="1" x14ac:dyDescent="0.2">
      <c r="A2325" s="122" t="s">
        <v>21</v>
      </c>
    </row>
    <row r="2329" spans="1:12" ht="21.95" customHeight="1" x14ac:dyDescent="0.3">
      <c r="A2329" s="276" t="s">
        <v>6</v>
      </c>
      <c r="B2329" s="276"/>
      <c r="C2329" s="276"/>
      <c r="D2329" s="276"/>
      <c r="E2329" s="276"/>
      <c r="F2329" s="276"/>
      <c r="G2329" s="276"/>
      <c r="H2329" s="276"/>
      <c r="I2329" s="276"/>
      <c r="J2329" s="276"/>
      <c r="K2329" s="276"/>
      <c r="L2329" s="276"/>
    </row>
    <row r="2330" spans="1:12" ht="21.95" customHeight="1" x14ac:dyDescent="0.3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</row>
    <row r="2331" spans="1:12" ht="21.95" customHeight="1" x14ac:dyDescent="0.3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</row>
    <row r="2332" spans="1:12" ht="21.95" customHeight="1" x14ac:dyDescent="0.25">
      <c r="A2332" s="1"/>
      <c r="B2332" s="1"/>
    </row>
    <row r="2333" spans="1:12" ht="21.95" customHeight="1" x14ac:dyDescent="0.25">
      <c r="A2333" s="1" t="s">
        <v>7</v>
      </c>
      <c r="B2333" s="1"/>
    </row>
    <row r="2334" spans="1:12" ht="21.95" customHeight="1" x14ac:dyDescent="0.25">
      <c r="A2334" s="1"/>
      <c r="B2334" s="1"/>
    </row>
    <row r="2335" spans="1:12" ht="21.95" customHeight="1" x14ac:dyDescent="0.25">
      <c r="A2335" s="1" t="s">
        <v>8</v>
      </c>
      <c r="C2335" s="9" t="s">
        <v>1</v>
      </c>
      <c r="D2335" s="40" t="s">
        <v>154</v>
      </c>
      <c r="E2335" s="76"/>
      <c r="F2335" s="76"/>
      <c r="G2335" s="76"/>
      <c r="H2335" s="76"/>
    </row>
    <row r="2336" spans="1:12" ht="21.95" customHeight="1" x14ac:dyDescent="0.25">
      <c r="A2336" s="1" t="s">
        <v>9</v>
      </c>
      <c r="C2336" s="9" t="s">
        <v>1</v>
      </c>
      <c r="D2336" s="10" t="s">
        <v>473</v>
      </c>
      <c r="E2336" s="76"/>
      <c r="F2336" s="76"/>
      <c r="G2336" s="76"/>
      <c r="H2336" s="76"/>
    </row>
    <row r="2337" spans="1:12" ht="21.95" customHeight="1" x14ac:dyDescent="0.2">
      <c r="A2337" s="50" t="s">
        <v>10</v>
      </c>
      <c r="B2337" s="76"/>
      <c r="C2337" s="91" t="s">
        <v>1</v>
      </c>
      <c r="D2337" s="50" t="s">
        <v>275</v>
      </c>
      <c r="E2337" s="76"/>
      <c r="F2337" s="76"/>
      <c r="G2337" s="76"/>
      <c r="H2337" s="76"/>
      <c r="I2337" s="76"/>
      <c r="J2337" s="76"/>
      <c r="K2337" s="76"/>
      <c r="L2337" s="76"/>
    </row>
    <row r="2338" spans="1:12" ht="21.95" customHeight="1" x14ac:dyDescent="0.25">
      <c r="A2338" s="1"/>
      <c r="B2338" s="1"/>
      <c r="D2338" s="1"/>
    </row>
    <row r="2339" spans="1:12" ht="21.95" customHeight="1" x14ac:dyDescent="0.2">
      <c r="A2339" s="277" t="s">
        <v>472</v>
      </c>
      <c r="B2339" s="277"/>
      <c r="C2339" s="277"/>
      <c r="D2339" s="277"/>
      <c r="E2339" s="277"/>
      <c r="F2339" s="277"/>
      <c r="G2339" s="277"/>
      <c r="H2339" s="277"/>
      <c r="I2339" s="277"/>
      <c r="J2339" s="277"/>
      <c r="K2339" s="277"/>
      <c r="L2339" s="277"/>
    </row>
    <row r="2340" spans="1:12" ht="21.95" customHeight="1" x14ac:dyDescent="0.25">
      <c r="A2340" s="1"/>
      <c r="B2340" s="1"/>
    </row>
    <row r="2341" spans="1:12" ht="21.95" customHeight="1" thickBot="1" x14ac:dyDescent="0.25">
      <c r="A2341" s="10" t="s">
        <v>0</v>
      </c>
      <c r="B2341" s="278" t="s">
        <v>91</v>
      </c>
      <c r="C2341" s="278"/>
      <c r="D2341" s="278"/>
      <c r="E2341" s="278"/>
      <c r="F2341" s="278"/>
      <c r="G2341" s="278"/>
      <c r="H2341" s="278"/>
      <c r="I2341" s="278"/>
      <c r="J2341" s="278"/>
      <c r="K2341" s="278"/>
      <c r="L2341" s="278"/>
    </row>
    <row r="2342" spans="1:12" ht="21.95" customHeight="1" thickTop="1" x14ac:dyDescent="0.25">
      <c r="A2342" s="1"/>
      <c r="B2342" s="11" t="s">
        <v>3</v>
      </c>
      <c r="C2342" s="12" t="s">
        <v>4</v>
      </c>
      <c r="D2342" s="13"/>
      <c r="E2342" s="13"/>
      <c r="F2342" s="13"/>
      <c r="G2342" s="13"/>
      <c r="H2342" s="14"/>
      <c r="I2342" s="15" t="s">
        <v>5</v>
      </c>
      <c r="J2342" s="12" t="s">
        <v>17</v>
      </c>
      <c r="K2342" s="13"/>
      <c r="L2342" s="14"/>
    </row>
    <row r="2343" spans="1:12" ht="21.95" customHeight="1" x14ac:dyDescent="0.2">
      <c r="B2343" s="96">
        <v>1</v>
      </c>
      <c r="C2343" s="140" t="s">
        <v>443</v>
      </c>
      <c r="D2343" s="76"/>
      <c r="E2343" s="150"/>
      <c r="F2343" s="144"/>
      <c r="G2343" s="76"/>
      <c r="H2343" s="79"/>
      <c r="I2343" s="56">
        <v>150000</v>
      </c>
      <c r="J2343" s="4" t="s">
        <v>204</v>
      </c>
      <c r="L2343" s="17"/>
    </row>
    <row r="2344" spans="1:12" ht="21.95" customHeight="1" x14ac:dyDescent="0.2">
      <c r="B2344" s="96"/>
      <c r="C2344" s="313"/>
      <c r="D2344" s="314"/>
      <c r="E2344" s="314"/>
      <c r="F2344" s="314"/>
      <c r="G2344" s="314"/>
      <c r="H2344" s="315"/>
      <c r="I2344" s="56"/>
      <c r="L2344" s="17"/>
    </row>
    <row r="2345" spans="1:12" ht="21.95" customHeight="1" x14ac:dyDescent="0.25">
      <c r="A2345" s="1"/>
      <c r="B2345" s="39"/>
      <c r="C2345" s="1"/>
      <c r="D2345" s="1"/>
      <c r="E2345" s="1"/>
      <c r="F2345" s="40" t="s">
        <v>5</v>
      </c>
      <c r="G2345" s="40"/>
      <c r="H2345" s="1"/>
      <c r="I2345" s="41">
        <f>I2343</f>
        <v>150000</v>
      </c>
      <c r="J2345" s="1"/>
      <c r="K2345" s="1"/>
      <c r="L2345" s="42"/>
    </row>
    <row r="2346" spans="1:12" ht="21.95" customHeight="1" thickBot="1" x14ac:dyDescent="0.3">
      <c r="A2346" s="1"/>
      <c r="B2346" s="43"/>
      <c r="C2346" s="44"/>
      <c r="D2346" s="44"/>
      <c r="E2346" s="44"/>
      <c r="F2346" s="45"/>
      <c r="G2346" s="45"/>
      <c r="H2346" s="44"/>
      <c r="I2346" s="46"/>
      <c r="J2346" s="44"/>
      <c r="K2346" s="44"/>
      <c r="L2346" s="47"/>
    </row>
    <row r="2347" spans="1:12" ht="21.95" customHeight="1" thickTop="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</row>
    <row r="2348" spans="1:12" ht="21.95" customHeight="1" x14ac:dyDescent="0.2">
      <c r="A2348" s="10" t="s">
        <v>2</v>
      </c>
      <c r="B2348" s="279" t="s">
        <v>11</v>
      </c>
      <c r="C2348" s="279"/>
      <c r="D2348" s="279"/>
      <c r="E2348" s="279"/>
      <c r="F2348" s="279"/>
      <c r="G2348" s="279"/>
      <c r="H2348" s="279"/>
      <c r="I2348" s="279"/>
      <c r="J2348" s="279"/>
      <c r="K2348" s="279"/>
      <c r="L2348" s="279"/>
    </row>
    <row r="2349" spans="1:12" ht="21.95" customHeight="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 spans="1:12" ht="21.95" customHeight="1" x14ac:dyDescent="0.2">
      <c r="A2350" s="280" t="s">
        <v>12</v>
      </c>
      <c r="B2350" s="280"/>
      <c r="C2350" s="280"/>
      <c r="D2350" s="280"/>
      <c r="E2350" s="280"/>
      <c r="F2350" s="280"/>
      <c r="G2350" s="280"/>
      <c r="H2350" s="280"/>
      <c r="I2350" s="280"/>
      <c r="J2350" s="280"/>
      <c r="K2350" s="280"/>
      <c r="L2350" s="280"/>
    </row>
    <row r="2351" spans="1:12" ht="21.95" customHeight="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</row>
    <row r="2352" spans="1:12" ht="21.95" customHeight="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</row>
    <row r="2353" spans="1:12" ht="21.95" customHeight="1" x14ac:dyDescent="0.25">
      <c r="A2353" s="1"/>
      <c r="B2353" s="1"/>
      <c r="C2353" s="1"/>
      <c r="D2353" s="1"/>
      <c r="E2353" s="1"/>
      <c r="F2353" s="1"/>
      <c r="G2353" s="1"/>
      <c r="H2353" s="4" t="s">
        <v>199</v>
      </c>
      <c r="J2353" s="286" t="s">
        <v>471</v>
      </c>
      <c r="K2353" s="286"/>
      <c r="L2353" s="286"/>
    </row>
    <row r="2354" spans="1:12" ht="21.95" customHeight="1" x14ac:dyDescent="0.25">
      <c r="A2354" s="1"/>
      <c r="B2354" s="1" t="s">
        <v>15</v>
      </c>
      <c r="C2354" s="1"/>
      <c r="D2354" s="1"/>
      <c r="E2354" s="1"/>
      <c r="F2354" s="1"/>
      <c r="G2354" s="1"/>
      <c r="H2354" s="4" t="s">
        <v>13</v>
      </c>
    </row>
    <row r="2355" spans="1:12" ht="21.95" customHeight="1" x14ac:dyDescent="0.25">
      <c r="A2355" s="1"/>
      <c r="B2355" s="1" t="s">
        <v>18</v>
      </c>
      <c r="C2355" s="1"/>
      <c r="D2355" s="1"/>
      <c r="E2355" s="1"/>
      <c r="F2355" s="1"/>
      <c r="G2355" s="1"/>
      <c r="H2355" s="4" t="s">
        <v>14</v>
      </c>
    </row>
    <row r="2356" spans="1:12" ht="21.95" customHeight="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</row>
    <row r="2357" spans="1:12" ht="21.95" customHeight="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</row>
    <row r="2358" spans="1:12" ht="21.95" customHeight="1" x14ac:dyDescent="0.25">
      <c r="A2358" s="1"/>
      <c r="B2358" s="103"/>
      <c r="C2358" s="103"/>
      <c r="D2358" s="103"/>
      <c r="E2358" s="103"/>
      <c r="F2358" s="103"/>
      <c r="G2358" s="103"/>
      <c r="H2358" s="103"/>
      <c r="I2358" s="103"/>
      <c r="J2358" s="103"/>
      <c r="K2358" s="103"/>
      <c r="L2358" s="1"/>
    </row>
    <row r="2359" spans="1:12" ht="21.95" customHeight="1" x14ac:dyDescent="0.25">
      <c r="A2359" s="1"/>
      <c r="K2359" s="103"/>
      <c r="L2359" s="1"/>
    </row>
    <row r="2360" spans="1:12" ht="21.95" customHeight="1" x14ac:dyDescent="0.25">
      <c r="A2360" s="1"/>
      <c r="B2360" s="95" t="s">
        <v>77</v>
      </c>
      <c r="H2360" s="37" t="s">
        <v>154</v>
      </c>
      <c r="I2360" s="95"/>
      <c r="J2360" s="92"/>
      <c r="K2360" s="103"/>
      <c r="L2360" s="1"/>
    </row>
    <row r="2361" spans="1:12" ht="21.95" customHeight="1" x14ac:dyDescent="0.25">
      <c r="A2361" s="1"/>
      <c r="B2361" s="99" t="s">
        <v>27</v>
      </c>
      <c r="C2361" s="57"/>
      <c r="H2361" s="48" t="s">
        <v>155</v>
      </c>
      <c r="K2361" s="103"/>
    </row>
    <row r="2384" spans="1:1" ht="21.95" customHeight="1" x14ac:dyDescent="0.25">
      <c r="A2384" s="3" t="s">
        <v>22</v>
      </c>
    </row>
    <row r="2385" spans="1:12" ht="21.95" customHeight="1" x14ac:dyDescent="0.2">
      <c r="A2385" s="122" t="s">
        <v>20</v>
      </c>
    </row>
    <row r="2386" spans="1:12" ht="21.95" customHeight="1" x14ac:dyDescent="0.2">
      <c r="A2386" s="122" t="s">
        <v>21</v>
      </c>
    </row>
    <row r="2390" spans="1:12" ht="21.95" customHeight="1" x14ac:dyDescent="0.3">
      <c r="A2390" s="276" t="s">
        <v>6</v>
      </c>
      <c r="B2390" s="276"/>
      <c r="C2390" s="276"/>
      <c r="D2390" s="276"/>
      <c r="E2390" s="276"/>
      <c r="F2390" s="276"/>
      <c r="G2390" s="276"/>
      <c r="H2390" s="276"/>
      <c r="I2390" s="276"/>
      <c r="J2390" s="276"/>
      <c r="K2390" s="276"/>
      <c r="L2390" s="276"/>
    </row>
    <row r="2391" spans="1:12" ht="21.95" customHeight="1" x14ac:dyDescent="0.3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</row>
    <row r="2392" spans="1:12" ht="21.95" customHeight="1" x14ac:dyDescent="0.3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</row>
    <row r="2393" spans="1:12" ht="21.95" customHeight="1" x14ac:dyDescent="0.25">
      <c r="A2393" s="1"/>
      <c r="B2393" s="1"/>
    </row>
    <row r="2394" spans="1:12" ht="21.95" customHeight="1" x14ac:dyDescent="0.25">
      <c r="A2394" s="1" t="s">
        <v>7</v>
      </c>
      <c r="B2394" s="1"/>
    </row>
    <row r="2395" spans="1:12" ht="21.95" customHeight="1" x14ac:dyDescent="0.25">
      <c r="A2395" s="1"/>
      <c r="B2395" s="1"/>
    </row>
    <row r="2396" spans="1:12" ht="21.95" customHeight="1" x14ac:dyDescent="0.25">
      <c r="A2396" s="1" t="s">
        <v>8</v>
      </c>
      <c r="C2396" s="9" t="s">
        <v>1</v>
      </c>
      <c r="D2396" s="40" t="s">
        <v>198</v>
      </c>
      <c r="E2396" s="76"/>
      <c r="F2396" s="76"/>
      <c r="G2396" s="76"/>
      <c r="H2396" s="76"/>
    </row>
    <row r="2397" spans="1:12" ht="21.95" customHeight="1" x14ac:dyDescent="0.25">
      <c r="A2397" s="1" t="s">
        <v>9</v>
      </c>
      <c r="C2397" s="9" t="s">
        <v>1</v>
      </c>
      <c r="D2397" s="7" t="s">
        <v>474</v>
      </c>
      <c r="E2397" s="76"/>
      <c r="F2397" s="76"/>
      <c r="G2397" s="76"/>
      <c r="H2397" s="76"/>
    </row>
    <row r="2398" spans="1:12" ht="21.95" customHeight="1" x14ac:dyDescent="0.2">
      <c r="A2398" s="50" t="s">
        <v>10</v>
      </c>
      <c r="B2398" s="76"/>
      <c r="C2398" s="91" t="s">
        <v>1</v>
      </c>
      <c r="D2398" s="50" t="s">
        <v>275</v>
      </c>
      <c r="E2398" s="76"/>
      <c r="F2398" s="76"/>
      <c r="G2398" s="76"/>
      <c r="H2398" s="76"/>
      <c r="I2398" s="76"/>
      <c r="J2398" s="76"/>
      <c r="K2398" s="76"/>
      <c r="L2398" s="76"/>
    </row>
    <row r="2399" spans="1:12" ht="21.95" customHeight="1" x14ac:dyDescent="0.25">
      <c r="A2399" s="1"/>
      <c r="B2399" s="1"/>
      <c r="D2399" s="1"/>
    </row>
    <row r="2400" spans="1:12" ht="21.95" customHeight="1" x14ac:dyDescent="0.2">
      <c r="A2400" s="277" t="s">
        <v>472</v>
      </c>
      <c r="B2400" s="277"/>
      <c r="C2400" s="277"/>
      <c r="D2400" s="277"/>
      <c r="E2400" s="277"/>
      <c r="F2400" s="277"/>
      <c r="G2400" s="277"/>
      <c r="H2400" s="277"/>
      <c r="I2400" s="277"/>
      <c r="J2400" s="277"/>
      <c r="K2400" s="277"/>
      <c r="L2400" s="277"/>
    </row>
    <row r="2401" spans="1:12" ht="21.95" customHeight="1" x14ac:dyDescent="0.25">
      <c r="A2401" s="1"/>
      <c r="B2401" s="1"/>
    </row>
    <row r="2402" spans="1:12" ht="21.95" customHeight="1" thickBot="1" x14ac:dyDescent="0.25">
      <c r="A2402" s="10" t="s">
        <v>0</v>
      </c>
      <c r="B2402" s="278" t="s">
        <v>91</v>
      </c>
      <c r="C2402" s="278"/>
      <c r="D2402" s="278"/>
      <c r="E2402" s="278"/>
      <c r="F2402" s="278"/>
      <c r="G2402" s="278"/>
      <c r="H2402" s="278"/>
      <c r="I2402" s="278"/>
      <c r="J2402" s="278"/>
      <c r="K2402" s="278"/>
      <c r="L2402" s="278"/>
    </row>
    <row r="2403" spans="1:12" ht="21.95" customHeight="1" thickTop="1" x14ac:dyDescent="0.25">
      <c r="A2403" s="1"/>
      <c r="B2403" s="11" t="s">
        <v>3</v>
      </c>
      <c r="C2403" s="12" t="s">
        <v>4</v>
      </c>
      <c r="D2403" s="13"/>
      <c r="E2403" s="13"/>
      <c r="F2403" s="13"/>
      <c r="G2403" s="13"/>
      <c r="H2403" s="14"/>
      <c r="I2403" s="15" t="s">
        <v>5</v>
      </c>
      <c r="J2403" s="12" t="s">
        <v>17</v>
      </c>
      <c r="K2403" s="13"/>
      <c r="L2403" s="14"/>
    </row>
    <row r="2404" spans="1:12" ht="21.95" customHeight="1" x14ac:dyDescent="0.2">
      <c r="B2404" s="96">
        <v>1</v>
      </c>
      <c r="C2404" s="140" t="s">
        <v>443</v>
      </c>
      <c r="D2404" s="76"/>
      <c r="E2404" s="150"/>
      <c r="F2404" s="144"/>
      <c r="G2404" s="76"/>
      <c r="H2404" s="79"/>
      <c r="I2404" s="56">
        <v>150000</v>
      </c>
      <c r="J2404" s="4" t="s">
        <v>204</v>
      </c>
      <c r="L2404" s="17"/>
    </row>
    <row r="2405" spans="1:12" ht="21.95" customHeight="1" x14ac:dyDescent="0.2">
      <c r="B2405" s="96"/>
      <c r="C2405" s="313"/>
      <c r="D2405" s="314"/>
      <c r="E2405" s="314"/>
      <c r="F2405" s="314"/>
      <c r="G2405" s="314"/>
      <c r="H2405" s="315"/>
      <c r="I2405" s="56"/>
      <c r="L2405" s="17"/>
    </row>
    <row r="2406" spans="1:12" ht="21.95" customHeight="1" x14ac:dyDescent="0.25">
      <c r="A2406" s="1"/>
      <c r="B2406" s="39"/>
      <c r="C2406" s="1"/>
      <c r="D2406" s="1"/>
      <c r="E2406" s="1"/>
      <c r="F2406" s="40" t="s">
        <v>5</v>
      </c>
      <c r="G2406" s="40"/>
      <c r="H2406" s="1"/>
      <c r="I2406" s="41">
        <f>I2404</f>
        <v>150000</v>
      </c>
      <c r="J2406" s="1"/>
      <c r="K2406" s="1"/>
      <c r="L2406" s="42"/>
    </row>
    <row r="2407" spans="1:12" ht="21.95" customHeight="1" thickBot="1" x14ac:dyDescent="0.3">
      <c r="A2407" s="1"/>
      <c r="B2407" s="43"/>
      <c r="C2407" s="44"/>
      <c r="D2407" s="44"/>
      <c r="E2407" s="44"/>
      <c r="F2407" s="45"/>
      <c r="G2407" s="45"/>
      <c r="H2407" s="44"/>
      <c r="I2407" s="46"/>
      <c r="J2407" s="44"/>
      <c r="K2407" s="44"/>
      <c r="L2407" s="47"/>
    </row>
    <row r="2408" spans="1:12" ht="21.95" customHeight="1" thickTop="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</row>
    <row r="2409" spans="1:12" ht="21.95" customHeight="1" x14ac:dyDescent="0.2">
      <c r="A2409" s="10" t="s">
        <v>2</v>
      </c>
      <c r="B2409" s="279" t="s">
        <v>11</v>
      </c>
      <c r="C2409" s="279"/>
      <c r="D2409" s="279"/>
      <c r="E2409" s="279"/>
      <c r="F2409" s="279"/>
      <c r="G2409" s="279"/>
      <c r="H2409" s="279"/>
      <c r="I2409" s="279"/>
      <c r="J2409" s="279"/>
      <c r="K2409" s="279"/>
      <c r="L2409" s="279"/>
    </row>
    <row r="2410" spans="1:12" ht="21.95" customHeight="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 ht="21.95" customHeight="1" x14ac:dyDescent="0.2">
      <c r="A2411" s="280" t="s">
        <v>12</v>
      </c>
      <c r="B2411" s="280"/>
      <c r="C2411" s="280"/>
      <c r="D2411" s="280"/>
      <c r="E2411" s="280"/>
      <c r="F2411" s="280"/>
      <c r="G2411" s="280"/>
      <c r="H2411" s="280"/>
      <c r="I2411" s="280"/>
      <c r="J2411" s="280"/>
      <c r="K2411" s="280"/>
      <c r="L2411" s="280"/>
    </row>
    <row r="2412" spans="1:12" ht="21.95" customHeight="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 ht="21.95" customHeight="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 ht="21.95" customHeight="1" x14ac:dyDescent="0.25">
      <c r="A2414" s="1"/>
      <c r="B2414" s="1"/>
      <c r="C2414" s="1"/>
      <c r="D2414" s="1"/>
      <c r="E2414" s="1"/>
      <c r="F2414" s="1"/>
      <c r="G2414" s="1"/>
      <c r="H2414" s="4" t="s">
        <v>199</v>
      </c>
      <c r="J2414" s="286" t="s">
        <v>471</v>
      </c>
      <c r="K2414" s="286"/>
      <c r="L2414" s="286"/>
    </row>
    <row r="2415" spans="1:12" ht="21.95" customHeight="1" x14ac:dyDescent="0.25">
      <c r="A2415" s="1"/>
      <c r="B2415" s="1" t="s">
        <v>15</v>
      </c>
      <c r="C2415" s="1"/>
      <c r="D2415" s="1"/>
      <c r="E2415" s="1"/>
      <c r="F2415" s="1"/>
      <c r="G2415" s="1"/>
      <c r="H2415" s="4" t="s">
        <v>13</v>
      </c>
    </row>
    <row r="2416" spans="1:12" ht="21.95" customHeight="1" x14ac:dyDescent="0.25">
      <c r="A2416" s="1"/>
      <c r="B2416" s="1" t="s">
        <v>18</v>
      </c>
      <c r="C2416" s="1"/>
      <c r="D2416" s="1"/>
      <c r="E2416" s="1"/>
      <c r="F2416" s="1"/>
      <c r="G2416" s="1"/>
      <c r="H2416" s="4" t="s">
        <v>14</v>
      </c>
    </row>
    <row r="2417" spans="1:12" ht="21.95" customHeight="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 spans="1:12" ht="21.95" customHeight="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 spans="1:12" ht="21.95" customHeight="1" x14ac:dyDescent="0.25">
      <c r="A2419" s="1"/>
      <c r="B2419" s="103"/>
      <c r="C2419" s="103"/>
      <c r="D2419" s="103"/>
      <c r="E2419" s="103"/>
      <c r="F2419" s="103"/>
      <c r="G2419" s="103"/>
      <c r="H2419" s="103"/>
      <c r="I2419" s="103"/>
      <c r="J2419" s="103"/>
      <c r="K2419" s="103"/>
      <c r="L2419" s="1"/>
    </row>
    <row r="2420" spans="1:12" ht="21.95" customHeight="1" x14ac:dyDescent="0.25">
      <c r="A2420" s="1"/>
      <c r="K2420" s="103"/>
      <c r="L2420" s="1"/>
    </row>
    <row r="2421" spans="1:12" ht="21.95" customHeight="1" x14ac:dyDescent="0.25">
      <c r="A2421" s="1"/>
      <c r="B2421" s="95" t="s">
        <v>77</v>
      </c>
      <c r="H2421" s="37" t="s">
        <v>198</v>
      </c>
      <c r="I2421" s="95"/>
      <c r="J2421" s="92"/>
      <c r="K2421" s="103"/>
      <c r="L2421" s="1"/>
    </row>
    <row r="2422" spans="1:12" ht="21.95" customHeight="1" x14ac:dyDescent="0.25">
      <c r="A2422" s="1"/>
      <c r="B2422" s="99" t="s">
        <v>27</v>
      </c>
      <c r="C2422" s="57"/>
      <c r="H2422" s="1" t="s">
        <v>32</v>
      </c>
      <c r="K2422" s="103"/>
    </row>
    <row r="2434" spans="1:12" ht="21.95" customHeight="1" x14ac:dyDescent="0.25">
      <c r="A2434" s="3" t="s">
        <v>22</v>
      </c>
    </row>
    <row r="2435" spans="1:12" ht="21.95" customHeight="1" x14ac:dyDescent="0.2">
      <c r="A2435" s="122" t="s">
        <v>20</v>
      </c>
    </row>
    <row r="2436" spans="1:12" ht="21.95" customHeight="1" x14ac:dyDescent="0.2">
      <c r="A2436" s="122" t="s">
        <v>21</v>
      </c>
    </row>
    <row r="2440" spans="1:12" ht="21.95" customHeight="1" x14ac:dyDescent="0.3">
      <c r="A2440" s="276" t="s">
        <v>6</v>
      </c>
      <c r="B2440" s="276"/>
      <c r="C2440" s="276"/>
      <c r="D2440" s="276"/>
      <c r="E2440" s="276"/>
      <c r="F2440" s="276"/>
      <c r="G2440" s="276"/>
      <c r="H2440" s="276"/>
      <c r="I2440" s="276"/>
      <c r="J2440" s="276"/>
      <c r="K2440" s="276"/>
      <c r="L2440" s="276"/>
    </row>
    <row r="2441" spans="1:12" ht="21.95" customHeight="1" x14ac:dyDescent="0.3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</row>
    <row r="2442" spans="1:12" ht="21.95" customHeight="1" x14ac:dyDescent="0.3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</row>
    <row r="2443" spans="1:12" ht="21.95" customHeight="1" x14ac:dyDescent="0.25">
      <c r="A2443" s="1"/>
      <c r="B2443" s="1"/>
    </row>
    <row r="2444" spans="1:12" ht="21.95" customHeight="1" x14ac:dyDescent="0.25">
      <c r="A2444" s="1" t="s">
        <v>7</v>
      </c>
      <c r="B2444" s="1"/>
    </row>
    <row r="2445" spans="1:12" ht="21.95" customHeight="1" x14ac:dyDescent="0.25">
      <c r="A2445" s="1"/>
      <c r="B2445" s="1"/>
    </row>
    <row r="2446" spans="1:12" ht="21.95" customHeight="1" x14ac:dyDescent="0.25">
      <c r="A2446" s="1" t="s">
        <v>8</v>
      </c>
      <c r="C2446" s="9" t="s">
        <v>1</v>
      </c>
      <c r="D2446" s="40" t="s">
        <v>475</v>
      </c>
      <c r="E2446" s="76"/>
      <c r="F2446" s="76"/>
      <c r="G2446" s="76"/>
      <c r="H2446" s="76"/>
    </row>
    <row r="2447" spans="1:12" ht="21.95" customHeight="1" x14ac:dyDescent="0.25">
      <c r="A2447" s="1" t="s">
        <v>9</v>
      </c>
      <c r="C2447" s="9" t="s">
        <v>1</v>
      </c>
      <c r="D2447" s="7" t="s">
        <v>476</v>
      </c>
      <c r="E2447" s="76"/>
      <c r="F2447" s="76"/>
      <c r="G2447" s="76"/>
      <c r="H2447" s="76"/>
    </row>
    <row r="2448" spans="1:12" ht="21.95" customHeight="1" x14ac:dyDescent="0.2">
      <c r="A2448" s="50" t="s">
        <v>10</v>
      </c>
      <c r="B2448" s="76"/>
      <c r="C2448" s="91" t="s">
        <v>1</v>
      </c>
      <c r="D2448" s="50" t="s">
        <v>477</v>
      </c>
      <c r="E2448" s="76"/>
      <c r="F2448" s="76"/>
      <c r="G2448" s="76"/>
      <c r="H2448" s="76"/>
      <c r="I2448" s="76"/>
      <c r="J2448" s="76"/>
      <c r="K2448" s="76"/>
      <c r="L2448" s="76"/>
    </row>
    <row r="2449" spans="1:12" ht="21.95" customHeight="1" x14ac:dyDescent="0.25">
      <c r="A2449" s="1"/>
      <c r="B2449" s="1"/>
      <c r="D2449" s="1"/>
    </row>
    <row r="2450" spans="1:12" ht="21.95" customHeight="1" x14ac:dyDescent="0.2">
      <c r="A2450" s="277" t="s">
        <v>472</v>
      </c>
      <c r="B2450" s="277"/>
      <c r="C2450" s="277"/>
      <c r="D2450" s="277"/>
      <c r="E2450" s="277"/>
      <c r="F2450" s="277"/>
      <c r="G2450" s="277"/>
      <c r="H2450" s="277"/>
      <c r="I2450" s="277"/>
      <c r="J2450" s="277"/>
      <c r="K2450" s="277"/>
      <c r="L2450" s="277"/>
    </row>
    <row r="2451" spans="1:12" ht="21.95" customHeight="1" x14ac:dyDescent="0.25">
      <c r="A2451" s="1"/>
      <c r="B2451" s="1"/>
    </row>
    <row r="2452" spans="1:12" ht="21.95" customHeight="1" thickBot="1" x14ac:dyDescent="0.25">
      <c r="A2452" s="10" t="s">
        <v>0</v>
      </c>
      <c r="B2452" s="278" t="s">
        <v>91</v>
      </c>
      <c r="C2452" s="278"/>
      <c r="D2452" s="278"/>
      <c r="E2452" s="278"/>
      <c r="F2452" s="278"/>
      <c r="G2452" s="278"/>
      <c r="H2452" s="278"/>
      <c r="I2452" s="278"/>
      <c r="J2452" s="278"/>
      <c r="K2452" s="278"/>
      <c r="L2452" s="278"/>
    </row>
    <row r="2453" spans="1:12" ht="21.95" customHeight="1" thickTop="1" x14ac:dyDescent="0.25">
      <c r="A2453" s="1"/>
      <c r="B2453" s="11" t="s">
        <v>3</v>
      </c>
      <c r="C2453" s="12" t="s">
        <v>4</v>
      </c>
      <c r="D2453" s="13"/>
      <c r="E2453" s="13"/>
      <c r="F2453" s="13"/>
      <c r="G2453" s="13"/>
      <c r="H2453" s="14"/>
      <c r="I2453" s="15" t="s">
        <v>5</v>
      </c>
      <c r="J2453" s="12" t="s">
        <v>17</v>
      </c>
      <c r="K2453" s="13"/>
      <c r="L2453" s="14"/>
    </row>
    <row r="2454" spans="1:12" ht="21.95" customHeight="1" x14ac:dyDescent="0.2">
      <c r="B2454" s="96">
        <v>1</v>
      </c>
      <c r="C2454" s="140" t="s">
        <v>443</v>
      </c>
      <c r="D2454" s="76"/>
      <c r="E2454" s="150"/>
      <c r="F2454" s="144"/>
      <c r="G2454" s="76"/>
      <c r="H2454" s="79"/>
      <c r="I2454" s="56">
        <v>150000</v>
      </c>
      <c r="J2454" s="76" t="s">
        <v>204</v>
      </c>
      <c r="L2454" s="17"/>
    </row>
    <row r="2455" spans="1:12" ht="21.95" customHeight="1" x14ac:dyDescent="0.2">
      <c r="B2455" s="96"/>
      <c r="C2455" s="313"/>
      <c r="D2455" s="314"/>
      <c r="E2455" s="314"/>
      <c r="F2455" s="314"/>
      <c r="G2455" s="314"/>
      <c r="H2455" s="315"/>
      <c r="I2455" s="56"/>
      <c r="L2455" s="17"/>
    </row>
    <row r="2456" spans="1:12" ht="21.95" customHeight="1" x14ac:dyDescent="0.25">
      <c r="A2456" s="1"/>
      <c r="B2456" s="39"/>
      <c r="C2456" s="1"/>
      <c r="D2456" s="1"/>
      <c r="E2456" s="1"/>
      <c r="F2456" s="40" t="s">
        <v>5</v>
      </c>
      <c r="G2456" s="40"/>
      <c r="H2456" s="1"/>
      <c r="I2456" s="41">
        <f>I2454</f>
        <v>150000</v>
      </c>
      <c r="J2456" s="1"/>
      <c r="K2456" s="1"/>
      <c r="L2456" s="42"/>
    </row>
    <row r="2457" spans="1:12" ht="21.95" customHeight="1" thickBot="1" x14ac:dyDescent="0.3">
      <c r="A2457" s="1"/>
      <c r="B2457" s="43"/>
      <c r="C2457" s="44"/>
      <c r="D2457" s="44"/>
      <c r="E2457" s="44"/>
      <c r="F2457" s="45"/>
      <c r="G2457" s="45"/>
      <c r="H2457" s="44"/>
      <c r="I2457" s="46"/>
      <c r="J2457" s="44"/>
      <c r="K2457" s="44"/>
      <c r="L2457" s="47"/>
    </row>
    <row r="2458" spans="1:12" ht="21.95" customHeight="1" thickTop="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</row>
    <row r="2459" spans="1:12" ht="21.95" customHeight="1" x14ac:dyDescent="0.2">
      <c r="A2459" s="10" t="s">
        <v>2</v>
      </c>
      <c r="B2459" s="279" t="s">
        <v>11</v>
      </c>
      <c r="C2459" s="279"/>
      <c r="D2459" s="279"/>
      <c r="E2459" s="279"/>
      <c r="F2459" s="279"/>
      <c r="G2459" s="279"/>
      <c r="H2459" s="279"/>
      <c r="I2459" s="279"/>
      <c r="J2459" s="279"/>
      <c r="K2459" s="279"/>
      <c r="L2459" s="279"/>
    </row>
    <row r="2460" spans="1:12" ht="21.95" customHeight="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 spans="1:12" ht="21.95" customHeight="1" x14ac:dyDescent="0.2">
      <c r="A2461" s="280" t="s">
        <v>12</v>
      </c>
      <c r="B2461" s="280"/>
      <c r="C2461" s="280"/>
      <c r="D2461" s="280"/>
      <c r="E2461" s="280"/>
      <c r="F2461" s="280"/>
      <c r="G2461" s="280"/>
      <c r="H2461" s="280"/>
      <c r="I2461" s="280"/>
      <c r="J2461" s="280"/>
      <c r="K2461" s="280"/>
      <c r="L2461" s="280"/>
    </row>
    <row r="2462" spans="1:12" ht="21.95" customHeight="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</row>
    <row r="2463" spans="1:12" ht="21.95" customHeight="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</row>
    <row r="2464" spans="1:12" ht="21.95" customHeight="1" x14ac:dyDescent="0.25">
      <c r="A2464" s="1"/>
      <c r="B2464" s="1"/>
      <c r="C2464" s="1"/>
      <c r="D2464" s="1"/>
      <c r="E2464" s="1"/>
      <c r="F2464" s="1"/>
      <c r="G2464" s="1"/>
      <c r="H2464" s="4" t="s">
        <v>199</v>
      </c>
      <c r="J2464" s="286" t="s">
        <v>471</v>
      </c>
      <c r="K2464" s="286"/>
      <c r="L2464" s="286"/>
    </row>
    <row r="2465" spans="1:12" ht="21.95" customHeight="1" x14ac:dyDescent="0.25">
      <c r="A2465" s="1"/>
      <c r="B2465" s="1" t="s">
        <v>15</v>
      </c>
      <c r="C2465" s="1"/>
      <c r="D2465" s="1"/>
      <c r="E2465" s="1"/>
      <c r="F2465" s="1"/>
      <c r="G2465" s="1"/>
      <c r="H2465" s="4" t="s">
        <v>13</v>
      </c>
    </row>
    <row r="2466" spans="1:12" ht="21.95" customHeight="1" x14ac:dyDescent="0.25">
      <c r="A2466" s="1"/>
      <c r="B2466" s="1" t="s">
        <v>18</v>
      </c>
      <c r="C2466" s="1"/>
      <c r="D2466" s="1"/>
      <c r="E2466" s="1"/>
      <c r="F2466" s="1"/>
      <c r="G2466" s="1"/>
      <c r="H2466" s="4" t="s">
        <v>14</v>
      </c>
    </row>
    <row r="2467" spans="1:12" ht="21.95" customHeight="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</row>
    <row r="2468" spans="1:12" ht="21.95" customHeight="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</row>
    <row r="2469" spans="1:12" ht="21.95" customHeight="1" x14ac:dyDescent="0.25">
      <c r="A2469" s="1"/>
      <c r="B2469" s="103"/>
      <c r="C2469" s="103"/>
      <c r="D2469" s="103"/>
      <c r="E2469" s="103"/>
      <c r="F2469" s="103"/>
      <c r="G2469" s="103"/>
      <c r="H2469" s="103"/>
      <c r="I2469" s="103"/>
      <c r="J2469" s="103"/>
      <c r="K2469" s="103"/>
      <c r="L2469" s="1"/>
    </row>
    <row r="2470" spans="1:12" ht="21.95" customHeight="1" x14ac:dyDescent="0.25">
      <c r="A2470" s="1"/>
      <c r="K2470" s="103"/>
      <c r="L2470" s="1"/>
    </row>
    <row r="2471" spans="1:12" ht="21.95" customHeight="1" x14ac:dyDescent="0.25">
      <c r="A2471" s="1"/>
      <c r="B2471" s="95" t="s">
        <v>77</v>
      </c>
      <c r="H2471" s="37" t="s">
        <v>475</v>
      </c>
      <c r="I2471" s="95"/>
      <c r="J2471" s="92"/>
      <c r="K2471" s="103"/>
      <c r="L2471" s="1"/>
    </row>
    <row r="2472" spans="1:12" s="99" customFormat="1" ht="21.95" customHeight="1" x14ac:dyDescent="0.2">
      <c r="A2472" s="48"/>
      <c r="B2472" s="99" t="s">
        <v>27</v>
      </c>
      <c r="C2472" s="146"/>
      <c r="H2472" s="48" t="s">
        <v>32</v>
      </c>
      <c r="K2472" s="104"/>
    </row>
    <row r="2474" spans="1:12" ht="21.95" customHeight="1" x14ac:dyDescent="0.25">
      <c r="A2474" s="3" t="s">
        <v>22</v>
      </c>
    </row>
    <row r="2475" spans="1:12" ht="21.95" customHeight="1" x14ac:dyDescent="0.2">
      <c r="A2475" s="122" t="s">
        <v>20</v>
      </c>
    </row>
    <row r="2476" spans="1:12" ht="21.95" customHeight="1" x14ac:dyDescent="0.2">
      <c r="A2476" s="122" t="s">
        <v>21</v>
      </c>
    </row>
    <row r="2480" spans="1:12" ht="21.95" customHeight="1" x14ac:dyDescent="0.3">
      <c r="A2480" s="276" t="s">
        <v>6</v>
      </c>
      <c r="B2480" s="276"/>
      <c r="C2480" s="276"/>
      <c r="D2480" s="276"/>
      <c r="E2480" s="276"/>
      <c r="F2480" s="276"/>
      <c r="G2480" s="276"/>
      <c r="H2480" s="276"/>
      <c r="I2480" s="276"/>
      <c r="J2480" s="276"/>
      <c r="K2480" s="276"/>
      <c r="L2480" s="276"/>
    </row>
    <row r="2481" spans="1:12" ht="21.95" customHeight="1" x14ac:dyDescent="0.3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</row>
    <row r="2482" spans="1:12" ht="21.95" customHeight="1" x14ac:dyDescent="0.3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</row>
    <row r="2483" spans="1:12" ht="21.95" customHeight="1" x14ac:dyDescent="0.25">
      <c r="A2483" s="1"/>
      <c r="B2483" s="1"/>
    </row>
    <row r="2484" spans="1:12" ht="21.95" customHeight="1" x14ac:dyDescent="0.25">
      <c r="A2484" s="1" t="s">
        <v>7</v>
      </c>
      <c r="B2484" s="1"/>
    </row>
    <row r="2485" spans="1:12" ht="21.95" customHeight="1" x14ac:dyDescent="0.25">
      <c r="A2485" s="1"/>
      <c r="B2485" s="1"/>
    </row>
    <row r="2486" spans="1:12" ht="21.95" customHeight="1" x14ac:dyDescent="0.25">
      <c r="A2486" s="1" t="s">
        <v>8</v>
      </c>
      <c r="C2486" s="9" t="s">
        <v>1</v>
      </c>
      <c r="D2486" s="40" t="s">
        <v>478</v>
      </c>
      <c r="E2486" s="76"/>
      <c r="F2486" s="76"/>
      <c r="G2486" s="76"/>
      <c r="H2486" s="76"/>
    </row>
    <row r="2487" spans="1:12" ht="21.95" customHeight="1" x14ac:dyDescent="0.25">
      <c r="A2487" s="1" t="s">
        <v>9</v>
      </c>
      <c r="C2487" s="9" t="s">
        <v>1</v>
      </c>
      <c r="D2487" s="7" t="s">
        <v>479</v>
      </c>
      <c r="E2487" s="76"/>
      <c r="F2487" s="76"/>
      <c r="G2487" s="76"/>
      <c r="H2487" s="76"/>
    </row>
    <row r="2488" spans="1:12" ht="21.95" customHeight="1" x14ac:dyDescent="0.2">
      <c r="A2488" s="50" t="s">
        <v>10</v>
      </c>
      <c r="B2488" s="76"/>
      <c r="C2488" s="91" t="s">
        <v>1</v>
      </c>
      <c r="D2488" s="50" t="s">
        <v>480</v>
      </c>
      <c r="E2488" s="76"/>
      <c r="F2488" s="76"/>
      <c r="G2488" s="76"/>
      <c r="H2488" s="76"/>
      <c r="I2488" s="76"/>
      <c r="J2488" s="76"/>
      <c r="K2488" s="76"/>
      <c r="L2488" s="76"/>
    </row>
    <row r="2489" spans="1:12" ht="21.95" customHeight="1" x14ac:dyDescent="0.25">
      <c r="A2489" s="1"/>
      <c r="B2489" s="1"/>
      <c r="D2489" s="1"/>
    </row>
    <row r="2490" spans="1:12" ht="21.95" customHeight="1" x14ac:dyDescent="0.2">
      <c r="A2490" s="277" t="s">
        <v>472</v>
      </c>
      <c r="B2490" s="277"/>
      <c r="C2490" s="277"/>
      <c r="D2490" s="277"/>
      <c r="E2490" s="277"/>
      <c r="F2490" s="277"/>
      <c r="G2490" s="277"/>
      <c r="H2490" s="277"/>
      <c r="I2490" s="277"/>
      <c r="J2490" s="277"/>
      <c r="K2490" s="277"/>
      <c r="L2490" s="277"/>
    </row>
    <row r="2491" spans="1:12" ht="21.95" customHeight="1" x14ac:dyDescent="0.25">
      <c r="A2491" s="1"/>
      <c r="B2491" s="1"/>
    </row>
    <row r="2492" spans="1:12" ht="21.95" customHeight="1" thickBot="1" x14ac:dyDescent="0.25">
      <c r="A2492" s="10" t="s">
        <v>0</v>
      </c>
      <c r="B2492" s="278" t="s">
        <v>91</v>
      </c>
      <c r="C2492" s="278"/>
      <c r="D2492" s="278"/>
      <c r="E2492" s="278"/>
      <c r="F2492" s="278"/>
      <c r="G2492" s="278"/>
      <c r="H2492" s="278"/>
      <c r="I2492" s="278"/>
      <c r="J2492" s="278"/>
      <c r="K2492" s="278"/>
      <c r="L2492" s="278"/>
    </row>
    <row r="2493" spans="1:12" ht="21.95" customHeight="1" thickTop="1" x14ac:dyDescent="0.25">
      <c r="A2493" s="1"/>
      <c r="B2493" s="11" t="s">
        <v>3</v>
      </c>
      <c r="C2493" s="12" t="s">
        <v>4</v>
      </c>
      <c r="D2493" s="13"/>
      <c r="E2493" s="13"/>
      <c r="F2493" s="13"/>
      <c r="G2493" s="13"/>
      <c r="H2493" s="14"/>
      <c r="I2493" s="15" t="s">
        <v>5</v>
      </c>
      <c r="J2493" s="12" t="s">
        <v>17</v>
      </c>
      <c r="K2493" s="13"/>
      <c r="L2493" s="14"/>
    </row>
    <row r="2494" spans="1:12" ht="21.95" customHeight="1" x14ac:dyDescent="0.2">
      <c r="B2494" s="96">
        <v>1</v>
      </c>
      <c r="C2494" s="140" t="s">
        <v>443</v>
      </c>
      <c r="D2494" s="76"/>
      <c r="E2494" s="150"/>
      <c r="F2494" s="144"/>
      <c r="G2494" s="76"/>
      <c r="H2494" s="79"/>
      <c r="I2494" s="56">
        <v>150000</v>
      </c>
      <c r="J2494" s="76" t="s">
        <v>204</v>
      </c>
      <c r="L2494" s="17"/>
    </row>
    <row r="2495" spans="1:12" ht="21.95" customHeight="1" x14ac:dyDescent="0.2">
      <c r="B2495" s="96"/>
      <c r="C2495" s="313"/>
      <c r="D2495" s="314"/>
      <c r="E2495" s="314"/>
      <c r="F2495" s="314"/>
      <c r="G2495" s="314"/>
      <c r="H2495" s="315"/>
      <c r="I2495" s="56"/>
      <c r="L2495" s="17"/>
    </row>
    <row r="2496" spans="1:12" ht="21.95" customHeight="1" x14ac:dyDescent="0.25">
      <c r="A2496" s="1"/>
      <c r="B2496" s="39"/>
      <c r="C2496" s="1"/>
      <c r="D2496" s="1"/>
      <c r="E2496" s="1"/>
      <c r="F2496" s="40" t="s">
        <v>5</v>
      </c>
      <c r="G2496" s="40"/>
      <c r="H2496" s="1"/>
      <c r="I2496" s="41">
        <f>I2494</f>
        <v>150000</v>
      </c>
      <c r="J2496" s="1"/>
      <c r="K2496" s="1"/>
      <c r="L2496" s="42"/>
    </row>
    <row r="2497" spans="1:12" ht="21.95" customHeight="1" thickBot="1" x14ac:dyDescent="0.3">
      <c r="A2497" s="1"/>
      <c r="B2497" s="43"/>
      <c r="C2497" s="44"/>
      <c r="D2497" s="44"/>
      <c r="E2497" s="44"/>
      <c r="F2497" s="45"/>
      <c r="G2497" s="45"/>
      <c r="H2497" s="44"/>
      <c r="I2497" s="46"/>
      <c r="J2497" s="44"/>
      <c r="K2497" s="44"/>
      <c r="L2497" s="47"/>
    </row>
    <row r="2498" spans="1:12" ht="21.95" customHeight="1" thickTop="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</row>
    <row r="2499" spans="1:12" ht="21.95" customHeight="1" x14ac:dyDescent="0.2">
      <c r="A2499" s="10" t="s">
        <v>2</v>
      </c>
      <c r="B2499" s="279" t="s">
        <v>11</v>
      </c>
      <c r="C2499" s="279"/>
      <c r="D2499" s="279"/>
      <c r="E2499" s="279"/>
      <c r="F2499" s="279"/>
      <c r="G2499" s="279"/>
      <c r="H2499" s="279"/>
      <c r="I2499" s="279"/>
      <c r="J2499" s="279"/>
      <c r="K2499" s="279"/>
      <c r="L2499" s="279"/>
    </row>
    <row r="2500" spans="1:12" ht="21.95" customHeight="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</row>
    <row r="2501" spans="1:12" ht="21.95" customHeight="1" x14ac:dyDescent="0.2">
      <c r="A2501" s="280" t="s">
        <v>12</v>
      </c>
      <c r="B2501" s="280"/>
      <c r="C2501" s="280"/>
      <c r="D2501" s="280"/>
      <c r="E2501" s="280"/>
      <c r="F2501" s="280"/>
      <c r="G2501" s="280"/>
      <c r="H2501" s="280"/>
      <c r="I2501" s="280"/>
      <c r="J2501" s="280"/>
      <c r="K2501" s="280"/>
      <c r="L2501" s="280"/>
    </row>
    <row r="2502" spans="1:12" ht="21.95" customHeight="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 spans="1:12" ht="21.95" customHeight="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 spans="1:12" ht="21.95" customHeight="1" x14ac:dyDescent="0.25">
      <c r="A2504" s="1"/>
      <c r="B2504" s="1"/>
      <c r="C2504" s="1"/>
      <c r="D2504" s="1"/>
      <c r="E2504" s="1"/>
      <c r="F2504" s="1"/>
      <c r="G2504" s="1"/>
      <c r="H2504" s="4" t="s">
        <v>199</v>
      </c>
      <c r="J2504" s="286" t="s">
        <v>471</v>
      </c>
      <c r="K2504" s="286"/>
      <c r="L2504" s="286"/>
    </row>
    <row r="2505" spans="1:12" ht="21.95" customHeight="1" x14ac:dyDescent="0.25">
      <c r="A2505" s="1"/>
      <c r="B2505" s="1" t="s">
        <v>15</v>
      </c>
      <c r="C2505" s="1"/>
      <c r="D2505" s="1"/>
      <c r="E2505" s="1"/>
      <c r="F2505" s="1"/>
      <c r="G2505" s="1"/>
      <c r="H2505" s="4" t="s">
        <v>13</v>
      </c>
    </row>
    <row r="2506" spans="1:12" ht="21.95" customHeight="1" x14ac:dyDescent="0.25">
      <c r="A2506" s="1"/>
      <c r="B2506" s="1" t="s">
        <v>18</v>
      </c>
      <c r="C2506" s="1"/>
      <c r="D2506" s="1"/>
      <c r="E2506" s="1"/>
      <c r="F2506" s="1"/>
      <c r="G2506" s="1"/>
      <c r="H2506" s="4" t="s">
        <v>14</v>
      </c>
    </row>
    <row r="2507" spans="1:12" ht="21.95" customHeight="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 spans="1:12" ht="21.95" customHeight="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</row>
    <row r="2509" spans="1:12" ht="21.95" customHeight="1" x14ac:dyDescent="0.25">
      <c r="A2509" s="1"/>
      <c r="B2509" s="103"/>
      <c r="C2509" s="103"/>
      <c r="D2509" s="103"/>
      <c r="E2509" s="103"/>
      <c r="F2509" s="103"/>
      <c r="G2509" s="103"/>
      <c r="H2509" s="103"/>
      <c r="I2509" s="103"/>
      <c r="J2509" s="103"/>
      <c r="K2509" s="103"/>
      <c r="L2509" s="1"/>
    </row>
    <row r="2510" spans="1:12" ht="21.95" customHeight="1" x14ac:dyDescent="0.25">
      <c r="A2510" s="1"/>
      <c r="K2510" s="103"/>
      <c r="L2510" s="1"/>
    </row>
    <row r="2511" spans="1:12" ht="21.95" customHeight="1" x14ac:dyDescent="0.25">
      <c r="A2511" s="1"/>
      <c r="B2511" s="95" t="s">
        <v>77</v>
      </c>
      <c r="H2511" s="37" t="s">
        <v>478</v>
      </c>
      <c r="I2511" s="95"/>
      <c r="J2511" s="92"/>
      <c r="K2511" s="103"/>
      <c r="L2511" s="1"/>
    </row>
    <row r="2512" spans="1:12" ht="21.95" customHeight="1" x14ac:dyDescent="0.2">
      <c r="A2512" s="48"/>
      <c r="B2512" s="99" t="s">
        <v>27</v>
      </c>
      <c r="C2512" s="146"/>
      <c r="D2512" s="99"/>
      <c r="E2512" s="99"/>
      <c r="F2512" s="99"/>
      <c r="G2512" s="99"/>
      <c r="H2512" s="48" t="s">
        <v>481</v>
      </c>
      <c r="I2512" s="99"/>
      <c r="J2512" s="99"/>
      <c r="K2512" s="104"/>
      <c r="L2512" s="99"/>
    </row>
    <row r="2520" spans="1:12" ht="21.95" customHeight="1" x14ac:dyDescent="0.25">
      <c r="A2520" s="3" t="s">
        <v>22</v>
      </c>
    </row>
    <row r="2521" spans="1:12" ht="21.95" customHeight="1" x14ac:dyDescent="0.2">
      <c r="A2521" s="122" t="s">
        <v>20</v>
      </c>
    </row>
    <row r="2522" spans="1:12" ht="21.95" customHeight="1" x14ac:dyDescent="0.2">
      <c r="A2522" s="122" t="s">
        <v>21</v>
      </c>
    </row>
    <row r="2526" spans="1:12" ht="21.95" customHeight="1" x14ac:dyDescent="0.3">
      <c r="A2526" s="276" t="s">
        <v>6</v>
      </c>
      <c r="B2526" s="276"/>
      <c r="C2526" s="276"/>
      <c r="D2526" s="276"/>
      <c r="E2526" s="276"/>
      <c r="F2526" s="276"/>
      <c r="G2526" s="276"/>
      <c r="H2526" s="276"/>
      <c r="I2526" s="276"/>
      <c r="J2526" s="276"/>
      <c r="K2526" s="276"/>
      <c r="L2526" s="276"/>
    </row>
    <row r="2527" spans="1:12" ht="21.95" customHeight="1" x14ac:dyDescent="0.3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</row>
    <row r="2528" spans="1:12" ht="21.95" customHeight="1" x14ac:dyDescent="0.3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</row>
    <row r="2529" spans="1:12" ht="21.95" customHeight="1" x14ac:dyDescent="0.25">
      <c r="A2529" s="1"/>
      <c r="B2529" s="1"/>
    </row>
    <row r="2530" spans="1:12" ht="21.95" customHeight="1" x14ac:dyDescent="0.25">
      <c r="A2530" s="1" t="s">
        <v>7</v>
      </c>
      <c r="B2530" s="1"/>
    </row>
    <row r="2531" spans="1:12" ht="21.95" customHeight="1" x14ac:dyDescent="0.25">
      <c r="A2531" s="1"/>
      <c r="B2531" s="1"/>
    </row>
    <row r="2532" spans="1:12" ht="21.95" customHeight="1" x14ac:dyDescent="0.25">
      <c r="A2532" s="1" t="s">
        <v>8</v>
      </c>
      <c r="C2532" s="9" t="s">
        <v>1</v>
      </c>
      <c r="D2532" s="40" t="s">
        <v>364</v>
      </c>
      <c r="E2532" s="76"/>
      <c r="F2532" s="76"/>
      <c r="G2532" s="76"/>
      <c r="H2532" s="76"/>
    </row>
    <row r="2533" spans="1:12" ht="21.95" customHeight="1" x14ac:dyDescent="0.25">
      <c r="A2533" s="1" t="s">
        <v>9</v>
      </c>
      <c r="C2533" s="9" t="s">
        <v>1</v>
      </c>
      <c r="D2533" s="7" t="s">
        <v>365</v>
      </c>
      <c r="E2533" s="76"/>
      <c r="F2533" s="76"/>
      <c r="G2533" s="76"/>
      <c r="H2533" s="76"/>
    </row>
    <row r="2534" spans="1:12" ht="21.95" customHeight="1" x14ac:dyDescent="0.2">
      <c r="A2534" s="50" t="s">
        <v>10</v>
      </c>
      <c r="B2534" s="76"/>
      <c r="C2534" s="91" t="s">
        <v>1</v>
      </c>
      <c r="D2534" s="50" t="s">
        <v>366</v>
      </c>
      <c r="E2534" s="76"/>
      <c r="F2534" s="76"/>
      <c r="G2534" s="76"/>
      <c r="H2534" s="76"/>
      <c r="I2534" s="76"/>
      <c r="J2534" s="76"/>
      <c r="K2534" s="76"/>
      <c r="L2534" s="76"/>
    </row>
    <row r="2535" spans="1:12" ht="21.95" customHeight="1" x14ac:dyDescent="0.25">
      <c r="A2535" s="1"/>
      <c r="B2535" s="1"/>
      <c r="D2535" s="1"/>
    </row>
    <row r="2536" spans="1:12" ht="21.95" customHeight="1" x14ac:dyDescent="0.2">
      <c r="A2536" s="277" t="s">
        <v>472</v>
      </c>
      <c r="B2536" s="277"/>
      <c r="C2536" s="277"/>
      <c r="D2536" s="277"/>
      <c r="E2536" s="277"/>
      <c r="F2536" s="277"/>
      <c r="G2536" s="277"/>
      <c r="H2536" s="277"/>
      <c r="I2536" s="277"/>
      <c r="J2536" s="277"/>
      <c r="K2536" s="277"/>
      <c r="L2536" s="277"/>
    </row>
    <row r="2537" spans="1:12" ht="21.95" customHeight="1" x14ac:dyDescent="0.25">
      <c r="A2537" s="1"/>
      <c r="B2537" s="1"/>
    </row>
    <row r="2538" spans="1:12" ht="21.95" customHeight="1" thickBot="1" x14ac:dyDescent="0.25">
      <c r="A2538" s="10" t="s">
        <v>0</v>
      </c>
      <c r="B2538" s="278" t="s">
        <v>91</v>
      </c>
      <c r="C2538" s="278"/>
      <c r="D2538" s="278"/>
      <c r="E2538" s="278"/>
      <c r="F2538" s="278"/>
      <c r="G2538" s="278"/>
      <c r="H2538" s="278"/>
      <c r="I2538" s="278"/>
      <c r="J2538" s="278"/>
      <c r="K2538" s="278"/>
      <c r="L2538" s="278"/>
    </row>
    <row r="2539" spans="1:12" ht="21.95" customHeight="1" thickTop="1" x14ac:dyDescent="0.25">
      <c r="A2539" s="1"/>
      <c r="B2539" s="11" t="s">
        <v>3</v>
      </c>
      <c r="C2539" s="12" t="s">
        <v>4</v>
      </c>
      <c r="D2539" s="13"/>
      <c r="E2539" s="13"/>
      <c r="F2539" s="13"/>
      <c r="G2539" s="13"/>
      <c r="H2539" s="14"/>
      <c r="I2539" s="15" t="s">
        <v>5</v>
      </c>
      <c r="J2539" s="12" t="s">
        <v>17</v>
      </c>
      <c r="K2539" s="13"/>
      <c r="L2539" s="14"/>
    </row>
    <row r="2540" spans="1:12" ht="21.95" customHeight="1" x14ac:dyDescent="0.2">
      <c r="B2540" s="96">
        <v>1</v>
      </c>
      <c r="C2540" s="140" t="s">
        <v>443</v>
      </c>
      <c r="D2540" s="76"/>
      <c r="E2540" s="150"/>
      <c r="F2540" s="144"/>
      <c r="G2540" s="76"/>
      <c r="H2540" s="79"/>
      <c r="I2540" s="56">
        <v>150000</v>
      </c>
      <c r="J2540" s="76" t="s">
        <v>204</v>
      </c>
      <c r="L2540" s="17"/>
    </row>
    <row r="2541" spans="1:12" ht="21.95" customHeight="1" x14ac:dyDescent="0.2">
      <c r="B2541" s="96"/>
      <c r="C2541" s="313"/>
      <c r="D2541" s="314"/>
      <c r="E2541" s="314"/>
      <c r="F2541" s="314"/>
      <c r="G2541" s="314"/>
      <c r="H2541" s="315"/>
      <c r="I2541" s="56"/>
      <c r="L2541" s="17"/>
    </row>
    <row r="2542" spans="1:12" ht="21.95" customHeight="1" x14ac:dyDescent="0.25">
      <c r="A2542" s="1"/>
      <c r="B2542" s="39"/>
      <c r="C2542" s="1"/>
      <c r="D2542" s="1"/>
      <c r="E2542" s="1"/>
      <c r="F2542" s="40" t="s">
        <v>5</v>
      </c>
      <c r="G2542" s="40"/>
      <c r="H2542" s="1"/>
      <c r="I2542" s="41">
        <f>I2540</f>
        <v>150000</v>
      </c>
      <c r="J2542" s="1"/>
      <c r="K2542" s="1"/>
      <c r="L2542" s="42"/>
    </row>
    <row r="2543" spans="1:12" ht="21.95" customHeight="1" thickBot="1" x14ac:dyDescent="0.3">
      <c r="A2543" s="1"/>
      <c r="B2543" s="43"/>
      <c r="C2543" s="44"/>
      <c r="D2543" s="44"/>
      <c r="E2543" s="44"/>
      <c r="F2543" s="45"/>
      <c r="G2543" s="45"/>
      <c r="H2543" s="44"/>
      <c r="I2543" s="46"/>
      <c r="J2543" s="44"/>
      <c r="K2543" s="44"/>
      <c r="L2543" s="47"/>
    </row>
    <row r="2544" spans="1:12" ht="21.95" customHeight="1" thickTop="1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</row>
    <row r="2545" spans="1:12" ht="21.95" customHeight="1" x14ac:dyDescent="0.2">
      <c r="A2545" s="10" t="s">
        <v>2</v>
      </c>
      <c r="B2545" s="279" t="s">
        <v>11</v>
      </c>
      <c r="C2545" s="279"/>
      <c r="D2545" s="279"/>
      <c r="E2545" s="279"/>
      <c r="F2545" s="279"/>
      <c r="G2545" s="279"/>
      <c r="H2545" s="279"/>
      <c r="I2545" s="279"/>
      <c r="J2545" s="279"/>
      <c r="K2545" s="279"/>
      <c r="L2545" s="279"/>
    </row>
    <row r="2546" spans="1:12" ht="21.95" customHeight="1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</row>
    <row r="2547" spans="1:12" ht="21.95" customHeight="1" x14ac:dyDescent="0.2">
      <c r="A2547" s="280" t="s">
        <v>12</v>
      </c>
      <c r="B2547" s="280"/>
      <c r="C2547" s="280"/>
      <c r="D2547" s="280"/>
      <c r="E2547" s="280"/>
      <c r="F2547" s="280"/>
      <c r="G2547" s="280"/>
      <c r="H2547" s="280"/>
      <c r="I2547" s="280"/>
      <c r="J2547" s="280"/>
      <c r="K2547" s="280"/>
      <c r="L2547" s="280"/>
    </row>
    <row r="2548" spans="1:12" ht="21.95" customHeight="1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</row>
    <row r="2549" spans="1:12" ht="21.95" customHeight="1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</row>
    <row r="2550" spans="1:12" ht="21.95" customHeight="1" x14ac:dyDescent="0.25">
      <c r="A2550" s="1"/>
      <c r="B2550" s="1"/>
      <c r="C2550" s="1"/>
      <c r="D2550" s="1"/>
      <c r="E2550" s="1"/>
      <c r="F2550" s="1"/>
      <c r="G2550" s="1"/>
      <c r="H2550" s="4" t="s">
        <v>199</v>
      </c>
      <c r="J2550" s="286" t="s">
        <v>471</v>
      </c>
      <c r="K2550" s="286"/>
      <c r="L2550" s="286"/>
    </row>
    <row r="2551" spans="1:12" ht="21.95" customHeight="1" x14ac:dyDescent="0.25">
      <c r="A2551" s="1"/>
      <c r="B2551" s="1" t="s">
        <v>15</v>
      </c>
      <c r="C2551" s="1"/>
      <c r="D2551" s="1"/>
      <c r="E2551" s="1"/>
      <c r="F2551" s="1"/>
      <c r="G2551" s="1"/>
      <c r="H2551" s="4" t="s">
        <v>13</v>
      </c>
    </row>
    <row r="2552" spans="1:12" ht="21.95" customHeight="1" x14ac:dyDescent="0.25">
      <c r="A2552" s="1"/>
      <c r="B2552" s="1" t="s">
        <v>18</v>
      </c>
      <c r="C2552" s="1"/>
      <c r="D2552" s="1"/>
      <c r="E2552" s="1"/>
      <c r="F2552" s="1"/>
      <c r="G2552" s="1"/>
      <c r="H2552" s="4" t="s">
        <v>14</v>
      </c>
    </row>
    <row r="2553" spans="1:12" ht="21.95" customHeight="1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 spans="1:12" ht="21.95" customHeight="1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</row>
    <row r="2555" spans="1:12" ht="21.95" customHeight="1" x14ac:dyDescent="0.25">
      <c r="A2555" s="1"/>
      <c r="B2555" s="103"/>
      <c r="C2555" s="103"/>
      <c r="D2555" s="103"/>
      <c r="E2555" s="103"/>
      <c r="F2555" s="103"/>
      <c r="G2555" s="103"/>
      <c r="H2555" s="103"/>
      <c r="I2555" s="103"/>
      <c r="J2555" s="103"/>
      <c r="K2555" s="103"/>
      <c r="L2555" s="1"/>
    </row>
    <row r="2556" spans="1:12" ht="21.95" customHeight="1" x14ac:dyDescent="0.25">
      <c r="A2556" s="1"/>
      <c r="K2556" s="103"/>
      <c r="L2556" s="1"/>
    </row>
    <row r="2557" spans="1:12" ht="21.95" customHeight="1" x14ac:dyDescent="0.25">
      <c r="A2557" s="1"/>
      <c r="B2557" s="95" t="s">
        <v>77</v>
      </c>
      <c r="H2557" s="37" t="s">
        <v>364</v>
      </c>
      <c r="I2557" s="95"/>
      <c r="J2557" s="92"/>
      <c r="K2557" s="103"/>
      <c r="L2557" s="1"/>
    </row>
    <row r="2558" spans="1:12" ht="21.95" customHeight="1" x14ac:dyDescent="0.2">
      <c r="A2558" s="48"/>
      <c r="B2558" s="99" t="s">
        <v>27</v>
      </c>
      <c r="C2558" s="146"/>
      <c r="D2558" s="99"/>
      <c r="E2558" s="99"/>
      <c r="F2558" s="99"/>
      <c r="G2558" s="99"/>
      <c r="H2558" s="48" t="s">
        <v>105</v>
      </c>
      <c r="I2558" s="99"/>
      <c r="J2558" s="99"/>
      <c r="K2558" s="104"/>
      <c r="L2558" s="99"/>
    </row>
    <row r="2561" spans="1:12" ht="21.95" customHeight="1" x14ac:dyDescent="0.25">
      <c r="A2561" s="3" t="s">
        <v>22</v>
      </c>
    </row>
    <row r="2562" spans="1:12" ht="21.95" customHeight="1" x14ac:dyDescent="0.2">
      <c r="A2562" s="122" t="s">
        <v>20</v>
      </c>
    </row>
    <row r="2563" spans="1:12" ht="21.95" customHeight="1" x14ac:dyDescent="0.2">
      <c r="A2563" s="122" t="s">
        <v>21</v>
      </c>
    </row>
    <row r="2567" spans="1:12" ht="21.95" customHeight="1" x14ac:dyDescent="0.3">
      <c r="A2567" s="276" t="s">
        <v>6</v>
      </c>
      <c r="B2567" s="276"/>
      <c r="C2567" s="276"/>
      <c r="D2567" s="276"/>
      <c r="E2567" s="276"/>
      <c r="F2567" s="276"/>
      <c r="G2567" s="276"/>
      <c r="H2567" s="276"/>
      <c r="I2567" s="276"/>
      <c r="J2567" s="276"/>
      <c r="K2567" s="276"/>
      <c r="L2567" s="276"/>
    </row>
    <row r="2568" spans="1:12" ht="21.95" customHeight="1" x14ac:dyDescent="0.3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</row>
    <row r="2569" spans="1:12" ht="21.95" customHeight="1" x14ac:dyDescent="0.3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</row>
    <row r="2570" spans="1:12" ht="21.95" customHeight="1" x14ac:dyDescent="0.25">
      <c r="A2570" s="1"/>
      <c r="B2570" s="1"/>
    </row>
    <row r="2571" spans="1:12" ht="21.95" customHeight="1" x14ac:dyDescent="0.25">
      <c r="A2571" s="1" t="s">
        <v>7</v>
      </c>
      <c r="B2571" s="1"/>
    </row>
    <row r="2572" spans="1:12" ht="21.95" customHeight="1" x14ac:dyDescent="0.25">
      <c r="A2572" s="1"/>
      <c r="B2572" s="1"/>
    </row>
    <row r="2573" spans="1:12" ht="21.95" customHeight="1" x14ac:dyDescent="0.25">
      <c r="A2573" s="1" t="s">
        <v>8</v>
      </c>
      <c r="C2573" s="9" t="s">
        <v>1</v>
      </c>
      <c r="D2573" s="92" t="s">
        <v>96</v>
      </c>
      <c r="E2573" s="76"/>
      <c r="F2573" s="76"/>
      <c r="G2573" s="76"/>
      <c r="H2573" s="76"/>
    </row>
    <row r="2574" spans="1:12" ht="21.95" customHeight="1" x14ac:dyDescent="0.25">
      <c r="A2574" s="1" t="s">
        <v>9</v>
      </c>
      <c r="C2574" s="9" t="s">
        <v>1</v>
      </c>
      <c r="D2574" s="57" t="s">
        <v>200</v>
      </c>
      <c r="E2574" s="76"/>
      <c r="F2574" s="76"/>
      <c r="G2574" s="76"/>
      <c r="H2574" s="76"/>
    </row>
    <row r="2575" spans="1:12" ht="21.95" customHeight="1" x14ac:dyDescent="0.2">
      <c r="A2575" s="50" t="s">
        <v>10</v>
      </c>
      <c r="B2575" s="76"/>
      <c r="C2575" s="91" t="s">
        <v>1</v>
      </c>
      <c r="D2575" s="50" t="s">
        <v>203</v>
      </c>
      <c r="E2575" s="76"/>
      <c r="F2575" s="76"/>
      <c r="G2575" s="76"/>
      <c r="H2575" s="76"/>
      <c r="I2575" s="76"/>
      <c r="J2575" s="76"/>
      <c r="K2575" s="76"/>
      <c r="L2575" s="76"/>
    </row>
    <row r="2576" spans="1:12" ht="21.95" customHeight="1" x14ac:dyDescent="0.25">
      <c r="A2576" s="1"/>
      <c r="B2576" s="1"/>
      <c r="D2576" s="1"/>
    </row>
    <row r="2577" spans="1:12" ht="21.95" customHeight="1" x14ac:dyDescent="0.2">
      <c r="A2577" s="277" t="s">
        <v>482</v>
      </c>
      <c r="B2577" s="277"/>
      <c r="C2577" s="277"/>
      <c r="D2577" s="277"/>
      <c r="E2577" s="277"/>
      <c r="F2577" s="277"/>
      <c r="G2577" s="277"/>
      <c r="H2577" s="277"/>
      <c r="I2577" s="277"/>
      <c r="J2577" s="277"/>
      <c r="K2577" s="277"/>
      <c r="L2577" s="277"/>
    </row>
    <row r="2578" spans="1:12" ht="21.95" customHeight="1" x14ac:dyDescent="0.25">
      <c r="A2578" s="1"/>
      <c r="B2578" s="1"/>
    </row>
    <row r="2579" spans="1:12" ht="21.95" customHeight="1" thickBot="1" x14ac:dyDescent="0.25">
      <c r="A2579" s="10" t="s">
        <v>0</v>
      </c>
      <c r="B2579" s="278" t="s">
        <v>91</v>
      </c>
      <c r="C2579" s="278"/>
      <c r="D2579" s="278"/>
      <c r="E2579" s="278"/>
      <c r="F2579" s="278"/>
      <c r="G2579" s="278"/>
      <c r="H2579" s="278"/>
      <c r="I2579" s="278"/>
      <c r="J2579" s="278"/>
      <c r="K2579" s="278"/>
      <c r="L2579" s="278"/>
    </row>
    <row r="2580" spans="1:12" ht="21.95" customHeight="1" thickTop="1" x14ac:dyDescent="0.25">
      <c r="A2580" s="1"/>
      <c r="B2580" s="11" t="s">
        <v>3</v>
      </c>
      <c r="C2580" s="12" t="s">
        <v>4</v>
      </c>
      <c r="D2580" s="13"/>
      <c r="E2580" s="13"/>
      <c r="F2580" s="13"/>
      <c r="G2580" s="13"/>
      <c r="H2580" s="14"/>
      <c r="I2580" s="15" t="s">
        <v>5</v>
      </c>
      <c r="J2580" s="12" t="s">
        <v>17</v>
      </c>
      <c r="K2580" s="13"/>
      <c r="L2580" s="14"/>
    </row>
    <row r="2581" spans="1:12" ht="21.95" customHeight="1" x14ac:dyDescent="0.2">
      <c r="B2581" s="96">
        <v>1</v>
      </c>
      <c r="C2581" s="140" t="s">
        <v>470</v>
      </c>
      <c r="D2581" s="76"/>
      <c r="E2581" s="131"/>
      <c r="F2581" s="167"/>
      <c r="G2581" s="167"/>
      <c r="H2581" s="166"/>
      <c r="I2581" s="56">
        <v>250000</v>
      </c>
      <c r="J2581" s="76"/>
      <c r="L2581" s="17"/>
    </row>
    <row r="2582" spans="1:12" ht="21.95" customHeight="1" x14ac:dyDescent="0.2">
      <c r="B2582" s="96"/>
      <c r="C2582" s="313"/>
      <c r="D2582" s="314"/>
      <c r="E2582" s="169"/>
      <c r="F2582" s="316"/>
      <c r="G2582" s="314"/>
      <c r="H2582" s="315"/>
      <c r="I2582" s="56"/>
      <c r="L2582" s="17"/>
    </row>
    <row r="2583" spans="1:12" ht="21.95" customHeight="1" x14ac:dyDescent="0.2">
      <c r="B2583" s="96"/>
      <c r="C2583" s="119"/>
      <c r="D2583" s="119"/>
      <c r="E2583" s="169"/>
      <c r="F2583" s="170"/>
      <c r="G2583" s="168"/>
      <c r="H2583" s="168"/>
      <c r="I2583" s="56"/>
      <c r="L2583" s="17"/>
    </row>
    <row r="2584" spans="1:12" ht="21.95" customHeight="1" x14ac:dyDescent="0.25">
      <c r="A2584" s="1"/>
      <c r="B2584" s="39"/>
      <c r="C2584" s="1"/>
      <c r="D2584" s="1"/>
      <c r="E2584" s="1"/>
      <c r="F2584" s="40" t="s">
        <v>5</v>
      </c>
      <c r="G2584" s="40"/>
      <c r="H2584" s="1"/>
      <c r="I2584" s="41">
        <f>SUM(I2581:I2582)</f>
        <v>250000</v>
      </c>
      <c r="J2584" s="1"/>
      <c r="K2584" s="1"/>
      <c r="L2584" s="42"/>
    </row>
    <row r="2585" spans="1:12" ht="21.95" customHeight="1" thickBot="1" x14ac:dyDescent="0.3">
      <c r="A2585" s="1"/>
      <c r="B2585" s="43"/>
      <c r="C2585" s="44"/>
      <c r="D2585" s="44"/>
      <c r="E2585" s="44"/>
      <c r="F2585" s="45"/>
      <c r="G2585" s="45"/>
      <c r="H2585" s="44"/>
      <c r="I2585" s="46"/>
      <c r="J2585" s="44"/>
      <c r="K2585" s="44"/>
      <c r="L2585" s="47"/>
    </row>
    <row r="2586" spans="1:12" ht="21.95" customHeight="1" thickTop="1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</row>
    <row r="2587" spans="1:12" ht="21.95" customHeight="1" x14ac:dyDescent="0.2">
      <c r="A2587" s="10" t="s">
        <v>2</v>
      </c>
      <c r="B2587" s="279" t="s">
        <v>11</v>
      </c>
      <c r="C2587" s="279"/>
      <c r="D2587" s="279"/>
      <c r="E2587" s="279"/>
      <c r="F2587" s="279"/>
      <c r="G2587" s="279"/>
      <c r="H2587" s="279"/>
      <c r="I2587" s="279"/>
      <c r="J2587" s="279"/>
      <c r="K2587" s="279"/>
      <c r="L2587" s="279"/>
    </row>
    <row r="2588" spans="1:12" ht="21.95" customHeight="1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 spans="1:12" ht="21.95" customHeight="1" x14ac:dyDescent="0.2">
      <c r="A2589" s="280" t="s">
        <v>12</v>
      </c>
      <c r="B2589" s="280"/>
      <c r="C2589" s="280"/>
      <c r="D2589" s="280"/>
      <c r="E2589" s="280"/>
      <c r="F2589" s="280"/>
      <c r="G2589" s="280"/>
      <c r="H2589" s="280"/>
      <c r="I2589" s="280"/>
      <c r="J2589" s="280"/>
      <c r="K2589" s="280"/>
      <c r="L2589" s="280"/>
    </row>
    <row r="2590" spans="1:12" ht="21.95" customHeight="1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 spans="1:12" ht="21.95" customHeight="1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</row>
    <row r="2592" spans="1:12" ht="21.95" customHeight="1" x14ac:dyDescent="0.25">
      <c r="A2592" s="1"/>
      <c r="B2592" s="1"/>
      <c r="C2592" s="1"/>
      <c r="D2592" s="1"/>
      <c r="E2592" s="1"/>
      <c r="F2592" s="1"/>
      <c r="G2592" s="1"/>
      <c r="H2592" s="4" t="s">
        <v>199</v>
      </c>
      <c r="J2592" s="286" t="s">
        <v>471</v>
      </c>
      <c r="K2592" s="286"/>
      <c r="L2592" s="286"/>
    </row>
    <row r="2593" spans="1:12" ht="21.95" customHeight="1" x14ac:dyDescent="0.25">
      <c r="A2593" s="1"/>
      <c r="B2593" s="1" t="s">
        <v>15</v>
      </c>
      <c r="C2593" s="1"/>
      <c r="D2593" s="1"/>
      <c r="E2593" s="1"/>
      <c r="F2593" s="1"/>
      <c r="G2593" s="1"/>
      <c r="H2593" s="4" t="s">
        <v>13</v>
      </c>
    </row>
    <row r="2594" spans="1:12" ht="21.95" customHeight="1" x14ac:dyDescent="0.25">
      <c r="A2594" s="1"/>
      <c r="B2594" s="1" t="s">
        <v>18</v>
      </c>
      <c r="C2594" s="1"/>
      <c r="D2594" s="1"/>
      <c r="E2594" s="1"/>
      <c r="F2594" s="1"/>
      <c r="G2594" s="1"/>
      <c r="H2594" s="4" t="s">
        <v>14</v>
      </c>
    </row>
    <row r="2595" spans="1:12" ht="21.95" customHeight="1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 ht="21.95" customHeight="1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 ht="21.95" customHeight="1" x14ac:dyDescent="0.25">
      <c r="A2597" s="1"/>
      <c r="B2597" s="103"/>
      <c r="C2597" s="103"/>
      <c r="D2597" s="103"/>
      <c r="E2597" s="103"/>
      <c r="F2597" s="103"/>
      <c r="G2597" s="103"/>
      <c r="H2597" s="103"/>
      <c r="I2597" s="103"/>
      <c r="J2597" s="103"/>
      <c r="K2597" s="103"/>
      <c r="L2597" s="1"/>
    </row>
    <row r="2598" spans="1:12" ht="21.95" customHeight="1" x14ac:dyDescent="0.25">
      <c r="A2598" s="1"/>
      <c r="K2598" s="103"/>
      <c r="L2598" s="1"/>
    </row>
    <row r="2599" spans="1:12" ht="21.95" customHeight="1" x14ac:dyDescent="0.25">
      <c r="A2599" s="1"/>
      <c r="B2599" s="95" t="s">
        <v>77</v>
      </c>
      <c r="H2599" s="26" t="s">
        <v>96</v>
      </c>
      <c r="I2599" s="95"/>
      <c r="J2599" s="92"/>
      <c r="K2599" s="103"/>
      <c r="L2599" s="1"/>
    </row>
    <row r="2600" spans="1:12" ht="21.95" customHeight="1" x14ac:dyDescent="0.25">
      <c r="A2600" s="1"/>
      <c r="B2600" s="99" t="s">
        <v>27</v>
      </c>
      <c r="C2600" s="57"/>
      <c r="H2600" s="28" t="s">
        <v>100</v>
      </c>
      <c r="K2600" s="103"/>
    </row>
    <row r="2610" spans="1:12" ht="21.95" customHeight="1" x14ac:dyDescent="0.25">
      <c r="A2610" s="3" t="s">
        <v>22</v>
      </c>
    </row>
    <row r="2611" spans="1:12" ht="21.95" customHeight="1" x14ac:dyDescent="0.2">
      <c r="A2611" s="122" t="s">
        <v>20</v>
      </c>
    </row>
    <row r="2612" spans="1:12" ht="21.95" customHeight="1" x14ac:dyDescent="0.2">
      <c r="A2612" s="122" t="s">
        <v>21</v>
      </c>
    </row>
    <row r="2616" spans="1:12" ht="21.95" customHeight="1" x14ac:dyDescent="0.3">
      <c r="A2616" s="276" t="s">
        <v>6</v>
      </c>
      <c r="B2616" s="276"/>
      <c r="C2616" s="276"/>
      <c r="D2616" s="276"/>
      <c r="E2616" s="276"/>
      <c r="F2616" s="276"/>
      <c r="G2616" s="276"/>
      <c r="H2616" s="276"/>
      <c r="I2616" s="276"/>
      <c r="J2616" s="276"/>
      <c r="K2616" s="276"/>
      <c r="L2616" s="276"/>
    </row>
    <row r="2617" spans="1:12" ht="21.95" customHeight="1" x14ac:dyDescent="0.3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</row>
    <row r="2618" spans="1:12" ht="21.95" customHeight="1" x14ac:dyDescent="0.3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</row>
    <row r="2619" spans="1:12" ht="21.95" customHeight="1" x14ac:dyDescent="0.25">
      <c r="A2619" s="1"/>
      <c r="B2619" s="1"/>
    </row>
    <row r="2620" spans="1:12" ht="21.95" customHeight="1" x14ac:dyDescent="0.25">
      <c r="A2620" s="1" t="s">
        <v>7</v>
      </c>
      <c r="B2620" s="1"/>
    </row>
    <row r="2621" spans="1:12" ht="21.95" customHeight="1" x14ac:dyDescent="0.25">
      <c r="A2621" s="1"/>
      <c r="B2621" s="1"/>
    </row>
    <row r="2622" spans="1:12" ht="21.95" customHeight="1" x14ac:dyDescent="0.25">
      <c r="A2622" s="1" t="s">
        <v>8</v>
      </c>
      <c r="C2622" s="9" t="s">
        <v>1</v>
      </c>
      <c r="D2622" s="92" t="s">
        <v>77</v>
      </c>
      <c r="E2622" s="76"/>
      <c r="F2622" s="76"/>
      <c r="G2622" s="76"/>
      <c r="H2622" s="76"/>
    </row>
    <row r="2623" spans="1:12" ht="21.95" customHeight="1" x14ac:dyDescent="0.25">
      <c r="A2623" s="1" t="s">
        <v>9</v>
      </c>
      <c r="C2623" s="9" t="s">
        <v>1</v>
      </c>
      <c r="D2623" s="146" t="s">
        <v>201</v>
      </c>
      <c r="E2623" s="76"/>
      <c r="F2623" s="76"/>
      <c r="G2623" s="76"/>
      <c r="H2623" s="76"/>
    </row>
    <row r="2624" spans="1:12" ht="21.95" customHeight="1" x14ac:dyDescent="0.2">
      <c r="A2624" s="50" t="s">
        <v>10</v>
      </c>
      <c r="B2624" s="76"/>
      <c r="C2624" s="91" t="s">
        <v>1</v>
      </c>
      <c r="D2624" s="4" t="s">
        <v>265</v>
      </c>
      <c r="E2624" s="76"/>
      <c r="F2624" s="76"/>
      <c r="G2624" s="76"/>
      <c r="H2624" s="76"/>
      <c r="I2624" s="76"/>
      <c r="J2624" s="76"/>
      <c r="K2624" s="76"/>
      <c r="L2624" s="76"/>
    </row>
    <row r="2625" spans="1:12" ht="21.95" customHeight="1" x14ac:dyDescent="0.25">
      <c r="A2625" s="1"/>
      <c r="B2625" s="1"/>
      <c r="D2625" s="1"/>
    </row>
    <row r="2626" spans="1:12" ht="21.95" customHeight="1" x14ac:dyDescent="0.2">
      <c r="A2626" s="277" t="s">
        <v>482</v>
      </c>
      <c r="B2626" s="277"/>
      <c r="C2626" s="277"/>
      <c r="D2626" s="277"/>
      <c r="E2626" s="277"/>
      <c r="F2626" s="277"/>
      <c r="G2626" s="277"/>
      <c r="H2626" s="277"/>
      <c r="I2626" s="277"/>
      <c r="J2626" s="277"/>
      <c r="K2626" s="277"/>
      <c r="L2626" s="277"/>
    </row>
    <row r="2627" spans="1:12" ht="21.95" customHeight="1" x14ac:dyDescent="0.25">
      <c r="A2627" s="1"/>
      <c r="B2627" s="1"/>
    </row>
    <row r="2628" spans="1:12" ht="21.95" customHeight="1" thickBot="1" x14ac:dyDescent="0.25">
      <c r="A2628" s="10" t="s">
        <v>0</v>
      </c>
      <c r="B2628" s="278" t="s">
        <v>91</v>
      </c>
      <c r="C2628" s="278"/>
      <c r="D2628" s="278"/>
      <c r="E2628" s="278"/>
      <c r="F2628" s="278"/>
      <c r="G2628" s="278"/>
      <c r="H2628" s="278"/>
      <c r="I2628" s="278"/>
      <c r="J2628" s="278"/>
      <c r="K2628" s="278"/>
      <c r="L2628" s="278"/>
    </row>
    <row r="2629" spans="1:12" ht="21.95" customHeight="1" thickTop="1" x14ac:dyDescent="0.25">
      <c r="A2629" s="1"/>
      <c r="B2629" s="11" t="s">
        <v>3</v>
      </c>
      <c r="C2629" s="12" t="s">
        <v>4</v>
      </c>
      <c r="D2629" s="13"/>
      <c r="E2629" s="13"/>
      <c r="F2629" s="13"/>
      <c r="G2629" s="13"/>
      <c r="H2629" s="14"/>
      <c r="I2629" s="15" t="s">
        <v>5</v>
      </c>
      <c r="J2629" s="12" t="s">
        <v>17</v>
      </c>
      <c r="K2629" s="13"/>
      <c r="L2629" s="14"/>
    </row>
    <row r="2630" spans="1:12" ht="21.95" customHeight="1" x14ac:dyDescent="0.2">
      <c r="B2630" s="96">
        <v>1</v>
      </c>
      <c r="C2630" s="140" t="s">
        <v>470</v>
      </c>
      <c r="D2630" s="76"/>
      <c r="E2630" s="131"/>
      <c r="F2630" s="167"/>
      <c r="G2630" s="167"/>
      <c r="H2630" s="166"/>
      <c r="I2630" s="56">
        <v>250000</v>
      </c>
      <c r="J2630" s="76"/>
      <c r="L2630" s="17"/>
    </row>
    <row r="2631" spans="1:12" ht="21.95" customHeight="1" x14ac:dyDescent="0.2">
      <c r="B2631" s="96"/>
      <c r="C2631" s="313"/>
      <c r="D2631" s="314"/>
      <c r="E2631" s="314"/>
      <c r="F2631" s="314"/>
      <c r="G2631" s="314"/>
      <c r="H2631" s="315"/>
      <c r="I2631" s="56"/>
      <c r="L2631" s="17"/>
    </row>
    <row r="2632" spans="1:12" ht="21.95" customHeight="1" x14ac:dyDescent="0.25">
      <c r="A2632" s="1"/>
      <c r="B2632" s="39"/>
      <c r="C2632" s="1"/>
      <c r="D2632" s="1"/>
      <c r="E2632" s="1"/>
      <c r="F2632" s="40" t="s">
        <v>5</v>
      </c>
      <c r="G2632" s="40"/>
      <c r="H2632" s="1"/>
      <c r="I2632" s="41">
        <f>I2630</f>
        <v>250000</v>
      </c>
      <c r="J2632" s="1"/>
      <c r="K2632" s="1"/>
      <c r="L2632" s="42"/>
    </row>
    <row r="2633" spans="1:12" ht="21.95" customHeight="1" thickBot="1" x14ac:dyDescent="0.3">
      <c r="A2633" s="1"/>
      <c r="B2633" s="43"/>
      <c r="C2633" s="44"/>
      <c r="D2633" s="44"/>
      <c r="E2633" s="44"/>
      <c r="F2633" s="45"/>
      <c r="G2633" s="45"/>
      <c r="H2633" s="44"/>
      <c r="I2633" s="46"/>
      <c r="J2633" s="44"/>
      <c r="K2633" s="44"/>
      <c r="L2633" s="47"/>
    </row>
    <row r="2634" spans="1:12" ht="21.95" customHeight="1" thickTop="1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</row>
    <row r="2635" spans="1:12" ht="21.95" customHeight="1" x14ac:dyDescent="0.2">
      <c r="A2635" s="10" t="s">
        <v>2</v>
      </c>
      <c r="B2635" s="279" t="s">
        <v>11</v>
      </c>
      <c r="C2635" s="279"/>
      <c r="D2635" s="279"/>
      <c r="E2635" s="279"/>
      <c r="F2635" s="279"/>
      <c r="G2635" s="279"/>
      <c r="H2635" s="279"/>
      <c r="I2635" s="279"/>
      <c r="J2635" s="279"/>
      <c r="K2635" s="279"/>
      <c r="L2635" s="279"/>
    </row>
    <row r="2636" spans="1:12" ht="21.95" customHeight="1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</row>
    <row r="2637" spans="1:12" ht="21.95" customHeight="1" x14ac:dyDescent="0.2">
      <c r="A2637" s="280" t="s">
        <v>12</v>
      </c>
      <c r="B2637" s="280"/>
      <c r="C2637" s="280"/>
      <c r="D2637" s="280"/>
      <c r="E2637" s="280"/>
      <c r="F2637" s="280"/>
      <c r="G2637" s="280"/>
      <c r="H2637" s="280"/>
      <c r="I2637" s="280"/>
      <c r="J2637" s="280"/>
      <c r="K2637" s="280"/>
      <c r="L2637" s="280"/>
    </row>
    <row r="2638" spans="1:12" ht="21.95" customHeight="1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</row>
    <row r="2639" spans="1:12" ht="21.95" customHeight="1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</row>
    <row r="2640" spans="1:12" ht="21.95" customHeight="1" x14ac:dyDescent="0.25">
      <c r="A2640" s="1"/>
      <c r="B2640" s="1"/>
      <c r="C2640" s="1"/>
      <c r="D2640" s="1"/>
      <c r="E2640" s="1"/>
      <c r="F2640" s="1"/>
      <c r="G2640" s="1"/>
      <c r="H2640" s="4" t="s">
        <v>199</v>
      </c>
      <c r="J2640" s="286" t="s">
        <v>471</v>
      </c>
      <c r="K2640" s="286"/>
      <c r="L2640" s="286"/>
    </row>
    <row r="2641" spans="1:12" ht="21.95" customHeight="1" x14ac:dyDescent="0.25">
      <c r="A2641" s="1"/>
      <c r="B2641" s="1" t="s">
        <v>15</v>
      </c>
      <c r="C2641" s="1"/>
      <c r="D2641" s="1"/>
      <c r="E2641" s="1"/>
      <c r="F2641" s="1"/>
      <c r="G2641" s="1"/>
      <c r="H2641" s="4" t="s">
        <v>13</v>
      </c>
    </row>
    <row r="2642" spans="1:12" ht="21.95" customHeight="1" x14ac:dyDescent="0.25">
      <c r="A2642" s="1"/>
      <c r="B2642" s="1" t="s">
        <v>18</v>
      </c>
      <c r="C2642" s="1"/>
      <c r="D2642" s="1"/>
      <c r="E2642" s="1"/>
      <c r="F2642" s="1"/>
      <c r="G2642" s="1"/>
      <c r="H2642" s="4" t="s">
        <v>14</v>
      </c>
    </row>
    <row r="2643" spans="1:12" ht="21.95" customHeight="1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</row>
    <row r="2644" spans="1:12" ht="21.95" customHeight="1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</row>
    <row r="2645" spans="1:12" ht="21.95" customHeight="1" x14ac:dyDescent="0.25">
      <c r="A2645" s="1"/>
      <c r="B2645" s="103"/>
      <c r="C2645" s="103"/>
      <c r="D2645" s="103"/>
      <c r="E2645" s="103"/>
      <c r="F2645" s="103"/>
      <c r="G2645" s="103"/>
      <c r="H2645" s="103"/>
      <c r="I2645" s="103"/>
      <c r="J2645" s="103"/>
      <c r="K2645" s="103"/>
      <c r="L2645" s="1"/>
    </row>
    <row r="2646" spans="1:12" ht="21.95" customHeight="1" x14ac:dyDescent="0.25">
      <c r="A2646" s="1"/>
      <c r="K2646" s="103"/>
      <c r="L2646" s="1"/>
    </row>
    <row r="2647" spans="1:12" ht="21.95" customHeight="1" x14ac:dyDescent="0.25">
      <c r="A2647" s="1"/>
      <c r="B2647" s="95" t="s">
        <v>77</v>
      </c>
      <c r="H2647" s="95" t="s">
        <v>77</v>
      </c>
      <c r="I2647" s="95"/>
      <c r="J2647" s="92"/>
      <c r="K2647" s="103"/>
      <c r="L2647" s="1"/>
    </row>
    <row r="2648" spans="1:12" ht="21.95" customHeight="1" x14ac:dyDescent="0.25">
      <c r="A2648" s="1"/>
      <c r="B2648" s="99" t="s">
        <v>27</v>
      </c>
      <c r="C2648" s="57"/>
      <c r="H2648" s="99" t="s">
        <v>27</v>
      </c>
      <c r="K2648" s="103"/>
    </row>
    <row r="2667" spans="1:1" ht="21.95" customHeight="1" x14ac:dyDescent="0.25">
      <c r="A2667" s="3" t="s">
        <v>22</v>
      </c>
    </row>
    <row r="2668" spans="1:1" ht="21.95" customHeight="1" x14ac:dyDescent="0.2">
      <c r="A2668" s="122" t="s">
        <v>20</v>
      </c>
    </row>
    <row r="2669" spans="1:1" ht="21.95" customHeight="1" x14ac:dyDescent="0.2">
      <c r="A2669" s="122" t="s">
        <v>21</v>
      </c>
    </row>
    <row r="2673" spans="1:12" ht="21.95" customHeight="1" x14ac:dyDescent="0.3">
      <c r="A2673" s="276" t="s">
        <v>6</v>
      </c>
      <c r="B2673" s="276"/>
      <c r="C2673" s="276"/>
      <c r="D2673" s="276"/>
      <c r="E2673" s="276"/>
      <c r="F2673" s="276"/>
      <c r="G2673" s="276"/>
      <c r="H2673" s="276"/>
      <c r="I2673" s="276"/>
      <c r="J2673" s="276"/>
      <c r="K2673" s="276"/>
      <c r="L2673" s="276"/>
    </row>
    <row r="2674" spans="1:12" ht="21.95" customHeight="1" x14ac:dyDescent="0.3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</row>
    <row r="2675" spans="1:12" ht="21.95" customHeight="1" x14ac:dyDescent="0.3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</row>
    <row r="2676" spans="1:12" ht="21.95" customHeight="1" x14ac:dyDescent="0.25">
      <c r="A2676" s="1"/>
      <c r="B2676" s="1"/>
    </row>
    <row r="2677" spans="1:12" ht="21.95" customHeight="1" x14ac:dyDescent="0.25">
      <c r="A2677" s="1" t="s">
        <v>7</v>
      </c>
      <c r="B2677" s="1"/>
    </row>
    <row r="2678" spans="1:12" ht="21.95" customHeight="1" x14ac:dyDescent="0.25">
      <c r="A2678" s="1"/>
      <c r="B2678" s="1"/>
    </row>
    <row r="2679" spans="1:12" ht="21.95" customHeight="1" x14ac:dyDescent="0.25">
      <c r="A2679" s="1" t="s">
        <v>8</v>
      </c>
      <c r="C2679" s="9" t="s">
        <v>1</v>
      </c>
      <c r="D2679" s="33" t="s">
        <v>78</v>
      </c>
      <c r="E2679" s="76"/>
      <c r="F2679" s="76"/>
      <c r="G2679" s="76"/>
      <c r="H2679" s="76"/>
    </row>
    <row r="2680" spans="1:12" ht="21.95" customHeight="1" x14ac:dyDescent="0.25">
      <c r="A2680" s="1" t="s">
        <v>9</v>
      </c>
      <c r="C2680" s="9" t="s">
        <v>1</v>
      </c>
      <c r="D2680" s="27" t="s">
        <v>234</v>
      </c>
      <c r="E2680" s="76"/>
      <c r="F2680" s="76"/>
      <c r="G2680" s="76"/>
      <c r="H2680" s="76"/>
    </row>
    <row r="2681" spans="1:12" ht="21.95" customHeight="1" x14ac:dyDescent="0.2">
      <c r="A2681" s="50" t="s">
        <v>10</v>
      </c>
      <c r="B2681" s="76"/>
      <c r="C2681" s="91" t="s">
        <v>1</v>
      </c>
      <c r="D2681" s="50" t="s">
        <v>235</v>
      </c>
      <c r="E2681" s="76"/>
      <c r="F2681" s="76"/>
      <c r="G2681" s="76"/>
      <c r="H2681" s="76"/>
      <c r="I2681" s="76"/>
      <c r="J2681" s="76"/>
      <c r="K2681" s="76"/>
      <c r="L2681" s="76"/>
    </row>
    <row r="2682" spans="1:12" ht="21.95" customHeight="1" x14ac:dyDescent="0.25">
      <c r="A2682" s="1"/>
      <c r="B2682" s="1"/>
      <c r="D2682" s="1"/>
    </row>
    <row r="2683" spans="1:12" ht="21.95" customHeight="1" x14ac:dyDescent="0.2">
      <c r="A2683" s="277" t="s">
        <v>482</v>
      </c>
      <c r="B2683" s="277"/>
      <c r="C2683" s="277"/>
      <c r="D2683" s="277"/>
      <c r="E2683" s="277"/>
      <c r="F2683" s="277"/>
      <c r="G2683" s="277"/>
      <c r="H2683" s="277"/>
      <c r="I2683" s="277"/>
      <c r="J2683" s="277"/>
      <c r="K2683" s="277"/>
      <c r="L2683" s="277"/>
    </row>
    <row r="2684" spans="1:12" ht="21.95" customHeight="1" x14ac:dyDescent="0.25">
      <c r="A2684" s="1"/>
      <c r="B2684" s="1"/>
    </row>
    <row r="2685" spans="1:12" ht="21.95" customHeight="1" thickBot="1" x14ac:dyDescent="0.25">
      <c r="A2685" s="10" t="s">
        <v>0</v>
      </c>
      <c r="B2685" s="278" t="s">
        <v>91</v>
      </c>
      <c r="C2685" s="278"/>
      <c r="D2685" s="278"/>
      <c r="E2685" s="278"/>
      <c r="F2685" s="278"/>
      <c r="G2685" s="278"/>
      <c r="H2685" s="278"/>
      <c r="I2685" s="278"/>
      <c r="J2685" s="278"/>
      <c r="K2685" s="278"/>
      <c r="L2685" s="278"/>
    </row>
    <row r="2686" spans="1:12" ht="21.95" customHeight="1" thickTop="1" x14ac:dyDescent="0.25">
      <c r="A2686" s="1"/>
      <c r="B2686" s="11" t="s">
        <v>3</v>
      </c>
      <c r="C2686" s="12" t="s">
        <v>4</v>
      </c>
      <c r="D2686" s="13"/>
      <c r="E2686" s="13"/>
      <c r="F2686" s="13"/>
      <c r="G2686" s="13"/>
      <c r="H2686" s="14"/>
      <c r="I2686" s="15" t="s">
        <v>5</v>
      </c>
      <c r="J2686" s="12" t="s">
        <v>17</v>
      </c>
      <c r="K2686" s="13"/>
      <c r="L2686" s="14"/>
    </row>
    <row r="2687" spans="1:12" ht="21.95" customHeight="1" x14ac:dyDescent="0.2">
      <c r="B2687" s="96">
        <v>1</v>
      </c>
      <c r="C2687" s="140" t="s">
        <v>470</v>
      </c>
      <c r="D2687" s="76"/>
      <c r="E2687" s="131"/>
      <c r="F2687" s="167"/>
      <c r="G2687" s="167"/>
      <c r="H2687" s="166"/>
      <c r="I2687" s="56">
        <v>250000</v>
      </c>
      <c r="J2687" s="76"/>
      <c r="L2687" s="17"/>
    </row>
    <row r="2688" spans="1:12" ht="21.95" customHeight="1" x14ac:dyDescent="0.2">
      <c r="B2688" s="96"/>
      <c r="C2688" s="313"/>
      <c r="D2688" s="314"/>
      <c r="E2688" s="314"/>
      <c r="F2688" s="314"/>
      <c r="G2688" s="314"/>
      <c r="H2688" s="315"/>
      <c r="I2688" s="56"/>
      <c r="L2688" s="17"/>
    </row>
    <row r="2689" spans="1:12" ht="21.95" customHeight="1" x14ac:dyDescent="0.25">
      <c r="A2689" s="1"/>
      <c r="B2689" s="39"/>
      <c r="C2689" s="1"/>
      <c r="D2689" s="1"/>
      <c r="E2689" s="1"/>
      <c r="F2689" s="40" t="s">
        <v>5</v>
      </c>
      <c r="G2689" s="40"/>
      <c r="H2689" s="1"/>
      <c r="I2689" s="41">
        <f>I2687</f>
        <v>250000</v>
      </c>
      <c r="J2689" s="1"/>
      <c r="K2689" s="1"/>
      <c r="L2689" s="42"/>
    </row>
    <row r="2690" spans="1:12" ht="21.95" customHeight="1" thickBot="1" x14ac:dyDescent="0.3">
      <c r="A2690" s="1"/>
      <c r="B2690" s="43"/>
      <c r="C2690" s="44"/>
      <c r="D2690" s="44"/>
      <c r="E2690" s="44"/>
      <c r="F2690" s="45"/>
      <c r="G2690" s="45"/>
      <c r="H2690" s="44"/>
      <c r="I2690" s="46"/>
      <c r="J2690" s="44"/>
      <c r="K2690" s="44"/>
      <c r="L2690" s="47"/>
    </row>
    <row r="2691" spans="1:12" ht="21.95" customHeight="1" thickTop="1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</row>
    <row r="2692" spans="1:12" ht="21.95" customHeight="1" x14ac:dyDescent="0.2">
      <c r="A2692" s="10" t="s">
        <v>2</v>
      </c>
      <c r="B2692" s="279" t="s">
        <v>11</v>
      </c>
      <c r="C2692" s="279"/>
      <c r="D2692" s="279"/>
      <c r="E2692" s="279"/>
      <c r="F2692" s="279"/>
      <c r="G2692" s="279"/>
      <c r="H2692" s="279"/>
      <c r="I2692" s="279"/>
      <c r="J2692" s="279"/>
      <c r="K2692" s="279"/>
      <c r="L2692" s="279"/>
    </row>
    <row r="2693" spans="1:12" ht="21.95" customHeight="1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</row>
    <row r="2694" spans="1:12" ht="21.95" customHeight="1" x14ac:dyDescent="0.2">
      <c r="A2694" s="280" t="s">
        <v>12</v>
      </c>
      <c r="B2694" s="280"/>
      <c r="C2694" s="280"/>
      <c r="D2694" s="280"/>
      <c r="E2694" s="280"/>
      <c r="F2694" s="280"/>
      <c r="G2694" s="280"/>
      <c r="H2694" s="280"/>
      <c r="I2694" s="280"/>
      <c r="J2694" s="280"/>
      <c r="K2694" s="280"/>
      <c r="L2694" s="280"/>
    </row>
    <row r="2695" spans="1:12" ht="21.95" customHeight="1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 spans="1:12" ht="21.95" customHeight="1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</row>
    <row r="2697" spans="1:12" ht="21.95" customHeight="1" x14ac:dyDescent="0.25">
      <c r="A2697" s="1"/>
      <c r="B2697" s="1"/>
      <c r="C2697" s="1"/>
      <c r="D2697" s="1"/>
      <c r="E2697" s="1"/>
      <c r="F2697" s="1"/>
      <c r="G2697" s="1"/>
      <c r="H2697" s="4" t="s">
        <v>199</v>
      </c>
      <c r="J2697" s="286" t="s">
        <v>471</v>
      </c>
      <c r="K2697" s="286"/>
      <c r="L2697" s="286"/>
    </row>
    <row r="2698" spans="1:12" ht="21.95" customHeight="1" x14ac:dyDescent="0.25">
      <c r="A2698" s="1"/>
      <c r="B2698" s="1" t="s">
        <v>15</v>
      </c>
      <c r="C2698" s="1"/>
      <c r="D2698" s="1"/>
      <c r="E2698" s="1"/>
      <c r="F2698" s="1"/>
      <c r="G2698" s="1"/>
      <c r="H2698" s="4" t="s">
        <v>13</v>
      </c>
    </row>
    <row r="2699" spans="1:12" ht="21.95" customHeight="1" x14ac:dyDescent="0.25">
      <c r="A2699" s="1"/>
      <c r="B2699" s="1" t="s">
        <v>18</v>
      </c>
      <c r="C2699" s="1"/>
      <c r="D2699" s="1"/>
      <c r="E2699" s="1"/>
      <c r="F2699" s="1"/>
      <c r="G2699" s="1"/>
      <c r="H2699" s="4" t="s">
        <v>14</v>
      </c>
    </row>
    <row r="2700" spans="1:12" ht="21.95" customHeight="1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</row>
    <row r="2701" spans="1:12" ht="21.95" customHeight="1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</row>
    <row r="2702" spans="1:12" ht="21.95" customHeight="1" x14ac:dyDescent="0.25">
      <c r="A2702" s="1"/>
      <c r="B2702" s="103"/>
      <c r="C2702" s="103"/>
      <c r="D2702" s="103"/>
      <c r="E2702" s="103"/>
      <c r="F2702" s="103"/>
      <c r="G2702" s="103"/>
      <c r="H2702" s="103"/>
      <c r="I2702" s="103"/>
      <c r="J2702" s="103"/>
      <c r="K2702" s="103"/>
      <c r="L2702" s="1"/>
    </row>
    <row r="2703" spans="1:12" ht="21.95" customHeight="1" x14ac:dyDescent="0.25">
      <c r="A2703" s="1"/>
      <c r="K2703" s="103"/>
      <c r="L2703" s="1"/>
    </row>
    <row r="2704" spans="1:12" ht="21.95" customHeight="1" x14ac:dyDescent="0.25">
      <c r="A2704" s="1"/>
      <c r="B2704" s="95" t="s">
        <v>77</v>
      </c>
      <c r="H2704" s="26" t="s">
        <v>78</v>
      </c>
      <c r="I2704" s="95"/>
      <c r="J2704" s="92"/>
      <c r="K2704" s="103"/>
      <c r="L2704" s="1"/>
    </row>
    <row r="2705" spans="1:12" ht="21.95" customHeight="1" x14ac:dyDescent="0.25">
      <c r="A2705" s="1"/>
      <c r="B2705" s="99" t="s">
        <v>27</v>
      </c>
      <c r="C2705" s="57"/>
      <c r="H2705" s="28" t="s">
        <v>79</v>
      </c>
      <c r="K2705" s="103"/>
    </row>
    <row r="2709" spans="1:12" ht="21.95" customHeight="1" x14ac:dyDescent="0.25">
      <c r="A2709" s="3" t="s">
        <v>22</v>
      </c>
    </row>
    <row r="2710" spans="1:12" ht="21.95" customHeight="1" x14ac:dyDescent="0.2">
      <c r="A2710" s="122" t="s">
        <v>20</v>
      </c>
    </row>
    <row r="2711" spans="1:12" ht="21.95" customHeight="1" x14ac:dyDescent="0.2">
      <c r="A2711" s="122" t="s">
        <v>21</v>
      </c>
    </row>
    <row r="2715" spans="1:12" ht="21.95" customHeight="1" x14ac:dyDescent="0.3">
      <c r="A2715" s="276" t="s">
        <v>6</v>
      </c>
      <c r="B2715" s="276"/>
      <c r="C2715" s="276"/>
      <c r="D2715" s="276"/>
      <c r="E2715" s="276"/>
      <c r="F2715" s="276"/>
      <c r="G2715" s="276"/>
      <c r="H2715" s="276"/>
      <c r="I2715" s="276"/>
      <c r="J2715" s="276"/>
      <c r="K2715" s="276"/>
      <c r="L2715" s="276"/>
    </row>
    <row r="2716" spans="1:12" ht="21.95" customHeight="1" x14ac:dyDescent="0.3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</row>
    <row r="2717" spans="1:12" ht="21.95" customHeight="1" x14ac:dyDescent="0.3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</row>
    <row r="2718" spans="1:12" ht="21.95" customHeight="1" x14ac:dyDescent="0.25">
      <c r="A2718" s="1"/>
      <c r="B2718" s="1"/>
    </row>
    <row r="2719" spans="1:12" ht="21.95" customHeight="1" x14ac:dyDescent="0.25">
      <c r="A2719" s="1" t="s">
        <v>7</v>
      </c>
      <c r="B2719" s="1"/>
    </row>
    <row r="2720" spans="1:12" ht="21.95" customHeight="1" x14ac:dyDescent="0.25">
      <c r="A2720" s="1"/>
      <c r="B2720" s="1"/>
    </row>
    <row r="2721" spans="1:12" ht="21.95" customHeight="1" x14ac:dyDescent="0.25">
      <c r="A2721" s="1" t="s">
        <v>8</v>
      </c>
      <c r="C2721" s="9" t="s">
        <v>1</v>
      </c>
      <c r="D2721" s="92" t="s">
        <v>555</v>
      </c>
      <c r="E2721" s="76"/>
      <c r="F2721" s="76"/>
      <c r="G2721" s="76"/>
      <c r="H2721" s="76"/>
    </row>
    <row r="2722" spans="1:12" ht="21.95" customHeight="1" x14ac:dyDescent="0.25">
      <c r="A2722" s="1" t="s">
        <v>9</v>
      </c>
      <c r="C2722" s="9" t="s">
        <v>1</v>
      </c>
      <c r="D2722" s="57" t="s">
        <v>236</v>
      </c>
      <c r="E2722" s="76"/>
      <c r="F2722" s="76"/>
      <c r="G2722" s="76"/>
      <c r="H2722" s="76"/>
    </row>
    <row r="2723" spans="1:12" ht="21.95" customHeight="1" x14ac:dyDescent="0.2">
      <c r="A2723" s="50" t="s">
        <v>10</v>
      </c>
      <c r="B2723" s="76"/>
      <c r="C2723" s="91" t="s">
        <v>1</v>
      </c>
      <c r="D2723" s="50" t="s">
        <v>235</v>
      </c>
      <c r="E2723" s="76"/>
      <c r="F2723" s="76"/>
      <c r="G2723" s="76"/>
      <c r="H2723" s="76"/>
      <c r="I2723" s="76"/>
      <c r="J2723" s="76"/>
      <c r="K2723" s="76"/>
      <c r="L2723" s="76"/>
    </row>
    <row r="2724" spans="1:12" ht="21.95" customHeight="1" x14ac:dyDescent="0.25">
      <c r="A2724" s="1"/>
      <c r="B2724" s="1"/>
      <c r="D2724" s="1"/>
    </row>
    <row r="2725" spans="1:12" ht="21.95" customHeight="1" x14ac:dyDescent="0.2">
      <c r="A2725" s="277" t="s">
        <v>482</v>
      </c>
      <c r="B2725" s="277"/>
      <c r="C2725" s="277"/>
      <c r="D2725" s="277"/>
      <c r="E2725" s="277"/>
      <c r="F2725" s="277"/>
      <c r="G2725" s="277"/>
      <c r="H2725" s="277"/>
      <c r="I2725" s="277"/>
      <c r="J2725" s="277"/>
      <c r="K2725" s="277"/>
      <c r="L2725" s="277"/>
    </row>
    <row r="2726" spans="1:12" ht="21.95" customHeight="1" x14ac:dyDescent="0.25">
      <c r="A2726" s="1"/>
      <c r="B2726" s="1"/>
    </row>
    <row r="2727" spans="1:12" ht="21.95" customHeight="1" thickBot="1" x14ac:dyDescent="0.25">
      <c r="A2727" s="10" t="s">
        <v>0</v>
      </c>
      <c r="B2727" s="278" t="s">
        <v>91</v>
      </c>
      <c r="C2727" s="278"/>
      <c r="D2727" s="278"/>
      <c r="E2727" s="278"/>
      <c r="F2727" s="278"/>
      <c r="G2727" s="278"/>
      <c r="H2727" s="278"/>
      <c r="I2727" s="278"/>
      <c r="J2727" s="278"/>
      <c r="K2727" s="278"/>
      <c r="L2727" s="278"/>
    </row>
    <row r="2728" spans="1:12" ht="21.95" customHeight="1" thickTop="1" x14ac:dyDescent="0.25">
      <c r="A2728" s="1"/>
      <c r="B2728" s="11" t="s">
        <v>3</v>
      </c>
      <c r="C2728" s="12" t="s">
        <v>4</v>
      </c>
      <c r="D2728" s="13"/>
      <c r="E2728" s="13"/>
      <c r="F2728" s="13"/>
      <c r="G2728" s="13"/>
      <c r="H2728" s="14"/>
      <c r="I2728" s="15" t="s">
        <v>5</v>
      </c>
      <c r="J2728" s="12" t="s">
        <v>17</v>
      </c>
      <c r="K2728" s="13"/>
      <c r="L2728" s="14"/>
    </row>
    <row r="2729" spans="1:12" ht="21.95" customHeight="1" x14ac:dyDescent="0.2">
      <c r="B2729" s="96">
        <v>1</v>
      </c>
      <c r="C2729" s="140" t="s">
        <v>470</v>
      </c>
      <c r="D2729" s="76"/>
      <c r="E2729" s="131"/>
      <c r="F2729" s="167"/>
      <c r="G2729" s="167"/>
      <c r="H2729" s="166"/>
      <c r="I2729" s="56">
        <v>250000</v>
      </c>
      <c r="J2729" s="76"/>
      <c r="L2729" s="17"/>
    </row>
    <row r="2730" spans="1:12" ht="21.95" customHeight="1" x14ac:dyDescent="0.2">
      <c r="B2730" s="96"/>
      <c r="C2730" s="313"/>
      <c r="D2730" s="314"/>
      <c r="E2730" s="314"/>
      <c r="F2730" s="314"/>
      <c r="G2730" s="314"/>
      <c r="H2730" s="315"/>
      <c r="I2730" s="56"/>
      <c r="L2730" s="17"/>
    </row>
    <row r="2731" spans="1:12" ht="21.95" customHeight="1" x14ac:dyDescent="0.25">
      <c r="A2731" s="1"/>
      <c r="B2731" s="39"/>
      <c r="C2731" s="1"/>
      <c r="D2731" s="1"/>
      <c r="E2731" s="1"/>
      <c r="F2731" s="40" t="s">
        <v>5</v>
      </c>
      <c r="G2731" s="40"/>
      <c r="H2731" s="1"/>
      <c r="I2731" s="41">
        <f>I2729</f>
        <v>250000</v>
      </c>
      <c r="J2731" s="1"/>
      <c r="K2731" s="1"/>
      <c r="L2731" s="42"/>
    </row>
    <row r="2732" spans="1:12" ht="21.95" customHeight="1" thickBot="1" x14ac:dyDescent="0.3">
      <c r="A2732" s="1"/>
      <c r="B2732" s="43"/>
      <c r="C2732" s="44"/>
      <c r="D2732" s="44"/>
      <c r="E2732" s="44"/>
      <c r="F2732" s="45"/>
      <c r="G2732" s="45"/>
      <c r="H2732" s="44"/>
      <c r="I2732" s="46"/>
      <c r="J2732" s="44"/>
      <c r="K2732" s="44"/>
      <c r="L2732" s="47"/>
    </row>
    <row r="2733" spans="1:12" ht="21.95" customHeight="1" thickTop="1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ht="21.95" customHeight="1" x14ac:dyDescent="0.2">
      <c r="A2734" s="10" t="s">
        <v>2</v>
      </c>
      <c r="B2734" s="279" t="s">
        <v>11</v>
      </c>
      <c r="C2734" s="279"/>
      <c r="D2734" s="279"/>
      <c r="E2734" s="279"/>
      <c r="F2734" s="279"/>
      <c r="G2734" s="279"/>
      <c r="H2734" s="279"/>
      <c r="I2734" s="279"/>
      <c r="J2734" s="279"/>
      <c r="K2734" s="279"/>
      <c r="L2734" s="279"/>
    </row>
    <row r="2735" spans="1:12" ht="21.95" customHeight="1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ht="21.95" customHeight="1" x14ac:dyDescent="0.2">
      <c r="A2736" s="280" t="s">
        <v>12</v>
      </c>
      <c r="B2736" s="280"/>
      <c r="C2736" s="280"/>
      <c r="D2736" s="280"/>
      <c r="E2736" s="280"/>
      <c r="F2736" s="280"/>
      <c r="G2736" s="280"/>
      <c r="H2736" s="280"/>
      <c r="I2736" s="280"/>
      <c r="J2736" s="280"/>
      <c r="K2736" s="280"/>
      <c r="L2736" s="280"/>
    </row>
    <row r="2737" spans="1:12" ht="21.95" customHeight="1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ht="21.95" customHeight="1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 ht="21.95" customHeight="1" x14ac:dyDescent="0.25">
      <c r="A2739" s="1"/>
      <c r="B2739" s="1"/>
      <c r="C2739" s="1"/>
      <c r="D2739" s="1"/>
      <c r="E2739" s="1"/>
      <c r="F2739" s="1"/>
      <c r="G2739" s="1"/>
      <c r="H2739" s="4" t="s">
        <v>199</v>
      </c>
      <c r="J2739" s="286" t="s">
        <v>471</v>
      </c>
      <c r="K2739" s="286"/>
      <c r="L2739" s="286"/>
    </row>
    <row r="2740" spans="1:12" ht="21.95" customHeight="1" x14ac:dyDescent="0.25">
      <c r="A2740" s="1"/>
      <c r="B2740" s="1" t="s">
        <v>15</v>
      </c>
      <c r="C2740" s="1"/>
      <c r="D2740" s="1"/>
      <c r="E2740" s="1"/>
      <c r="F2740" s="1"/>
      <c r="G2740" s="1"/>
      <c r="H2740" s="4" t="s">
        <v>13</v>
      </c>
    </row>
    <row r="2741" spans="1:12" ht="21.95" customHeight="1" x14ac:dyDescent="0.25">
      <c r="A2741" s="1"/>
      <c r="B2741" s="1" t="s">
        <v>18</v>
      </c>
      <c r="C2741" s="1"/>
      <c r="D2741" s="1"/>
      <c r="E2741" s="1"/>
      <c r="F2741" s="1"/>
      <c r="G2741" s="1"/>
      <c r="H2741" s="4" t="s">
        <v>14</v>
      </c>
    </row>
    <row r="2742" spans="1:12" ht="21.95" customHeight="1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 ht="21.95" customHeight="1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 ht="21.95" customHeight="1" x14ac:dyDescent="0.25">
      <c r="A2744" s="1"/>
      <c r="B2744" s="103"/>
      <c r="C2744" s="103"/>
      <c r="D2744" s="103"/>
      <c r="E2744" s="103"/>
      <c r="F2744" s="103"/>
      <c r="G2744" s="103"/>
      <c r="H2744" s="103"/>
      <c r="I2744" s="103"/>
      <c r="J2744" s="103"/>
      <c r="K2744" s="103"/>
      <c r="L2744" s="1"/>
    </row>
    <row r="2745" spans="1:12" ht="21.95" customHeight="1" x14ac:dyDescent="0.25">
      <c r="A2745" s="1"/>
      <c r="K2745" s="103"/>
      <c r="L2745" s="1"/>
    </row>
    <row r="2746" spans="1:12" ht="21.95" customHeight="1" x14ac:dyDescent="0.25">
      <c r="A2746" s="1"/>
      <c r="B2746" s="95" t="s">
        <v>77</v>
      </c>
      <c r="H2746" s="26" t="s">
        <v>555</v>
      </c>
      <c r="I2746" s="95"/>
      <c r="J2746" s="92"/>
      <c r="K2746" s="103"/>
      <c r="L2746" s="1"/>
    </row>
    <row r="2747" spans="1:12" ht="21.95" customHeight="1" x14ac:dyDescent="0.25">
      <c r="A2747" s="1"/>
      <c r="B2747" s="99" t="s">
        <v>27</v>
      </c>
      <c r="C2747" s="57"/>
      <c r="H2747" s="28" t="s">
        <v>46</v>
      </c>
      <c r="K2747" s="103"/>
    </row>
    <row r="2761" spans="1:12" ht="21.95" customHeight="1" x14ac:dyDescent="0.25">
      <c r="A2761" s="3" t="s">
        <v>22</v>
      </c>
    </row>
    <row r="2762" spans="1:12" ht="21.95" customHeight="1" x14ac:dyDescent="0.2">
      <c r="A2762" s="122" t="s">
        <v>20</v>
      </c>
    </row>
    <row r="2763" spans="1:12" ht="21.95" customHeight="1" x14ac:dyDescent="0.2">
      <c r="A2763" s="122" t="s">
        <v>21</v>
      </c>
    </row>
    <row r="2765" spans="1:12" ht="9.75" customHeight="1" x14ac:dyDescent="0.2"/>
    <row r="2767" spans="1:12" ht="21.95" customHeight="1" x14ac:dyDescent="0.3">
      <c r="A2767" s="276" t="s">
        <v>6</v>
      </c>
      <c r="B2767" s="276"/>
      <c r="C2767" s="276"/>
      <c r="D2767" s="276"/>
      <c r="E2767" s="276"/>
      <c r="F2767" s="276"/>
      <c r="G2767" s="276"/>
      <c r="H2767" s="276"/>
      <c r="I2767" s="276"/>
      <c r="J2767" s="276"/>
      <c r="K2767" s="276"/>
      <c r="L2767" s="276"/>
    </row>
    <row r="2768" spans="1:12" ht="21.95" customHeight="1" x14ac:dyDescent="0.3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</row>
    <row r="2769" spans="1:12" ht="21.95" customHeight="1" x14ac:dyDescent="0.3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</row>
    <row r="2770" spans="1:12" ht="21.95" customHeight="1" x14ac:dyDescent="0.25">
      <c r="A2770" s="1"/>
      <c r="B2770" s="1"/>
    </row>
    <row r="2771" spans="1:12" ht="21.95" customHeight="1" x14ac:dyDescent="0.25">
      <c r="A2771" s="1" t="s">
        <v>7</v>
      </c>
      <c r="B2771" s="1"/>
    </row>
    <row r="2772" spans="1:12" ht="21.95" customHeight="1" x14ac:dyDescent="0.25">
      <c r="A2772" s="1"/>
      <c r="B2772" s="1"/>
    </row>
    <row r="2773" spans="1:12" ht="21.95" customHeight="1" x14ac:dyDescent="0.25">
      <c r="A2773" s="1" t="s">
        <v>8</v>
      </c>
      <c r="C2773" s="9" t="s">
        <v>1</v>
      </c>
      <c r="D2773" s="92" t="s">
        <v>555</v>
      </c>
      <c r="E2773" s="76"/>
      <c r="F2773" s="76"/>
      <c r="G2773" s="76"/>
      <c r="H2773" s="76"/>
    </row>
    <row r="2774" spans="1:12" ht="21.95" customHeight="1" x14ac:dyDescent="0.25">
      <c r="A2774" s="1" t="s">
        <v>9</v>
      </c>
      <c r="C2774" s="9" t="s">
        <v>1</v>
      </c>
      <c r="D2774" s="57" t="s">
        <v>236</v>
      </c>
      <c r="E2774" s="76"/>
      <c r="F2774" s="76"/>
      <c r="G2774" s="76"/>
      <c r="H2774" s="76"/>
    </row>
    <row r="2775" spans="1:12" ht="21.95" customHeight="1" x14ac:dyDescent="0.2">
      <c r="A2775" s="50" t="s">
        <v>10</v>
      </c>
      <c r="B2775" s="76"/>
      <c r="C2775" s="91" t="s">
        <v>1</v>
      </c>
      <c r="D2775" s="50" t="s">
        <v>235</v>
      </c>
      <c r="E2775" s="76"/>
      <c r="F2775" s="76"/>
      <c r="G2775" s="76"/>
      <c r="H2775" s="76"/>
      <c r="I2775" s="76"/>
      <c r="J2775" s="76"/>
      <c r="K2775" s="76"/>
      <c r="L2775" s="76"/>
    </row>
    <row r="2776" spans="1:12" ht="21.95" customHeight="1" x14ac:dyDescent="0.25">
      <c r="A2776" s="1"/>
      <c r="B2776" s="1"/>
      <c r="D2776" s="1"/>
    </row>
    <row r="2777" spans="1:12" ht="36" customHeight="1" x14ac:dyDescent="0.2">
      <c r="A2777" s="277" t="s">
        <v>483</v>
      </c>
      <c r="B2777" s="277"/>
      <c r="C2777" s="277"/>
      <c r="D2777" s="277"/>
      <c r="E2777" s="277"/>
      <c r="F2777" s="277"/>
      <c r="G2777" s="277"/>
      <c r="H2777" s="277"/>
      <c r="I2777" s="277"/>
      <c r="J2777" s="277"/>
      <c r="K2777" s="277"/>
      <c r="L2777" s="277"/>
    </row>
    <row r="2778" spans="1:12" ht="21.95" customHeight="1" x14ac:dyDescent="0.25">
      <c r="A2778" s="1"/>
      <c r="B2778" s="1"/>
    </row>
    <row r="2779" spans="1:12" ht="41.25" customHeight="1" thickBot="1" x14ac:dyDescent="0.25">
      <c r="A2779" s="10" t="s">
        <v>0</v>
      </c>
      <c r="B2779" s="278" t="s">
        <v>91</v>
      </c>
      <c r="C2779" s="278"/>
      <c r="D2779" s="278"/>
      <c r="E2779" s="278"/>
      <c r="F2779" s="278"/>
      <c r="G2779" s="278"/>
      <c r="H2779" s="278"/>
      <c r="I2779" s="278"/>
      <c r="J2779" s="278"/>
      <c r="K2779" s="278"/>
      <c r="L2779" s="278"/>
    </row>
    <row r="2780" spans="1:12" ht="21.95" customHeight="1" thickTop="1" x14ac:dyDescent="0.25">
      <c r="A2780" s="1"/>
      <c r="B2780" s="11" t="s">
        <v>3</v>
      </c>
      <c r="C2780" s="12" t="s">
        <v>4</v>
      </c>
      <c r="D2780" s="13"/>
      <c r="E2780" s="13"/>
      <c r="F2780" s="13"/>
      <c r="G2780" s="13"/>
      <c r="H2780" s="14"/>
      <c r="I2780" s="15" t="s">
        <v>5</v>
      </c>
      <c r="J2780" s="12" t="s">
        <v>17</v>
      </c>
      <c r="K2780" s="13"/>
      <c r="L2780" s="14"/>
    </row>
    <row r="2781" spans="1:12" ht="21.95" customHeight="1" x14ac:dyDescent="0.2">
      <c r="B2781" s="96">
        <v>1</v>
      </c>
      <c r="C2781" s="140" t="s">
        <v>443</v>
      </c>
      <c r="D2781" s="76"/>
      <c r="E2781" s="150"/>
      <c r="F2781" s="144"/>
      <c r="G2781" s="76"/>
      <c r="H2781" s="79"/>
      <c r="I2781" s="56">
        <v>150000</v>
      </c>
      <c r="J2781" s="76" t="s">
        <v>204</v>
      </c>
      <c r="L2781" s="17"/>
    </row>
    <row r="2782" spans="1:12" ht="21.95" customHeight="1" x14ac:dyDescent="0.2">
      <c r="B2782" s="96"/>
      <c r="C2782" s="313"/>
      <c r="D2782" s="314"/>
      <c r="E2782" s="314"/>
      <c r="F2782" s="314"/>
      <c r="G2782" s="314"/>
      <c r="H2782" s="315"/>
      <c r="I2782" s="56"/>
      <c r="L2782" s="17"/>
    </row>
    <row r="2783" spans="1:12" ht="21.95" customHeight="1" x14ac:dyDescent="0.25">
      <c r="A2783" s="1"/>
      <c r="B2783" s="39"/>
      <c r="C2783" s="1"/>
      <c r="D2783" s="1"/>
      <c r="E2783" s="1"/>
      <c r="F2783" s="40" t="s">
        <v>5</v>
      </c>
      <c r="G2783" s="40"/>
      <c r="H2783" s="1"/>
      <c r="I2783" s="41">
        <f>I2781</f>
        <v>150000</v>
      </c>
      <c r="J2783" s="1"/>
      <c r="K2783" s="1"/>
      <c r="L2783" s="42"/>
    </row>
    <row r="2784" spans="1:12" ht="21.95" customHeight="1" thickBot="1" x14ac:dyDescent="0.3">
      <c r="A2784" s="1"/>
      <c r="B2784" s="43"/>
      <c r="C2784" s="44"/>
      <c r="D2784" s="44"/>
      <c r="E2784" s="44"/>
      <c r="F2784" s="45"/>
      <c r="G2784" s="45"/>
      <c r="H2784" s="44"/>
      <c r="I2784" s="46"/>
      <c r="J2784" s="44"/>
      <c r="K2784" s="44"/>
      <c r="L2784" s="47"/>
    </row>
    <row r="2785" spans="1:12" ht="21.95" customHeight="1" thickTop="1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ht="46.5" customHeight="1" x14ac:dyDescent="0.2">
      <c r="A2786" s="10" t="s">
        <v>2</v>
      </c>
      <c r="B2786" s="279" t="s">
        <v>11</v>
      </c>
      <c r="C2786" s="279"/>
      <c r="D2786" s="279"/>
      <c r="E2786" s="279"/>
      <c r="F2786" s="279"/>
      <c r="G2786" s="279"/>
      <c r="H2786" s="279"/>
      <c r="I2786" s="279"/>
      <c r="J2786" s="279"/>
      <c r="K2786" s="279"/>
      <c r="L2786" s="279"/>
    </row>
    <row r="2787" spans="1:12" ht="21.95" customHeight="1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ht="21.95" customHeight="1" x14ac:dyDescent="0.2">
      <c r="A2788" s="280" t="s">
        <v>12</v>
      </c>
      <c r="B2788" s="280"/>
      <c r="C2788" s="280"/>
      <c r="D2788" s="280"/>
      <c r="E2788" s="280"/>
      <c r="F2788" s="280"/>
      <c r="G2788" s="280"/>
      <c r="H2788" s="280"/>
      <c r="I2788" s="280"/>
      <c r="J2788" s="280"/>
      <c r="K2788" s="280"/>
      <c r="L2788" s="280"/>
    </row>
    <row r="2789" spans="1:12" ht="21.95" customHeight="1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ht="21.95" customHeight="1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ht="21.95" customHeight="1" x14ac:dyDescent="0.25">
      <c r="A2791" s="1"/>
      <c r="B2791" s="1"/>
      <c r="C2791" s="1"/>
      <c r="D2791" s="1"/>
      <c r="E2791" s="1"/>
      <c r="F2791" s="1"/>
      <c r="G2791" s="1"/>
      <c r="H2791" s="4" t="s">
        <v>199</v>
      </c>
      <c r="J2791" s="286" t="s">
        <v>471</v>
      </c>
      <c r="K2791" s="286"/>
      <c r="L2791" s="286"/>
    </row>
    <row r="2792" spans="1:12" ht="17.25" customHeight="1" x14ac:dyDescent="0.25">
      <c r="A2792" s="1"/>
      <c r="B2792" s="1" t="s">
        <v>15</v>
      </c>
      <c r="C2792" s="1"/>
      <c r="D2792" s="1"/>
      <c r="E2792" s="1"/>
      <c r="F2792" s="1"/>
      <c r="G2792" s="1"/>
      <c r="H2792" s="4" t="s">
        <v>13</v>
      </c>
    </row>
    <row r="2793" spans="1:12" ht="18" customHeight="1" x14ac:dyDescent="0.25">
      <c r="A2793" s="1"/>
      <c r="B2793" s="1" t="s">
        <v>18</v>
      </c>
      <c r="C2793" s="1"/>
      <c r="D2793" s="1"/>
      <c r="E2793" s="1"/>
      <c r="F2793" s="1"/>
      <c r="G2793" s="1"/>
      <c r="H2793" s="4" t="s">
        <v>14</v>
      </c>
    </row>
    <row r="2794" spans="1:12" ht="21.95" customHeight="1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ht="6.75" customHeight="1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ht="21.75" hidden="1" customHeight="1" x14ac:dyDescent="0.25">
      <c r="A2796" s="1"/>
      <c r="B2796" s="103"/>
      <c r="C2796" s="103"/>
      <c r="D2796" s="103"/>
      <c r="E2796" s="103"/>
      <c r="F2796" s="103"/>
      <c r="G2796" s="103"/>
      <c r="H2796" s="103"/>
      <c r="I2796" s="103"/>
      <c r="J2796" s="103"/>
      <c r="K2796" s="103"/>
      <c r="L2796" s="1"/>
    </row>
    <row r="2797" spans="1:12" ht="21.95" customHeight="1" x14ac:dyDescent="0.25">
      <c r="A2797" s="1"/>
      <c r="K2797" s="103"/>
      <c r="L2797" s="1"/>
    </row>
    <row r="2798" spans="1:12" ht="21.95" customHeight="1" x14ac:dyDescent="0.25">
      <c r="A2798" s="1"/>
      <c r="B2798" s="95" t="s">
        <v>77</v>
      </c>
      <c r="H2798" s="26" t="s">
        <v>555</v>
      </c>
      <c r="I2798" s="95"/>
      <c r="J2798" s="92"/>
      <c r="K2798" s="103"/>
      <c r="L2798" s="1"/>
    </row>
    <row r="2799" spans="1:12" ht="21.95" customHeight="1" x14ac:dyDescent="0.2">
      <c r="A2799" s="48"/>
      <c r="B2799" s="99" t="s">
        <v>27</v>
      </c>
      <c r="C2799" s="146"/>
      <c r="D2799" s="99"/>
      <c r="E2799" s="99"/>
      <c r="F2799" s="99"/>
      <c r="G2799" s="99"/>
      <c r="H2799" s="28" t="s">
        <v>46</v>
      </c>
      <c r="I2799" s="99"/>
      <c r="J2799" s="99"/>
      <c r="K2799" s="104"/>
      <c r="L2799" s="99"/>
    </row>
    <row r="2802" spans="1:12" ht="21.95" customHeight="1" x14ac:dyDescent="0.25">
      <c r="A2802" s="3" t="s">
        <v>22</v>
      </c>
    </row>
    <row r="2803" spans="1:12" ht="21.95" customHeight="1" x14ac:dyDescent="0.2">
      <c r="A2803" s="122" t="s">
        <v>20</v>
      </c>
    </row>
    <row r="2804" spans="1:12" ht="21.95" customHeight="1" x14ac:dyDescent="0.2">
      <c r="A2804" s="122" t="s">
        <v>21</v>
      </c>
    </row>
    <row r="2806" spans="1:12" ht="5.25" customHeight="1" x14ac:dyDescent="0.2"/>
    <row r="2808" spans="1:12" ht="21.95" customHeight="1" x14ac:dyDescent="0.3">
      <c r="A2808" s="276" t="s">
        <v>6</v>
      </c>
      <c r="B2808" s="276"/>
      <c r="C2808" s="276"/>
      <c r="D2808" s="276"/>
      <c r="E2808" s="276"/>
      <c r="F2808" s="276"/>
      <c r="G2808" s="276"/>
      <c r="H2808" s="276"/>
      <c r="I2808" s="276"/>
      <c r="J2808" s="276"/>
      <c r="K2808" s="276"/>
      <c r="L2808" s="276"/>
    </row>
    <row r="2809" spans="1:12" ht="21.95" customHeight="1" x14ac:dyDescent="0.3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</row>
    <row r="2810" spans="1:12" ht="21.95" customHeight="1" x14ac:dyDescent="0.3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</row>
    <row r="2811" spans="1:12" ht="21.95" customHeight="1" x14ac:dyDescent="0.25">
      <c r="A2811" s="1"/>
      <c r="B2811" s="1"/>
    </row>
    <row r="2812" spans="1:12" ht="21.95" customHeight="1" x14ac:dyDescent="0.25">
      <c r="A2812" s="1" t="s">
        <v>7</v>
      </c>
      <c r="B2812" s="1"/>
    </row>
    <row r="2813" spans="1:12" ht="21.95" customHeight="1" x14ac:dyDescent="0.25">
      <c r="A2813" s="1"/>
      <c r="B2813" s="1"/>
    </row>
    <row r="2814" spans="1:12" ht="21.95" customHeight="1" x14ac:dyDescent="0.25">
      <c r="A2814" s="1" t="s">
        <v>8</v>
      </c>
      <c r="C2814" s="9" t="s">
        <v>1</v>
      </c>
      <c r="D2814" s="92" t="s">
        <v>96</v>
      </c>
      <c r="E2814" s="76"/>
      <c r="F2814" s="76"/>
      <c r="G2814" s="76"/>
      <c r="H2814" s="76"/>
    </row>
    <row r="2815" spans="1:12" ht="21.95" customHeight="1" x14ac:dyDescent="0.25">
      <c r="A2815" s="1" t="s">
        <v>9</v>
      </c>
      <c r="C2815" s="9" t="s">
        <v>1</v>
      </c>
      <c r="D2815" s="57" t="s">
        <v>200</v>
      </c>
      <c r="E2815" s="76"/>
      <c r="F2815" s="76"/>
      <c r="G2815" s="76"/>
      <c r="H2815" s="76"/>
    </row>
    <row r="2816" spans="1:12" ht="21.95" customHeight="1" x14ac:dyDescent="0.2">
      <c r="A2816" s="50" t="s">
        <v>10</v>
      </c>
      <c r="B2816" s="76"/>
      <c r="C2816" s="91" t="s">
        <v>1</v>
      </c>
      <c r="D2816" s="50" t="s">
        <v>203</v>
      </c>
      <c r="E2816" s="76"/>
      <c r="F2816" s="76"/>
      <c r="G2816" s="76"/>
      <c r="H2816" s="76"/>
      <c r="I2816" s="76"/>
      <c r="J2816" s="76"/>
      <c r="K2816" s="76"/>
      <c r="L2816" s="76"/>
    </row>
    <row r="2817" spans="1:12" ht="21.95" customHeight="1" x14ac:dyDescent="0.25">
      <c r="A2817" s="1"/>
      <c r="B2817" s="1"/>
      <c r="D2817" s="1"/>
    </row>
    <row r="2818" spans="1:12" ht="33.75" customHeight="1" x14ac:dyDescent="0.2">
      <c r="A2818" s="277" t="s">
        <v>483</v>
      </c>
      <c r="B2818" s="277"/>
      <c r="C2818" s="277"/>
      <c r="D2818" s="277"/>
      <c r="E2818" s="277"/>
      <c r="F2818" s="277"/>
      <c r="G2818" s="277"/>
      <c r="H2818" s="277"/>
      <c r="I2818" s="277"/>
      <c r="J2818" s="277"/>
      <c r="K2818" s="277"/>
      <c r="L2818" s="277"/>
    </row>
    <row r="2819" spans="1:12" ht="21.95" customHeight="1" x14ac:dyDescent="0.25">
      <c r="A2819" s="1"/>
      <c r="B2819" s="1"/>
    </row>
    <row r="2820" spans="1:12" ht="34.5" customHeight="1" thickBot="1" x14ac:dyDescent="0.25">
      <c r="A2820" s="10" t="s">
        <v>0</v>
      </c>
      <c r="B2820" s="278" t="s">
        <v>91</v>
      </c>
      <c r="C2820" s="278"/>
      <c r="D2820" s="278"/>
      <c r="E2820" s="278"/>
      <c r="F2820" s="278"/>
      <c r="G2820" s="278"/>
      <c r="H2820" s="278"/>
      <c r="I2820" s="278"/>
      <c r="J2820" s="278"/>
      <c r="K2820" s="278"/>
      <c r="L2820" s="278"/>
    </row>
    <row r="2821" spans="1:12" ht="21.95" customHeight="1" thickTop="1" x14ac:dyDescent="0.25">
      <c r="A2821" s="1"/>
      <c r="B2821" s="11" t="s">
        <v>3</v>
      </c>
      <c r="C2821" s="12" t="s">
        <v>4</v>
      </c>
      <c r="D2821" s="13"/>
      <c r="E2821" s="13"/>
      <c r="F2821" s="13"/>
      <c r="G2821" s="13"/>
      <c r="H2821" s="14"/>
      <c r="I2821" s="15" t="s">
        <v>5</v>
      </c>
      <c r="J2821" s="12" t="s">
        <v>17</v>
      </c>
      <c r="K2821" s="13"/>
      <c r="L2821" s="14"/>
    </row>
    <row r="2822" spans="1:12" ht="21.95" customHeight="1" x14ac:dyDescent="0.2">
      <c r="B2822" s="96">
        <v>1</v>
      </c>
      <c r="C2822" s="140" t="s">
        <v>443</v>
      </c>
      <c r="D2822" s="76"/>
      <c r="E2822" s="150"/>
      <c r="F2822" s="144"/>
      <c r="G2822" s="76"/>
      <c r="H2822" s="79"/>
      <c r="I2822" s="56">
        <v>150000</v>
      </c>
      <c r="J2822" s="76" t="s">
        <v>204</v>
      </c>
      <c r="L2822" s="17"/>
    </row>
    <row r="2823" spans="1:12" ht="21.95" customHeight="1" x14ac:dyDescent="0.2">
      <c r="B2823" s="96"/>
      <c r="C2823" s="313"/>
      <c r="D2823" s="314"/>
      <c r="E2823" s="314"/>
      <c r="F2823" s="314"/>
      <c r="G2823" s="314"/>
      <c r="H2823" s="315"/>
      <c r="I2823" s="56"/>
      <c r="L2823" s="17"/>
    </row>
    <row r="2824" spans="1:12" ht="21.95" customHeight="1" x14ac:dyDescent="0.25">
      <c r="A2824" s="1"/>
      <c r="B2824" s="39"/>
      <c r="C2824" s="1"/>
      <c r="D2824" s="1"/>
      <c r="E2824" s="1"/>
      <c r="F2824" s="40" t="s">
        <v>5</v>
      </c>
      <c r="G2824" s="40"/>
      <c r="H2824" s="1"/>
      <c r="I2824" s="41">
        <f>I2822</f>
        <v>150000</v>
      </c>
      <c r="J2824" s="1"/>
      <c r="K2824" s="1"/>
      <c r="L2824" s="42"/>
    </row>
    <row r="2825" spans="1:12" ht="21.95" customHeight="1" thickBot="1" x14ac:dyDescent="0.3">
      <c r="A2825" s="1"/>
      <c r="B2825" s="43"/>
      <c r="C2825" s="44"/>
      <c r="D2825" s="44"/>
      <c r="E2825" s="44"/>
      <c r="F2825" s="45"/>
      <c r="G2825" s="45"/>
      <c r="H2825" s="44"/>
      <c r="I2825" s="46"/>
      <c r="J2825" s="44"/>
      <c r="K2825" s="44"/>
      <c r="L2825" s="47"/>
    </row>
    <row r="2826" spans="1:12" ht="21.95" customHeight="1" thickTop="1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 spans="1:12" ht="48" customHeight="1" x14ac:dyDescent="0.2">
      <c r="A2827" s="10" t="s">
        <v>2</v>
      </c>
      <c r="B2827" s="279" t="s">
        <v>11</v>
      </c>
      <c r="C2827" s="279"/>
      <c r="D2827" s="279"/>
      <c r="E2827" s="279"/>
      <c r="F2827" s="279"/>
      <c r="G2827" s="279"/>
      <c r="H2827" s="279"/>
      <c r="I2827" s="279"/>
      <c r="J2827" s="279"/>
      <c r="K2827" s="279"/>
      <c r="L2827" s="279"/>
    </row>
    <row r="2828" spans="1:12" ht="17.25" customHeight="1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 ht="21.75" customHeight="1" x14ac:dyDescent="0.2">
      <c r="A2829" s="280" t="s">
        <v>12</v>
      </c>
      <c r="B2829" s="280"/>
      <c r="C2829" s="280"/>
      <c r="D2829" s="280"/>
      <c r="E2829" s="280"/>
      <c r="F2829" s="280"/>
      <c r="G2829" s="280"/>
      <c r="H2829" s="280"/>
      <c r="I2829" s="280"/>
      <c r="J2829" s="280"/>
      <c r="K2829" s="280"/>
      <c r="L2829" s="280"/>
    </row>
    <row r="2830" spans="1:12" ht="21.95" customHeight="1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 ht="21.95" customHeight="1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 ht="9" customHeight="1" x14ac:dyDescent="0.25">
      <c r="A2832" s="1"/>
      <c r="B2832" s="1"/>
      <c r="C2832" s="1"/>
      <c r="D2832" s="1"/>
      <c r="E2832" s="1"/>
      <c r="F2832" s="1"/>
      <c r="G2832" s="1"/>
      <c r="J2832" s="286"/>
      <c r="K2832" s="286"/>
      <c r="L2832" s="286"/>
    </row>
    <row r="2833" spans="1:12" ht="21.95" customHeight="1" x14ac:dyDescent="0.25">
      <c r="A2833" s="1"/>
      <c r="B2833" s="1"/>
      <c r="C2833" s="1"/>
      <c r="D2833" s="1"/>
      <c r="E2833" s="1"/>
      <c r="F2833" s="1"/>
      <c r="G2833" s="1"/>
      <c r="H2833" s="4" t="s">
        <v>199</v>
      </c>
      <c r="J2833" s="286" t="s">
        <v>471</v>
      </c>
      <c r="K2833" s="286"/>
      <c r="L2833" s="286"/>
    </row>
    <row r="2834" spans="1:12" ht="15.75" customHeight="1" x14ac:dyDescent="0.25">
      <c r="A2834" s="1"/>
      <c r="B2834" s="1" t="s">
        <v>15</v>
      </c>
      <c r="C2834" s="1"/>
      <c r="D2834" s="1"/>
      <c r="E2834" s="1"/>
      <c r="F2834" s="1"/>
      <c r="G2834" s="1"/>
      <c r="H2834" s="4" t="s">
        <v>13</v>
      </c>
    </row>
    <row r="2835" spans="1:12" ht="12.75" customHeight="1" x14ac:dyDescent="0.25">
      <c r="A2835" s="1"/>
      <c r="B2835" s="1" t="s">
        <v>18</v>
      </c>
      <c r="C2835" s="1"/>
      <c r="D2835" s="1"/>
      <c r="E2835" s="1"/>
      <c r="F2835" s="1"/>
      <c r="G2835" s="1"/>
      <c r="H2835" s="4" t="s">
        <v>14</v>
      </c>
    </row>
    <row r="2836" spans="1:12" ht="21" customHeight="1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 ht="21.75" hidden="1" customHeight="1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 ht="21.75" hidden="1" customHeight="1" x14ac:dyDescent="0.25">
      <c r="A2838" s="1"/>
      <c r="B2838" s="103"/>
      <c r="C2838" s="103"/>
      <c r="D2838" s="103"/>
      <c r="E2838" s="103"/>
      <c r="F2838" s="103"/>
      <c r="G2838" s="103"/>
      <c r="H2838" s="103"/>
      <c r="I2838" s="103"/>
      <c r="J2838" s="103"/>
      <c r="K2838" s="103"/>
      <c r="L2838" s="1"/>
    </row>
    <row r="2839" spans="1:12" ht="21.95" customHeight="1" x14ac:dyDescent="0.25">
      <c r="A2839" s="1"/>
      <c r="K2839" s="103"/>
      <c r="L2839" s="1"/>
    </row>
    <row r="2840" spans="1:12" ht="21.95" customHeight="1" x14ac:dyDescent="0.25">
      <c r="A2840" s="1"/>
      <c r="B2840" s="95" t="s">
        <v>77</v>
      </c>
      <c r="H2840" s="26" t="s">
        <v>96</v>
      </c>
      <c r="I2840" s="95"/>
      <c r="J2840" s="92"/>
      <c r="K2840" s="103"/>
      <c r="L2840" s="1"/>
    </row>
    <row r="2841" spans="1:12" ht="21.95" customHeight="1" x14ac:dyDescent="0.25">
      <c r="A2841" s="1"/>
      <c r="B2841" s="99" t="s">
        <v>27</v>
      </c>
      <c r="C2841" s="57"/>
      <c r="H2841" s="28" t="s">
        <v>100</v>
      </c>
      <c r="K2841" s="103"/>
    </row>
    <row r="2851" spans="1:12" ht="21.95" customHeight="1" x14ac:dyDescent="0.25">
      <c r="A2851" s="3" t="s">
        <v>22</v>
      </c>
    </row>
    <row r="2852" spans="1:12" ht="21.95" customHeight="1" x14ac:dyDescent="0.2">
      <c r="A2852" s="122" t="s">
        <v>20</v>
      </c>
    </row>
    <row r="2853" spans="1:12" ht="21.95" customHeight="1" x14ac:dyDescent="0.2">
      <c r="A2853" s="122" t="s">
        <v>21</v>
      </c>
    </row>
    <row r="2857" spans="1:12" ht="21.95" customHeight="1" x14ac:dyDescent="0.3">
      <c r="A2857" s="276" t="s">
        <v>6</v>
      </c>
      <c r="B2857" s="276"/>
      <c r="C2857" s="276"/>
      <c r="D2857" s="276"/>
      <c r="E2857" s="276"/>
      <c r="F2857" s="276"/>
      <c r="G2857" s="276"/>
      <c r="H2857" s="276"/>
      <c r="I2857" s="276"/>
      <c r="J2857" s="276"/>
      <c r="K2857" s="276"/>
      <c r="L2857" s="276"/>
    </row>
    <row r="2858" spans="1:12" ht="21.95" customHeight="1" x14ac:dyDescent="0.3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</row>
    <row r="2859" spans="1:12" ht="21.95" customHeight="1" x14ac:dyDescent="0.3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</row>
    <row r="2860" spans="1:12" ht="21.95" customHeight="1" x14ac:dyDescent="0.25">
      <c r="A2860" s="1"/>
      <c r="B2860" s="1"/>
    </row>
    <row r="2861" spans="1:12" ht="21.95" customHeight="1" x14ac:dyDescent="0.25">
      <c r="A2861" s="1" t="s">
        <v>7</v>
      </c>
      <c r="B2861" s="1"/>
    </row>
    <row r="2862" spans="1:12" ht="21.95" customHeight="1" x14ac:dyDescent="0.25">
      <c r="A2862" s="1"/>
      <c r="B2862" s="1"/>
    </row>
    <row r="2863" spans="1:12" ht="21.95" customHeight="1" x14ac:dyDescent="0.25">
      <c r="A2863" s="1" t="s">
        <v>8</v>
      </c>
      <c r="C2863" s="9" t="s">
        <v>1</v>
      </c>
      <c r="D2863" s="92" t="s">
        <v>205</v>
      </c>
      <c r="E2863" s="76"/>
      <c r="F2863" s="76"/>
      <c r="G2863" s="76"/>
      <c r="H2863" s="76"/>
    </row>
    <row r="2864" spans="1:12" ht="14.25" customHeight="1" x14ac:dyDescent="0.25">
      <c r="A2864" s="1" t="s">
        <v>9</v>
      </c>
      <c r="C2864" s="9" t="s">
        <v>1</v>
      </c>
      <c r="D2864" s="146" t="s">
        <v>74</v>
      </c>
      <c r="E2864" s="76"/>
      <c r="F2864" s="76"/>
      <c r="G2864" s="76"/>
      <c r="H2864" s="76"/>
    </row>
    <row r="2865" spans="1:12" ht="15.75" customHeight="1" x14ac:dyDescent="0.2">
      <c r="A2865" s="50" t="s">
        <v>10</v>
      </c>
      <c r="B2865" s="76"/>
      <c r="C2865" s="91" t="s">
        <v>1</v>
      </c>
      <c r="D2865" s="4" t="s">
        <v>243</v>
      </c>
      <c r="E2865" s="76"/>
      <c r="F2865" s="76"/>
      <c r="G2865" s="76"/>
      <c r="H2865" s="76"/>
      <c r="I2865" s="76"/>
      <c r="J2865" s="76"/>
      <c r="K2865" s="76"/>
      <c r="L2865" s="76"/>
    </row>
    <row r="2866" spans="1:12" ht="21.95" customHeight="1" x14ac:dyDescent="0.25">
      <c r="A2866" s="1"/>
      <c r="B2866" s="1"/>
      <c r="D2866" s="1"/>
    </row>
    <row r="2867" spans="1:12" ht="39" customHeight="1" x14ac:dyDescent="0.2">
      <c r="A2867" s="277" t="s">
        <v>483</v>
      </c>
      <c r="B2867" s="277"/>
      <c r="C2867" s="277"/>
      <c r="D2867" s="277"/>
      <c r="E2867" s="277"/>
      <c r="F2867" s="277"/>
      <c r="G2867" s="277"/>
      <c r="H2867" s="277"/>
      <c r="I2867" s="277"/>
      <c r="J2867" s="277"/>
      <c r="K2867" s="277"/>
      <c r="L2867" s="277"/>
    </row>
    <row r="2868" spans="1:12" ht="21.95" customHeight="1" x14ac:dyDescent="0.25">
      <c r="A2868" s="1"/>
      <c r="B2868" s="1"/>
    </row>
    <row r="2869" spans="1:12" ht="42.75" customHeight="1" thickBot="1" x14ac:dyDescent="0.25">
      <c r="A2869" s="10" t="s">
        <v>0</v>
      </c>
      <c r="B2869" s="278" t="s">
        <v>91</v>
      </c>
      <c r="C2869" s="278"/>
      <c r="D2869" s="278"/>
      <c r="E2869" s="278"/>
      <c r="F2869" s="278"/>
      <c r="G2869" s="278"/>
      <c r="H2869" s="278"/>
      <c r="I2869" s="278"/>
      <c r="J2869" s="278"/>
      <c r="K2869" s="278"/>
      <c r="L2869" s="278"/>
    </row>
    <row r="2870" spans="1:12" ht="21.95" customHeight="1" thickTop="1" x14ac:dyDescent="0.25">
      <c r="A2870" s="1"/>
      <c r="B2870" s="11" t="s">
        <v>3</v>
      </c>
      <c r="C2870" s="12" t="s">
        <v>4</v>
      </c>
      <c r="D2870" s="13"/>
      <c r="E2870" s="13"/>
      <c r="F2870" s="13"/>
      <c r="G2870" s="13"/>
      <c r="H2870" s="14"/>
      <c r="I2870" s="15" t="s">
        <v>5</v>
      </c>
      <c r="J2870" s="12" t="s">
        <v>17</v>
      </c>
      <c r="K2870" s="13"/>
      <c r="L2870" s="14"/>
    </row>
    <row r="2871" spans="1:12" ht="21.95" customHeight="1" x14ac:dyDescent="0.2">
      <c r="B2871" s="96">
        <v>1</v>
      </c>
      <c r="C2871" s="140" t="s">
        <v>443</v>
      </c>
      <c r="D2871" s="76"/>
      <c r="E2871" s="150"/>
      <c r="F2871" s="144"/>
      <c r="G2871" s="76"/>
      <c r="H2871" s="79"/>
      <c r="I2871" s="56">
        <v>150000</v>
      </c>
      <c r="J2871" s="76" t="s">
        <v>204</v>
      </c>
      <c r="L2871" s="17"/>
    </row>
    <row r="2872" spans="1:12" ht="21.95" customHeight="1" x14ac:dyDescent="0.2">
      <c r="B2872" s="96"/>
      <c r="C2872" s="313"/>
      <c r="D2872" s="314"/>
      <c r="E2872" s="314"/>
      <c r="F2872" s="314"/>
      <c r="G2872" s="314"/>
      <c r="H2872" s="315"/>
      <c r="I2872" s="56"/>
      <c r="L2872" s="17"/>
    </row>
    <row r="2873" spans="1:12" ht="21.95" customHeight="1" x14ac:dyDescent="0.25">
      <c r="A2873" s="1"/>
      <c r="B2873" s="39"/>
      <c r="C2873" s="1"/>
      <c r="D2873" s="1"/>
      <c r="E2873" s="1"/>
      <c r="F2873" s="40" t="s">
        <v>5</v>
      </c>
      <c r="G2873" s="40"/>
      <c r="H2873" s="1"/>
      <c r="I2873" s="41">
        <f>I2871</f>
        <v>150000</v>
      </c>
      <c r="J2873" s="1"/>
      <c r="K2873" s="1"/>
      <c r="L2873" s="42"/>
    </row>
    <row r="2874" spans="1:12" ht="21.95" customHeight="1" thickBot="1" x14ac:dyDescent="0.3">
      <c r="A2874" s="1"/>
      <c r="B2874" s="43"/>
      <c r="C2874" s="44"/>
      <c r="D2874" s="44"/>
      <c r="E2874" s="44"/>
      <c r="F2874" s="45"/>
      <c r="G2874" s="45"/>
      <c r="H2874" s="44"/>
      <c r="I2874" s="46"/>
      <c r="J2874" s="44"/>
      <c r="K2874" s="44"/>
      <c r="L2874" s="47"/>
    </row>
    <row r="2875" spans="1:12" ht="21.95" customHeight="1" thickTop="1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 spans="1:12" ht="49.5" customHeight="1" x14ac:dyDescent="0.2">
      <c r="A2876" s="10" t="s">
        <v>2</v>
      </c>
      <c r="B2876" s="279" t="s">
        <v>11</v>
      </c>
      <c r="C2876" s="279"/>
      <c r="D2876" s="279"/>
      <c r="E2876" s="279"/>
      <c r="F2876" s="279"/>
      <c r="G2876" s="279"/>
      <c r="H2876" s="279"/>
      <c r="I2876" s="279"/>
      <c r="J2876" s="279"/>
      <c r="K2876" s="279"/>
      <c r="L2876" s="279"/>
    </row>
    <row r="2877" spans="1:12" ht="21.95" customHeight="1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ht="21.95" customHeight="1" x14ac:dyDescent="0.2">
      <c r="A2878" s="280" t="s">
        <v>12</v>
      </c>
      <c r="B2878" s="280"/>
      <c r="C2878" s="280"/>
      <c r="D2878" s="280"/>
      <c r="E2878" s="280"/>
      <c r="F2878" s="280"/>
      <c r="G2878" s="280"/>
      <c r="H2878" s="280"/>
      <c r="I2878" s="280"/>
      <c r="J2878" s="280"/>
      <c r="K2878" s="280"/>
      <c r="L2878" s="280"/>
    </row>
    <row r="2879" spans="1:12" ht="18.75" customHeight="1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ht="21.75" hidden="1" customHeight="1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ht="21.95" customHeight="1" x14ac:dyDescent="0.25">
      <c r="A2881" s="1"/>
      <c r="B2881" s="1"/>
      <c r="C2881" s="1"/>
      <c r="D2881" s="1"/>
      <c r="E2881" s="1"/>
      <c r="F2881" s="1"/>
      <c r="G2881" s="1"/>
      <c r="H2881" s="4" t="s">
        <v>199</v>
      </c>
      <c r="J2881" s="286" t="s">
        <v>471</v>
      </c>
      <c r="K2881" s="286"/>
      <c r="L2881" s="286"/>
    </row>
    <row r="2882" spans="1:12" ht="15.75" customHeight="1" x14ac:dyDescent="0.25">
      <c r="A2882" s="1"/>
      <c r="B2882" s="1" t="s">
        <v>15</v>
      </c>
      <c r="C2882" s="1"/>
      <c r="D2882" s="1"/>
      <c r="E2882" s="1"/>
      <c r="F2882" s="1"/>
      <c r="G2882" s="1"/>
      <c r="H2882" s="4" t="s">
        <v>13</v>
      </c>
    </row>
    <row r="2883" spans="1:12" ht="15" customHeight="1" x14ac:dyDescent="0.25">
      <c r="A2883" s="1"/>
      <c r="B2883" s="1" t="s">
        <v>18</v>
      </c>
      <c r="C2883" s="1"/>
      <c r="D2883" s="1"/>
      <c r="E2883" s="1"/>
      <c r="F2883" s="1"/>
      <c r="G2883" s="1"/>
      <c r="H2883" s="4" t="s">
        <v>14</v>
      </c>
    </row>
    <row r="2884" spans="1:12" ht="20.25" customHeight="1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 spans="1:12" ht="19.5" hidden="1" customHeight="1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 spans="1:12" ht="21.75" hidden="1" customHeight="1" x14ac:dyDescent="0.25">
      <c r="A2886" s="1"/>
      <c r="B2886" s="103"/>
      <c r="C2886" s="103"/>
      <c r="D2886" s="103"/>
      <c r="E2886" s="103"/>
      <c r="F2886" s="103"/>
      <c r="G2886" s="103"/>
      <c r="H2886" s="103"/>
      <c r="I2886" s="103"/>
      <c r="J2886" s="103"/>
      <c r="K2886" s="103"/>
      <c r="L2886" s="1"/>
    </row>
    <row r="2887" spans="1:12" ht="21.95" customHeight="1" x14ac:dyDescent="0.25">
      <c r="A2887" s="1"/>
      <c r="K2887" s="103"/>
      <c r="L2887" s="1"/>
    </row>
    <row r="2888" spans="1:12" ht="21.95" customHeight="1" x14ac:dyDescent="0.25">
      <c r="A2888" s="1"/>
      <c r="B2888" s="95" t="s">
        <v>77</v>
      </c>
      <c r="H2888" s="95" t="str">
        <f>D2863</f>
        <v>Meditha Arumsari, S.TP</v>
      </c>
      <c r="I2888" s="95"/>
      <c r="J2888" s="92"/>
      <c r="K2888" s="103"/>
      <c r="L2888" s="1"/>
    </row>
    <row r="2889" spans="1:12" ht="21.95" customHeight="1" x14ac:dyDescent="0.25">
      <c r="A2889" s="1"/>
      <c r="B2889" s="99" t="s">
        <v>27</v>
      </c>
      <c r="C2889" s="57"/>
      <c r="H2889" s="99"/>
      <c r="K2889" s="103"/>
    </row>
    <row r="2893" spans="1:12" ht="21.95" customHeight="1" x14ac:dyDescent="0.25">
      <c r="A2893" s="3" t="s">
        <v>22</v>
      </c>
    </row>
    <row r="2894" spans="1:12" ht="21.95" customHeight="1" x14ac:dyDescent="0.2">
      <c r="A2894" s="122" t="s">
        <v>20</v>
      </c>
    </row>
    <row r="2895" spans="1:12" ht="21.95" customHeight="1" x14ac:dyDescent="0.2">
      <c r="A2895" s="122" t="s">
        <v>21</v>
      </c>
    </row>
    <row r="2899" spans="1:12" ht="21.95" customHeight="1" x14ac:dyDescent="0.3">
      <c r="A2899" s="276" t="s">
        <v>6</v>
      </c>
      <c r="B2899" s="276"/>
      <c r="C2899" s="276"/>
      <c r="D2899" s="276"/>
      <c r="E2899" s="276"/>
      <c r="F2899" s="276"/>
      <c r="G2899" s="276"/>
      <c r="H2899" s="276"/>
      <c r="I2899" s="276"/>
      <c r="J2899" s="276"/>
      <c r="K2899" s="276"/>
      <c r="L2899" s="276"/>
    </row>
    <row r="2900" spans="1:12" ht="21.95" customHeight="1" x14ac:dyDescent="0.3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</row>
    <row r="2901" spans="1:12" ht="21.95" customHeight="1" x14ac:dyDescent="0.3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</row>
    <row r="2902" spans="1:12" ht="21.95" customHeight="1" x14ac:dyDescent="0.25">
      <c r="A2902" s="1"/>
      <c r="B2902" s="1"/>
    </row>
    <row r="2903" spans="1:12" ht="21.95" customHeight="1" x14ac:dyDescent="0.25">
      <c r="A2903" s="1" t="s">
        <v>7</v>
      </c>
      <c r="B2903" s="1"/>
    </row>
    <row r="2904" spans="1:12" ht="21.95" customHeight="1" x14ac:dyDescent="0.25">
      <c r="A2904" s="1"/>
      <c r="B2904" s="1"/>
    </row>
    <row r="2905" spans="1:12" ht="21.95" customHeight="1" x14ac:dyDescent="0.25">
      <c r="A2905" s="1" t="s">
        <v>8</v>
      </c>
      <c r="C2905" s="9" t="s">
        <v>1</v>
      </c>
      <c r="D2905" s="33" t="s">
        <v>78</v>
      </c>
      <c r="E2905" s="76"/>
      <c r="F2905" s="76"/>
      <c r="G2905" s="76"/>
      <c r="H2905" s="76"/>
    </row>
    <row r="2906" spans="1:12" ht="21.95" customHeight="1" x14ac:dyDescent="0.25">
      <c r="A2906" s="1" t="s">
        <v>9</v>
      </c>
      <c r="C2906" s="9" t="s">
        <v>1</v>
      </c>
      <c r="D2906" s="27" t="s">
        <v>234</v>
      </c>
      <c r="E2906" s="76"/>
      <c r="F2906" s="76"/>
      <c r="G2906" s="76"/>
      <c r="H2906" s="76"/>
    </row>
    <row r="2907" spans="1:12" ht="21.95" customHeight="1" x14ac:dyDescent="0.2">
      <c r="A2907" s="50" t="s">
        <v>10</v>
      </c>
      <c r="B2907" s="76"/>
      <c r="C2907" s="91" t="s">
        <v>1</v>
      </c>
      <c r="D2907" s="50" t="s">
        <v>235</v>
      </c>
      <c r="E2907" s="76"/>
      <c r="F2907" s="76"/>
      <c r="G2907" s="76"/>
      <c r="H2907" s="76"/>
      <c r="I2907" s="76"/>
      <c r="J2907" s="76"/>
      <c r="K2907" s="76"/>
      <c r="L2907" s="76"/>
    </row>
    <row r="2908" spans="1:12" ht="21.95" customHeight="1" x14ac:dyDescent="0.25">
      <c r="A2908" s="1"/>
      <c r="B2908" s="1"/>
      <c r="D2908" s="1"/>
    </row>
    <row r="2909" spans="1:12" ht="37.5" customHeight="1" x14ac:dyDescent="0.2">
      <c r="A2909" s="277" t="s">
        <v>483</v>
      </c>
      <c r="B2909" s="277"/>
      <c r="C2909" s="277"/>
      <c r="D2909" s="277"/>
      <c r="E2909" s="277"/>
      <c r="F2909" s="277"/>
      <c r="G2909" s="277"/>
      <c r="H2909" s="277"/>
      <c r="I2909" s="277"/>
      <c r="J2909" s="277"/>
      <c r="K2909" s="277"/>
      <c r="L2909" s="277"/>
    </row>
    <row r="2910" spans="1:12" ht="21.95" customHeight="1" x14ac:dyDescent="0.25">
      <c r="A2910" s="1"/>
      <c r="B2910" s="1"/>
    </row>
    <row r="2911" spans="1:12" ht="39.75" customHeight="1" thickBot="1" x14ac:dyDescent="0.25">
      <c r="A2911" s="10" t="s">
        <v>0</v>
      </c>
      <c r="B2911" s="278" t="s">
        <v>91</v>
      </c>
      <c r="C2911" s="278"/>
      <c r="D2911" s="278"/>
      <c r="E2911" s="278"/>
      <c r="F2911" s="278"/>
      <c r="G2911" s="278"/>
      <c r="H2911" s="278"/>
      <c r="I2911" s="278"/>
      <c r="J2911" s="278"/>
      <c r="K2911" s="278"/>
      <c r="L2911" s="278"/>
    </row>
    <row r="2912" spans="1:12" ht="21.95" customHeight="1" thickTop="1" x14ac:dyDescent="0.25">
      <c r="A2912" s="1"/>
      <c r="B2912" s="11" t="s">
        <v>3</v>
      </c>
      <c r="C2912" s="12" t="s">
        <v>4</v>
      </c>
      <c r="D2912" s="13"/>
      <c r="E2912" s="13"/>
      <c r="F2912" s="13"/>
      <c r="G2912" s="13"/>
      <c r="H2912" s="14"/>
      <c r="I2912" s="15" t="s">
        <v>5</v>
      </c>
      <c r="J2912" s="12" t="s">
        <v>17</v>
      </c>
      <c r="K2912" s="13"/>
      <c r="L2912" s="14"/>
    </row>
    <row r="2913" spans="1:12" ht="21.95" customHeight="1" x14ac:dyDescent="0.2">
      <c r="B2913" s="96">
        <v>1</v>
      </c>
      <c r="C2913" s="140" t="s">
        <v>443</v>
      </c>
      <c r="D2913" s="76"/>
      <c r="E2913" s="150"/>
      <c r="F2913" s="144"/>
      <c r="G2913" s="76"/>
      <c r="H2913" s="79"/>
      <c r="I2913" s="56">
        <v>150000</v>
      </c>
      <c r="J2913" s="76" t="s">
        <v>204</v>
      </c>
      <c r="L2913" s="17"/>
    </row>
    <row r="2914" spans="1:12" ht="21.95" customHeight="1" x14ac:dyDescent="0.2">
      <c r="B2914" s="96"/>
      <c r="C2914" s="313"/>
      <c r="D2914" s="314"/>
      <c r="E2914" s="314"/>
      <c r="F2914" s="314"/>
      <c r="G2914" s="314"/>
      <c r="H2914" s="315"/>
      <c r="I2914" s="56"/>
      <c r="L2914" s="17"/>
    </row>
    <row r="2915" spans="1:12" ht="21.95" customHeight="1" x14ac:dyDescent="0.25">
      <c r="A2915" s="1"/>
      <c r="B2915" s="39"/>
      <c r="C2915" s="1"/>
      <c r="D2915" s="1"/>
      <c r="E2915" s="1"/>
      <c r="F2915" s="40" t="s">
        <v>5</v>
      </c>
      <c r="G2915" s="40"/>
      <c r="H2915" s="1"/>
      <c r="I2915" s="41">
        <f>I2913</f>
        <v>150000</v>
      </c>
      <c r="J2915" s="1"/>
      <c r="K2915" s="1"/>
      <c r="L2915" s="42"/>
    </row>
    <row r="2916" spans="1:12" ht="21.95" customHeight="1" thickBot="1" x14ac:dyDescent="0.3">
      <c r="A2916" s="1"/>
      <c r="B2916" s="43"/>
      <c r="C2916" s="44"/>
      <c r="D2916" s="44"/>
      <c r="E2916" s="44"/>
      <c r="F2916" s="45"/>
      <c r="G2916" s="45"/>
      <c r="H2916" s="44"/>
      <c r="I2916" s="46"/>
      <c r="J2916" s="44"/>
      <c r="K2916" s="44"/>
      <c r="L2916" s="47"/>
    </row>
    <row r="2917" spans="1:12" ht="21.95" customHeight="1" thickTop="1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 ht="48.75" customHeight="1" x14ac:dyDescent="0.2">
      <c r="A2918" s="10" t="s">
        <v>2</v>
      </c>
      <c r="B2918" s="279" t="s">
        <v>11</v>
      </c>
      <c r="C2918" s="279"/>
      <c r="D2918" s="279"/>
      <c r="E2918" s="279"/>
      <c r="F2918" s="279"/>
      <c r="G2918" s="279"/>
      <c r="H2918" s="279"/>
      <c r="I2918" s="279"/>
      <c r="J2918" s="279"/>
      <c r="K2918" s="279"/>
      <c r="L2918" s="279"/>
    </row>
    <row r="2919" spans="1:12" ht="21.95" customHeight="1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 ht="21.95" customHeight="1" x14ac:dyDescent="0.2">
      <c r="A2920" s="280" t="s">
        <v>12</v>
      </c>
      <c r="B2920" s="280"/>
      <c r="C2920" s="280"/>
      <c r="D2920" s="280"/>
      <c r="E2920" s="280"/>
      <c r="F2920" s="280"/>
      <c r="G2920" s="280"/>
      <c r="H2920" s="280"/>
      <c r="I2920" s="280"/>
      <c r="J2920" s="280"/>
      <c r="K2920" s="280"/>
      <c r="L2920" s="280"/>
    </row>
    <row r="2921" spans="1:12" ht="21.95" customHeight="1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 ht="21.95" customHeight="1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 ht="12.75" customHeight="1" x14ac:dyDescent="0.25">
      <c r="A2923" s="1"/>
      <c r="B2923" s="1"/>
      <c r="C2923" s="1"/>
      <c r="D2923" s="1"/>
      <c r="E2923" s="1"/>
      <c r="F2923" s="1"/>
      <c r="G2923" s="1"/>
      <c r="H2923" s="4" t="s">
        <v>199</v>
      </c>
      <c r="J2923" s="286" t="s">
        <v>471</v>
      </c>
      <c r="K2923" s="286"/>
      <c r="L2923" s="286"/>
    </row>
    <row r="2924" spans="1:12" ht="18.75" customHeight="1" x14ac:dyDescent="0.25">
      <c r="A2924" s="1"/>
      <c r="B2924" s="1" t="s">
        <v>15</v>
      </c>
      <c r="C2924" s="1"/>
      <c r="D2924" s="1"/>
      <c r="E2924" s="1"/>
      <c r="F2924" s="1"/>
      <c r="G2924" s="1"/>
      <c r="H2924" s="4" t="s">
        <v>13</v>
      </c>
    </row>
    <row r="2925" spans="1:12" ht="15.75" customHeight="1" x14ac:dyDescent="0.25">
      <c r="A2925" s="1"/>
      <c r="B2925" s="1" t="s">
        <v>18</v>
      </c>
      <c r="C2925" s="1"/>
      <c r="D2925" s="1"/>
      <c r="E2925" s="1"/>
      <c r="F2925" s="1"/>
      <c r="G2925" s="1"/>
      <c r="H2925" s="4" t="s">
        <v>14</v>
      </c>
    </row>
    <row r="2926" spans="1:12" ht="21.95" customHeight="1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 ht="14.25" customHeight="1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 ht="21.75" hidden="1" customHeight="1" x14ac:dyDescent="0.25">
      <c r="A2928" s="1"/>
      <c r="B2928" s="103"/>
      <c r="C2928" s="103"/>
      <c r="D2928" s="103"/>
      <c r="E2928" s="103"/>
      <c r="F2928" s="103"/>
      <c r="G2928" s="103"/>
      <c r="H2928" s="103"/>
      <c r="I2928" s="103"/>
      <c r="J2928" s="103"/>
      <c r="K2928" s="103"/>
      <c r="L2928" s="1"/>
    </row>
    <row r="2929" spans="1:12" ht="1.5" customHeight="1" x14ac:dyDescent="0.25">
      <c r="A2929" s="1"/>
      <c r="K2929" s="103"/>
      <c r="L2929" s="1"/>
    </row>
    <row r="2930" spans="1:12" ht="21.95" customHeight="1" x14ac:dyDescent="0.25">
      <c r="A2930" s="1"/>
      <c r="B2930" s="95" t="s">
        <v>77</v>
      </c>
      <c r="H2930" s="26" t="s">
        <v>78</v>
      </c>
      <c r="I2930" s="95"/>
      <c r="J2930" s="92"/>
      <c r="K2930" s="103"/>
      <c r="L2930" s="1"/>
    </row>
    <row r="2931" spans="1:12" ht="21.95" customHeight="1" x14ac:dyDescent="0.25">
      <c r="A2931" s="1"/>
      <c r="B2931" s="99" t="s">
        <v>27</v>
      </c>
      <c r="C2931" s="57"/>
      <c r="H2931" s="28" t="s">
        <v>79</v>
      </c>
      <c r="K2931" s="103"/>
    </row>
    <row r="2935" spans="1:12" ht="21.95" customHeight="1" x14ac:dyDescent="0.25">
      <c r="A2935" s="3" t="s">
        <v>22</v>
      </c>
    </row>
    <row r="2936" spans="1:12" ht="21.95" customHeight="1" x14ac:dyDescent="0.2">
      <c r="A2936" s="122" t="s">
        <v>20</v>
      </c>
    </row>
    <row r="2937" spans="1:12" ht="21.95" customHeight="1" x14ac:dyDescent="0.2">
      <c r="A2937" s="122" t="s">
        <v>21</v>
      </c>
    </row>
    <row r="2941" spans="1:12" ht="21.95" customHeight="1" x14ac:dyDescent="0.3">
      <c r="A2941" s="276" t="s">
        <v>6</v>
      </c>
      <c r="B2941" s="276"/>
      <c r="C2941" s="276"/>
      <c r="D2941" s="276"/>
      <c r="E2941" s="276"/>
      <c r="F2941" s="276"/>
      <c r="G2941" s="276"/>
      <c r="H2941" s="276"/>
      <c r="I2941" s="276"/>
      <c r="J2941" s="276"/>
      <c r="K2941" s="276"/>
      <c r="L2941" s="276"/>
    </row>
    <row r="2942" spans="1:12" ht="21.95" customHeight="1" x14ac:dyDescent="0.3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</row>
    <row r="2943" spans="1:12" ht="21.95" customHeight="1" x14ac:dyDescent="0.3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</row>
    <row r="2944" spans="1:12" ht="21.95" customHeight="1" x14ac:dyDescent="0.25">
      <c r="A2944" s="1"/>
      <c r="B2944" s="1"/>
    </row>
    <row r="2945" spans="1:12" ht="21.95" customHeight="1" x14ac:dyDescent="0.25">
      <c r="A2945" s="1" t="s">
        <v>7</v>
      </c>
      <c r="B2945" s="1"/>
    </row>
    <row r="2946" spans="1:12" ht="21.95" customHeight="1" x14ac:dyDescent="0.25">
      <c r="A2946" s="1"/>
      <c r="B2946" s="1"/>
    </row>
    <row r="2947" spans="1:12" ht="21.95" customHeight="1" x14ac:dyDescent="0.25">
      <c r="A2947" s="1" t="s">
        <v>8</v>
      </c>
      <c r="C2947" s="9" t="s">
        <v>1</v>
      </c>
      <c r="D2947" s="33" t="s">
        <v>78</v>
      </c>
      <c r="E2947" s="76"/>
      <c r="F2947" s="76"/>
      <c r="G2947" s="76"/>
      <c r="H2947" s="76"/>
    </row>
    <row r="2948" spans="1:12" ht="21.95" customHeight="1" x14ac:dyDescent="0.25">
      <c r="A2948" s="1" t="s">
        <v>9</v>
      </c>
      <c r="C2948" s="9" t="s">
        <v>1</v>
      </c>
      <c r="D2948" s="27" t="s">
        <v>234</v>
      </c>
      <c r="E2948" s="76"/>
      <c r="F2948" s="76"/>
      <c r="G2948" s="76"/>
      <c r="H2948" s="76"/>
    </row>
    <row r="2949" spans="1:12" ht="21.95" customHeight="1" x14ac:dyDescent="0.2">
      <c r="A2949" s="50" t="s">
        <v>10</v>
      </c>
      <c r="B2949" s="76"/>
      <c r="C2949" s="91" t="s">
        <v>1</v>
      </c>
      <c r="D2949" s="50" t="s">
        <v>235</v>
      </c>
      <c r="E2949" s="76"/>
      <c r="F2949" s="76"/>
      <c r="G2949" s="76"/>
      <c r="H2949" s="76"/>
      <c r="I2949" s="76"/>
      <c r="J2949" s="76"/>
      <c r="K2949" s="76"/>
      <c r="L2949" s="76"/>
    </row>
    <row r="2950" spans="1:12" ht="21.95" customHeight="1" x14ac:dyDescent="0.25">
      <c r="A2950" s="1"/>
      <c r="B2950" s="1"/>
      <c r="D2950" s="1"/>
    </row>
    <row r="2951" spans="1:12" ht="33.75" customHeight="1" x14ac:dyDescent="0.2">
      <c r="A2951" s="277" t="s">
        <v>484</v>
      </c>
      <c r="B2951" s="277"/>
      <c r="C2951" s="277"/>
      <c r="D2951" s="277"/>
      <c r="E2951" s="277"/>
      <c r="F2951" s="277"/>
      <c r="G2951" s="277"/>
      <c r="H2951" s="277"/>
      <c r="I2951" s="277"/>
      <c r="J2951" s="277"/>
      <c r="K2951" s="277"/>
      <c r="L2951" s="277"/>
    </row>
    <row r="2952" spans="1:12" ht="21.95" customHeight="1" x14ac:dyDescent="0.25">
      <c r="A2952" s="1"/>
      <c r="B2952" s="1"/>
    </row>
    <row r="2953" spans="1:12" ht="34.5" customHeight="1" thickBot="1" x14ac:dyDescent="0.25">
      <c r="A2953" s="10" t="s">
        <v>0</v>
      </c>
      <c r="B2953" s="278" t="s">
        <v>91</v>
      </c>
      <c r="C2953" s="278"/>
      <c r="D2953" s="278"/>
      <c r="E2953" s="278"/>
      <c r="F2953" s="278"/>
      <c r="G2953" s="278"/>
      <c r="H2953" s="278"/>
      <c r="I2953" s="278"/>
      <c r="J2953" s="278"/>
      <c r="K2953" s="278"/>
      <c r="L2953" s="278"/>
    </row>
    <row r="2954" spans="1:12" ht="21.95" customHeight="1" thickTop="1" x14ac:dyDescent="0.25">
      <c r="A2954" s="1"/>
      <c r="B2954" s="11" t="s">
        <v>3</v>
      </c>
      <c r="C2954" s="12" t="s">
        <v>4</v>
      </c>
      <c r="D2954" s="13"/>
      <c r="E2954" s="13"/>
      <c r="F2954" s="13"/>
      <c r="G2954" s="13"/>
      <c r="H2954" s="14"/>
      <c r="I2954" s="15" t="s">
        <v>5</v>
      </c>
      <c r="J2954" s="12" t="s">
        <v>17</v>
      </c>
      <c r="K2954" s="13"/>
      <c r="L2954" s="14"/>
    </row>
    <row r="2955" spans="1:12" ht="21.95" customHeight="1" x14ac:dyDescent="0.2">
      <c r="B2955" s="96">
        <v>1</v>
      </c>
      <c r="C2955" s="140" t="s">
        <v>443</v>
      </c>
      <c r="D2955" s="76"/>
      <c r="E2955" s="150"/>
      <c r="F2955" s="144"/>
      <c r="G2955" s="76"/>
      <c r="H2955" s="79"/>
      <c r="I2955" s="56">
        <v>150000</v>
      </c>
      <c r="J2955" s="76" t="s">
        <v>204</v>
      </c>
      <c r="L2955" s="17"/>
    </row>
    <row r="2956" spans="1:12" ht="21.95" customHeight="1" x14ac:dyDescent="0.2">
      <c r="B2956" s="96"/>
      <c r="C2956" s="313"/>
      <c r="D2956" s="314"/>
      <c r="E2956" s="314"/>
      <c r="F2956" s="314"/>
      <c r="G2956" s="314"/>
      <c r="H2956" s="315"/>
      <c r="I2956" s="56"/>
      <c r="L2956" s="17"/>
    </row>
    <row r="2957" spans="1:12" ht="21.95" customHeight="1" x14ac:dyDescent="0.25">
      <c r="A2957" s="1"/>
      <c r="B2957" s="39"/>
      <c r="C2957" s="1"/>
      <c r="D2957" s="1"/>
      <c r="E2957" s="1"/>
      <c r="F2957" s="40" t="s">
        <v>5</v>
      </c>
      <c r="G2957" s="40"/>
      <c r="H2957" s="1"/>
      <c r="I2957" s="41">
        <f>I2955</f>
        <v>150000</v>
      </c>
      <c r="J2957" s="1"/>
      <c r="K2957" s="1"/>
      <c r="L2957" s="42"/>
    </row>
    <row r="2958" spans="1:12" ht="21.95" customHeight="1" thickBot="1" x14ac:dyDescent="0.3">
      <c r="A2958" s="1"/>
      <c r="B2958" s="43"/>
      <c r="C2958" s="44"/>
      <c r="D2958" s="44"/>
      <c r="E2958" s="44"/>
      <c r="F2958" s="45"/>
      <c r="G2958" s="45"/>
      <c r="H2958" s="44"/>
      <c r="I2958" s="46"/>
      <c r="J2958" s="44"/>
      <c r="K2958" s="44"/>
      <c r="L2958" s="47"/>
    </row>
    <row r="2959" spans="1:12" ht="21.95" customHeight="1" thickTop="1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 ht="49.5" customHeight="1" x14ac:dyDescent="0.2">
      <c r="A2960" s="10" t="s">
        <v>2</v>
      </c>
      <c r="B2960" s="279" t="s">
        <v>11</v>
      </c>
      <c r="C2960" s="279"/>
      <c r="D2960" s="279"/>
      <c r="E2960" s="279"/>
      <c r="F2960" s="279"/>
      <c r="G2960" s="279"/>
      <c r="H2960" s="279"/>
      <c r="I2960" s="279"/>
      <c r="J2960" s="279"/>
      <c r="K2960" s="279"/>
      <c r="L2960" s="279"/>
    </row>
    <row r="2961" spans="1:12" ht="21.95" customHeight="1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 ht="21.95" customHeight="1" x14ac:dyDescent="0.2">
      <c r="A2962" s="280" t="s">
        <v>12</v>
      </c>
      <c r="B2962" s="280"/>
      <c r="C2962" s="280"/>
      <c r="D2962" s="280"/>
      <c r="E2962" s="280"/>
      <c r="F2962" s="280"/>
      <c r="G2962" s="280"/>
      <c r="H2962" s="280"/>
      <c r="I2962" s="280"/>
      <c r="J2962" s="280"/>
      <c r="K2962" s="280"/>
      <c r="L2962" s="280"/>
    </row>
    <row r="2963" spans="1:12" ht="21.95" customHeight="1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 ht="21.95" customHeight="1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 ht="13.5" customHeight="1" x14ac:dyDescent="0.25">
      <c r="A2965" s="1"/>
      <c r="B2965" s="1"/>
      <c r="C2965" s="1"/>
      <c r="D2965" s="1"/>
      <c r="E2965" s="1"/>
      <c r="F2965" s="1"/>
      <c r="G2965" s="1"/>
      <c r="H2965" s="4" t="s">
        <v>199</v>
      </c>
      <c r="J2965" s="286" t="s">
        <v>471</v>
      </c>
      <c r="K2965" s="286"/>
      <c r="L2965" s="286"/>
    </row>
    <row r="2966" spans="1:12" ht="13.5" customHeight="1" x14ac:dyDescent="0.25">
      <c r="A2966" s="1"/>
      <c r="B2966" s="1" t="s">
        <v>15</v>
      </c>
      <c r="C2966" s="1"/>
      <c r="D2966" s="1"/>
      <c r="E2966" s="1"/>
      <c r="F2966" s="1"/>
      <c r="G2966" s="1"/>
      <c r="H2966" s="4" t="s">
        <v>13</v>
      </c>
    </row>
    <row r="2967" spans="1:12" s="99" customFormat="1" ht="18.75" customHeight="1" x14ac:dyDescent="0.2">
      <c r="A2967" s="48"/>
      <c r="B2967" s="48" t="s">
        <v>18</v>
      </c>
      <c r="C2967" s="48"/>
      <c r="D2967" s="48"/>
      <c r="E2967" s="48"/>
      <c r="F2967" s="48"/>
      <c r="G2967" s="48"/>
      <c r="H2967" s="99" t="s">
        <v>14</v>
      </c>
    </row>
    <row r="2968" spans="1:12" ht="21.95" customHeight="1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 ht="12.75" customHeight="1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 ht="21.75" hidden="1" customHeight="1" x14ac:dyDescent="0.25">
      <c r="A2970" s="1"/>
      <c r="B2970" s="103"/>
      <c r="C2970" s="103"/>
      <c r="D2970" s="103"/>
      <c r="E2970" s="103"/>
      <c r="F2970" s="103"/>
      <c r="G2970" s="103"/>
      <c r="H2970" s="103"/>
      <c r="I2970" s="103"/>
      <c r="J2970" s="103"/>
      <c r="K2970" s="103"/>
      <c r="L2970" s="1"/>
    </row>
    <row r="2971" spans="1:12" ht="11.25" customHeight="1" x14ac:dyDescent="0.25">
      <c r="A2971" s="1"/>
      <c r="K2971" s="103"/>
      <c r="L2971" s="1"/>
    </row>
    <row r="2972" spans="1:12" ht="21.95" customHeight="1" x14ac:dyDescent="0.25">
      <c r="A2972" s="1"/>
      <c r="B2972" s="95" t="s">
        <v>77</v>
      </c>
      <c r="H2972" s="26" t="s">
        <v>78</v>
      </c>
      <c r="I2972" s="95"/>
      <c r="J2972" s="92"/>
      <c r="K2972" s="103"/>
      <c r="L2972" s="1"/>
    </row>
    <row r="2973" spans="1:12" ht="21.95" customHeight="1" x14ac:dyDescent="0.25">
      <c r="A2973" s="1"/>
      <c r="B2973" s="99" t="s">
        <v>27</v>
      </c>
      <c r="C2973" s="57"/>
      <c r="H2973" s="28" t="s">
        <v>79</v>
      </c>
      <c r="K2973" s="103"/>
    </row>
    <row r="2976" spans="1:12" ht="21.95" customHeight="1" x14ac:dyDescent="0.25">
      <c r="A2976" s="3" t="s">
        <v>22</v>
      </c>
    </row>
    <row r="2977" spans="1:12" ht="21.95" customHeight="1" x14ac:dyDescent="0.2">
      <c r="A2977" s="122" t="s">
        <v>20</v>
      </c>
    </row>
    <row r="2978" spans="1:12" ht="21.95" customHeight="1" x14ac:dyDescent="0.2">
      <c r="A2978" s="122" t="s">
        <v>21</v>
      </c>
    </row>
    <row r="2982" spans="1:12" ht="21.95" customHeight="1" x14ac:dyDescent="0.3">
      <c r="A2982" s="276" t="s">
        <v>6</v>
      </c>
      <c r="B2982" s="276"/>
      <c r="C2982" s="276"/>
      <c r="D2982" s="276"/>
      <c r="E2982" s="276"/>
      <c r="F2982" s="276"/>
      <c r="G2982" s="276"/>
      <c r="H2982" s="276"/>
      <c r="I2982" s="276"/>
      <c r="J2982" s="276"/>
      <c r="K2982" s="276"/>
      <c r="L2982" s="276"/>
    </row>
    <row r="2983" spans="1:12" ht="21.95" customHeight="1" x14ac:dyDescent="0.3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</row>
    <row r="2984" spans="1:12" ht="21.95" customHeight="1" x14ac:dyDescent="0.3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</row>
    <row r="2985" spans="1:12" ht="21.95" customHeight="1" x14ac:dyDescent="0.25">
      <c r="A2985" s="1"/>
      <c r="B2985" s="1"/>
    </row>
    <row r="2986" spans="1:12" ht="21.95" customHeight="1" x14ac:dyDescent="0.25">
      <c r="A2986" s="1" t="s">
        <v>7</v>
      </c>
      <c r="B2986" s="1"/>
    </row>
    <row r="2987" spans="1:12" ht="21.95" customHeight="1" x14ac:dyDescent="0.25">
      <c r="A2987" s="1"/>
      <c r="B2987" s="1"/>
    </row>
    <row r="2988" spans="1:12" ht="21.95" customHeight="1" x14ac:dyDescent="0.25">
      <c r="A2988" s="1" t="s">
        <v>8</v>
      </c>
      <c r="C2988" s="9" t="s">
        <v>1</v>
      </c>
      <c r="D2988" s="92" t="s">
        <v>555</v>
      </c>
      <c r="E2988" s="76"/>
      <c r="F2988" s="76"/>
      <c r="G2988" s="76"/>
      <c r="H2988" s="76"/>
    </row>
    <row r="2989" spans="1:12" ht="21.95" customHeight="1" x14ac:dyDescent="0.25">
      <c r="A2989" s="1" t="s">
        <v>9</v>
      </c>
      <c r="C2989" s="9" t="s">
        <v>1</v>
      </c>
      <c r="D2989" s="57" t="s">
        <v>236</v>
      </c>
      <c r="E2989" s="76"/>
      <c r="F2989" s="76"/>
      <c r="G2989" s="76"/>
      <c r="H2989" s="76"/>
    </row>
    <row r="2990" spans="1:12" ht="21.95" customHeight="1" x14ac:dyDescent="0.2">
      <c r="A2990" s="50" t="s">
        <v>10</v>
      </c>
      <c r="B2990" s="76"/>
      <c r="C2990" s="91" t="s">
        <v>1</v>
      </c>
      <c r="D2990" s="50" t="s">
        <v>235</v>
      </c>
      <c r="E2990" s="76"/>
      <c r="F2990" s="76"/>
      <c r="G2990" s="76"/>
      <c r="H2990" s="76"/>
      <c r="I2990" s="76"/>
      <c r="J2990" s="76"/>
      <c r="K2990" s="76"/>
      <c r="L2990" s="76"/>
    </row>
    <row r="2991" spans="1:12" ht="21.95" customHeight="1" x14ac:dyDescent="0.25">
      <c r="A2991" s="1"/>
      <c r="B2991" s="1"/>
      <c r="D2991" s="1"/>
    </row>
    <row r="2992" spans="1:12" ht="31.5" customHeight="1" x14ac:dyDescent="0.2">
      <c r="A2992" s="277" t="s">
        <v>484</v>
      </c>
      <c r="B2992" s="277"/>
      <c r="C2992" s="277"/>
      <c r="D2992" s="277"/>
      <c r="E2992" s="277"/>
      <c r="F2992" s="277"/>
      <c r="G2992" s="277"/>
      <c r="H2992" s="277"/>
      <c r="I2992" s="277"/>
      <c r="J2992" s="277"/>
      <c r="K2992" s="277"/>
      <c r="L2992" s="277"/>
    </row>
    <row r="2993" spans="1:12" ht="21.95" customHeight="1" x14ac:dyDescent="0.25">
      <c r="A2993" s="1"/>
      <c r="B2993" s="1"/>
    </row>
    <row r="2994" spans="1:12" ht="31.5" customHeight="1" thickBot="1" x14ac:dyDescent="0.25">
      <c r="A2994" s="10" t="s">
        <v>0</v>
      </c>
      <c r="B2994" s="278" t="s">
        <v>91</v>
      </c>
      <c r="C2994" s="278"/>
      <c r="D2994" s="278"/>
      <c r="E2994" s="278"/>
      <c r="F2994" s="278"/>
      <c r="G2994" s="278"/>
      <c r="H2994" s="278"/>
      <c r="I2994" s="278"/>
      <c r="J2994" s="278"/>
      <c r="K2994" s="278"/>
      <c r="L2994" s="278"/>
    </row>
    <row r="2995" spans="1:12" ht="21.95" customHeight="1" thickTop="1" x14ac:dyDescent="0.25">
      <c r="A2995" s="1"/>
      <c r="B2995" s="11" t="s">
        <v>3</v>
      </c>
      <c r="C2995" s="12" t="s">
        <v>4</v>
      </c>
      <c r="D2995" s="13"/>
      <c r="E2995" s="13"/>
      <c r="F2995" s="13"/>
      <c r="G2995" s="13"/>
      <c r="H2995" s="14"/>
      <c r="I2995" s="15" t="s">
        <v>5</v>
      </c>
      <c r="J2995" s="12" t="s">
        <v>17</v>
      </c>
      <c r="K2995" s="13"/>
      <c r="L2995" s="14"/>
    </row>
    <row r="2996" spans="1:12" ht="21.95" customHeight="1" x14ac:dyDescent="0.2">
      <c r="B2996" s="96">
        <v>1</v>
      </c>
      <c r="C2996" s="140" t="s">
        <v>443</v>
      </c>
      <c r="D2996" s="76"/>
      <c r="E2996" s="150"/>
      <c r="F2996" s="144"/>
      <c r="G2996" s="76"/>
      <c r="H2996" s="79"/>
      <c r="I2996" s="56">
        <v>150000</v>
      </c>
      <c r="J2996" s="76" t="s">
        <v>204</v>
      </c>
      <c r="L2996" s="17"/>
    </row>
    <row r="2997" spans="1:12" ht="21.95" customHeight="1" x14ac:dyDescent="0.2">
      <c r="B2997" s="96"/>
      <c r="C2997" s="313"/>
      <c r="D2997" s="314"/>
      <c r="E2997" s="314"/>
      <c r="F2997" s="314"/>
      <c r="G2997" s="314"/>
      <c r="H2997" s="315"/>
      <c r="I2997" s="56"/>
      <c r="L2997" s="17"/>
    </row>
    <row r="2998" spans="1:12" ht="21.95" customHeight="1" x14ac:dyDescent="0.25">
      <c r="A2998" s="1"/>
      <c r="B2998" s="39"/>
      <c r="C2998" s="1"/>
      <c r="D2998" s="1"/>
      <c r="E2998" s="1"/>
      <c r="F2998" s="40" t="s">
        <v>5</v>
      </c>
      <c r="G2998" s="40"/>
      <c r="H2998" s="1"/>
      <c r="I2998" s="41">
        <f>I2996</f>
        <v>150000</v>
      </c>
      <c r="J2998" s="1"/>
      <c r="K2998" s="1"/>
      <c r="L2998" s="42"/>
    </row>
    <row r="2999" spans="1:12" ht="21.95" customHeight="1" thickBot="1" x14ac:dyDescent="0.3">
      <c r="A2999" s="1"/>
      <c r="B2999" s="43"/>
      <c r="C2999" s="44"/>
      <c r="D2999" s="44"/>
      <c r="E2999" s="44"/>
      <c r="F2999" s="45"/>
      <c r="G2999" s="45"/>
      <c r="H2999" s="44"/>
      <c r="I2999" s="46"/>
      <c r="J2999" s="44"/>
      <c r="K2999" s="44"/>
      <c r="L2999" s="47"/>
    </row>
    <row r="3000" spans="1:12" ht="21.95" customHeight="1" thickTop="1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 ht="49.5" customHeight="1" x14ac:dyDescent="0.2">
      <c r="A3001" s="10" t="s">
        <v>2</v>
      </c>
      <c r="B3001" s="279" t="s">
        <v>11</v>
      </c>
      <c r="C3001" s="279"/>
      <c r="D3001" s="279"/>
      <c r="E3001" s="279"/>
      <c r="F3001" s="279"/>
      <c r="G3001" s="279"/>
      <c r="H3001" s="279"/>
      <c r="I3001" s="279"/>
      <c r="J3001" s="279"/>
      <c r="K3001" s="279"/>
      <c r="L3001" s="279"/>
    </row>
    <row r="3002" spans="1:12" ht="21.95" customHeight="1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 ht="21.95" customHeight="1" x14ac:dyDescent="0.2">
      <c r="A3003" s="280" t="s">
        <v>12</v>
      </c>
      <c r="B3003" s="280"/>
      <c r="C3003" s="280"/>
      <c r="D3003" s="280"/>
      <c r="E3003" s="280"/>
      <c r="F3003" s="280"/>
      <c r="G3003" s="280"/>
      <c r="H3003" s="280"/>
      <c r="I3003" s="280"/>
      <c r="J3003" s="280"/>
      <c r="K3003" s="280"/>
      <c r="L3003" s="280"/>
    </row>
    <row r="3004" spans="1:12" ht="21.95" customHeight="1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 ht="21.95" customHeight="1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 ht="21.95" customHeight="1" x14ac:dyDescent="0.25">
      <c r="A3006" s="1"/>
      <c r="B3006" s="1"/>
      <c r="C3006" s="1"/>
      <c r="D3006" s="1"/>
      <c r="E3006" s="1"/>
      <c r="F3006" s="1"/>
      <c r="G3006" s="1"/>
      <c r="H3006" s="4" t="s">
        <v>199</v>
      </c>
      <c r="J3006" s="286" t="s">
        <v>471</v>
      </c>
      <c r="K3006" s="286"/>
      <c r="L3006" s="286"/>
    </row>
    <row r="3007" spans="1:12" ht="15" customHeight="1" x14ac:dyDescent="0.25">
      <c r="A3007" s="1"/>
      <c r="B3007" s="1" t="s">
        <v>15</v>
      </c>
      <c r="C3007" s="1"/>
      <c r="D3007" s="1"/>
      <c r="E3007" s="1"/>
      <c r="F3007" s="1"/>
      <c r="G3007" s="1"/>
      <c r="H3007" s="4" t="s">
        <v>13</v>
      </c>
    </row>
    <row r="3008" spans="1:12" ht="13.5" customHeight="1" x14ac:dyDescent="0.25">
      <c r="A3008" s="1"/>
      <c r="B3008" s="1" t="s">
        <v>18</v>
      </c>
      <c r="C3008" s="1"/>
      <c r="D3008" s="1"/>
      <c r="E3008" s="1"/>
      <c r="F3008" s="1"/>
      <c r="G3008" s="1"/>
      <c r="H3008" s="4" t="s">
        <v>14</v>
      </c>
    </row>
    <row r="3009" spans="1:12" ht="19.5" customHeight="1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 ht="21.75" hidden="1" customHeight="1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 ht="21.75" hidden="1" customHeight="1" x14ac:dyDescent="0.25">
      <c r="A3011" s="1"/>
      <c r="B3011" s="103"/>
      <c r="C3011" s="103"/>
      <c r="D3011" s="103"/>
      <c r="E3011" s="103"/>
      <c r="F3011" s="103"/>
      <c r="G3011" s="103"/>
      <c r="H3011" s="103"/>
      <c r="I3011" s="103"/>
      <c r="J3011" s="103"/>
      <c r="K3011" s="103"/>
      <c r="L3011" s="1"/>
    </row>
    <row r="3012" spans="1:12" ht="21.95" customHeight="1" x14ac:dyDescent="0.25">
      <c r="A3012" s="1"/>
      <c r="K3012" s="103"/>
      <c r="L3012" s="1"/>
    </row>
    <row r="3013" spans="1:12" ht="21.95" customHeight="1" x14ac:dyDescent="0.25">
      <c r="A3013" s="1"/>
      <c r="B3013" s="95" t="s">
        <v>77</v>
      </c>
      <c r="H3013" s="26" t="s">
        <v>555</v>
      </c>
      <c r="I3013" s="95"/>
      <c r="J3013" s="92"/>
      <c r="K3013" s="103"/>
      <c r="L3013" s="1"/>
    </row>
    <row r="3014" spans="1:12" ht="21.95" customHeight="1" x14ac:dyDescent="0.2">
      <c r="A3014" s="48"/>
      <c r="B3014" s="99" t="s">
        <v>27</v>
      </c>
      <c r="C3014" s="146"/>
      <c r="D3014" s="99"/>
      <c r="E3014" s="99"/>
      <c r="F3014" s="99"/>
      <c r="G3014" s="99"/>
      <c r="H3014" s="28" t="s">
        <v>46</v>
      </c>
      <c r="I3014" s="99"/>
      <c r="J3014" s="99"/>
      <c r="K3014" s="104"/>
      <c r="L3014" s="99"/>
    </row>
    <row r="3017" spans="1:12" ht="21.95" customHeight="1" x14ac:dyDescent="0.25">
      <c r="A3017" s="3" t="s">
        <v>22</v>
      </c>
    </row>
    <row r="3018" spans="1:12" ht="21.95" customHeight="1" x14ac:dyDescent="0.2">
      <c r="A3018" s="122" t="s">
        <v>20</v>
      </c>
    </row>
    <row r="3019" spans="1:12" ht="21.95" customHeight="1" x14ac:dyDescent="0.2">
      <c r="A3019" s="122" t="s">
        <v>21</v>
      </c>
    </row>
    <row r="3023" spans="1:12" ht="21.95" customHeight="1" x14ac:dyDescent="0.3">
      <c r="A3023" s="276" t="s">
        <v>6</v>
      </c>
      <c r="B3023" s="276"/>
      <c r="C3023" s="276"/>
      <c r="D3023" s="276"/>
      <c r="E3023" s="276"/>
      <c r="F3023" s="276"/>
      <c r="G3023" s="276"/>
      <c r="H3023" s="276"/>
      <c r="I3023" s="276"/>
      <c r="J3023" s="276"/>
      <c r="K3023" s="276"/>
      <c r="L3023" s="276"/>
    </row>
    <row r="3024" spans="1:12" ht="21.95" customHeight="1" x14ac:dyDescent="0.3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</row>
    <row r="3025" spans="1:12" ht="21.95" customHeight="1" x14ac:dyDescent="0.3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</row>
    <row r="3026" spans="1:12" ht="21.95" customHeight="1" x14ac:dyDescent="0.25">
      <c r="A3026" s="1"/>
      <c r="B3026" s="1"/>
    </row>
    <row r="3027" spans="1:12" ht="21.95" customHeight="1" x14ac:dyDescent="0.25">
      <c r="A3027" s="1" t="s">
        <v>7</v>
      </c>
      <c r="B3027" s="1"/>
    </row>
    <row r="3028" spans="1:12" ht="21.95" customHeight="1" x14ac:dyDescent="0.25">
      <c r="A3028" s="1"/>
      <c r="B3028" s="1"/>
    </row>
    <row r="3029" spans="1:12" ht="21.95" customHeight="1" x14ac:dyDescent="0.25">
      <c r="A3029" s="1" t="s">
        <v>8</v>
      </c>
      <c r="C3029" s="9" t="s">
        <v>1</v>
      </c>
      <c r="D3029" s="92" t="s">
        <v>96</v>
      </c>
      <c r="E3029" s="76"/>
      <c r="F3029" s="76"/>
      <c r="G3029" s="76"/>
      <c r="H3029" s="76"/>
    </row>
    <row r="3030" spans="1:12" ht="15.75" customHeight="1" x14ac:dyDescent="0.25">
      <c r="A3030" s="1" t="s">
        <v>9</v>
      </c>
      <c r="C3030" s="9" t="s">
        <v>1</v>
      </c>
      <c r="D3030" s="57" t="s">
        <v>200</v>
      </c>
      <c r="E3030" s="76"/>
      <c r="F3030" s="76"/>
      <c r="G3030" s="76"/>
      <c r="H3030" s="76"/>
    </row>
    <row r="3031" spans="1:12" ht="15" customHeight="1" x14ac:dyDescent="0.2">
      <c r="A3031" s="50" t="s">
        <v>10</v>
      </c>
      <c r="B3031" s="76"/>
      <c r="C3031" s="91" t="s">
        <v>1</v>
      </c>
      <c r="D3031" s="50" t="s">
        <v>203</v>
      </c>
      <c r="E3031" s="76"/>
      <c r="F3031" s="76"/>
      <c r="G3031" s="76"/>
      <c r="H3031" s="76"/>
      <c r="I3031" s="76"/>
      <c r="J3031" s="76"/>
      <c r="K3031" s="76"/>
      <c r="L3031" s="76"/>
    </row>
    <row r="3032" spans="1:12" ht="21.95" customHeight="1" x14ac:dyDescent="0.25">
      <c r="A3032" s="1"/>
      <c r="B3032" s="1"/>
      <c r="D3032" s="1"/>
    </row>
    <row r="3033" spans="1:12" ht="30" customHeight="1" x14ac:dyDescent="0.2">
      <c r="A3033" s="277" t="s">
        <v>484</v>
      </c>
      <c r="B3033" s="277"/>
      <c r="C3033" s="277"/>
      <c r="D3033" s="277"/>
      <c r="E3033" s="277"/>
      <c r="F3033" s="277"/>
      <c r="G3033" s="277"/>
      <c r="H3033" s="277"/>
      <c r="I3033" s="277"/>
      <c r="J3033" s="277"/>
      <c r="K3033" s="277"/>
      <c r="L3033" s="277"/>
    </row>
    <row r="3034" spans="1:12" ht="21.95" customHeight="1" x14ac:dyDescent="0.25">
      <c r="A3034" s="1"/>
      <c r="B3034" s="1"/>
    </row>
    <row r="3035" spans="1:12" ht="32.25" customHeight="1" thickBot="1" x14ac:dyDescent="0.25">
      <c r="A3035" s="10" t="s">
        <v>0</v>
      </c>
      <c r="B3035" s="278" t="s">
        <v>91</v>
      </c>
      <c r="C3035" s="278"/>
      <c r="D3035" s="278"/>
      <c r="E3035" s="278"/>
      <c r="F3035" s="278"/>
      <c r="G3035" s="278"/>
      <c r="H3035" s="278"/>
      <c r="I3035" s="278"/>
      <c r="J3035" s="278"/>
      <c r="K3035" s="278"/>
      <c r="L3035" s="278"/>
    </row>
    <row r="3036" spans="1:12" ht="21.95" customHeight="1" thickTop="1" x14ac:dyDescent="0.25">
      <c r="A3036" s="1"/>
      <c r="B3036" s="11" t="s">
        <v>3</v>
      </c>
      <c r="C3036" s="12" t="s">
        <v>4</v>
      </c>
      <c r="D3036" s="13"/>
      <c r="E3036" s="13"/>
      <c r="F3036" s="13"/>
      <c r="G3036" s="13"/>
      <c r="H3036" s="14"/>
      <c r="I3036" s="15" t="s">
        <v>5</v>
      </c>
      <c r="J3036" s="12" t="s">
        <v>17</v>
      </c>
      <c r="K3036" s="13"/>
      <c r="L3036" s="14"/>
    </row>
    <row r="3037" spans="1:12" ht="21.95" customHeight="1" x14ac:dyDescent="0.2">
      <c r="B3037" s="96">
        <v>1</v>
      </c>
      <c r="C3037" s="140" t="s">
        <v>443</v>
      </c>
      <c r="D3037" s="76"/>
      <c r="E3037" s="150"/>
      <c r="F3037" s="144"/>
      <c r="G3037" s="76"/>
      <c r="H3037" s="79"/>
      <c r="I3037" s="56">
        <v>150000</v>
      </c>
      <c r="J3037" s="76" t="s">
        <v>204</v>
      </c>
      <c r="L3037" s="17"/>
    </row>
    <row r="3038" spans="1:12" ht="21.95" customHeight="1" x14ac:dyDescent="0.2">
      <c r="B3038" s="96"/>
      <c r="C3038" s="313"/>
      <c r="D3038" s="314"/>
      <c r="E3038" s="314"/>
      <c r="F3038" s="314"/>
      <c r="G3038" s="314"/>
      <c r="H3038" s="315"/>
      <c r="I3038" s="56"/>
      <c r="L3038" s="17"/>
    </row>
    <row r="3039" spans="1:12" ht="21.95" customHeight="1" x14ac:dyDescent="0.25">
      <c r="A3039" s="1"/>
      <c r="B3039" s="39"/>
      <c r="C3039" s="1"/>
      <c r="D3039" s="1"/>
      <c r="E3039" s="1"/>
      <c r="F3039" s="40" t="s">
        <v>5</v>
      </c>
      <c r="G3039" s="40"/>
      <c r="H3039" s="1"/>
      <c r="I3039" s="41">
        <f>I3037</f>
        <v>150000</v>
      </c>
      <c r="J3039" s="1"/>
      <c r="K3039" s="1"/>
      <c r="L3039" s="42"/>
    </row>
    <row r="3040" spans="1:12" ht="21.95" customHeight="1" thickBot="1" x14ac:dyDescent="0.3">
      <c r="A3040" s="1"/>
      <c r="B3040" s="43"/>
      <c r="C3040" s="44"/>
      <c r="D3040" s="44"/>
      <c r="E3040" s="44"/>
      <c r="F3040" s="45"/>
      <c r="G3040" s="45"/>
      <c r="H3040" s="44"/>
      <c r="I3040" s="46"/>
      <c r="J3040" s="44"/>
      <c r="K3040" s="44"/>
      <c r="L3040" s="47"/>
    </row>
    <row r="3041" spans="1:12" ht="21.95" customHeight="1" thickTop="1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 spans="1:12" ht="28.5" customHeight="1" x14ac:dyDescent="0.2">
      <c r="A3042" s="10" t="s">
        <v>2</v>
      </c>
      <c r="B3042" s="279" t="s">
        <v>11</v>
      </c>
      <c r="C3042" s="279"/>
      <c r="D3042" s="279"/>
      <c r="E3042" s="279"/>
      <c r="F3042" s="279"/>
      <c r="G3042" s="279"/>
      <c r="H3042" s="279"/>
      <c r="I3042" s="279"/>
      <c r="J3042" s="279"/>
      <c r="K3042" s="279"/>
      <c r="L3042" s="279"/>
    </row>
    <row r="3043" spans="1:12" ht="21.95" customHeight="1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 spans="1:12" ht="21.95" customHeight="1" x14ac:dyDescent="0.2">
      <c r="A3044" s="280" t="s">
        <v>12</v>
      </c>
      <c r="B3044" s="280"/>
      <c r="C3044" s="280"/>
      <c r="D3044" s="280"/>
      <c r="E3044" s="280"/>
      <c r="F3044" s="280"/>
      <c r="G3044" s="280"/>
      <c r="H3044" s="280"/>
      <c r="I3044" s="280"/>
      <c r="J3044" s="280"/>
      <c r="K3044" s="280"/>
      <c r="L3044" s="280"/>
    </row>
    <row r="3045" spans="1:12" ht="21.95" customHeight="1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 spans="1:12" ht="21.95" customHeight="1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</row>
    <row r="3047" spans="1:12" ht="21.95" customHeight="1" x14ac:dyDescent="0.25">
      <c r="A3047" s="1"/>
      <c r="B3047" s="1"/>
      <c r="C3047" s="1"/>
      <c r="D3047" s="1"/>
      <c r="E3047" s="1"/>
      <c r="F3047" s="1"/>
      <c r="G3047" s="1"/>
      <c r="J3047" s="286"/>
      <c r="K3047" s="286"/>
      <c r="L3047" s="286"/>
    </row>
    <row r="3048" spans="1:12" ht="12" customHeight="1" x14ac:dyDescent="0.25">
      <c r="A3048" s="1"/>
      <c r="B3048" s="1"/>
      <c r="C3048" s="1"/>
      <c r="D3048" s="1"/>
      <c r="E3048" s="1"/>
      <c r="F3048" s="1"/>
      <c r="G3048" s="1"/>
      <c r="H3048" s="4" t="s">
        <v>199</v>
      </c>
      <c r="J3048" s="286" t="s">
        <v>471</v>
      </c>
      <c r="K3048" s="286"/>
      <c r="L3048" s="286"/>
    </row>
    <row r="3049" spans="1:12" ht="16.5" customHeight="1" x14ac:dyDescent="0.25">
      <c r="A3049" s="1"/>
      <c r="B3049" s="1" t="s">
        <v>15</v>
      </c>
      <c r="C3049" s="1"/>
      <c r="D3049" s="1"/>
      <c r="E3049" s="1"/>
      <c r="F3049" s="1"/>
      <c r="G3049" s="1"/>
      <c r="H3049" s="4" t="s">
        <v>13</v>
      </c>
    </row>
    <row r="3050" spans="1:12" ht="14.25" customHeight="1" x14ac:dyDescent="0.25">
      <c r="A3050" s="1"/>
      <c r="B3050" s="1" t="s">
        <v>18</v>
      </c>
      <c r="C3050" s="1"/>
      <c r="D3050" s="1"/>
      <c r="E3050" s="1"/>
      <c r="F3050" s="1"/>
      <c r="G3050" s="1"/>
      <c r="H3050" s="4" t="s">
        <v>14</v>
      </c>
    </row>
    <row r="3051" spans="1:12" ht="21.95" customHeight="1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</row>
    <row r="3052" spans="1:12" ht="21.95" customHeight="1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 ht="6" customHeight="1" x14ac:dyDescent="0.25">
      <c r="A3053" s="1"/>
      <c r="B3053" s="103"/>
      <c r="C3053" s="103"/>
      <c r="D3053" s="103"/>
      <c r="E3053" s="103"/>
      <c r="F3053" s="103"/>
      <c r="G3053" s="103"/>
      <c r="H3053" s="103"/>
      <c r="I3053" s="103"/>
      <c r="J3053" s="103"/>
      <c r="K3053" s="103"/>
      <c r="L3053" s="1"/>
    </row>
    <row r="3054" spans="1:12" ht="21.75" hidden="1" customHeight="1" x14ac:dyDescent="0.25">
      <c r="A3054" s="1"/>
      <c r="K3054" s="103"/>
      <c r="L3054" s="1"/>
    </row>
    <row r="3055" spans="1:12" ht="21.95" customHeight="1" x14ac:dyDescent="0.25">
      <c r="A3055" s="1"/>
      <c r="B3055" s="95" t="s">
        <v>77</v>
      </c>
      <c r="H3055" s="26" t="s">
        <v>96</v>
      </c>
      <c r="I3055" s="95"/>
      <c r="J3055" s="92"/>
      <c r="K3055" s="103"/>
      <c r="L3055" s="1"/>
    </row>
    <row r="3056" spans="1:12" ht="21.95" customHeight="1" x14ac:dyDescent="0.25">
      <c r="A3056" s="1"/>
      <c r="B3056" s="99" t="s">
        <v>27</v>
      </c>
      <c r="C3056" s="57"/>
      <c r="H3056" s="28" t="s">
        <v>100</v>
      </c>
      <c r="K3056" s="103"/>
    </row>
    <row r="3058" spans="1:12" ht="21.95" customHeight="1" x14ac:dyDescent="0.25">
      <c r="A3058" s="3" t="s">
        <v>22</v>
      </c>
    </row>
    <row r="3059" spans="1:12" ht="15.75" customHeight="1" x14ac:dyDescent="0.2">
      <c r="A3059" s="122" t="s">
        <v>20</v>
      </c>
    </row>
    <row r="3060" spans="1:12" ht="17.25" customHeight="1" x14ac:dyDescent="0.2">
      <c r="A3060" s="122" t="s">
        <v>21</v>
      </c>
    </row>
    <row r="3064" spans="1:12" ht="21.95" customHeight="1" x14ac:dyDescent="0.3">
      <c r="A3064" s="276" t="s">
        <v>6</v>
      </c>
      <c r="B3064" s="276"/>
      <c r="C3064" s="276"/>
      <c r="D3064" s="276"/>
      <c r="E3064" s="276"/>
      <c r="F3064" s="276"/>
      <c r="G3064" s="276"/>
      <c r="H3064" s="276"/>
      <c r="I3064" s="276"/>
      <c r="J3064" s="276"/>
      <c r="K3064" s="276"/>
      <c r="L3064" s="276"/>
    </row>
    <row r="3065" spans="1:12" ht="21.95" customHeight="1" x14ac:dyDescent="0.3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</row>
    <row r="3066" spans="1:12" ht="21.95" customHeight="1" x14ac:dyDescent="0.3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</row>
    <row r="3067" spans="1:12" ht="21.95" customHeight="1" x14ac:dyDescent="0.25">
      <c r="A3067" s="1"/>
      <c r="B3067" s="1"/>
    </row>
    <row r="3068" spans="1:12" ht="21.95" customHeight="1" x14ac:dyDescent="0.25">
      <c r="A3068" s="1" t="s">
        <v>7</v>
      </c>
      <c r="B3068" s="1"/>
    </row>
    <row r="3069" spans="1:12" ht="21.95" customHeight="1" x14ac:dyDescent="0.25">
      <c r="A3069" s="1"/>
      <c r="B3069" s="1"/>
    </row>
    <row r="3070" spans="1:12" ht="21.95" customHeight="1" x14ac:dyDescent="0.25">
      <c r="A3070" s="1" t="s">
        <v>8</v>
      </c>
      <c r="C3070" s="9" t="s">
        <v>1</v>
      </c>
      <c r="D3070" s="92" t="s">
        <v>205</v>
      </c>
      <c r="E3070" s="76"/>
      <c r="F3070" s="76"/>
      <c r="G3070" s="76"/>
      <c r="H3070" s="76"/>
    </row>
    <row r="3071" spans="1:12" ht="21.95" customHeight="1" x14ac:dyDescent="0.25">
      <c r="A3071" s="1" t="s">
        <v>9</v>
      </c>
      <c r="C3071" s="9" t="s">
        <v>1</v>
      </c>
      <c r="D3071" s="146" t="s">
        <v>74</v>
      </c>
      <c r="E3071" s="76"/>
      <c r="F3071" s="76"/>
      <c r="G3071" s="76"/>
      <c r="H3071" s="76"/>
    </row>
    <row r="3072" spans="1:12" ht="21.95" customHeight="1" x14ac:dyDescent="0.2">
      <c r="A3072" s="50" t="s">
        <v>10</v>
      </c>
      <c r="B3072" s="76"/>
      <c r="C3072" s="91" t="s">
        <v>1</v>
      </c>
      <c r="D3072" s="4" t="s">
        <v>243</v>
      </c>
      <c r="E3072" s="76"/>
      <c r="F3072" s="76"/>
      <c r="G3072" s="76"/>
      <c r="H3072" s="76"/>
      <c r="I3072" s="76"/>
      <c r="J3072" s="76"/>
      <c r="K3072" s="76"/>
      <c r="L3072" s="76"/>
    </row>
    <row r="3073" spans="1:12" ht="21.95" customHeight="1" x14ac:dyDescent="0.25">
      <c r="A3073" s="1"/>
      <c r="B3073" s="1"/>
      <c r="D3073" s="1"/>
    </row>
    <row r="3074" spans="1:12" ht="26.25" customHeight="1" x14ac:dyDescent="0.2">
      <c r="A3074" s="277" t="s">
        <v>484</v>
      </c>
      <c r="B3074" s="277"/>
      <c r="C3074" s="277"/>
      <c r="D3074" s="277"/>
      <c r="E3074" s="277"/>
      <c r="F3074" s="277"/>
      <c r="G3074" s="277"/>
      <c r="H3074" s="277"/>
      <c r="I3074" s="277"/>
      <c r="J3074" s="277"/>
      <c r="K3074" s="277"/>
      <c r="L3074" s="277"/>
    </row>
    <row r="3075" spans="1:12" ht="21.95" customHeight="1" x14ac:dyDescent="0.25">
      <c r="A3075" s="1"/>
      <c r="B3075" s="1"/>
    </row>
    <row r="3076" spans="1:12" ht="42" customHeight="1" thickBot="1" x14ac:dyDescent="0.25">
      <c r="A3076" s="10" t="s">
        <v>0</v>
      </c>
      <c r="B3076" s="278" t="s">
        <v>91</v>
      </c>
      <c r="C3076" s="278"/>
      <c r="D3076" s="278"/>
      <c r="E3076" s="278"/>
      <c r="F3076" s="278"/>
      <c r="G3076" s="278"/>
      <c r="H3076" s="278"/>
      <c r="I3076" s="278"/>
      <c r="J3076" s="278"/>
      <c r="K3076" s="278"/>
      <c r="L3076" s="278"/>
    </row>
    <row r="3077" spans="1:12" ht="21.95" customHeight="1" thickTop="1" x14ac:dyDescent="0.25">
      <c r="A3077" s="1"/>
      <c r="B3077" s="11" t="s">
        <v>3</v>
      </c>
      <c r="C3077" s="12" t="s">
        <v>4</v>
      </c>
      <c r="D3077" s="13"/>
      <c r="E3077" s="13"/>
      <c r="F3077" s="13"/>
      <c r="G3077" s="13"/>
      <c r="H3077" s="14"/>
      <c r="I3077" s="15" t="s">
        <v>5</v>
      </c>
      <c r="J3077" s="12" t="s">
        <v>17</v>
      </c>
      <c r="K3077" s="13"/>
      <c r="L3077" s="14"/>
    </row>
    <row r="3078" spans="1:12" ht="21.95" customHeight="1" x14ac:dyDescent="0.2">
      <c r="B3078" s="96">
        <v>1</v>
      </c>
      <c r="C3078" s="140" t="s">
        <v>443</v>
      </c>
      <c r="D3078" s="76"/>
      <c r="E3078" s="150"/>
      <c r="F3078" s="144"/>
      <c r="G3078" s="76"/>
      <c r="H3078" s="79"/>
      <c r="I3078" s="56">
        <v>150000</v>
      </c>
      <c r="J3078" s="76" t="s">
        <v>204</v>
      </c>
      <c r="L3078" s="17"/>
    </row>
    <row r="3079" spans="1:12" ht="21.95" customHeight="1" x14ac:dyDescent="0.2">
      <c r="B3079" s="96"/>
      <c r="C3079" s="313"/>
      <c r="D3079" s="314"/>
      <c r="E3079" s="314"/>
      <c r="F3079" s="314"/>
      <c r="G3079" s="314"/>
      <c r="H3079" s="315"/>
      <c r="I3079" s="56"/>
      <c r="L3079" s="17"/>
    </row>
    <row r="3080" spans="1:12" ht="21.95" customHeight="1" x14ac:dyDescent="0.25">
      <c r="A3080" s="1"/>
      <c r="B3080" s="39"/>
      <c r="C3080" s="1"/>
      <c r="D3080" s="1"/>
      <c r="E3080" s="1"/>
      <c r="F3080" s="40" t="s">
        <v>5</v>
      </c>
      <c r="G3080" s="40"/>
      <c r="H3080" s="1"/>
      <c r="I3080" s="41">
        <f>I3078</f>
        <v>150000</v>
      </c>
      <c r="J3080" s="1"/>
      <c r="K3080" s="1"/>
      <c r="L3080" s="42"/>
    </row>
    <row r="3081" spans="1:12" ht="21.95" customHeight="1" thickBot="1" x14ac:dyDescent="0.3">
      <c r="A3081" s="1"/>
      <c r="B3081" s="43"/>
      <c r="C3081" s="44"/>
      <c r="D3081" s="44"/>
      <c r="E3081" s="44"/>
      <c r="F3081" s="45"/>
      <c r="G3081" s="45"/>
      <c r="H3081" s="44"/>
      <c r="I3081" s="46"/>
      <c r="J3081" s="44"/>
      <c r="K3081" s="44"/>
      <c r="L3081" s="47"/>
    </row>
    <row r="3082" spans="1:12" ht="21.95" customHeight="1" thickTop="1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 spans="1:12" ht="51" customHeight="1" x14ac:dyDescent="0.2">
      <c r="A3083" s="10" t="s">
        <v>2</v>
      </c>
      <c r="B3083" s="279" t="s">
        <v>11</v>
      </c>
      <c r="C3083" s="279"/>
      <c r="D3083" s="279"/>
      <c r="E3083" s="279"/>
      <c r="F3083" s="279"/>
      <c r="G3083" s="279"/>
      <c r="H3083" s="279"/>
      <c r="I3083" s="279"/>
      <c r="J3083" s="279"/>
      <c r="K3083" s="279"/>
      <c r="L3083" s="279"/>
    </row>
    <row r="3084" spans="1:12" ht="21.95" customHeight="1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</row>
    <row r="3085" spans="1:12" ht="21.95" customHeight="1" x14ac:dyDescent="0.2">
      <c r="A3085" s="280" t="s">
        <v>12</v>
      </c>
      <c r="B3085" s="280"/>
      <c r="C3085" s="280"/>
      <c r="D3085" s="280"/>
      <c r="E3085" s="280"/>
      <c r="F3085" s="280"/>
      <c r="G3085" s="280"/>
      <c r="H3085" s="280"/>
      <c r="I3085" s="280"/>
      <c r="J3085" s="280"/>
      <c r="K3085" s="280"/>
      <c r="L3085" s="280"/>
    </row>
    <row r="3086" spans="1:12" ht="21.95" customHeight="1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 ht="21.95" customHeight="1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 ht="21.95" customHeight="1" x14ac:dyDescent="0.25">
      <c r="A3088" s="1"/>
      <c r="B3088" s="1"/>
      <c r="C3088" s="1"/>
      <c r="D3088" s="1"/>
      <c r="E3088" s="1"/>
      <c r="F3088" s="1"/>
      <c r="G3088" s="1"/>
      <c r="H3088" s="4" t="s">
        <v>199</v>
      </c>
      <c r="J3088" s="286" t="s">
        <v>471</v>
      </c>
      <c r="K3088" s="286"/>
      <c r="L3088" s="286"/>
    </row>
    <row r="3089" spans="1:12" ht="15" customHeight="1" x14ac:dyDescent="0.25">
      <c r="A3089" s="1"/>
      <c r="B3089" s="1" t="s">
        <v>15</v>
      </c>
      <c r="C3089" s="1"/>
      <c r="D3089" s="1"/>
      <c r="E3089" s="1"/>
      <c r="F3089" s="1"/>
      <c r="G3089" s="1"/>
      <c r="H3089" s="4" t="s">
        <v>13</v>
      </c>
    </row>
    <row r="3090" spans="1:12" ht="18" customHeight="1" x14ac:dyDescent="0.25">
      <c r="A3090" s="1"/>
      <c r="B3090" s="1" t="s">
        <v>18</v>
      </c>
      <c r="C3090" s="1"/>
      <c r="D3090" s="1"/>
      <c r="E3090" s="1"/>
      <c r="F3090" s="1"/>
      <c r="G3090" s="1"/>
      <c r="H3090" s="4" t="s">
        <v>14</v>
      </c>
    </row>
    <row r="3091" spans="1:12" ht="21.95" customHeight="1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 ht="10.5" customHeight="1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 ht="21.75" hidden="1" customHeight="1" x14ac:dyDescent="0.25">
      <c r="A3093" s="1"/>
      <c r="B3093" s="103"/>
      <c r="C3093" s="103"/>
      <c r="D3093" s="103"/>
      <c r="E3093" s="103"/>
      <c r="F3093" s="103"/>
      <c r="G3093" s="103"/>
      <c r="H3093" s="103"/>
      <c r="I3093" s="103"/>
      <c r="J3093" s="103"/>
      <c r="K3093" s="103"/>
      <c r="L3093" s="1"/>
    </row>
    <row r="3094" spans="1:12" ht="21.75" hidden="1" customHeight="1" x14ac:dyDescent="0.25">
      <c r="A3094" s="1"/>
      <c r="K3094" s="103"/>
      <c r="L3094" s="1"/>
    </row>
    <row r="3095" spans="1:12" ht="21.95" customHeight="1" x14ac:dyDescent="0.25">
      <c r="A3095" s="1"/>
      <c r="B3095" s="95" t="s">
        <v>77</v>
      </c>
      <c r="H3095" s="95" t="str">
        <f>D3070</f>
        <v>Meditha Arumsari, S.TP</v>
      </c>
      <c r="I3095" s="95"/>
      <c r="J3095" s="92"/>
      <c r="K3095" s="103"/>
      <c r="L3095" s="1"/>
    </row>
    <row r="3096" spans="1:12" ht="21.95" customHeight="1" x14ac:dyDescent="0.25">
      <c r="A3096" s="1"/>
      <c r="B3096" s="99" t="s">
        <v>27</v>
      </c>
      <c r="C3096" s="57"/>
      <c r="H3096" s="99"/>
      <c r="K3096" s="103"/>
    </row>
    <row r="3100" spans="1:12" ht="21.95" customHeight="1" x14ac:dyDescent="0.25">
      <c r="A3100" s="3" t="s">
        <v>22</v>
      </c>
    </row>
    <row r="3101" spans="1:12" ht="21.95" customHeight="1" x14ac:dyDescent="0.2">
      <c r="A3101" s="122" t="s">
        <v>20</v>
      </c>
    </row>
    <row r="3102" spans="1:12" ht="21.95" customHeight="1" x14ac:dyDescent="0.2">
      <c r="A3102" s="122" t="s">
        <v>21</v>
      </c>
    </row>
    <row r="3106" spans="1:12" ht="21.95" customHeight="1" x14ac:dyDescent="0.3">
      <c r="A3106" s="276" t="s">
        <v>6</v>
      </c>
      <c r="B3106" s="276"/>
      <c r="C3106" s="276"/>
      <c r="D3106" s="276"/>
      <c r="E3106" s="276"/>
      <c r="F3106" s="276"/>
      <c r="G3106" s="276"/>
      <c r="H3106" s="276"/>
      <c r="I3106" s="276"/>
      <c r="J3106" s="276"/>
      <c r="K3106" s="276"/>
      <c r="L3106" s="276"/>
    </row>
    <row r="3107" spans="1:12" ht="21.95" customHeight="1" x14ac:dyDescent="0.3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</row>
    <row r="3108" spans="1:12" ht="21.95" customHeight="1" x14ac:dyDescent="0.3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</row>
    <row r="3109" spans="1:12" ht="21.95" customHeight="1" x14ac:dyDescent="0.25">
      <c r="A3109" s="1"/>
      <c r="B3109" s="1"/>
    </row>
    <row r="3110" spans="1:12" ht="21.95" customHeight="1" x14ac:dyDescent="0.25">
      <c r="A3110" s="1" t="s">
        <v>7</v>
      </c>
      <c r="B3110" s="1"/>
    </row>
    <row r="3111" spans="1:12" ht="21.95" customHeight="1" x14ac:dyDescent="0.25">
      <c r="A3111" s="1"/>
      <c r="B3111" s="1"/>
    </row>
    <row r="3112" spans="1:12" ht="21.95" customHeight="1" x14ac:dyDescent="0.25">
      <c r="A3112" s="1" t="s">
        <v>8</v>
      </c>
      <c r="C3112" s="9" t="s">
        <v>1</v>
      </c>
      <c r="D3112" s="40" t="s">
        <v>107</v>
      </c>
      <c r="E3112" s="76"/>
      <c r="F3112" s="76"/>
      <c r="G3112" s="76"/>
      <c r="H3112" s="76"/>
    </row>
    <row r="3113" spans="1:12" ht="21.95" customHeight="1" x14ac:dyDescent="0.25">
      <c r="A3113" s="1" t="s">
        <v>9</v>
      </c>
      <c r="C3113" s="9" t="s">
        <v>1</v>
      </c>
      <c r="D3113" s="7" t="s">
        <v>249</v>
      </c>
      <c r="E3113" s="76"/>
      <c r="F3113" s="76"/>
      <c r="G3113" s="76"/>
      <c r="H3113" s="76"/>
    </row>
    <row r="3114" spans="1:12" ht="21.95" customHeight="1" x14ac:dyDescent="0.2">
      <c r="A3114" s="50" t="s">
        <v>10</v>
      </c>
      <c r="B3114" s="76"/>
      <c r="C3114" s="91" t="s">
        <v>1</v>
      </c>
      <c r="D3114" s="50" t="s">
        <v>203</v>
      </c>
      <c r="E3114" s="76"/>
      <c r="F3114" s="76"/>
      <c r="G3114" s="76"/>
      <c r="H3114" s="76"/>
      <c r="I3114" s="76"/>
      <c r="J3114" s="76"/>
      <c r="K3114" s="76"/>
      <c r="L3114" s="76"/>
    </row>
    <row r="3115" spans="1:12" ht="21.95" customHeight="1" x14ac:dyDescent="0.25">
      <c r="A3115" s="1"/>
      <c r="B3115" s="1"/>
      <c r="D3115" s="1"/>
    </row>
    <row r="3116" spans="1:12" ht="30" customHeight="1" x14ac:dyDescent="0.2">
      <c r="A3116" s="277" t="s">
        <v>484</v>
      </c>
      <c r="B3116" s="277"/>
      <c r="C3116" s="277"/>
      <c r="D3116" s="277"/>
      <c r="E3116" s="277"/>
      <c r="F3116" s="277"/>
      <c r="G3116" s="277"/>
      <c r="H3116" s="277"/>
      <c r="I3116" s="277"/>
      <c r="J3116" s="277"/>
      <c r="K3116" s="277"/>
      <c r="L3116" s="277"/>
    </row>
    <row r="3117" spans="1:12" ht="21.95" customHeight="1" x14ac:dyDescent="0.25">
      <c r="A3117" s="1"/>
      <c r="B3117" s="1"/>
    </row>
    <row r="3118" spans="1:12" ht="31.5" customHeight="1" thickBot="1" x14ac:dyDescent="0.25">
      <c r="A3118" s="10" t="s">
        <v>0</v>
      </c>
      <c r="B3118" s="278" t="s">
        <v>91</v>
      </c>
      <c r="C3118" s="278"/>
      <c r="D3118" s="278"/>
      <c r="E3118" s="278"/>
      <c r="F3118" s="278"/>
      <c r="G3118" s="278"/>
      <c r="H3118" s="278"/>
      <c r="I3118" s="278"/>
      <c r="J3118" s="278"/>
      <c r="K3118" s="278"/>
      <c r="L3118" s="278"/>
    </row>
    <row r="3119" spans="1:12" ht="31.5" customHeight="1" thickTop="1" x14ac:dyDescent="0.25">
      <c r="A3119" s="1"/>
      <c r="B3119" s="11" t="s">
        <v>3</v>
      </c>
      <c r="C3119" s="12" t="s">
        <v>4</v>
      </c>
      <c r="D3119" s="13"/>
      <c r="E3119" s="13"/>
      <c r="F3119" s="13"/>
      <c r="G3119" s="13"/>
      <c r="H3119" s="14"/>
      <c r="I3119" s="15" t="s">
        <v>5</v>
      </c>
      <c r="J3119" s="12" t="s">
        <v>17</v>
      </c>
      <c r="K3119" s="13"/>
      <c r="L3119" s="14"/>
    </row>
    <row r="3120" spans="1:12" ht="21.95" customHeight="1" x14ac:dyDescent="0.2">
      <c r="B3120" s="96">
        <v>1</v>
      </c>
      <c r="C3120" s="140" t="s">
        <v>443</v>
      </c>
      <c r="D3120" s="76"/>
      <c r="E3120" s="150"/>
      <c r="F3120" s="144"/>
      <c r="G3120" s="76"/>
      <c r="H3120" s="79"/>
      <c r="I3120" s="56">
        <v>150000</v>
      </c>
      <c r="J3120" s="76" t="s">
        <v>204</v>
      </c>
      <c r="L3120" s="17"/>
    </row>
    <row r="3121" spans="1:12" ht="21.95" customHeight="1" x14ac:dyDescent="0.2">
      <c r="B3121" s="96"/>
      <c r="C3121" s="313"/>
      <c r="D3121" s="314"/>
      <c r="E3121" s="314"/>
      <c r="F3121" s="314"/>
      <c r="G3121" s="314"/>
      <c r="H3121" s="315"/>
      <c r="I3121" s="56"/>
      <c r="L3121" s="17"/>
    </row>
    <row r="3122" spans="1:12" ht="21.95" customHeight="1" x14ac:dyDescent="0.25">
      <c r="A3122" s="1"/>
      <c r="B3122" s="39"/>
      <c r="C3122" s="1"/>
      <c r="D3122" s="1"/>
      <c r="E3122" s="1"/>
      <c r="F3122" s="40" t="s">
        <v>5</v>
      </c>
      <c r="G3122" s="40"/>
      <c r="H3122" s="1"/>
      <c r="I3122" s="41">
        <v>150000</v>
      </c>
      <c r="J3122" s="1"/>
      <c r="K3122" s="1"/>
      <c r="L3122" s="42"/>
    </row>
    <row r="3123" spans="1:12" ht="21.95" customHeight="1" thickBot="1" x14ac:dyDescent="0.3">
      <c r="A3123" s="1"/>
      <c r="B3123" s="43"/>
      <c r="C3123" s="44"/>
      <c r="D3123" s="44"/>
      <c r="E3123" s="44"/>
      <c r="F3123" s="45"/>
      <c r="G3123" s="45"/>
      <c r="H3123" s="44"/>
      <c r="I3123" s="46"/>
      <c r="J3123" s="44"/>
      <c r="K3123" s="44"/>
      <c r="L3123" s="47"/>
    </row>
    <row r="3124" spans="1:12" ht="21.95" customHeight="1" thickTop="1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</row>
    <row r="3125" spans="1:12" ht="52.5" customHeight="1" x14ac:dyDescent="0.2">
      <c r="A3125" s="10" t="s">
        <v>2</v>
      </c>
      <c r="B3125" s="279" t="s">
        <v>11</v>
      </c>
      <c r="C3125" s="279"/>
      <c r="D3125" s="279"/>
      <c r="E3125" s="279"/>
      <c r="F3125" s="279"/>
      <c r="G3125" s="279"/>
      <c r="H3125" s="279"/>
      <c r="I3125" s="279"/>
      <c r="J3125" s="279"/>
      <c r="K3125" s="279"/>
      <c r="L3125" s="279"/>
    </row>
    <row r="3126" spans="1:12" ht="21.95" customHeight="1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 ht="21.95" customHeight="1" x14ac:dyDescent="0.2">
      <c r="A3127" s="280" t="s">
        <v>12</v>
      </c>
      <c r="B3127" s="280"/>
      <c r="C3127" s="280"/>
      <c r="D3127" s="280"/>
      <c r="E3127" s="280"/>
      <c r="F3127" s="280"/>
      <c r="G3127" s="280"/>
      <c r="H3127" s="280"/>
      <c r="I3127" s="280"/>
      <c r="J3127" s="280"/>
      <c r="K3127" s="280"/>
      <c r="L3127" s="280"/>
    </row>
    <row r="3128" spans="1:12" ht="21.95" customHeight="1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 ht="21.95" customHeight="1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</row>
    <row r="3130" spans="1:12" ht="21.95" customHeight="1" x14ac:dyDescent="0.25">
      <c r="A3130" s="1"/>
      <c r="B3130" s="1"/>
      <c r="C3130" s="1"/>
      <c r="D3130" s="1"/>
      <c r="E3130" s="1"/>
      <c r="F3130" s="1"/>
      <c r="G3130" s="1"/>
      <c r="H3130" s="4" t="s">
        <v>199</v>
      </c>
      <c r="J3130" s="286" t="s">
        <v>471</v>
      </c>
      <c r="K3130" s="286"/>
      <c r="L3130" s="286"/>
    </row>
    <row r="3131" spans="1:12" ht="17.25" customHeight="1" x14ac:dyDescent="0.25">
      <c r="A3131" s="1"/>
      <c r="B3131" s="1" t="s">
        <v>15</v>
      </c>
      <c r="C3131" s="1"/>
      <c r="D3131" s="1"/>
      <c r="E3131" s="1"/>
      <c r="F3131" s="1"/>
      <c r="G3131" s="1"/>
      <c r="H3131" s="4" t="s">
        <v>13</v>
      </c>
    </row>
    <row r="3132" spans="1:12" ht="15" customHeight="1" x14ac:dyDescent="0.25">
      <c r="A3132" s="1"/>
      <c r="B3132" s="1" t="s">
        <v>18</v>
      </c>
      <c r="C3132" s="1"/>
      <c r="D3132" s="1"/>
      <c r="E3132" s="1"/>
      <c r="F3132" s="1"/>
      <c r="G3132" s="1"/>
      <c r="H3132" s="4" t="s">
        <v>14</v>
      </c>
    </row>
    <row r="3133" spans="1:12" ht="21.95" customHeight="1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</row>
    <row r="3134" spans="1:12" ht="13.5" customHeight="1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</row>
    <row r="3135" spans="1:12" ht="16.5" customHeight="1" x14ac:dyDescent="0.25">
      <c r="A3135" s="1"/>
      <c r="B3135" s="103"/>
      <c r="C3135" s="103"/>
      <c r="D3135" s="103"/>
      <c r="E3135" s="103"/>
      <c r="F3135" s="103"/>
      <c r="G3135" s="103"/>
      <c r="H3135" s="103"/>
      <c r="I3135" s="103"/>
      <c r="J3135" s="103"/>
      <c r="K3135" s="103"/>
      <c r="L3135" s="1"/>
    </row>
    <row r="3136" spans="1:12" ht="21.75" hidden="1" customHeight="1" x14ac:dyDescent="0.25">
      <c r="A3136" s="1"/>
      <c r="K3136" s="103"/>
      <c r="L3136" s="1"/>
    </row>
    <row r="3137" spans="1:12" ht="21.95" customHeight="1" x14ac:dyDescent="0.25">
      <c r="A3137" s="1"/>
      <c r="B3137" s="95" t="s">
        <v>77</v>
      </c>
      <c r="H3137" s="37" t="s">
        <v>107</v>
      </c>
      <c r="I3137" s="95"/>
      <c r="J3137" s="92"/>
      <c r="K3137" s="103"/>
      <c r="L3137" s="1"/>
    </row>
    <row r="3138" spans="1:12" ht="21.95" customHeight="1" x14ac:dyDescent="0.25">
      <c r="A3138" s="1"/>
      <c r="B3138" s="99" t="s">
        <v>27</v>
      </c>
      <c r="C3138" s="57"/>
      <c r="H3138" s="48" t="s">
        <v>72</v>
      </c>
      <c r="K3138" s="103"/>
    </row>
    <row r="3144" spans="1:12" ht="21.95" customHeight="1" x14ac:dyDescent="0.25">
      <c r="A3144" s="3" t="s">
        <v>22</v>
      </c>
    </row>
    <row r="3145" spans="1:12" ht="21.95" customHeight="1" x14ac:dyDescent="0.2">
      <c r="A3145" s="122" t="s">
        <v>20</v>
      </c>
    </row>
    <row r="3146" spans="1:12" ht="21.95" customHeight="1" x14ac:dyDescent="0.2">
      <c r="A3146" s="122" t="s">
        <v>21</v>
      </c>
    </row>
    <row r="3150" spans="1:12" ht="21.95" customHeight="1" x14ac:dyDescent="0.3">
      <c r="A3150" s="276" t="s">
        <v>6</v>
      </c>
      <c r="B3150" s="276"/>
      <c r="C3150" s="276"/>
      <c r="D3150" s="276"/>
      <c r="E3150" s="276"/>
      <c r="F3150" s="276"/>
      <c r="G3150" s="276"/>
      <c r="H3150" s="276"/>
      <c r="I3150" s="276"/>
      <c r="J3150" s="276"/>
      <c r="K3150" s="276"/>
      <c r="L3150" s="276"/>
    </row>
    <row r="3151" spans="1:12" ht="21.95" customHeight="1" x14ac:dyDescent="0.3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</row>
    <row r="3152" spans="1:12" ht="21.95" customHeight="1" x14ac:dyDescent="0.3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</row>
    <row r="3153" spans="1:12" ht="21.95" customHeight="1" x14ac:dyDescent="0.25">
      <c r="A3153" s="1"/>
      <c r="B3153" s="1"/>
    </row>
    <row r="3154" spans="1:12" ht="21.95" customHeight="1" x14ac:dyDescent="0.25">
      <c r="A3154" s="1" t="s">
        <v>7</v>
      </c>
      <c r="B3154" s="1"/>
    </row>
    <row r="3155" spans="1:12" ht="21.95" customHeight="1" x14ac:dyDescent="0.25">
      <c r="A3155" s="1"/>
      <c r="B3155" s="1"/>
    </row>
    <row r="3156" spans="1:12" ht="21.95" customHeight="1" x14ac:dyDescent="0.25">
      <c r="A3156" s="1" t="s">
        <v>8</v>
      </c>
      <c r="C3156" s="9" t="s">
        <v>1</v>
      </c>
      <c r="D3156" s="92" t="s">
        <v>77</v>
      </c>
      <c r="E3156" s="76"/>
      <c r="F3156" s="76"/>
      <c r="G3156" s="76"/>
      <c r="H3156" s="76"/>
    </row>
    <row r="3157" spans="1:12" ht="13.5" customHeight="1" x14ac:dyDescent="0.25">
      <c r="A3157" s="1" t="s">
        <v>9</v>
      </c>
      <c r="C3157" s="9" t="s">
        <v>1</v>
      </c>
      <c r="D3157" s="146" t="s">
        <v>201</v>
      </c>
      <c r="E3157" s="76"/>
      <c r="F3157" s="76"/>
      <c r="G3157" s="76"/>
      <c r="H3157" s="76"/>
    </row>
    <row r="3158" spans="1:12" ht="21.95" customHeight="1" x14ac:dyDescent="0.2">
      <c r="A3158" s="50" t="s">
        <v>10</v>
      </c>
      <c r="B3158" s="76"/>
      <c r="C3158" s="91" t="s">
        <v>1</v>
      </c>
      <c r="D3158" s="4" t="s">
        <v>265</v>
      </c>
      <c r="E3158" s="76"/>
      <c r="F3158" s="76"/>
      <c r="G3158" s="76"/>
      <c r="H3158" s="76"/>
      <c r="I3158" s="76"/>
      <c r="J3158" s="76"/>
      <c r="K3158" s="76"/>
      <c r="L3158" s="76"/>
    </row>
    <row r="3159" spans="1:12" ht="21.95" customHeight="1" x14ac:dyDescent="0.25">
      <c r="A3159" s="1"/>
      <c r="B3159" s="1"/>
      <c r="D3159" s="1"/>
    </row>
    <row r="3160" spans="1:12" ht="21.95" customHeight="1" x14ac:dyDescent="0.2">
      <c r="A3160" s="277" t="s">
        <v>484</v>
      </c>
      <c r="B3160" s="277"/>
      <c r="C3160" s="277"/>
      <c r="D3160" s="277"/>
      <c r="E3160" s="277"/>
      <c r="F3160" s="277"/>
      <c r="G3160" s="277"/>
      <c r="H3160" s="277"/>
      <c r="I3160" s="277"/>
      <c r="J3160" s="277"/>
      <c r="K3160" s="277"/>
      <c r="L3160" s="277"/>
    </row>
    <row r="3161" spans="1:12" ht="21.95" customHeight="1" x14ac:dyDescent="0.25">
      <c r="A3161" s="1"/>
      <c r="B3161" s="1"/>
    </row>
    <row r="3162" spans="1:12" ht="34.5" customHeight="1" thickBot="1" x14ac:dyDescent="0.25">
      <c r="A3162" s="10" t="s">
        <v>0</v>
      </c>
      <c r="B3162" s="278" t="s">
        <v>91</v>
      </c>
      <c r="C3162" s="278"/>
      <c r="D3162" s="278"/>
      <c r="E3162" s="278"/>
      <c r="F3162" s="278"/>
      <c r="G3162" s="278"/>
      <c r="H3162" s="278"/>
      <c r="I3162" s="278"/>
      <c r="J3162" s="278"/>
      <c r="K3162" s="278"/>
      <c r="L3162" s="278"/>
    </row>
    <row r="3163" spans="1:12" ht="21.95" customHeight="1" thickTop="1" x14ac:dyDescent="0.25">
      <c r="A3163" s="1"/>
      <c r="B3163" s="11" t="s">
        <v>3</v>
      </c>
      <c r="C3163" s="12" t="s">
        <v>4</v>
      </c>
      <c r="D3163" s="13"/>
      <c r="E3163" s="13"/>
      <c r="F3163" s="13"/>
      <c r="G3163" s="13"/>
      <c r="H3163" s="14"/>
      <c r="I3163" s="15" t="s">
        <v>5</v>
      </c>
      <c r="J3163" s="12" t="s">
        <v>17</v>
      </c>
      <c r="K3163" s="13"/>
      <c r="L3163" s="14"/>
    </row>
    <row r="3164" spans="1:12" ht="21.95" customHeight="1" x14ac:dyDescent="0.2">
      <c r="B3164" s="96">
        <v>1</v>
      </c>
      <c r="C3164" s="140" t="s">
        <v>443</v>
      </c>
      <c r="D3164" s="76"/>
      <c r="E3164" s="150"/>
      <c r="F3164" s="144"/>
      <c r="G3164" s="76"/>
      <c r="H3164" s="79"/>
      <c r="I3164" s="56">
        <v>150000</v>
      </c>
      <c r="J3164" s="76" t="s">
        <v>204</v>
      </c>
      <c r="L3164" s="17"/>
    </row>
    <row r="3165" spans="1:12" ht="21.95" customHeight="1" x14ac:dyDescent="0.2">
      <c r="B3165" s="96"/>
      <c r="C3165" s="313"/>
      <c r="D3165" s="314"/>
      <c r="E3165" s="314"/>
      <c r="F3165" s="314"/>
      <c r="G3165" s="314"/>
      <c r="H3165" s="315"/>
      <c r="I3165" s="56"/>
      <c r="L3165" s="17"/>
    </row>
    <row r="3166" spans="1:12" ht="21.95" customHeight="1" x14ac:dyDescent="0.25">
      <c r="A3166" s="1"/>
      <c r="B3166" s="39"/>
      <c r="C3166" s="1"/>
      <c r="D3166" s="1"/>
      <c r="E3166" s="1"/>
      <c r="F3166" s="40" t="s">
        <v>5</v>
      </c>
      <c r="G3166" s="40"/>
      <c r="H3166" s="1"/>
      <c r="I3166" s="41">
        <v>150000</v>
      </c>
      <c r="J3166" s="1"/>
      <c r="K3166" s="1"/>
      <c r="L3166" s="42"/>
    </row>
    <row r="3167" spans="1:12" ht="21.95" customHeight="1" thickBot="1" x14ac:dyDescent="0.3">
      <c r="A3167" s="1"/>
      <c r="B3167" s="43"/>
      <c r="C3167" s="44"/>
      <c r="D3167" s="44"/>
      <c r="E3167" s="44"/>
      <c r="F3167" s="45"/>
      <c r="G3167" s="45"/>
      <c r="H3167" s="44"/>
      <c r="I3167" s="46"/>
      <c r="J3167" s="44"/>
      <c r="K3167" s="44"/>
      <c r="L3167" s="47"/>
    </row>
    <row r="3168" spans="1:12" ht="21.95" customHeight="1" thickTop="1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</row>
    <row r="3169" spans="1:12" ht="40.5" customHeight="1" x14ac:dyDescent="0.2">
      <c r="A3169" s="10" t="s">
        <v>2</v>
      </c>
      <c r="B3169" s="279" t="s">
        <v>11</v>
      </c>
      <c r="C3169" s="279"/>
      <c r="D3169" s="279"/>
      <c r="E3169" s="279"/>
      <c r="F3169" s="279"/>
      <c r="G3169" s="279"/>
      <c r="H3169" s="279"/>
      <c r="I3169" s="279"/>
      <c r="J3169" s="279"/>
      <c r="K3169" s="279"/>
      <c r="L3169" s="279"/>
    </row>
    <row r="3170" spans="1:12" ht="21.95" customHeight="1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</row>
    <row r="3171" spans="1:12" ht="21.95" customHeight="1" x14ac:dyDescent="0.2">
      <c r="A3171" s="280" t="s">
        <v>12</v>
      </c>
      <c r="B3171" s="280"/>
      <c r="C3171" s="280"/>
      <c r="D3171" s="280"/>
      <c r="E3171" s="280"/>
      <c r="F3171" s="280"/>
      <c r="G3171" s="280"/>
      <c r="H3171" s="280"/>
      <c r="I3171" s="280"/>
      <c r="J3171" s="280"/>
      <c r="K3171" s="280"/>
      <c r="L3171" s="280"/>
    </row>
    <row r="3172" spans="1:12" ht="21.95" customHeight="1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</row>
    <row r="3173" spans="1:12" ht="21.95" customHeight="1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</row>
    <row r="3174" spans="1:12" ht="21.95" customHeight="1" x14ac:dyDescent="0.25">
      <c r="A3174" s="1"/>
      <c r="B3174" s="1"/>
      <c r="C3174" s="1"/>
      <c r="D3174" s="1"/>
      <c r="E3174" s="1"/>
      <c r="F3174" s="1"/>
      <c r="G3174" s="1"/>
      <c r="H3174" s="4" t="s">
        <v>199</v>
      </c>
      <c r="J3174" s="286" t="s">
        <v>471</v>
      </c>
      <c r="K3174" s="286"/>
      <c r="L3174" s="286"/>
    </row>
    <row r="3175" spans="1:12" ht="15.75" customHeight="1" x14ac:dyDescent="0.25">
      <c r="A3175" s="1"/>
      <c r="B3175" s="1" t="s">
        <v>15</v>
      </c>
      <c r="C3175" s="1"/>
      <c r="D3175" s="1"/>
      <c r="E3175" s="1"/>
      <c r="F3175" s="1"/>
      <c r="G3175" s="1"/>
      <c r="H3175" s="4" t="s">
        <v>13</v>
      </c>
    </row>
    <row r="3176" spans="1:12" ht="11.25" customHeight="1" x14ac:dyDescent="0.25">
      <c r="A3176" s="1"/>
      <c r="B3176" s="1" t="s">
        <v>18</v>
      </c>
      <c r="C3176" s="1"/>
      <c r="D3176" s="1"/>
      <c r="E3176" s="1"/>
      <c r="F3176" s="1"/>
      <c r="G3176" s="1"/>
      <c r="H3176" s="4" t="s">
        <v>14</v>
      </c>
    </row>
    <row r="3177" spans="1:12" ht="21.95" customHeight="1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</row>
    <row r="3178" spans="1:12" ht="21.95" customHeight="1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</row>
    <row r="3179" spans="1:12" ht="8.25" customHeight="1" x14ac:dyDescent="0.25">
      <c r="A3179" s="1"/>
      <c r="B3179" s="103"/>
      <c r="C3179" s="103"/>
      <c r="D3179" s="103"/>
      <c r="E3179" s="103"/>
      <c r="F3179" s="103"/>
      <c r="G3179" s="103"/>
      <c r="H3179" s="103"/>
      <c r="I3179" s="103"/>
      <c r="J3179" s="103"/>
      <c r="K3179" s="103"/>
      <c r="L3179" s="1"/>
    </row>
    <row r="3180" spans="1:12" ht="21.75" hidden="1" customHeight="1" x14ac:dyDescent="0.25">
      <c r="A3180" s="1"/>
      <c r="K3180" s="103"/>
      <c r="L3180" s="1"/>
    </row>
    <row r="3181" spans="1:12" ht="21.95" customHeight="1" x14ac:dyDescent="0.25">
      <c r="A3181" s="1"/>
      <c r="B3181" s="95" t="s">
        <v>77</v>
      </c>
      <c r="H3181" s="95" t="s">
        <v>77</v>
      </c>
      <c r="I3181" s="95"/>
      <c r="J3181" s="92"/>
      <c r="K3181" s="103"/>
      <c r="L3181" s="1"/>
    </row>
    <row r="3182" spans="1:12" ht="21.95" customHeight="1" x14ac:dyDescent="0.25">
      <c r="A3182" s="1"/>
      <c r="B3182" s="99" t="s">
        <v>27</v>
      </c>
      <c r="C3182" s="57"/>
      <c r="H3182" s="99" t="s">
        <v>27</v>
      </c>
      <c r="K3182" s="103"/>
    </row>
    <row r="3186" spans="1:12" ht="21.95" customHeight="1" x14ac:dyDescent="0.25">
      <c r="A3186" s="3" t="s">
        <v>22</v>
      </c>
    </row>
    <row r="3187" spans="1:12" ht="21.95" customHeight="1" x14ac:dyDescent="0.2">
      <c r="A3187" s="122" t="s">
        <v>20</v>
      </c>
    </row>
    <row r="3188" spans="1:12" ht="21.95" customHeight="1" x14ac:dyDescent="0.2">
      <c r="A3188" s="122" t="s">
        <v>21</v>
      </c>
    </row>
    <row r="3192" spans="1:12" ht="21.95" customHeight="1" x14ac:dyDescent="0.3">
      <c r="A3192" s="276" t="s">
        <v>6</v>
      </c>
      <c r="B3192" s="276"/>
      <c r="C3192" s="276"/>
      <c r="D3192" s="276"/>
      <c r="E3192" s="276"/>
      <c r="F3192" s="276"/>
      <c r="G3192" s="276"/>
      <c r="H3192" s="276"/>
      <c r="I3192" s="276"/>
      <c r="J3192" s="276"/>
      <c r="K3192" s="276"/>
      <c r="L3192" s="276"/>
    </row>
    <row r="3193" spans="1:12" ht="21.95" customHeight="1" x14ac:dyDescent="0.3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</row>
    <row r="3194" spans="1:12" ht="21.95" customHeight="1" x14ac:dyDescent="0.3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</row>
    <row r="3195" spans="1:12" ht="21.95" customHeight="1" x14ac:dyDescent="0.25">
      <c r="A3195" s="1"/>
      <c r="B3195" s="1"/>
    </row>
    <row r="3196" spans="1:12" ht="21.95" customHeight="1" x14ac:dyDescent="0.25">
      <c r="A3196" s="1" t="s">
        <v>7</v>
      </c>
      <c r="B3196" s="1"/>
    </row>
    <row r="3197" spans="1:12" ht="13.5" customHeight="1" x14ac:dyDescent="0.25">
      <c r="A3197" s="1"/>
      <c r="B3197" s="1"/>
    </row>
    <row r="3198" spans="1:12" ht="21.95" customHeight="1" x14ac:dyDescent="0.25">
      <c r="A3198" s="1" t="s">
        <v>8</v>
      </c>
      <c r="C3198" s="9" t="s">
        <v>1</v>
      </c>
      <c r="D3198" s="40" t="s">
        <v>159</v>
      </c>
      <c r="E3198" s="76"/>
      <c r="F3198" s="76"/>
      <c r="G3198" s="76"/>
      <c r="H3198" s="76"/>
    </row>
    <row r="3199" spans="1:12" ht="16.5" customHeight="1" x14ac:dyDescent="0.25">
      <c r="A3199" s="1" t="s">
        <v>9</v>
      </c>
      <c r="C3199" s="9" t="s">
        <v>1</v>
      </c>
      <c r="D3199" s="10" t="s">
        <v>465</v>
      </c>
      <c r="E3199" s="76"/>
      <c r="F3199" s="76"/>
      <c r="G3199" s="76"/>
      <c r="H3199" s="76"/>
    </row>
    <row r="3200" spans="1:12" ht="21.95" customHeight="1" x14ac:dyDescent="0.2">
      <c r="A3200" s="50" t="s">
        <v>10</v>
      </c>
      <c r="B3200" s="76"/>
      <c r="C3200" s="91" t="s">
        <v>1</v>
      </c>
      <c r="D3200" s="50" t="s">
        <v>275</v>
      </c>
      <c r="E3200" s="76"/>
      <c r="F3200" s="76"/>
      <c r="G3200" s="76"/>
      <c r="H3200" s="76"/>
      <c r="I3200" s="76"/>
      <c r="J3200" s="76"/>
      <c r="K3200" s="76"/>
      <c r="L3200" s="76"/>
    </row>
    <row r="3201" spans="1:12" ht="21.95" customHeight="1" x14ac:dyDescent="0.25">
      <c r="A3201" s="1"/>
      <c r="B3201" s="1"/>
      <c r="D3201" s="1"/>
    </row>
    <row r="3202" spans="1:12" ht="33" customHeight="1" x14ac:dyDescent="0.2">
      <c r="A3202" s="277" t="s">
        <v>484</v>
      </c>
      <c r="B3202" s="277"/>
      <c r="C3202" s="277"/>
      <c r="D3202" s="277"/>
      <c r="E3202" s="277"/>
      <c r="F3202" s="277"/>
      <c r="G3202" s="277"/>
      <c r="H3202" s="277"/>
      <c r="I3202" s="277"/>
      <c r="J3202" s="277"/>
      <c r="K3202" s="277"/>
      <c r="L3202" s="277"/>
    </row>
    <row r="3203" spans="1:12" ht="21.95" customHeight="1" x14ac:dyDescent="0.25">
      <c r="A3203" s="1"/>
      <c r="B3203" s="1"/>
    </row>
    <row r="3204" spans="1:12" ht="36" customHeight="1" thickBot="1" x14ac:dyDescent="0.25">
      <c r="A3204" s="10" t="s">
        <v>0</v>
      </c>
      <c r="B3204" s="278" t="s">
        <v>91</v>
      </c>
      <c r="C3204" s="278"/>
      <c r="D3204" s="278"/>
      <c r="E3204" s="278"/>
      <c r="F3204" s="278"/>
      <c r="G3204" s="278"/>
      <c r="H3204" s="278"/>
      <c r="I3204" s="278"/>
      <c r="J3204" s="278"/>
      <c r="K3204" s="278"/>
      <c r="L3204" s="278"/>
    </row>
    <row r="3205" spans="1:12" ht="21.95" customHeight="1" thickTop="1" x14ac:dyDescent="0.25">
      <c r="A3205" s="1"/>
      <c r="B3205" s="11" t="s">
        <v>3</v>
      </c>
      <c r="C3205" s="12" t="s">
        <v>4</v>
      </c>
      <c r="D3205" s="13"/>
      <c r="E3205" s="13"/>
      <c r="F3205" s="13"/>
      <c r="G3205" s="13"/>
      <c r="H3205" s="14"/>
      <c r="I3205" s="15" t="s">
        <v>5</v>
      </c>
      <c r="J3205" s="12" t="s">
        <v>17</v>
      </c>
      <c r="K3205" s="13"/>
      <c r="L3205" s="14"/>
    </row>
    <row r="3206" spans="1:12" ht="21.95" customHeight="1" x14ac:dyDescent="0.2">
      <c r="B3206" s="96">
        <v>1</v>
      </c>
      <c r="C3206" s="140" t="s">
        <v>443</v>
      </c>
      <c r="D3206" s="76"/>
      <c r="E3206" s="150"/>
      <c r="F3206" s="144"/>
      <c r="G3206" s="76"/>
      <c r="H3206" s="79"/>
      <c r="I3206" s="56">
        <v>150000</v>
      </c>
      <c r="J3206" s="76" t="s">
        <v>204</v>
      </c>
      <c r="L3206" s="17"/>
    </row>
    <row r="3207" spans="1:12" ht="21.95" customHeight="1" x14ac:dyDescent="0.2">
      <c r="B3207" s="96"/>
      <c r="C3207" s="313"/>
      <c r="D3207" s="314"/>
      <c r="E3207" s="314"/>
      <c r="F3207" s="314"/>
      <c r="G3207" s="314"/>
      <c r="H3207" s="315"/>
      <c r="I3207" s="56"/>
      <c r="L3207" s="17"/>
    </row>
    <row r="3208" spans="1:12" ht="21.95" customHeight="1" x14ac:dyDescent="0.25">
      <c r="A3208" s="1"/>
      <c r="B3208" s="39"/>
      <c r="C3208" s="1"/>
      <c r="D3208" s="1"/>
      <c r="E3208" s="1"/>
      <c r="F3208" s="40" t="s">
        <v>5</v>
      </c>
      <c r="G3208" s="40"/>
      <c r="H3208" s="1"/>
      <c r="I3208" s="41">
        <v>150000</v>
      </c>
      <c r="J3208" s="1"/>
      <c r="K3208" s="1"/>
      <c r="L3208" s="42"/>
    </row>
    <row r="3209" spans="1:12" ht="21.95" customHeight="1" thickBot="1" x14ac:dyDescent="0.3">
      <c r="A3209" s="1"/>
      <c r="B3209" s="43"/>
      <c r="C3209" s="44"/>
      <c r="D3209" s="44"/>
      <c r="E3209" s="44"/>
      <c r="F3209" s="45"/>
      <c r="G3209" s="45"/>
      <c r="H3209" s="44"/>
      <c r="I3209" s="46"/>
      <c r="J3209" s="44"/>
      <c r="K3209" s="44"/>
      <c r="L3209" s="47"/>
    </row>
    <row r="3210" spans="1:12" ht="21.95" customHeight="1" thickTop="1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</row>
    <row r="3211" spans="1:12" ht="48" customHeight="1" x14ac:dyDescent="0.2">
      <c r="A3211" s="10" t="s">
        <v>2</v>
      </c>
      <c r="B3211" s="279" t="s">
        <v>11</v>
      </c>
      <c r="C3211" s="279"/>
      <c r="D3211" s="279"/>
      <c r="E3211" s="279"/>
      <c r="F3211" s="279"/>
      <c r="G3211" s="279"/>
      <c r="H3211" s="279"/>
      <c r="I3211" s="279"/>
      <c r="J3211" s="279"/>
      <c r="K3211" s="279"/>
      <c r="L3211" s="279"/>
    </row>
    <row r="3212" spans="1:12" ht="21.95" customHeight="1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</row>
    <row r="3213" spans="1:12" ht="21.95" customHeight="1" x14ac:dyDescent="0.2">
      <c r="A3213" s="280" t="s">
        <v>12</v>
      </c>
      <c r="B3213" s="280"/>
      <c r="C3213" s="280"/>
      <c r="D3213" s="280"/>
      <c r="E3213" s="280"/>
      <c r="F3213" s="280"/>
      <c r="G3213" s="280"/>
      <c r="H3213" s="280"/>
      <c r="I3213" s="280"/>
      <c r="J3213" s="280"/>
      <c r="K3213" s="280"/>
      <c r="L3213" s="280"/>
    </row>
    <row r="3214" spans="1:12" ht="21.95" customHeight="1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</row>
    <row r="3215" spans="1:12" ht="21.95" customHeight="1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</row>
    <row r="3216" spans="1:12" ht="21.95" customHeight="1" x14ac:dyDescent="0.25">
      <c r="A3216" s="1"/>
      <c r="B3216" s="1"/>
      <c r="C3216" s="1"/>
      <c r="D3216" s="1"/>
      <c r="E3216" s="1"/>
      <c r="F3216" s="1"/>
      <c r="G3216" s="1"/>
      <c r="H3216" s="4" t="s">
        <v>199</v>
      </c>
      <c r="J3216" s="286" t="s">
        <v>471</v>
      </c>
      <c r="K3216" s="286"/>
      <c r="L3216" s="286"/>
    </row>
    <row r="3217" spans="1:12" ht="15.75" customHeight="1" x14ac:dyDescent="0.25">
      <c r="A3217" s="1"/>
      <c r="B3217" s="1" t="s">
        <v>15</v>
      </c>
      <c r="C3217" s="1"/>
      <c r="D3217" s="1"/>
      <c r="E3217" s="1"/>
      <c r="F3217" s="1"/>
      <c r="G3217" s="1"/>
      <c r="H3217" s="4" t="s">
        <v>13</v>
      </c>
    </row>
    <row r="3218" spans="1:12" ht="14.25" customHeight="1" x14ac:dyDescent="0.25">
      <c r="A3218" s="1"/>
      <c r="B3218" s="1" t="s">
        <v>18</v>
      </c>
      <c r="C3218" s="1"/>
      <c r="D3218" s="1"/>
      <c r="E3218" s="1"/>
      <c r="F3218" s="1"/>
      <c r="G3218" s="1"/>
      <c r="H3218" s="4" t="s">
        <v>14</v>
      </c>
    </row>
    <row r="3219" spans="1:12" ht="21.95" customHeight="1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</row>
    <row r="3220" spans="1:12" ht="21.95" customHeight="1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</row>
    <row r="3221" spans="1:12" ht="0.75" customHeight="1" x14ac:dyDescent="0.25">
      <c r="A3221" s="1"/>
      <c r="B3221" s="103"/>
      <c r="C3221" s="103"/>
      <c r="D3221" s="103"/>
      <c r="E3221" s="103"/>
      <c r="F3221" s="103"/>
      <c r="G3221" s="103"/>
      <c r="H3221" s="103"/>
      <c r="I3221" s="103"/>
      <c r="J3221" s="103"/>
      <c r="K3221" s="103"/>
      <c r="L3221" s="1"/>
    </row>
    <row r="3222" spans="1:12" ht="11.25" customHeight="1" x14ac:dyDescent="0.25">
      <c r="A3222" s="1"/>
      <c r="K3222" s="103"/>
      <c r="L3222" s="1"/>
    </row>
    <row r="3223" spans="1:12" ht="21.95" customHeight="1" x14ac:dyDescent="0.25">
      <c r="A3223" s="1"/>
      <c r="B3223" s="95" t="s">
        <v>77</v>
      </c>
      <c r="H3223" s="37" t="s">
        <v>159</v>
      </c>
      <c r="I3223" s="95"/>
      <c r="J3223" s="92"/>
      <c r="K3223" s="103"/>
      <c r="L3223" s="1"/>
    </row>
    <row r="3224" spans="1:12" ht="21.95" customHeight="1" x14ac:dyDescent="0.25">
      <c r="A3224" s="1"/>
      <c r="B3224" s="99" t="s">
        <v>27</v>
      </c>
      <c r="C3224" s="57"/>
      <c r="H3224" s="48" t="s">
        <v>160</v>
      </c>
      <c r="K3224" s="103"/>
    </row>
    <row r="3228" spans="1:12" ht="21.95" customHeight="1" x14ac:dyDescent="0.25">
      <c r="A3228" s="3" t="s">
        <v>22</v>
      </c>
    </row>
    <row r="3229" spans="1:12" ht="21.95" customHeight="1" x14ac:dyDescent="0.2">
      <c r="A3229" s="122" t="s">
        <v>20</v>
      </c>
    </row>
    <row r="3230" spans="1:12" ht="21.95" customHeight="1" x14ac:dyDescent="0.2">
      <c r="A3230" s="122" t="s">
        <v>21</v>
      </c>
    </row>
    <row r="3234" spans="1:12" ht="21.95" customHeight="1" x14ac:dyDescent="0.3">
      <c r="A3234" s="276" t="s">
        <v>6</v>
      </c>
      <c r="B3234" s="276"/>
      <c r="C3234" s="276"/>
      <c r="D3234" s="276"/>
      <c r="E3234" s="276"/>
      <c r="F3234" s="276"/>
      <c r="G3234" s="276"/>
      <c r="H3234" s="276"/>
      <c r="I3234" s="276"/>
      <c r="J3234" s="276"/>
      <c r="K3234" s="276"/>
      <c r="L3234" s="276"/>
    </row>
    <row r="3235" spans="1:12" ht="21.95" customHeight="1" x14ac:dyDescent="0.3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</row>
    <row r="3236" spans="1:12" ht="6" customHeight="1" x14ac:dyDescent="0.3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</row>
    <row r="3237" spans="1:12" ht="21.75" hidden="1" customHeight="1" x14ac:dyDescent="0.25">
      <c r="A3237" s="1"/>
      <c r="B3237" s="1"/>
    </row>
    <row r="3238" spans="1:12" ht="21.95" customHeight="1" x14ac:dyDescent="0.25">
      <c r="A3238" s="1" t="s">
        <v>7</v>
      </c>
      <c r="B3238" s="1"/>
    </row>
    <row r="3239" spans="1:12" ht="21.95" customHeight="1" x14ac:dyDescent="0.25">
      <c r="A3239" s="1"/>
      <c r="B3239" s="1"/>
    </row>
    <row r="3240" spans="1:12" ht="21.95" customHeight="1" x14ac:dyDescent="0.25">
      <c r="A3240" s="1" t="s">
        <v>8</v>
      </c>
      <c r="C3240" s="9" t="s">
        <v>1</v>
      </c>
      <c r="D3240" s="40" t="s">
        <v>36</v>
      </c>
      <c r="E3240" s="76"/>
      <c r="F3240" s="76"/>
      <c r="G3240" s="76"/>
      <c r="H3240" s="76"/>
    </row>
    <row r="3241" spans="1:12" ht="21.95" customHeight="1" x14ac:dyDescent="0.25">
      <c r="A3241" s="1" t="s">
        <v>9</v>
      </c>
      <c r="C3241" s="9" t="s">
        <v>1</v>
      </c>
      <c r="D3241" s="7" t="s">
        <v>363</v>
      </c>
      <c r="E3241" s="76"/>
      <c r="F3241" s="76"/>
      <c r="G3241" s="76"/>
      <c r="H3241" s="76"/>
    </row>
    <row r="3242" spans="1:12" ht="21.95" customHeight="1" x14ac:dyDescent="0.2">
      <c r="A3242" s="50" t="s">
        <v>10</v>
      </c>
      <c r="B3242" s="76"/>
      <c r="C3242" s="91" t="s">
        <v>1</v>
      </c>
      <c r="D3242" s="50" t="s">
        <v>235</v>
      </c>
      <c r="E3242" s="76"/>
      <c r="F3242" s="76"/>
      <c r="G3242" s="76"/>
      <c r="H3242" s="76"/>
      <c r="I3242" s="76"/>
      <c r="J3242" s="76"/>
      <c r="K3242" s="76"/>
      <c r="L3242" s="76"/>
    </row>
    <row r="3243" spans="1:12" ht="21.95" customHeight="1" x14ac:dyDescent="0.25">
      <c r="A3243" s="1"/>
      <c r="B3243" s="1"/>
      <c r="D3243" s="1"/>
    </row>
    <row r="3244" spans="1:12" ht="30.75" customHeight="1" x14ac:dyDescent="0.2">
      <c r="A3244" s="277" t="s">
        <v>484</v>
      </c>
      <c r="B3244" s="277"/>
      <c r="C3244" s="277"/>
      <c r="D3244" s="277"/>
      <c r="E3244" s="277"/>
      <c r="F3244" s="277"/>
      <c r="G3244" s="277"/>
      <c r="H3244" s="277"/>
      <c r="I3244" s="277"/>
      <c r="J3244" s="277"/>
      <c r="K3244" s="277"/>
      <c r="L3244" s="277"/>
    </row>
    <row r="3245" spans="1:12" ht="6.75" customHeight="1" x14ac:dyDescent="0.25">
      <c r="A3245" s="1"/>
      <c r="B3245" s="1"/>
    </row>
    <row r="3246" spans="1:12" ht="39.75" customHeight="1" thickBot="1" x14ac:dyDescent="0.25">
      <c r="A3246" s="10" t="s">
        <v>0</v>
      </c>
      <c r="B3246" s="278" t="s">
        <v>91</v>
      </c>
      <c r="C3246" s="278"/>
      <c r="D3246" s="278"/>
      <c r="E3246" s="278"/>
      <c r="F3246" s="278"/>
      <c r="G3246" s="278"/>
      <c r="H3246" s="278"/>
      <c r="I3246" s="278"/>
      <c r="J3246" s="278"/>
      <c r="K3246" s="278"/>
      <c r="L3246" s="278"/>
    </row>
    <row r="3247" spans="1:12" ht="21.95" customHeight="1" thickTop="1" x14ac:dyDescent="0.25">
      <c r="A3247" s="1"/>
      <c r="B3247" s="11" t="s">
        <v>3</v>
      </c>
      <c r="C3247" s="12" t="s">
        <v>4</v>
      </c>
      <c r="D3247" s="13"/>
      <c r="E3247" s="13"/>
      <c r="F3247" s="13"/>
      <c r="G3247" s="13"/>
      <c r="H3247" s="14"/>
      <c r="I3247" s="15" t="s">
        <v>5</v>
      </c>
      <c r="J3247" s="12" t="s">
        <v>17</v>
      </c>
      <c r="K3247" s="13"/>
      <c r="L3247" s="14"/>
    </row>
    <row r="3248" spans="1:12" ht="21.95" customHeight="1" x14ac:dyDescent="0.2">
      <c r="B3248" s="96">
        <v>1</v>
      </c>
      <c r="C3248" s="140" t="s">
        <v>443</v>
      </c>
      <c r="D3248" s="76"/>
      <c r="E3248" s="150"/>
      <c r="F3248" s="144"/>
      <c r="G3248" s="76"/>
      <c r="H3248" s="79"/>
      <c r="I3248" s="56">
        <v>150000</v>
      </c>
      <c r="J3248" s="76" t="s">
        <v>204</v>
      </c>
      <c r="L3248" s="17"/>
    </row>
    <row r="3249" spans="1:12" ht="21.95" customHeight="1" x14ac:dyDescent="0.2">
      <c r="B3249" s="96"/>
      <c r="C3249" s="313"/>
      <c r="D3249" s="314"/>
      <c r="E3249" s="314"/>
      <c r="F3249" s="314"/>
      <c r="G3249" s="314"/>
      <c r="H3249" s="315"/>
      <c r="I3249" s="56"/>
      <c r="L3249" s="17"/>
    </row>
    <row r="3250" spans="1:12" ht="21.95" customHeight="1" x14ac:dyDescent="0.25">
      <c r="A3250" s="1"/>
      <c r="B3250" s="39"/>
      <c r="C3250" s="1"/>
      <c r="D3250" s="1"/>
      <c r="E3250" s="1"/>
      <c r="F3250" s="40" t="s">
        <v>5</v>
      </c>
      <c r="G3250" s="40"/>
      <c r="H3250" s="1"/>
      <c r="I3250" s="41">
        <v>150000</v>
      </c>
      <c r="J3250" s="1"/>
      <c r="K3250" s="1"/>
      <c r="L3250" s="42"/>
    </row>
    <row r="3251" spans="1:12" ht="21.95" customHeight="1" thickBot="1" x14ac:dyDescent="0.3">
      <c r="A3251" s="1"/>
      <c r="B3251" s="43"/>
      <c r="C3251" s="44"/>
      <c r="D3251" s="44"/>
      <c r="E3251" s="44"/>
      <c r="F3251" s="45"/>
      <c r="G3251" s="45"/>
      <c r="H3251" s="44"/>
      <c r="I3251" s="46"/>
      <c r="J3251" s="44"/>
      <c r="K3251" s="44"/>
      <c r="L3251" s="47"/>
    </row>
    <row r="3252" spans="1:12" ht="21.95" customHeight="1" thickTop="1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</row>
    <row r="3253" spans="1:12" ht="43.5" customHeight="1" x14ac:dyDescent="0.2">
      <c r="A3253" s="10" t="s">
        <v>2</v>
      </c>
      <c r="B3253" s="279" t="s">
        <v>11</v>
      </c>
      <c r="C3253" s="279"/>
      <c r="D3253" s="279"/>
      <c r="E3253" s="279"/>
      <c r="F3253" s="279"/>
      <c r="G3253" s="279"/>
      <c r="H3253" s="279"/>
      <c r="I3253" s="279"/>
      <c r="J3253" s="279"/>
      <c r="K3253" s="279"/>
      <c r="L3253" s="279"/>
    </row>
    <row r="3254" spans="1:12" ht="21.95" customHeight="1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</row>
    <row r="3255" spans="1:12" ht="21.95" customHeight="1" x14ac:dyDescent="0.2">
      <c r="A3255" s="280" t="s">
        <v>12</v>
      </c>
      <c r="B3255" s="280"/>
      <c r="C3255" s="280"/>
      <c r="D3255" s="280"/>
      <c r="E3255" s="280"/>
      <c r="F3255" s="280"/>
      <c r="G3255" s="280"/>
      <c r="H3255" s="280"/>
      <c r="I3255" s="280"/>
      <c r="J3255" s="280"/>
      <c r="K3255" s="280"/>
      <c r="L3255" s="280"/>
    </row>
    <row r="3256" spans="1:12" ht="21.95" customHeight="1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</row>
    <row r="3257" spans="1:12" ht="21.95" customHeight="1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</row>
    <row r="3258" spans="1:12" ht="21.95" customHeight="1" x14ac:dyDescent="0.25">
      <c r="A3258" s="1"/>
      <c r="B3258" s="1"/>
      <c r="C3258" s="1"/>
      <c r="D3258" s="1"/>
      <c r="E3258" s="1"/>
      <c r="F3258" s="1"/>
      <c r="G3258" s="1"/>
      <c r="H3258" s="4" t="s">
        <v>199</v>
      </c>
      <c r="J3258" s="286" t="s">
        <v>471</v>
      </c>
      <c r="K3258" s="286"/>
      <c r="L3258" s="286"/>
    </row>
    <row r="3259" spans="1:12" ht="12" customHeight="1" x14ac:dyDescent="0.25">
      <c r="A3259" s="1"/>
      <c r="B3259" s="1" t="s">
        <v>15</v>
      </c>
      <c r="C3259" s="1"/>
      <c r="D3259" s="1"/>
      <c r="E3259" s="1"/>
      <c r="F3259" s="1"/>
      <c r="G3259" s="1"/>
      <c r="H3259" s="4" t="s">
        <v>13</v>
      </c>
    </row>
    <row r="3260" spans="1:12" ht="13.5" customHeight="1" x14ac:dyDescent="0.25">
      <c r="A3260" s="1"/>
      <c r="B3260" s="1" t="s">
        <v>18</v>
      </c>
      <c r="C3260" s="1"/>
      <c r="D3260" s="1"/>
      <c r="E3260" s="1"/>
      <c r="F3260" s="1"/>
      <c r="G3260" s="1"/>
      <c r="H3260" s="4" t="s">
        <v>14</v>
      </c>
    </row>
    <row r="3261" spans="1:12" ht="21.95" customHeight="1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</row>
    <row r="3262" spans="1:12" ht="15.75" customHeight="1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 spans="1:12" ht="21.75" hidden="1" customHeight="1" x14ac:dyDescent="0.25">
      <c r="A3263" s="1"/>
      <c r="B3263" s="103"/>
      <c r="C3263" s="103"/>
      <c r="D3263" s="103"/>
      <c r="E3263" s="103"/>
      <c r="F3263" s="103"/>
      <c r="G3263" s="103"/>
      <c r="H3263" s="103"/>
      <c r="I3263" s="103"/>
      <c r="J3263" s="103"/>
      <c r="K3263" s="103"/>
      <c r="L3263" s="1"/>
    </row>
    <row r="3264" spans="1:12" ht="21.75" hidden="1" customHeight="1" x14ac:dyDescent="0.25">
      <c r="A3264" s="1"/>
      <c r="K3264" s="103"/>
      <c r="L3264" s="1"/>
    </row>
    <row r="3265" spans="1:12" ht="21.95" customHeight="1" x14ac:dyDescent="0.25">
      <c r="A3265" s="1"/>
      <c r="B3265" s="95" t="s">
        <v>77</v>
      </c>
      <c r="H3265" s="37" t="s">
        <v>36</v>
      </c>
      <c r="I3265" s="95"/>
      <c r="J3265" s="92"/>
      <c r="K3265" s="103"/>
      <c r="L3265" s="1"/>
    </row>
    <row r="3266" spans="1:12" ht="21.95" customHeight="1" x14ac:dyDescent="0.25">
      <c r="A3266" s="1"/>
      <c r="B3266" s="99" t="s">
        <v>27</v>
      </c>
      <c r="C3266" s="57"/>
      <c r="H3266" s="48" t="s">
        <v>31</v>
      </c>
      <c r="K3266" s="103"/>
    </row>
    <row r="3270" spans="1:12" ht="21.95" customHeight="1" x14ac:dyDescent="0.25">
      <c r="A3270" s="3" t="s">
        <v>22</v>
      </c>
    </row>
    <row r="3271" spans="1:12" ht="21.95" customHeight="1" x14ac:dyDescent="0.2">
      <c r="A3271" s="122" t="s">
        <v>20</v>
      </c>
    </row>
    <row r="3272" spans="1:12" ht="21.95" customHeight="1" x14ac:dyDescent="0.2">
      <c r="A3272" s="122" t="s">
        <v>21</v>
      </c>
    </row>
    <row r="3276" spans="1:12" ht="21.95" customHeight="1" x14ac:dyDescent="0.3">
      <c r="A3276" s="276" t="s">
        <v>6</v>
      </c>
      <c r="B3276" s="276"/>
      <c r="C3276" s="276"/>
      <c r="D3276" s="276"/>
      <c r="E3276" s="276"/>
      <c r="F3276" s="276"/>
      <c r="G3276" s="276"/>
      <c r="H3276" s="276"/>
      <c r="I3276" s="276"/>
      <c r="J3276" s="276"/>
      <c r="K3276" s="276"/>
      <c r="L3276" s="276"/>
    </row>
    <row r="3277" spans="1:12" ht="21.95" customHeight="1" x14ac:dyDescent="0.3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</row>
    <row r="3278" spans="1:12" ht="21.95" customHeight="1" x14ac:dyDescent="0.3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</row>
    <row r="3279" spans="1:12" ht="21.95" customHeight="1" x14ac:dyDescent="0.25">
      <c r="A3279" s="1"/>
      <c r="B3279" s="1"/>
    </row>
    <row r="3280" spans="1:12" ht="21.95" customHeight="1" x14ac:dyDescent="0.25">
      <c r="A3280" s="1" t="s">
        <v>7</v>
      </c>
      <c r="B3280" s="1"/>
    </row>
    <row r="3281" spans="1:12" ht="21.95" customHeight="1" x14ac:dyDescent="0.25">
      <c r="A3281" s="1"/>
      <c r="B3281" s="1"/>
    </row>
    <row r="3282" spans="1:12" ht="21.95" customHeight="1" x14ac:dyDescent="0.25">
      <c r="A3282" s="1" t="s">
        <v>8</v>
      </c>
      <c r="C3282" s="9" t="s">
        <v>1</v>
      </c>
      <c r="D3282" s="40" t="s">
        <v>455</v>
      </c>
      <c r="E3282" s="76"/>
      <c r="F3282" s="76"/>
      <c r="G3282" s="76"/>
      <c r="H3282" s="76"/>
    </row>
    <row r="3283" spans="1:12" ht="21.95" customHeight="1" x14ac:dyDescent="0.25">
      <c r="A3283" s="1" t="s">
        <v>9</v>
      </c>
      <c r="C3283" s="9" t="s">
        <v>1</v>
      </c>
      <c r="D3283" s="7" t="s">
        <v>74</v>
      </c>
      <c r="E3283" s="76"/>
      <c r="F3283" s="76"/>
      <c r="G3283" s="76"/>
      <c r="H3283" s="76"/>
    </row>
    <row r="3284" spans="1:12" ht="21.95" customHeight="1" x14ac:dyDescent="0.2">
      <c r="A3284" s="50" t="s">
        <v>10</v>
      </c>
      <c r="B3284" s="76"/>
      <c r="C3284" s="91" t="s">
        <v>1</v>
      </c>
      <c r="D3284" s="50" t="s">
        <v>454</v>
      </c>
      <c r="E3284" s="76"/>
      <c r="F3284" s="76"/>
      <c r="G3284" s="76"/>
      <c r="H3284" s="76"/>
      <c r="I3284" s="76"/>
      <c r="J3284" s="76"/>
      <c r="K3284" s="76"/>
      <c r="L3284" s="76"/>
    </row>
    <row r="3285" spans="1:12" ht="21.95" customHeight="1" x14ac:dyDescent="0.25">
      <c r="A3285" s="1"/>
      <c r="B3285" s="1"/>
      <c r="D3285" s="1"/>
    </row>
    <row r="3286" spans="1:12" ht="28.5" customHeight="1" x14ac:dyDescent="0.2">
      <c r="A3286" s="277" t="s">
        <v>484</v>
      </c>
      <c r="B3286" s="277"/>
      <c r="C3286" s="277"/>
      <c r="D3286" s="277"/>
      <c r="E3286" s="277"/>
      <c r="F3286" s="277"/>
      <c r="G3286" s="277"/>
      <c r="H3286" s="277"/>
      <c r="I3286" s="277"/>
      <c r="J3286" s="277"/>
      <c r="K3286" s="277"/>
      <c r="L3286" s="277"/>
    </row>
    <row r="3287" spans="1:12" ht="21.95" customHeight="1" x14ac:dyDescent="0.25">
      <c r="A3287" s="1"/>
      <c r="B3287" s="1"/>
    </row>
    <row r="3288" spans="1:12" ht="31.5" customHeight="1" thickBot="1" x14ac:dyDescent="0.25">
      <c r="A3288" s="10" t="s">
        <v>0</v>
      </c>
      <c r="B3288" s="278" t="s">
        <v>91</v>
      </c>
      <c r="C3288" s="278"/>
      <c r="D3288" s="278"/>
      <c r="E3288" s="278"/>
      <c r="F3288" s="278"/>
      <c r="G3288" s="278"/>
      <c r="H3288" s="278"/>
      <c r="I3288" s="278"/>
      <c r="J3288" s="278"/>
      <c r="K3288" s="278"/>
      <c r="L3288" s="278"/>
    </row>
    <row r="3289" spans="1:12" ht="21.95" customHeight="1" thickTop="1" x14ac:dyDescent="0.25">
      <c r="A3289" s="1"/>
      <c r="B3289" s="11" t="s">
        <v>3</v>
      </c>
      <c r="C3289" s="12" t="s">
        <v>4</v>
      </c>
      <c r="D3289" s="13"/>
      <c r="E3289" s="13"/>
      <c r="F3289" s="13"/>
      <c r="G3289" s="13"/>
      <c r="H3289" s="14"/>
      <c r="I3289" s="15" t="s">
        <v>5</v>
      </c>
      <c r="J3289" s="12" t="s">
        <v>17</v>
      </c>
      <c r="K3289" s="13"/>
      <c r="L3289" s="14"/>
    </row>
    <row r="3290" spans="1:12" ht="21.95" customHeight="1" x14ac:dyDescent="0.2">
      <c r="B3290" s="96">
        <v>1</v>
      </c>
      <c r="C3290" s="140" t="s">
        <v>443</v>
      </c>
      <c r="D3290" s="76"/>
      <c r="E3290" s="150"/>
      <c r="F3290" s="144"/>
      <c r="G3290" s="76"/>
      <c r="H3290" s="79"/>
      <c r="I3290" s="56">
        <v>150000</v>
      </c>
      <c r="J3290" s="76" t="s">
        <v>204</v>
      </c>
      <c r="L3290" s="17"/>
    </row>
    <row r="3291" spans="1:12" ht="21.95" customHeight="1" x14ac:dyDescent="0.2">
      <c r="B3291" s="96"/>
      <c r="C3291" s="313"/>
      <c r="D3291" s="314"/>
      <c r="E3291" s="314"/>
      <c r="F3291" s="314"/>
      <c r="G3291" s="314"/>
      <c r="H3291" s="315"/>
      <c r="I3291" s="56"/>
      <c r="L3291" s="17"/>
    </row>
    <row r="3292" spans="1:12" ht="21.95" customHeight="1" x14ac:dyDescent="0.25">
      <c r="A3292" s="1"/>
      <c r="B3292" s="39"/>
      <c r="C3292" s="1"/>
      <c r="D3292" s="1"/>
      <c r="E3292" s="1"/>
      <c r="F3292" s="40" t="s">
        <v>5</v>
      </c>
      <c r="G3292" s="40"/>
      <c r="H3292" s="1"/>
      <c r="I3292" s="41">
        <v>150000</v>
      </c>
      <c r="J3292" s="1"/>
      <c r="K3292" s="1"/>
      <c r="L3292" s="42"/>
    </row>
    <row r="3293" spans="1:12" ht="21.95" customHeight="1" thickBot="1" x14ac:dyDescent="0.3">
      <c r="A3293" s="1"/>
      <c r="B3293" s="43"/>
      <c r="C3293" s="44"/>
      <c r="D3293" s="44"/>
      <c r="E3293" s="44"/>
      <c r="F3293" s="45"/>
      <c r="G3293" s="45"/>
      <c r="H3293" s="44"/>
      <c r="I3293" s="46"/>
      <c r="J3293" s="44"/>
      <c r="K3293" s="44"/>
      <c r="L3293" s="47"/>
    </row>
    <row r="3294" spans="1:12" ht="21.95" customHeight="1" thickTop="1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 spans="1:12" ht="50.25" customHeight="1" x14ac:dyDescent="0.2">
      <c r="A3295" s="10" t="s">
        <v>2</v>
      </c>
      <c r="B3295" s="279" t="s">
        <v>11</v>
      </c>
      <c r="C3295" s="279"/>
      <c r="D3295" s="279"/>
      <c r="E3295" s="279"/>
      <c r="F3295" s="279"/>
      <c r="G3295" s="279"/>
      <c r="H3295" s="279"/>
      <c r="I3295" s="279"/>
      <c r="J3295" s="279"/>
      <c r="K3295" s="279"/>
      <c r="L3295" s="279"/>
    </row>
    <row r="3296" spans="1:12" ht="21.95" customHeight="1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 spans="1:12" ht="21.95" customHeight="1" x14ac:dyDescent="0.2">
      <c r="A3297" s="280" t="s">
        <v>12</v>
      </c>
      <c r="B3297" s="280"/>
      <c r="C3297" s="280"/>
      <c r="D3297" s="280"/>
      <c r="E3297" s="280"/>
      <c r="F3297" s="280"/>
      <c r="G3297" s="280"/>
      <c r="H3297" s="280"/>
      <c r="I3297" s="280"/>
      <c r="J3297" s="280"/>
      <c r="K3297" s="280"/>
      <c r="L3297" s="280"/>
    </row>
    <row r="3298" spans="1:12" ht="21.95" customHeight="1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 spans="1:12" ht="21.95" customHeight="1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 spans="1:12" ht="14.25" customHeight="1" x14ac:dyDescent="0.25">
      <c r="A3300" s="1"/>
      <c r="B3300" s="1"/>
      <c r="C3300" s="1"/>
      <c r="D3300" s="1"/>
      <c r="E3300" s="1"/>
      <c r="F3300" s="1"/>
      <c r="G3300" s="1"/>
      <c r="H3300" s="4" t="s">
        <v>199</v>
      </c>
      <c r="J3300" s="286" t="s">
        <v>471</v>
      </c>
      <c r="K3300" s="286"/>
      <c r="L3300" s="286"/>
    </row>
    <row r="3301" spans="1:12" ht="15" customHeight="1" x14ac:dyDescent="0.25">
      <c r="A3301" s="1"/>
      <c r="B3301" s="1" t="s">
        <v>15</v>
      </c>
      <c r="C3301" s="1"/>
      <c r="D3301" s="1"/>
      <c r="E3301" s="1"/>
      <c r="F3301" s="1"/>
      <c r="G3301" s="1"/>
      <c r="H3301" s="4" t="s">
        <v>13</v>
      </c>
    </row>
    <row r="3302" spans="1:12" ht="12" customHeight="1" x14ac:dyDescent="0.25">
      <c r="A3302" s="1"/>
      <c r="B3302" s="1" t="s">
        <v>18</v>
      </c>
      <c r="C3302" s="1"/>
      <c r="D3302" s="1"/>
      <c r="E3302" s="1"/>
      <c r="F3302" s="1"/>
      <c r="G3302" s="1"/>
      <c r="H3302" s="4" t="s">
        <v>14</v>
      </c>
    </row>
    <row r="3303" spans="1:12" ht="21.95" customHeight="1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 spans="1:12" ht="21.95" customHeight="1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 spans="1:12" ht="6.75" customHeight="1" x14ac:dyDescent="0.25">
      <c r="A3305" s="1"/>
      <c r="B3305" s="103"/>
      <c r="C3305" s="103"/>
      <c r="D3305" s="103"/>
      <c r="E3305" s="103"/>
      <c r="F3305" s="103"/>
      <c r="G3305" s="103"/>
      <c r="H3305" s="103"/>
      <c r="I3305" s="103"/>
      <c r="J3305" s="103"/>
      <c r="K3305" s="103"/>
      <c r="L3305" s="1"/>
    </row>
    <row r="3306" spans="1:12" ht="21.75" hidden="1" customHeight="1" x14ac:dyDescent="0.25">
      <c r="A3306" s="1"/>
      <c r="K3306" s="103"/>
      <c r="L3306" s="1"/>
    </row>
    <row r="3307" spans="1:12" ht="21.95" customHeight="1" x14ac:dyDescent="0.25">
      <c r="A3307" s="1"/>
      <c r="B3307" s="95" t="s">
        <v>77</v>
      </c>
      <c r="H3307" s="40" t="s">
        <v>455</v>
      </c>
      <c r="I3307" s="95"/>
      <c r="J3307" s="92"/>
      <c r="K3307" s="103"/>
      <c r="L3307" s="1"/>
    </row>
    <row r="3308" spans="1:12" ht="21.95" customHeight="1" x14ac:dyDescent="0.25">
      <c r="A3308" s="1"/>
      <c r="B3308" s="99" t="s">
        <v>27</v>
      </c>
      <c r="C3308" s="57"/>
      <c r="H3308" s="48"/>
      <c r="K3308" s="103"/>
    </row>
    <row r="3312" spans="1:12" ht="21.95" customHeight="1" x14ac:dyDescent="0.25">
      <c r="A3312" s="3" t="s">
        <v>22</v>
      </c>
    </row>
    <row r="3313" spans="1:12" ht="21.95" customHeight="1" x14ac:dyDescent="0.2">
      <c r="A3313" s="122" t="s">
        <v>20</v>
      </c>
    </row>
    <row r="3314" spans="1:12" ht="21.95" customHeight="1" x14ac:dyDescent="0.2">
      <c r="A3314" s="122" t="s">
        <v>21</v>
      </c>
    </row>
    <row r="3318" spans="1:12" ht="21.95" customHeight="1" x14ac:dyDescent="0.3">
      <c r="A3318" s="276" t="s">
        <v>6</v>
      </c>
      <c r="B3318" s="276"/>
      <c r="C3318" s="276"/>
      <c r="D3318" s="276"/>
      <c r="E3318" s="276"/>
      <c r="F3318" s="276"/>
      <c r="G3318" s="276"/>
      <c r="H3318" s="276"/>
      <c r="I3318" s="276"/>
      <c r="J3318" s="276"/>
      <c r="K3318" s="276"/>
      <c r="L3318" s="276"/>
    </row>
    <row r="3319" spans="1:12" ht="21.95" customHeight="1" x14ac:dyDescent="0.3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</row>
    <row r="3320" spans="1:12" ht="21.95" customHeight="1" x14ac:dyDescent="0.3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</row>
    <row r="3321" spans="1:12" ht="21.95" customHeight="1" x14ac:dyDescent="0.25">
      <c r="A3321" s="1"/>
      <c r="B3321" s="1"/>
    </row>
    <row r="3322" spans="1:12" ht="21.95" customHeight="1" x14ac:dyDescent="0.25">
      <c r="A3322" s="1" t="s">
        <v>7</v>
      </c>
      <c r="B3322" s="1"/>
    </row>
    <row r="3323" spans="1:12" ht="21.95" customHeight="1" x14ac:dyDescent="0.25">
      <c r="A3323" s="1"/>
      <c r="B3323" s="1"/>
    </row>
    <row r="3324" spans="1:12" ht="21.95" customHeight="1" x14ac:dyDescent="0.25">
      <c r="A3324" s="1" t="s">
        <v>8</v>
      </c>
      <c r="C3324" s="9" t="s">
        <v>1</v>
      </c>
      <c r="D3324" s="40" t="s">
        <v>92</v>
      </c>
      <c r="E3324" s="76"/>
      <c r="F3324" s="76"/>
      <c r="G3324" s="76"/>
      <c r="H3324" s="76"/>
    </row>
    <row r="3325" spans="1:12" ht="21.95" customHeight="1" x14ac:dyDescent="0.25">
      <c r="A3325" s="1" t="s">
        <v>9</v>
      </c>
      <c r="C3325" s="9" t="s">
        <v>1</v>
      </c>
      <c r="D3325" s="7" t="s">
        <v>263</v>
      </c>
      <c r="E3325" s="76"/>
      <c r="F3325" s="76"/>
      <c r="G3325" s="76"/>
      <c r="H3325" s="76"/>
    </row>
    <row r="3326" spans="1:12" ht="21.95" customHeight="1" x14ac:dyDescent="0.2">
      <c r="A3326" s="50" t="s">
        <v>10</v>
      </c>
      <c r="B3326" s="76"/>
      <c r="C3326" s="91" t="s">
        <v>1</v>
      </c>
      <c r="D3326" s="50" t="s">
        <v>485</v>
      </c>
      <c r="E3326" s="76"/>
      <c r="F3326" s="76"/>
      <c r="G3326" s="76"/>
      <c r="H3326" s="76"/>
      <c r="I3326" s="76"/>
      <c r="J3326" s="76"/>
      <c r="K3326" s="76"/>
      <c r="L3326" s="76"/>
    </row>
    <row r="3327" spans="1:12" ht="21.95" customHeight="1" x14ac:dyDescent="0.25">
      <c r="A3327" s="1"/>
      <c r="B3327" s="1"/>
      <c r="D3327" s="1"/>
    </row>
    <row r="3328" spans="1:12" ht="33" customHeight="1" x14ac:dyDescent="0.2">
      <c r="A3328" s="277" t="s">
        <v>484</v>
      </c>
      <c r="B3328" s="277"/>
      <c r="C3328" s="277"/>
      <c r="D3328" s="277"/>
      <c r="E3328" s="277"/>
      <c r="F3328" s="277"/>
      <c r="G3328" s="277"/>
      <c r="H3328" s="277"/>
      <c r="I3328" s="277"/>
      <c r="J3328" s="277"/>
      <c r="K3328" s="277"/>
      <c r="L3328" s="277"/>
    </row>
    <row r="3329" spans="1:12" ht="21.95" customHeight="1" x14ac:dyDescent="0.25">
      <c r="A3329" s="1"/>
      <c r="B3329" s="1"/>
    </row>
    <row r="3330" spans="1:12" ht="35.25" customHeight="1" thickBot="1" x14ac:dyDescent="0.25">
      <c r="A3330" s="10" t="s">
        <v>0</v>
      </c>
      <c r="B3330" s="278" t="s">
        <v>91</v>
      </c>
      <c r="C3330" s="278"/>
      <c r="D3330" s="278"/>
      <c r="E3330" s="278"/>
      <c r="F3330" s="278"/>
      <c r="G3330" s="278"/>
      <c r="H3330" s="278"/>
      <c r="I3330" s="278"/>
      <c r="J3330" s="278"/>
      <c r="K3330" s="278"/>
      <c r="L3330" s="278"/>
    </row>
    <row r="3331" spans="1:12" ht="21.95" customHeight="1" thickTop="1" x14ac:dyDescent="0.25">
      <c r="A3331" s="1"/>
      <c r="B3331" s="11" t="s">
        <v>3</v>
      </c>
      <c r="C3331" s="12" t="s">
        <v>4</v>
      </c>
      <c r="D3331" s="13"/>
      <c r="E3331" s="13"/>
      <c r="F3331" s="13"/>
      <c r="G3331" s="13"/>
      <c r="H3331" s="14"/>
      <c r="I3331" s="15" t="s">
        <v>5</v>
      </c>
      <c r="J3331" s="12" t="s">
        <v>17</v>
      </c>
      <c r="K3331" s="13"/>
      <c r="L3331" s="14"/>
    </row>
    <row r="3332" spans="1:12" ht="21.95" customHeight="1" x14ac:dyDescent="0.2">
      <c r="B3332" s="96">
        <v>1</v>
      </c>
      <c r="C3332" s="140" t="s">
        <v>443</v>
      </c>
      <c r="D3332" s="76"/>
      <c r="E3332" s="150"/>
      <c r="F3332" s="144"/>
      <c r="G3332" s="76"/>
      <c r="H3332" s="79"/>
      <c r="I3332" s="56">
        <v>150000</v>
      </c>
      <c r="J3332" s="76" t="s">
        <v>204</v>
      </c>
      <c r="L3332" s="17"/>
    </row>
    <row r="3333" spans="1:12" ht="21.95" customHeight="1" x14ac:dyDescent="0.2">
      <c r="B3333" s="96"/>
      <c r="C3333" s="313"/>
      <c r="D3333" s="314"/>
      <c r="E3333" s="314"/>
      <c r="F3333" s="314"/>
      <c r="G3333" s="314"/>
      <c r="H3333" s="315"/>
      <c r="I3333" s="56"/>
      <c r="L3333" s="17"/>
    </row>
    <row r="3334" spans="1:12" ht="21.95" customHeight="1" x14ac:dyDescent="0.25">
      <c r="A3334" s="1"/>
      <c r="B3334" s="39"/>
      <c r="C3334" s="1"/>
      <c r="D3334" s="1"/>
      <c r="E3334" s="1"/>
      <c r="F3334" s="40" t="s">
        <v>5</v>
      </c>
      <c r="G3334" s="40"/>
      <c r="H3334" s="1"/>
      <c r="I3334" s="41">
        <v>150000</v>
      </c>
      <c r="J3334" s="1"/>
      <c r="K3334" s="1"/>
      <c r="L3334" s="42"/>
    </row>
    <row r="3335" spans="1:12" ht="21.95" customHeight="1" thickBot="1" x14ac:dyDescent="0.3">
      <c r="A3335" s="1"/>
      <c r="B3335" s="43"/>
      <c r="C3335" s="44"/>
      <c r="D3335" s="44"/>
      <c r="E3335" s="44"/>
      <c r="F3335" s="45"/>
      <c r="G3335" s="45"/>
      <c r="H3335" s="44"/>
      <c r="I3335" s="46"/>
      <c r="J3335" s="44"/>
      <c r="K3335" s="44"/>
      <c r="L3335" s="47"/>
    </row>
    <row r="3336" spans="1:12" ht="21.95" customHeight="1" thickTop="1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ht="51" customHeight="1" x14ac:dyDescent="0.2">
      <c r="A3337" s="10" t="s">
        <v>2</v>
      </c>
      <c r="B3337" s="279" t="s">
        <v>11</v>
      </c>
      <c r="C3337" s="279"/>
      <c r="D3337" s="279"/>
      <c r="E3337" s="279"/>
      <c r="F3337" s="279"/>
      <c r="G3337" s="279"/>
      <c r="H3337" s="279"/>
      <c r="I3337" s="279"/>
      <c r="J3337" s="279"/>
      <c r="K3337" s="279"/>
      <c r="L3337" s="279"/>
    </row>
    <row r="3338" spans="1:12" ht="21.95" customHeight="1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 ht="21.95" customHeight="1" x14ac:dyDescent="0.2">
      <c r="A3339" s="280" t="s">
        <v>12</v>
      </c>
      <c r="B3339" s="280"/>
      <c r="C3339" s="280"/>
      <c r="D3339" s="280"/>
      <c r="E3339" s="280"/>
      <c r="F3339" s="280"/>
      <c r="G3339" s="280"/>
      <c r="H3339" s="280"/>
      <c r="I3339" s="280"/>
      <c r="J3339" s="280"/>
      <c r="K3339" s="280"/>
      <c r="L3339" s="280"/>
    </row>
    <row r="3340" spans="1:12" ht="21.95" customHeight="1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ht="21.95" customHeight="1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ht="11.25" customHeight="1" x14ac:dyDescent="0.25">
      <c r="A3342" s="1"/>
      <c r="B3342" s="1"/>
      <c r="C3342" s="1"/>
      <c r="D3342" s="1"/>
      <c r="E3342" s="1"/>
      <c r="F3342" s="1"/>
      <c r="G3342" s="1"/>
      <c r="H3342" s="4" t="s">
        <v>199</v>
      </c>
      <c r="J3342" s="286" t="s">
        <v>471</v>
      </c>
      <c r="K3342" s="286"/>
      <c r="L3342" s="286"/>
    </row>
    <row r="3343" spans="1:12" ht="15.75" customHeight="1" x14ac:dyDescent="0.25">
      <c r="A3343" s="1"/>
      <c r="B3343" s="1" t="s">
        <v>15</v>
      </c>
      <c r="C3343" s="1"/>
      <c r="D3343" s="1"/>
      <c r="E3343" s="1"/>
      <c r="F3343" s="1"/>
      <c r="G3343" s="1"/>
      <c r="H3343" s="4" t="s">
        <v>13</v>
      </c>
    </row>
    <row r="3344" spans="1:12" ht="12.75" customHeight="1" x14ac:dyDescent="0.25">
      <c r="A3344" s="1"/>
      <c r="B3344" s="1" t="s">
        <v>18</v>
      </c>
      <c r="C3344" s="1"/>
      <c r="D3344" s="1"/>
      <c r="E3344" s="1"/>
      <c r="F3344" s="1"/>
      <c r="G3344" s="1"/>
      <c r="H3344" s="4" t="s">
        <v>14</v>
      </c>
    </row>
    <row r="3345" spans="1:12" ht="21.95" customHeight="1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ht="21.95" customHeight="1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 ht="13.5" customHeight="1" x14ac:dyDescent="0.25">
      <c r="A3347" s="1"/>
      <c r="B3347" s="103"/>
      <c r="C3347" s="103"/>
      <c r="D3347" s="103"/>
      <c r="E3347" s="103"/>
      <c r="F3347" s="103"/>
      <c r="G3347" s="103"/>
      <c r="H3347" s="103"/>
      <c r="I3347" s="103"/>
      <c r="J3347" s="103"/>
      <c r="K3347" s="103"/>
      <c r="L3347" s="1"/>
    </row>
    <row r="3348" spans="1:12" ht="21.75" hidden="1" customHeight="1" x14ac:dyDescent="0.25">
      <c r="A3348" s="1"/>
      <c r="K3348" s="103"/>
      <c r="L3348" s="1"/>
    </row>
    <row r="3349" spans="1:12" ht="21.95" customHeight="1" x14ac:dyDescent="0.25">
      <c r="A3349" s="1"/>
      <c r="B3349" s="95" t="s">
        <v>77</v>
      </c>
      <c r="H3349" s="37" t="s">
        <v>92</v>
      </c>
      <c r="I3349" s="95"/>
      <c r="J3349" s="92"/>
      <c r="K3349" s="103"/>
      <c r="L3349" s="1"/>
    </row>
    <row r="3350" spans="1:12" ht="21.95" customHeight="1" x14ac:dyDescent="0.25">
      <c r="A3350" s="1"/>
      <c r="B3350" s="99" t="s">
        <v>27</v>
      </c>
      <c r="C3350" s="57"/>
      <c r="H3350" s="48" t="s">
        <v>93</v>
      </c>
      <c r="K3350" s="103"/>
    </row>
    <row r="3354" spans="1:12" ht="21.95" customHeight="1" x14ac:dyDescent="0.25">
      <c r="A3354" s="3" t="s">
        <v>22</v>
      </c>
    </row>
    <row r="3355" spans="1:12" ht="21.95" customHeight="1" x14ac:dyDescent="0.2">
      <c r="A3355" s="122" t="s">
        <v>20</v>
      </c>
    </row>
    <row r="3356" spans="1:12" ht="21.95" customHeight="1" x14ac:dyDescent="0.2">
      <c r="A3356" s="122" t="s">
        <v>21</v>
      </c>
    </row>
    <row r="3360" spans="1:12" ht="21.95" customHeight="1" x14ac:dyDescent="0.3">
      <c r="A3360" s="276" t="s">
        <v>6</v>
      </c>
      <c r="B3360" s="276"/>
      <c r="C3360" s="276"/>
      <c r="D3360" s="276"/>
      <c r="E3360" s="276"/>
      <c r="F3360" s="276"/>
      <c r="G3360" s="276"/>
      <c r="H3360" s="276"/>
      <c r="I3360" s="276"/>
      <c r="J3360" s="276"/>
      <c r="K3360" s="276"/>
      <c r="L3360" s="276"/>
    </row>
    <row r="3361" spans="1:12" ht="21.95" customHeight="1" x14ac:dyDescent="0.3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</row>
    <row r="3362" spans="1:12" ht="21.95" customHeight="1" x14ac:dyDescent="0.3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</row>
    <row r="3363" spans="1:12" ht="21.95" customHeight="1" x14ac:dyDescent="0.25">
      <c r="A3363" s="1"/>
      <c r="B3363" s="1"/>
    </row>
    <row r="3364" spans="1:12" ht="21.95" customHeight="1" x14ac:dyDescent="0.25">
      <c r="A3364" s="1" t="s">
        <v>7</v>
      </c>
      <c r="B3364" s="1"/>
    </row>
    <row r="3365" spans="1:12" ht="21.95" customHeight="1" x14ac:dyDescent="0.25">
      <c r="A3365" s="1"/>
      <c r="B3365" s="1"/>
    </row>
    <row r="3366" spans="1:12" ht="21.95" customHeight="1" x14ac:dyDescent="0.25">
      <c r="A3366" s="1" t="s">
        <v>8</v>
      </c>
      <c r="C3366" s="9" t="s">
        <v>1</v>
      </c>
      <c r="D3366" s="40" t="s">
        <v>187</v>
      </c>
      <c r="E3366" s="76"/>
      <c r="F3366" s="76"/>
      <c r="G3366" s="76"/>
      <c r="H3366" s="76"/>
    </row>
    <row r="3367" spans="1:12" ht="21.95" customHeight="1" x14ac:dyDescent="0.25">
      <c r="A3367" s="1" t="s">
        <v>9</v>
      </c>
      <c r="C3367" s="9" t="s">
        <v>1</v>
      </c>
      <c r="D3367" s="10" t="s">
        <v>486</v>
      </c>
      <c r="E3367" s="76"/>
      <c r="F3367" s="76"/>
      <c r="G3367" s="76"/>
      <c r="H3367" s="76"/>
    </row>
    <row r="3368" spans="1:12" ht="21.95" customHeight="1" x14ac:dyDescent="0.2">
      <c r="A3368" s="50" t="s">
        <v>10</v>
      </c>
      <c r="B3368" s="76"/>
      <c r="C3368" s="91" t="s">
        <v>1</v>
      </c>
      <c r="D3368" s="50" t="s">
        <v>275</v>
      </c>
      <c r="E3368" s="76"/>
      <c r="F3368" s="76"/>
      <c r="G3368" s="76"/>
      <c r="H3368" s="76"/>
      <c r="I3368" s="76"/>
      <c r="J3368" s="76"/>
      <c r="K3368" s="76"/>
      <c r="L3368" s="76"/>
    </row>
    <row r="3369" spans="1:12" ht="21.95" customHeight="1" x14ac:dyDescent="0.25">
      <c r="A3369" s="1"/>
      <c r="B3369" s="1"/>
      <c r="D3369" s="1"/>
    </row>
    <row r="3370" spans="1:12" ht="27.75" customHeight="1" x14ac:dyDescent="0.2">
      <c r="A3370" s="277" t="s">
        <v>484</v>
      </c>
      <c r="B3370" s="277"/>
      <c r="C3370" s="277"/>
      <c r="D3370" s="277"/>
      <c r="E3370" s="277"/>
      <c r="F3370" s="277"/>
      <c r="G3370" s="277"/>
      <c r="H3370" s="277"/>
      <c r="I3370" s="277"/>
      <c r="J3370" s="277"/>
      <c r="K3370" s="277"/>
      <c r="L3370" s="277"/>
    </row>
    <row r="3371" spans="1:12" ht="21.95" customHeight="1" x14ac:dyDescent="0.25">
      <c r="A3371" s="1"/>
      <c r="B3371" s="1"/>
    </row>
    <row r="3372" spans="1:12" ht="34.5" customHeight="1" thickBot="1" x14ac:dyDescent="0.25">
      <c r="A3372" s="10" t="s">
        <v>0</v>
      </c>
      <c r="B3372" s="278" t="s">
        <v>91</v>
      </c>
      <c r="C3372" s="278"/>
      <c r="D3372" s="278"/>
      <c r="E3372" s="278"/>
      <c r="F3372" s="278"/>
      <c r="G3372" s="278"/>
      <c r="H3372" s="278"/>
      <c r="I3372" s="278"/>
      <c r="J3372" s="278"/>
      <c r="K3372" s="278"/>
      <c r="L3372" s="278"/>
    </row>
    <row r="3373" spans="1:12" ht="21.95" customHeight="1" thickTop="1" x14ac:dyDescent="0.25">
      <c r="A3373" s="1"/>
      <c r="B3373" s="11" t="s">
        <v>3</v>
      </c>
      <c r="C3373" s="12" t="s">
        <v>4</v>
      </c>
      <c r="D3373" s="13"/>
      <c r="E3373" s="13"/>
      <c r="F3373" s="13"/>
      <c r="G3373" s="13"/>
      <c r="H3373" s="14"/>
      <c r="I3373" s="15" t="s">
        <v>5</v>
      </c>
      <c r="J3373" s="12" t="s">
        <v>17</v>
      </c>
      <c r="K3373" s="13"/>
      <c r="L3373" s="14"/>
    </row>
    <row r="3374" spans="1:12" ht="21.95" customHeight="1" x14ac:dyDescent="0.2">
      <c r="B3374" s="96">
        <v>1</v>
      </c>
      <c r="C3374" s="140" t="s">
        <v>443</v>
      </c>
      <c r="D3374" s="76"/>
      <c r="E3374" s="150"/>
      <c r="F3374" s="144"/>
      <c r="G3374" s="76"/>
      <c r="H3374" s="79"/>
      <c r="I3374" s="56">
        <v>150000</v>
      </c>
      <c r="J3374" s="76" t="s">
        <v>204</v>
      </c>
      <c r="L3374" s="17"/>
    </row>
    <row r="3375" spans="1:12" ht="21.95" customHeight="1" x14ac:dyDescent="0.2">
      <c r="B3375" s="96"/>
      <c r="C3375" s="313"/>
      <c r="D3375" s="314"/>
      <c r="E3375" s="314"/>
      <c r="F3375" s="314"/>
      <c r="G3375" s="314"/>
      <c r="H3375" s="315"/>
      <c r="I3375" s="56"/>
      <c r="L3375" s="17"/>
    </row>
    <row r="3376" spans="1:12" ht="21.95" customHeight="1" x14ac:dyDescent="0.25">
      <c r="A3376" s="1"/>
      <c r="B3376" s="39"/>
      <c r="C3376" s="1"/>
      <c r="D3376" s="1"/>
      <c r="E3376" s="1"/>
      <c r="F3376" s="40" t="s">
        <v>5</v>
      </c>
      <c r="G3376" s="40"/>
      <c r="H3376" s="1"/>
      <c r="I3376" s="41">
        <v>150000</v>
      </c>
      <c r="J3376" s="1"/>
      <c r="K3376" s="1"/>
      <c r="L3376" s="42"/>
    </row>
    <row r="3377" spans="1:12" ht="21.95" customHeight="1" thickBot="1" x14ac:dyDescent="0.3">
      <c r="A3377" s="1"/>
      <c r="B3377" s="43"/>
      <c r="C3377" s="44"/>
      <c r="D3377" s="44"/>
      <c r="E3377" s="44"/>
      <c r="F3377" s="45"/>
      <c r="G3377" s="45"/>
      <c r="H3377" s="44"/>
      <c r="I3377" s="46"/>
      <c r="J3377" s="44"/>
      <c r="K3377" s="44"/>
      <c r="L3377" s="47"/>
    </row>
    <row r="3378" spans="1:12" ht="21.95" customHeight="1" thickTop="1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 spans="1:12" ht="45.75" customHeight="1" x14ac:dyDescent="0.2">
      <c r="A3379" s="10" t="s">
        <v>2</v>
      </c>
      <c r="B3379" s="279" t="s">
        <v>11</v>
      </c>
      <c r="C3379" s="279"/>
      <c r="D3379" s="279"/>
      <c r="E3379" s="279"/>
      <c r="F3379" s="279"/>
      <c r="G3379" s="279"/>
      <c r="H3379" s="279"/>
      <c r="I3379" s="279"/>
      <c r="J3379" s="279"/>
      <c r="K3379" s="279"/>
      <c r="L3379" s="279"/>
    </row>
    <row r="3380" spans="1:12" ht="21.95" customHeight="1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 spans="1:12" ht="21.95" customHeight="1" x14ac:dyDescent="0.2">
      <c r="A3381" s="280" t="s">
        <v>12</v>
      </c>
      <c r="B3381" s="280"/>
      <c r="C3381" s="280"/>
      <c r="D3381" s="280"/>
      <c r="E3381" s="280"/>
      <c r="F3381" s="280"/>
      <c r="G3381" s="280"/>
      <c r="H3381" s="280"/>
      <c r="I3381" s="280"/>
      <c r="J3381" s="280"/>
      <c r="K3381" s="280"/>
      <c r="L3381" s="280"/>
    </row>
    <row r="3382" spans="1:12" ht="21.95" customHeight="1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 spans="1:12" ht="21.95" customHeight="1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 spans="1:12" ht="13.5" customHeight="1" x14ac:dyDescent="0.25">
      <c r="A3384" s="1"/>
      <c r="B3384" s="1"/>
      <c r="C3384" s="1"/>
      <c r="D3384" s="1"/>
      <c r="E3384" s="1"/>
      <c r="F3384" s="1"/>
      <c r="G3384" s="1"/>
      <c r="H3384" s="4" t="s">
        <v>199</v>
      </c>
      <c r="J3384" s="286" t="s">
        <v>471</v>
      </c>
      <c r="K3384" s="286"/>
      <c r="L3384" s="286"/>
    </row>
    <row r="3385" spans="1:12" ht="17.25" customHeight="1" x14ac:dyDescent="0.25">
      <c r="A3385" s="1"/>
      <c r="B3385" s="1" t="s">
        <v>15</v>
      </c>
      <c r="C3385" s="1"/>
      <c r="D3385" s="1"/>
      <c r="E3385" s="1"/>
      <c r="F3385" s="1"/>
      <c r="G3385" s="1"/>
      <c r="H3385" s="4" t="s">
        <v>13</v>
      </c>
    </row>
    <row r="3386" spans="1:12" ht="12.75" customHeight="1" x14ac:dyDescent="0.25">
      <c r="A3386" s="1"/>
      <c r="B3386" s="1" t="s">
        <v>18</v>
      </c>
      <c r="C3386" s="1"/>
      <c r="D3386" s="1"/>
      <c r="E3386" s="1"/>
      <c r="F3386" s="1"/>
      <c r="G3386" s="1"/>
      <c r="H3386" s="4" t="s">
        <v>14</v>
      </c>
    </row>
    <row r="3387" spans="1:12" ht="21.95" customHeight="1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</row>
    <row r="3388" spans="1:12" ht="21.95" customHeight="1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 spans="1:12" ht="14.25" customHeight="1" x14ac:dyDescent="0.25">
      <c r="A3389" s="1"/>
      <c r="B3389" s="103"/>
      <c r="C3389" s="103"/>
      <c r="D3389" s="103"/>
      <c r="E3389" s="103"/>
      <c r="F3389" s="103"/>
      <c r="G3389" s="103"/>
      <c r="H3389" s="103"/>
      <c r="I3389" s="103"/>
      <c r="J3389" s="103"/>
      <c r="K3389" s="103"/>
      <c r="L3389" s="1"/>
    </row>
    <row r="3390" spans="1:12" ht="21.75" hidden="1" customHeight="1" x14ac:dyDescent="0.25">
      <c r="A3390" s="1"/>
      <c r="K3390" s="103"/>
      <c r="L3390" s="1"/>
    </row>
    <row r="3391" spans="1:12" ht="21.95" customHeight="1" x14ac:dyDescent="0.25">
      <c r="A3391" s="1"/>
      <c r="B3391" s="95" t="s">
        <v>77</v>
      </c>
      <c r="H3391" s="37" t="s">
        <v>187</v>
      </c>
      <c r="I3391" s="95"/>
      <c r="J3391" s="92"/>
      <c r="K3391" s="103"/>
      <c r="L3391" s="1"/>
    </row>
    <row r="3392" spans="1:12" ht="21.95" customHeight="1" x14ac:dyDescent="0.25">
      <c r="A3392" s="1"/>
      <c r="B3392" s="99" t="s">
        <v>27</v>
      </c>
      <c r="C3392" s="57"/>
      <c r="H3392" s="48" t="s">
        <v>188</v>
      </c>
      <c r="K3392" s="103"/>
    </row>
    <row r="3397" spans="1:12" ht="21.95" customHeight="1" x14ac:dyDescent="0.25">
      <c r="A3397" s="3" t="s">
        <v>22</v>
      </c>
    </row>
    <row r="3398" spans="1:12" ht="21.95" customHeight="1" x14ac:dyDescent="0.2">
      <c r="A3398" s="122" t="s">
        <v>20</v>
      </c>
    </row>
    <row r="3399" spans="1:12" ht="21.95" customHeight="1" x14ac:dyDescent="0.2">
      <c r="A3399" s="122" t="s">
        <v>21</v>
      </c>
    </row>
    <row r="3403" spans="1:12" ht="21.95" customHeight="1" x14ac:dyDescent="0.3">
      <c r="A3403" s="276" t="s">
        <v>6</v>
      </c>
      <c r="B3403" s="276"/>
      <c r="C3403" s="276"/>
      <c r="D3403" s="276"/>
      <c r="E3403" s="276"/>
      <c r="F3403" s="276"/>
      <c r="G3403" s="276"/>
      <c r="H3403" s="276"/>
      <c r="I3403" s="276"/>
      <c r="J3403" s="276"/>
      <c r="K3403" s="276"/>
      <c r="L3403" s="276"/>
    </row>
    <row r="3404" spans="1:12" ht="21.95" customHeight="1" x14ac:dyDescent="0.3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</row>
    <row r="3405" spans="1:12" ht="21.95" customHeight="1" x14ac:dyDescent="0.3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</row>
    <row r="3406" spans="1:12" ht="21.95" customHeight="1" x14ac:dyDescent="0.25">
      <c r="A3406" s="1"/>
      <c r="B3406" s="1"/>
    </row>
    <row r="3407" spans="1:12" ht="21.95" customHeight="1" x14ac:dyDescent="0.25">
      <c r="A3407" s="1" t="s">
        <v>7</v>
      </c>
      <c r="B3407" s="1"/>
    </row>
    <row r="3408" spans="1:12" ht="21.95" customHeight="1" x14ac:dyDescent="0.25">
      <c r="A3408" s="1"/>
      <c r="B3408" s="1"/>
    </row>
    <row r="3409" spans="1:12" ht="21.95" customHeight="1" x14ac:dyDescent="0.25">
      <c r="A3409" s="1" t="s">
        <v>8</v>
      </c>
      <c r="C3409" s="9" t="s">
        <v>1</v>
      </c>
      <c r="D3409" s="40" t="s">
        <v>181</v>
      </c>
      <c r="E3409" s="76"/>
      <c r="F3409" s="76"/>
      <c r="G3409" s="76"/>
      <c r="H3409" s="76"/>
    </row>
    <row r="3410" spans="1:12" ht="21.95" customHeight="1" x14ac:dyDescent="0.25">
      <c r="A3410" s="1" t="s">
        <v>9</v>
      </c>
      <c r="C3410" s="9" t="s">
        <v>1</v>
      </c>
      <c r="D3410" s="10" t="s">
        <v>453</v>
      </c>
      <c r="E3410" s="76"/>
      <c r="F3410" s="76"/>
      <c r="G3410" s="76"/>
      <c r="H3410" s="76"/>
    </row>
    <row r="3411" spans="1:12" ht="21.95" customHeight="1" x14ac:dyDescent="0.2">
      <c r="A3411" s="50" t="s">
        <v>10</v>
      </c>
      <c r="B3411" s="76"/>
      <c r="C3411" s="91" t="s">
        <v>1</v>
      </c>
      <c r="D3411" s="50" t="s">
        <v>275</v>
      </c>
      <c r="E3411" s="76"/>
      <c r="F3411" s="76"/>
      <c r="G3411" s="76"/>
      <c r="H3411" s="76"/>
      <c r="I3411" s="76"/>
      <c r="J3411" s="76"/>
      <c r="K3411" s="76"/>
      <c r="L3411" s="76"/>
    </row>
    <row r="3412" spans="1:12" ht="21.95" customHeight="1" x14ac:dyDescent="0.25">
      <c r="A3412" s="1"/>
      <c r="B3412" s="1"/>
      <c r="D3412" s="1"/>
    </row>
    <row r="3413" spans="1:12" ht="30" customHeight="1" x14ac:dyDescent="0.2">
      <c r="A3413" s="277" t="s">
        <v>484</v>
      </c>
      <c r="B3413" s="277"/>
      <c r="C3413" s="277"/>
      <c r="D3413" s="277"/>
      <c r="E3413" s="277"/>
      <c r="F3413" s="277"/>
      <c r="G3413" s="277"/>
      <c r="H3413" s="277"/>
      <c r="I3413" s="277"/>
      <c r="J3413" s="277"/>
      <c r="K3413" s="277"/>
      <c r="L3413" s="277"/>
    </row>
    <row r="3414" spans="1:12" ht="21.95" customHeight="1" x14ac:dyDescent="0.25">
      <c r="A3414" s="1"/>
      <c r="B3414" s="1"/>
    </row>
    <row r="3415" spans="1:12" ht="36.75" customHeight="1" thickBot="1" x14ac:dyDescent="0.25">
      <c r="A3415" s="10" t="s">
        <v>0</v>
      </c>
      <c r="B3415" s="278" t="s">
        <v>91</v>
      </c>
      <c r="C3415" s="278"/>
      <c r="D3415" s="278"/>
      <c r="E3415" s="278"/>
      <c r="F3415" s="278"/>
      <c r="G3415" s="278"/>
      <c r="H3415" s="278"/>
      <c r="I3415" s="278"/>
      <c r="J3415" s="278"/>
      <c r="K3415" s="278"/>
      <c r="L3415" s="278"/>
    </row>
    <row r="3416" spans="1:12" ht="21.95" customHeight="1" thickTop="1" x14ac:dyDescent="0.25">
      <c r="A3416" s="1"/>
      <c r="B3416" s="11" t="s">
        <v>3</v>
      </c>
      <c r="C3416" s="12" t="s">
        <v>4</v>
      </c>
      <c r="D3416" s="13"/>
      <c r="E3416" s="13"/>
      <c r="F3416" s="13"/>
      <c r="G3416" s="13"/>
      <c r="H3416" s="14"/>
      <c r="I3416" s="15" t="s">
        <v>5</v>
      </c>
      <c r="J3416" s="12" t="s">
        <v>17</v>
      </c>
      <c r="K3416" s="13"/>
      <c r="L3416" s="14"/>
    </row>
    <row r="3417" spans="1:12" ht="21.95" customHeight="1" x14ac:dyDescent="0.2">
      <c r="B3417" s="96">
        <v>1</v>
      </c>
      <c r="C3417" s="140" t="s">
        <v>443</v>
      </c>
      <c r="D3417" s="76"/>
      <c r="E3417" s="150"/>
      <c r="F3417" s="144"/>
      <c r="G3417" s="76"/>
      <c r="H3417" s="79"/>
      <c r="I3417" s="56">
        <v>150000</v>
      </c>
      <c r="J3417" s="76" t="s">
        <v>204</v>
      </c>
      <c r="L3417" s="17"/>
    </row>
    <row r="3418" spans="1:12" ht="21.95" customHeight="1" x14ac:dyDescent="0.2">
      <c r="B3418" s="96"/>
      <c r="C3418" s="313"/>
      <c r="D3418" s="314"/>
      <c r="E3418" s="314"/>
      <c r="F3418" s="314"/>
      <c r="G3418" s="314"/>
      <c r="H3418" s="315"/>
      <c r="I3418" s="56"/>
      <c r="L3418" s="17"/>
    </row>
    <row r="3419" spans="1:12" ht="21.95" customHeight="1" x14ac:dyDescent="0.25">
      <c r="A3419" s="1"/>
      <c r="B3419" s="39"/>
      <c r="C3419" s="1"/>
      <c r="D3419" s="1"/>
      <c r="E3419" s="1"/>
      <c r="F3419" s="40" t="s">
        <v>5</v>
      </c>
      <c r="G3419" s="40"/>
      <c r="H3419" s="1"/>
      <c r="I3419" s="41">
        <v>150000</v>
      </c>
      <c r="J3419" s="1"/>
      <c r="K3419" s="1"/>
      <c r="L3419" s="42"/>
    </row>
    <row r="3420" spans="1:12" ht="21.95" customHeight="1" thickBot="1" x14ac:dyDescent="0.3">
      <c r="A3420" s="1"/>
      <c r="B3420" s="43"/>
      <c r="C3420" s="44"/>
      <c r="D3420" s="44"/>
      <c r="E3420" s="44"/>
      <c r="F3420" s="45"/>
      <c r="G3420" s="45"/>
      <c r="H3420" s="44"/>
      <c r="I3420" s="46"/>
      <c r="J3420" s="44"/>
      <c r="K3420" s="44"/>
      <c r="L3420" s="47"/>
    </row>
    <row r="3421" spans="1:12" ht="21.95" customHeight="1" thickTop="1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 ht="54" customHeight="1" x14ac:dyDescent="0.2">
      <c r="A3422" s="10" t="s">
        <v>2</v>
      </c>
      <c r="B3422" s="279" t="s">
        <v>11</v>
      </c>
      <c r="C3422" s="279"/>
      <c r="D3422" s="279"/>
      <c r="E3422" s="279"/>
      <c r="F3422" s="279"/>
      <c r="G3422" s="279"/>
      <c r="H3422" s="279"/>
      <c r="I3422" s="279"/>
      <c r="J3422" s="279"/>
      <c r="K3422" s="279"/>
      <c r="L3422" s="279"/>
    </row>
    <row r="3423" spans="1:12" ht="21.95" customHeight="1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 ht="21.95" customHeight="1" x14ac:dyDescent="0.2">
      <c r="A3424" s="280" t="s">
        <v>12</v>
      </c>
      <c r="B3424" s="280"/>
      <c r="C3424" s="280"/>
      <c r="D3424" s="280"/>
      <c r="E3424" s="280"/>
      <c r="F3424" s="280"/>
      <c r="G3424" s="280"/>
      <c r="H3424" s="280"/>
      <c r="I3424" s="280"/>
      <c r="J3424" s="280"/>
      <c r="K3424" s="280"/>
      <c r="L3424" s="280"/>
    </row>
    <row r="3425" spans="1:12" ht="21.95" customHeight="1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 ht="21.95" customHeight="1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 ht="21.95" customHeight="1" x14ac:dyDescent="0.25">
      <c r="A3427" s="1"/>
      <c r="B3427" s="1"/>
      <c r="C3427" s="1"/>
      <c r="D3427" s="1"/>
      <c r="E3427" s="1"/>
      <c r="F3427" s="1"/>
      <c r="G3427" s="1"/>
      <c r="H3427" s="4" t="s">
        <v>199</v>
      </c>
      <c r="J3427" s="286" t="s">
        <v>471</v>
      </c>
      <c r="K3427" s="286"/>
      <c r="L3427" s="286"/>
    </row>
    <row r="3428" spans="1:12" ht="15.75" customHeight="1" x14ac:dyDescent="0.25">
      <c r="A3428" s="1"/>
      <c r="B3428" s="1" t="s">
        <v>15</v>
      </c>
      <c r="C3428" s="1"/>
      <c r="D3428" s="1"/>
      <c r="E3428" s="1"/>
      <c r="F3428" s="1"/>
      <c r="G3428" s="1"/>
      <c r="H3428" s="4" t="s">
        <v>13</v>
      </c>
    </row>
    <row r="3429" spans="1:12" ht="13.5" customHeight="1" x14ac:dyDescent="0.25">
      <c r="A3429" s="1"/>
      <c r="B3429" s="1" t="s">
        <v>18</v>
      </c>
      <c r="C3429" s="1"/>
      <c r="D3429" s="1"/>
      <c r="E3429" s="1"/>
      <c r="F3429" s="1"/>
      <c r="G3429" s="1"/>
      <c r="H3429" s="4" t="s">
        <v>14</v>
      </c>
    </row>
    <row r="3430" spans="1:12" ht="21.95" customHeight="1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 ht="21.95" customHeight="1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 ht="14.25" customHeight="1" x14ac:dyDescent="0.25">
      <c r="A3432" s="1"/>
      <c r="B3432" s="103"/>
      <c r="C3432" s="103"/>
      <c r="D3432" s="103"/>
      <c r="E3432" s="103"/>
      <c r="F3432" s="103"/>
      <c r="G3432" s="103"/>
      <c r="H3432" s="103"/>
      <c r="I3432" s="103"/>
      <c r="J3432" s="103"/>
      <c r="K3432" s="103"/>
      <c r="L3432" s="1"/>
    </row>
    <row r="3433" spans="1:12" ht="21.75" hidden="1" customHeight="1" x14ac:dyDescent="0.25">
      <c r="A3433" s="1"/>
      <c r="K3433" s="103"/>
      <c r="L3433" s="1"/>
    </row>
    <row r="3434" spans="1:12" ht="21.95" customHeight="1" x14ac:dyDescent="0.25">
      <c r="A3434" s="1"/>
      <c r="B3434" s="95" t="s">
        <v>77</v>
      </c>
      <c r="H3434" s="37" t="s">
        <v>181</v>
      </c>
      <c r="I3434" s="95"/>
      <c r="J3434" s="92"/>
      <c r="K3434" s="103"/>
      <c r="L3434" s="1"/>
    </row>
    <row r="3435" spans="1:12" ht="21.95" customHeight="1" x14ac:dyDescent="0.25">
      <c r="A3435" s="1"/>
      <c r="B3435" s="99" t="s">
        <v>27</v>
      </c>
      <c r="C3435" s="57"/>
      <c r="H3435" s="48" t="s">
        <v>182</v>
      </c>
      <c r="K3435" s="103"/>
    </row>
    <row r="3503" spans="1:1" ht="21.95" customHeight="1" x14ac:dyDescent="0.25">
      <c r="A3503" s="3" t="s">
        <v>22</v>
      </c>
    </row>
    <row r="3504" spans="1:1" ht="21.95" customHeight="1" x14ac:dyDescent="0.2">
      <c r="A3504" s="122" t="s">
        <v>20</v>
      </c>
    </row>
    <row r="3505" spans="1:12" ht="21.95" customHeight="1" x14ac:dyDescent="0.2">
      <c r="A3505" s="122" t="s">
        <v>21</v>
      </c>
    </row>
    <row r="3506" spans="1:12" ht="8.25" customHeight="1" x14ac:dyDescent="0.2"/>
    <row r="3509" spans="1:12" ht="21.95" customHeight="1" x14ac:dyDescent="0.3">
      <c r="A3509" s="276" t="s">
        <v>6</v>
      </c>
      <c r="B3509" s="276"/>
      <c r="C3509" s="276"/>
      <c r="D3509" s="276"/>
      <c r="E3509" s="276"/>
      <c r="F3509" s="276"/>
      <c r="G3509" s="276"/>
      <c r="H3509" s="276"/>
      <c r="I3509" s="276"/>
      <c r="J3509" s="276"/>
      <c r="K3509" s="276"/>
      <c r="L3509" s="276"/>
    </row>
    <row r="3510" spans="1:12" ht="21.95" customHeight="1" x14ac:dyDescent="0.3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</row>
    <row r="3511" spans="1:12" ht="2.25" customHeight="1" x14ac:dyDescent="0.3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</row>
    <row r="3512" spans="1:12" ht="21.95" customHeight="1" x14ac:dyDescent="0.25">
      <c r="A3512" s="1"/>
      <c r="B3512" s="1"/>
    </row>
    <row r="3513" spans="1:12" ht="21.95" customHeight="1" x14ac:dyDescent="0.25">
      <c r="A3513" s="1" t="s">
        <v>7</v>
      </c>
      <c r="B3513" s="1"/>
    </row>
    <row r="3514" spans="1:12" ht="21.95" customHeight="1" x14ac:dyDescent="0.25">
      <c r="A3514" s="1"/>
      <c r="B3514" s="1"/>
    </row>
    <row r="3515" spans="1:12" ht="21.95" customHeight="1" x14ac:dyDescent="0.25">
      <c r="A3515" s="1" t="s">
        <v>8</v>
      </c>
      <c r="C3515" s="9" t="s">
        <v>1</v>
      </c>
      <c r="D3515" s="92" t="s">
        <v>555</v>
      </c>
      <c r="E3515" s="76"/>
      <c r="F3515" s="76"/>
      <c r="G3515" s="76"/>
      <c r="H3515" s="76"/>
    </row>
    <row r="3516" spans="1:12" ht="21.95" customHeight="1" x14ac:dyDescent="0.25">
      <c r="A3516" s="1" t="s">
        <v>9</v>
      </c>
      <c r="C3516" s="9" t="s">
        <v>1</v>
      </c>
      <c r="D3516" s="57" t="s">
        <v>236</v>
      </c>
      <c r="E3516" s="76"/>
      <c r="F3516" s="76"/>
      <c r="G3516" s="76"/>
      <c r="H3516" s="76"/>
    </row>
    <row r="3517" spans="1:12" ht="21.95" customHeight="1" x14ac:dyDescent="0.2">
      <c r="A3517" s="50" t="s">
        <v>10</v>
      </c>
      <c r="B3517" s="76"/>
      <c r="C3517" s="91" t="s">
        <v>1</v>
      </c>
      <c r="D3517" s="50" t="s">
        <v>235</v>
      </c>
      <c r="E3517" s="76"/>
      <c r="F3517" s="76"/>
      <c r="G3517" s="76"/>
      <c r="H3517" s="76"/>
      <c r="I3517" s="76"/>
      <c r="J3517" s="76"/>
      <c r="K3517" s="76"/>
      <c r="L3517" s="76"/>
    </row>
    <row r="3518" spans="1:12" ht="21.95" customHeight="1" x14ac:dyDescent="0.25">
      <c r="A3518" s="1"/>
      <c r="B3518" s="1"/>
      <c r="D3518" s="1"/>
    </row>
    <row r="3519" spans="1:12" ht="26.25" customHeight="1" x14ac:dyDescent="0.2">
      <c r="A3519" s="277" t="s">
        <v>487</v>
      </c>
      <c r="B3519" s="277"/>
      <c r="C3519" s="277"/>
      <c r="D3519" s="277"/>
      <c r="E3519" s="277"/>
      <c r="F3519" s="277"/>
      <c r="G3519" s="277"/>
      <c r="H3519" s="277"/>
      <c r="I3519" s="277"/>
      <c r="J3519" s="277"/>
      <c r="K3519" s="277"/>
      <c r="L3519" s="277"/>
    </row>
    <row r="3520" spans="1:12" ht="21.95" customHeight="1" x14ac:dyDescent="0.25">
      <c r="A3520" s="1"/>
      <c r="B3520" s="1"/>
    </row>
    <row r="3521" spans="1:12" ht="44.25" customHeight="1" thickBot="1" x14ac:dyDescent="0.25">
      <c r="A3521" s="10" t="s">
        <v>0</v>
      </c>
      <c r="B3521" s="278" t="s">
        <v>91</v>
      </c>
      <c r="C3521" s="278"/>
      <c r="D3521" s="278"/>
      <c r="E3521" s="278"/>
      <c r="F3521" s="278"/>
      <c r="G3521" s="278"/>
      <c r="H3521" s="278"/>
      <c r="I3521" s="278"/>
      <c r="J3521" s="278"/>
      <c r="K3521" s="278"/>
      <c r="L3521" s="278"/>
    </row>
    <row r="3522" spans="1:12" ht="21.95" customHeight="1" thickTop="1" x14ac:dyDescent="0.25">
      <c r="A3522" s="1"/>
      <c r="B3522" s="11" t="s">
        <v>3</v>
      </c>
      <c r="C3522" s="12" t="s">
        <v>4</v>
      </c>
      <c r="D3522" s="13"/>
      <c r="E3522" s="13"/>
      <c r="F3522" s="13"/>
      <c r="G3522" s="13"/>
      <c r="H3522" s="14"/>
      <c r="I3522" s="15" t="s">
        <v>5</v>
      </c>
      <c r="J3522" s="12" t="s">
        <v>17</v>
      </c>
      <c r="K3522" s="13"/>
      <c r="L3522" s="14"/>
    </row>
    <row r="3523" spans="1:12" ht="21.95" customHeight="1" x14ac:dyDescent="0.2">
      <c r="B3523" s="96">
        <v>1</v>
      </c>
      <c r="C3523" s="140" t="s">
        <v>488</v>
      </c>
      <c r="D3523" s="76"/>
      <c r="E3523" s="150"/>
      <c r="F3523" s="144"/>
      <c r="G3523" s="76"/>
      <c r="H3523" s="79"/>
      <c r="I3523" s="56">
        <v>250000</v>
      </c>
      <c r="J3523" s="76"/>
      <c r="L3523" s="17"/>
    </row>
    <row r="3524" spans="1:12" ht="21.95" customHeight="1" x14ac:dyDescent="0.2">
      <c r="B3524" s="96"/>
      <c r="C3524" s="313"/>
      <c r="D3524" s="314"/>
      <c r="E3524" s="314"/>
      <c r="F3524" s="314"/>
      <c r="G3524" s="314"/>
      <c r="H3524" s="315"/>
      <c r="I3524" s="56"/>
      <c r="L3524" s="17"/>
    </row>
    <row r="3525" spans="1:12" ht="21.95" customHeight="1" x14ac:dyDescent="0.25">
      <c r="A3525" s="1"/>
      <c r="B3525" s="39"/>
      <c r="C3525" s="1"/>
      <c r="D3525" s="1"/>
      <c r="E3525" s="1"/>
      <c r="F3525" s="40" t="s">
        <v>5</v>
      </c>
      <c r="G3525" s="40"/>
      <c r="H3525" s="1"/>
      <c r="I3525" s="41">
        <f>I3523</f>
        <v>250000</v>
      </c>
      <c r="J3525" s="1"/>
      <c r="K3525" s="1"/>
      <c r="L3525" s="42"/>
    </row>
    <row r="3526" spans="1:12" ht="21.95" customHeight="1" thickBot="1" x14ac:dyDescent="0.3">
      <c r="A3526" s="1"/>
      <c r="B3526" s="43"/>
      <c r="C3526" s="44"/>
      <c r="D3526" s="44"/>
      <c r="E3526" s="44"/>
      <c r="F3526" s="45"/>
      <c r="G3526" s="45"/>
      <c r="H3526" s="44"/>
      <c r="I3526" s="46"/>
      <c r="J3526" s="44"/>
      <c r="K3526" s="44"/>
      <c r="L3526" s="47"/>
    </row>
    <row r="3527" spans="1:12" ht="21.95" customHeight="1" thickTop="1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 spans="1:12" ht="48" customHeight="1" x14ac:dyDescent="0.2">
      <c r="A3528" s="10" t="s">
        <v>2</v>
      </c>
      <c r="B3528" s="279" t="s">
        <v>11</v>
      </c>
      <c r="C3528" s="279"/>
      <c r="D3528" s="279"/>
      <c r="E3528" s="279"/>
      <c r="F3528" s="279"/>
      <c r="G3528" s="279"/>
      <c r="H3528" s="279"/>
      <c r="I3528" s="279"/>
      <c r="J3528" s="279"/>
      <c r="K3528" s="279"/>
      <c r="L3528" s="279"/>
    </row>
    <row r="3529" spans="1:12" ht="21.95" customHeight="1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 spans="1:12" ht="21.95" customHeight="1" x14ac:dyDescent="0.2">
      <c r="A3530" s="280" t="s">
        <v>12</v>
      </c>
      <c r="B3530" s="280"/>
      <c r="C3530" s="280"/>
      <c r="D3530" s="280"/>
      <c r="E3530" s="280"/>
      <c r="F3530" s="280"/>
      <c r="G3530" s="280"/>
      <c r="H3530" s="280"/>
      <c r="I3530" s="280"/>
      <c r="J3530" s="280"/>
      <c r="K3530" s="280"/>
      <c r="L3530" s="280"/>
    </row>
    <row r="3531" spans="1:12" ht="21.95" customHeight="1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 spans="1:12" ht="21.95" customHeight="1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 spans="1:12" ht="15" customHeight="1" x14ac:dyDescent="0.25">
      <c r="A3533" s="1"/>
      <c r="B3533" s="1"/>
      <c r="C3533" s="1"/>
      <c r="D3533" s="1"/>
      <c r="E3533" s="1"/>
      <c r="F3533" s="1"/>
      <c r="G3533" s="1"/>
      <c r="H3533" s="4" t="s">
        <v>199</v>
      </c>
      <c r="J3533" s="286" t="s">
        <v>471</v>
      </c>
      <c r="K3533" s="286"/>
      <c r="L3533" s="286"/>
    </row>
    <row r="3534" spans="1:12" ht="14.25" customHeight="1" x14ac:dyDescent="0.25">
      <c r="A3534" s="1"/>
      <c r="B3534" s="1" t="s">
        <v>15</v>
      </c>
      <c r="C3534" s="1"/>
      <c r="D3534" s="1"/>
      <c r="E3534" s="1"/>
      <c r="F3534" s="1"/>
      <c r="G3534" s="1"/>
      <c r="H3534" s="4" t="s">
        <v>13</v>
      </c>
    </row>
    <row r="3535" spans="1:12" ht="15.75" customHeight="1" x14ac:dyDescent="0.25">
      <c r="A3535" s="1"/>
      <c r="B3535" s="1" t="s">
        <v>18</v>
      </c>
      <c r="C3535" s="1"/>
      <c r="D3535" s="1"/>
      <c r="E3535" s="1"/>
      <c r="F3535" s="1"/>
      <c r="G3535" s="1"/>
      <c r="H3535" s="4" t="s">
        <v>14</v>
      </c>
    </row>
    <row r="3536" spans="1:12" ht="21.95" customHeight="1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</row>
    <row r="3537" spans="1:12" ht="9.75" customHeight="1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</row>
    <row r="3538" spans="1:12" ht="21.75" hidden="1" customHeight="1" x14ac:dyDescent="0.25">
      <c r="A3538" s="1"/>
      <c r="B3538" s="103"/>
      <c r="C3538" s="103"/>
      <c r="D3538" s="103"/>
      <c r="E3538" s="103"/>
      <c r="F3538" s="103"/>
      <c r="G3538" s="103"/>
      <c r="H3538" s="103"/>
      <c r="I3538" s="103"/>
      <c r="J3538" s="103"/>
      <c r="K3538" s="103"/>
      <c r="L3538" s="1"/>
    </row>
    <row r="3539" spans="1:12" ht="21.95" customHeight="1" x14ac:dyDescent="0.25">
      <c r="A3539" s="1"/>
      <c r="K3539" s="103"/>
      <c r="L3539" s="1"/>
    </row>
    <row r="3540" spans="1:12" ht="21.95" customHeight="1" x14ac:dyDescent="0.25">
      <c r="A3540" s="1"/>
      <c r="B3540" s="95" t="s">
        <v>77</v>
      </c>
      <c r="H3540" s="26" t="s">
        <v>555</v>
      </c>
      <c r="I3540" s="95"/>
      <c r="J3540" s="92"/>
      <c r="K3540" s="103"/>
      <c r="L3540" s="1"/>
    </row>
    <row r="3541" spans="1:12" ht="21.95" customHeight="1" x14ac:dyDescent="0.2">
      <c r="A3541" s="48"/>
      <c r="B3541" s="99" t="s">
        <v>27</v>
      </c>
      <c r="C3541" s="146"/>
      <c r="D3541" s="99"/>
      <c r="E3541" s="99"/>
      <c r="F3541" s="99"/>
      <c r="G3541" s="99"/>
      <c r="H3541" s="28" t="s">
        <v>46</v>
      </c>
      <c r="I3541" s="99"/>
      <c r="J3541" s="99"/>
      <c r="K3541" s="104"/>
      <c r="L3541" s="99"/>
    </row>
    <row r="3545" spans="1:12" ht="21.95" customHeight="1" x14ac:dyDescent="0.25">
      <c r="A3545" s="3" t="s">
        <v>22</v>
      </c>
    </row>
    <row r="3546" spans="1:12" ht="21.95" customHeight="1" x14ac:dyDescent="0.2">
      <c r="A3546" s="122" t="s">
        <v>20</v>
      </c>
    </row>
    <row r="3547" spans="1:12" ht="21.95" customHeight="1" x14ac:dyDescent="0.2">
      <c r="A3547" s="122" t="s">
        <v>21</v>
      </c>
    </row>
    <row r="3551" spans="1:12" ht="21.95" customHeight="1" x14ac:dyDescent="0.3">
      <c r="A3551" s="276" t="s">
        <v>6</v>
      </c>
      <c r="B3551" s="276"/>
      <c r="C3551" s="276"/>
      <c r="D3551" s="276"/>
      <c r="E3551" s="276"/>
      <c r="F3551" s="276"/>
      <c r="G3551" s="276"/>
      <c r="H3551" s="276"/>
      <c r="I3551" s="276"/>
      <c r="J3551" s="276"/>
      <c r="K3551" s="276"/>
      <c r="L3551" s="276"/>
    </row>
    <row r="3552" spans="1:12" ht="21.95" customHeight="1" x14ac:dyDescent="0.3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</row>
    <row r="3553" spans="1:12" ht="21.95" customHeight="1" x14ac:dyDescent="0.3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</row>
    <row r="3554" spans="1:12" ht="21.95" customHeight="1" x14ac:dyDescent="0.25">
      <c r="A3554" s="1"/>
      <c r="B3554" s="1"/>
    </row>
    <row r="3555" spans="1:12" ht="21.95" customHeight="1" x14ac:dyDescent="0.25">
      <c r="A3555" s="1" t="s">
        <v>7</v>
      </c>
      <c r="B3555" s="1"/>
    </row>
    <row r="3556" spans="1:12" ht="21.95" customHeight="1" x14ac:dyDescent="0.25">
      <c r="A3556" s="1"/>
      <c r="B3556" s="1"/>
    </row>
    <row r="3557" spans="1:12" ht="21.95" customHeight="1" x14ac:dyDescent="0.25">
      <c r="A3557" s="1" t="s">
        <v>8</v>
      </c>
      <c r="C3557" s="9" t="s">
        <v>1</v>
      </c>
      <c r="D3557" s="92" t="s">
        <v>96</v>
      </c>
      <c r="E3557" s="76"/>
      <c r="F3557" s="76"/>
      <c r="G3557" s="76"/>
      <c r="H3557" s="76"/>
    </row>
    <row r="3558" spans="1:12" ht="15.75" customHeight="1" x14ac:dyDescent="0.25">
      <c r="A3558" s="1" t="s">
        <v>9</v>
      </c>
      <c r="C3558" s="9" t="s">
        <v>1</v>
      </c>
      <c r="D3558" s="57" t="s">
        <v>200</v>
      </c>
      <c r="E3558" s="76"/>
      <c r="F3558" s="76"/>
      <c r="G3558" s="76"/>
      <c r="H3558" s="76"/>
    </row>
    <row r="3559" spans="1:12" ht="21.95" customHeight="1" x14ac:dyDescent="0.2">
      <c r="A3559" s="50" t="s">
        <v>10</v>
      </c>
      <c r="B3559" s="76"/>
      <c r="C3559" s="91" t="s">
        <v>1</v>
      </c>
      <c r="D3559" s="50" t="s">
        <v>203</v>
      </c>
      <c r="E3559" s="76"/>
      <c r="F3559" s="76"/>
      <c r="G3559" s="76"/>
      <c r="H3559" s="76"/>
      <c r="I3559" s="76"/>
      <c r="J3559" s="76"/>
      <c r="K3559" s="76"/>
      <c r="L3559" s="76"/>
    </row>
    <row r="3560" spans="1:12" ht="21.95" customHeight="1" x14ac:dyDescent="0.25">
      <c r="A3560" s="1"/>
      <c r="B3560" s="1"/>
      <c r="D3560" s="1"/>
    </row>
    <row r="3561" spans="1:12" ht="33.75" customHeight="1" x14ac:dyDescent="0.2">
      <c r="A3561" s="277" t="s">
        <v>489</v>
      </c>
      <c r="B3561" s="277"/>
      <c r="C3561" s="277"/>
      <c r="D3561" s="277"/>
      <c r="E3561" s="277"/>
      <c r="F3561" s="277"/>
      <c r="G3561" s="277"/>
      <c r="H3561" s="277"/>
      <c r="I3561" s="277"/>
      <c r="J3561" s="277"/>
      <c r="K3561" s="277"/>
      <c r="L3561" s="277"/>
    </row>
    <row r="3562" spans="1:12" ht="21.95" customHeight="1" x14ac:dyDescent="0.25">
      <c r="A3562" s="1"/>
      <c r="B3562" s="1"/>
    </row>
    <row r="3563" spans="1:12" ht="43.5" customHeight="1" thickBot="1" x14ac:dyDescent="0.25">
      <c r="A3563" s="10" t="s">
        <v>0</v>
      </c>
      <c r="B3563" s="278" t="s">
        <v>91</v>
      </c>
      <c r="C3563" s="278"/>
      <c r="D3563" s="278"/>
      <c r="E3563" s="278"/>
      <c r="F3563" s="278"/>
      <c r="G3563" s="278"/>
      <c r="H3563" s="278"/>
      <c r="I3563" s="278"/>
      <c r="J3563" s="278"/>
      <c r="K3563" s="278"/>
      <c r="L3563" s="278"/>
    </row>
    <row r="3564" spans="1:12" ht="21.95" customHeight="1" thickTop="1" x14ac:dyDescent="0.25">
      <c r="A3564" s="1"/>
      <c r="B3564" s="11" t="s">
        <v>3</v>
      </c>
      <c r="C3564" s="12" t="s">
        <v>4</v>
      </c>
      <c r="D3564" s="13"/>
      <c r="E3564" s="13"/>
      <c r="F3564" s="13"/>
      <c r="G3564" s="13"/>
      <c r="H3564" s="14"/>
      <c r="I3564" s="15" t="s">
        <v>5</v>
      </c>
      <c r="J3564" s="12" t="s">
        <v>17</v>
      </c>
      <c r="K3564" s="13"/>
      <c r="L3564" s="14"/>
    </row>
    <row r="3565" spans="1:12" ht="21.95" customHeight="1" x14ac:dyDescent="0.2">
      <c r="B3565" s="96">
        <v>1</v>
      </c>
      <c r="C3565" s="140" t="s">
        <v>490</v>
      </c>
      <c r="D3565" s="76"/>
      <c r="E3565" s="150"/>
      <c r="F3565" s="144"/>
      <c r="G3565" s="76"/>
      <c r="H3565" s="79"/>
      <c r="I3565" s="56">
        <v>150000</v>
      </c>
      <c r="J3565" s="76"/>
      <c r="L3565" s="17"/>
    </row>
    <row r="3566" spans="1:12" ht="21.95" customHeight="1" x14ac:dyDescent="0.2">
      <c r="B3566" s="96"/>
      <c r="C3566" s="313"/>
      <c r="D3566" s="314"/>
      <c r="E3566" s="314"/>
      <c r="F3566" s="314"/>
      <c r="G3566" s="314"/>
      <c r="H3566" s="315"/>
      <c r="I3566" s="56"/>
      <c r="L3566" s="17"/>
    </row>
    <row r="3567" spans="1:12" ht="21.95" customHeight="1" x14ac:dyDescent="0.25">
      <c r="A3567" s="1"/>
      <c r="B3567" s="39"/>
      <c r="C3567" s="1"/>
      <c r="D3567" s="1"/>
      <c r="E3567" s="1"/>
      <c r="F3567" s="40" t="s">
        <v>5</v>
      </c>
      <c r="G3567" s="40"/>
      <c r="H3567" s="1"/>
      <c r="I3567" s="41">
        <f>I3565</f>
        <v>150000</v>
      </c>
      <c r="J3567" s="1"/>
      <c r="K3567" s="1"/>
      <c r="L3567" s="42"/>
    </row>
    <row r="3568" spans="1:12" ht="21.95" customHeight="1" thickBot="1" x14ac:dyDescent="0.3">
      <c r="A3568" s="1"/>
      <c r="B3568" s="43"/>
      <c r="C3568" s="44"/>
      <c r="D3568" s="44"/>
      <c r="E3568" s="44"/>
      <c r="F3568" s="45"/>
      <c r="G3568" s="45"/>
      <c r="H3568" s="44"/>
      <c r="I3568" s="46"/>
      <c r="J3568" s="44"/>
      <c r="K3568" s="44"/>
      <c r="L3568" s="47"/>
    </row>
    <row r="3569" spans="1:12" ht="21.95" customHeight="1" thickTop="1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 ht="51" customHeight="1" x14ac:dyDescent="0.2">
      <c r="A3570" s="10" t="s">
        <v>2</v>
      </c>
      <c r="B3570" s="279" t="s">
        <v>11</v>
      </c>
      <c r="C3570" s="279"/>
      <c r="D3570" s="279"/>
      <c r="E3570" s="279"/>
      <c r="F3570" s="279"/>
      <c r="G3570" s="279"/>
      <c r="H3570" s="279"/>
      <c r="I3570" s="279"/>
      <c r="J3570" s="279"/>
      <c r="K3570" s="279"/>
      <c r="L3570" s="279"/>
    </row>
    <row r="3571" spans="1:12" ht="21.95" customHeight="1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 ht="21.95" customHeight="1" x14ac:dyDescent="0.2">
      <c r="A3572" s="280" t="s">
        <v>12</v>
      </c>
      <c r="B3572" s="280"/>
      <c r="C3572" s="280"/>
      <c r="D3572" s="280"/>
      <c r="E3572" s="280"/>
      <c r="F3572" s="280"/>
      <c r="G3572" s="280"/>
      <c r="H3572" s="280"/>
      <c r="I3572" s="280"/>
      <c r="J3572" s="280"/>
      <c r="K3572" s="280"/>
      <c r="L3572" s="280"/>
    </row>
    <row r="3573" spans="1:12" ht="21.95" customHeight="1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 ht="19.5" customHeight="1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 ht="21.75" hidden="1" customHeight="1" x14ac:dyDescent="0.25">
      <c r="A3575" s="1"/>
      <c r="B3575" s="1"/>
      <c r="C3575" s="1"/>
      <c r="D3575" s="1"/>
      <c r="E3575" s="1"/>
      <c r="F3575" s="1"/>
      <c r="G3575" s="1"/>
      <c r="J3575" s="286"/>
      <c r="K3575" s="286"/>
      <c r="L3575" s="286"/>
    </row>
    <row r="3576" spans="1:12" ht="21.95" customHeight="1" x14ac:dyDescent="0.25">
      <c r="A3576" s="1"/>
      <c r="B3576" s="1"/>
      <c r="C3576" s="1"/>
      <c r="D3576" s="1"/>
      <c r="E3576" s="1"/>
      <c r="F3576" s="1"/>
      <c r="G3576" s="1"/>
      <c r="H3576" s="4" t="s">
        <v>199</v>
      </c>
      <c r="J3576" s="286" t="s">
        <v>491</v>
      </c>
      <c r="K3576" s="286"/>
      <c r="L3576" s="286"/>
    </row>
    <row r="3577" spans="1:12" ht="15.75" customHeight="1" x14ac:dyDescent="0.25">
      <c r="A3577" s="1"/>
      <c r="B3577" s="1" t="s">
        <v>15</v>
      </c>
      <c r="C3577" s="1"/>
      <c r="D3577" s="1"/>
      <c r="E3577" s="1"/>
      <c r="F3577" s="1"/>
      <c r="G3577" s="1"/>
      <c r="H3577" s="4" t="s">
        <v>13</v>
      </c>
    </row>
    <row r="3578" spans="1:12" ht="12.75" customHeight="1" x14ac:dyDescent="0.25">
      <c r="A3578" s="1"/>
      <c r="B3578" s="1" t="s">
        <v>18</v>
      </c>
      <c r="C3578" s="1"/>
      <c r="D3578" s="1"/>
      <c r="E3578" s="1"/>
      <c r="F3578" s="1"/>
      <c r="G3578" s="1"/>
      <c r="H3578" s="4" t="s">
        <v>14</v>
      </c>
    </row>
    <row r="3579" spans="1:12" ht="21.95" customHeight="1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 ht="9.75" customHeight="1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 ht="21.75" hidden="1" customHeight="1" x14ac:dyDescent="0.25">
      <c r="A3581" s="1"/>
      <c r="B3581" s="103"/>
      <c r="C3581" s="103"/>
      <c r="D3581" s="103"/>
      <c r="E3581" s="103"/>
      <c r="F3581" s="103"/>
      <c r="G3581" s="103"/>
      <c r="H3581" s="103"/>
      <c r="I3581" s="103"/>
      <c r="J3581" s="103"/>
      <c r="K3581" s="103"/>
      <c r="L3581" s="1"/>
    </row>
    <row r="3582" spans="1:12" ht="15.75" customHeight="1" x14ac:dyDescent="0.25">
      <c r="A3582" s="1"/>
      <c r="K3582" s="103"/>
      <c r="L3582" s="1"/>
    </row>
    <row r="3583" spans="1:12" ht="21.95" customHeight="1" x14ac:dyDescent="0.25">
      <c r="A3583" s="1"/>
      <c r="B3583" s="95" t="s">
        <v>77</v>
      </c>
      <c r="H3583" s="26" t="s">
        <v>96</v>
      </c>
      <c r="I3583" s="95"/>
      <c r="J3583" s="92"/>
      <c r="K3583" s="103"/>
      <c r="L3583" s="1"/>
    </row>
    <row r="3584" spans="1:12" ht="21.95" customHeight="1" x14ac:dyDescent="0.25">
      <c r="A3584" s="1"/>
      <c r="B3584" s="99" t="s">
        <v>27</v>
      </c>
      <c r="C3584" s="57"/>
      <c r="H3584" s="28" t="s">
        <v>100</v>
      </c>
      <c r="K3584" s="103"/>
    </row>
    <row r="3589" spans="1:12" ht="21.95" customHeight="1" x14ac:dyDescent="0.25">
      <c r="A3589" s="3" t="s">
        <v>22</v>
      </c>
    </row>
    <row r="3590" spans="1:12" ht="21.95" customHeight="1" x14ac:dyDescent="0.2">
      <c r="A3590" s="122" t="s">
        <v>20</v>
      </c>
    </row>
    <row r="3591" spans="1:12" ht="21.95" customHeight="1" x14ac:dyDescent="0.2">
      <c r="A3591" s="122" t="s">
        <v>21</v>
      </c>
    </row>
    <row r="3595" spans="1:12" ht="21.95" customHeight="1" x14ac:dyDescent="0.3">
      <c r="A3595" s="276" t="s">
        <v>6</v>
      </c>
      <c r="B3595" s="276"/>
      <c r="C3595" s="276"/>
      <c r="D3595" s="276"/>
      <c r="E3595" s="276"/>
      <c r="F3595" s="276"/>
      <c r="G3595" s="276"/>
      <c r="H3595" s="276"/>
      <c r="I3595" s="276"/>
      <c r="J3595" s="276"/>
      <c r="K3595" s="276"/>
      <c r="L3595" s="276"/>
    </row>
    <row r="3596" spans="1:12" ht="21.95" customHeight="1" x14ac:dyDescent="0.3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</row>
    <row r="3597" spans="1:12" ht="21.95" customHeight="1" x14ac:dyDescent="0.3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</row>
    <row r="3598" spans="1:12" ht="21.95" customHeight="1" x14ac:dyDescent="0.25">
      <c r="A3598" s="1"/>
      <c r="B3598" s="1"/>
    </row>
    <row r="3599" spans="1:12" ht="21.95" customHeight="1" x14ac:dyDescent="0.25">
      <c r="A3599" s="1" t="s">
        <v>7</v>
      </c>
      <c r="B3599" s="1"/>
    </row>
    <row r="3600" spans="1:12" ht="21.95" customHeight="1" x14ac:dyDescent="0.25">
      <c r="A3600" s="1"/>
      <c r="B3600" s="1"/>
    </row>
    <row r="3601" spans="1:12" ht="21.95" customHeight="1" x14ac:dyDescent="0.25">
      <c r="A3601" s="1" t="s">
        <v>8</v>
      </c>
      <c r="C3601" s="9" t="s">
        <v>1</v>
      </c>
      <c r="D3601" s="92" t="s">
        <v>555</v>
      </c>
      <c r="E3601" s="76"/>
      <c r="F3601" s="76"/>
      <c r="G3601" s="76"/>
      <c r="H3601" s="76"/>
    </row>
    <row r="3602" spans="1:12" ht="21.95" customHeight="1" x14ac:dyDescent="0.25">
      <c r="A3602" s="1" t="s">
        <v>9</v>
      </c>
      <c r="C3602" s="9" t="s">
        <v>1</v>
      </c>
      <c r="D3602" s="57" t="s">
        <v>236</v>
      </c>
      <c r="E3602" s="76"/>
      <c r="F3602" s="76"/>
      <c r="G3602" s="76"/>
      <c r="H3602" s="76"/>
    </row>
    <row r="3603" spans="1:12" ht="21.95" customHeight="1" x14ac:dyDescent="0.2">
      <c r="A3603" s="50" t="s">
        <v>10</v>
      </c>
      <c r="B3603" s="76"/>
      <c r="C3603" s="91" t="s">
        <v>1</v>
      </c>
      <c r="D3603" s="50" t="s">
        <v>235</v>
      </c>
      <c r="E3603" s="76"/>
      <c r="F3603" s="76"/>
      <c r="G3603" s="76"/>
      <c r="H3603" s="76"/>
      <c r="I3603" s="76"/>
      <c r="J3603" s="76"/>
      <c r="K3603" s="76"/>
      <c r="L3603" s="76"/>
    </row>
    <row r="3604" spans="1:12" ht="21.95" customHeight="1" x14ac:dyDescent="0.25">
      <c r="A3604" s="1"/>
      <c r="B3604" s="1"/>
      <c r="D3604" s="1"/>
    </row>
    <row r="3605" spans="1:12" ht="29.25" customHeight="1" x14ac:dyDescent="0.2">
      <c r="A3605" s="277" t="s">
        <v>492</v>
      </c>
      <c r="B3605" s="277"/>
      <c r="C3605" s="277"/>
      <c r="D3605" s="277"/>
      <c r="E3605" s="277"/>
      <c r="F3605" s="277"/>
      <c r="G3605" s="277"/>
      <c r="H3605" s="277"/>
      <c r="I3605" s="277"/>
      <c r="J3605" s="277"/>
      <c r="K3605" s="277"/>
      <c r="L3605" s="277"/>
    </row>
    <row r="3606" spans="1:12" ht="21.95" customHeight="1" x14ac:dyDescent="0.25">
      <c r="A3606" s="1"/>
      <c r="B3606" s="1"/>
    </row>
    <row r="3607" spans="1:12" ht="36.75" customHeight="1" thickBot="1" x14ac:dyDescent="0.25">
      <c r="A3607" s="10" t="s">
        <v>0</v>
      </c>
      <c r="B3607" s="278" t="s">
        <v>91</v>
      </c>
      <c r="C3607" s="278"/>
      <c r="D3607" s="278"/>
      <c r="E3607" s="278"/>
      <c r="F3607" s="278"/>
      <c r="G3607" s="278"/>
      <c r="H3607" s="278"/>
      <c r="I3607" s="278"/>
      <c r="J3607" s="278"/>
      <c r="K3607" s="278"/>
      <c r="L3607" s="278"/>
    </row>
    <row r="3608" spans="1:12" ht="21.95" customHeight="1" thickTop="1" x14ac:dyDescent="0.25">
      <c r="A3608" s="1"/>
      <c r="B3608" s="11" t="s">
        <v>3</v>
      </c>
      <c r="C3608" s="12" t="s">
        <v>4</v>
      </c>
      <c r="D3608" s="13"/>
      <c r="E3608" s="13"/>
      <c r="F3608" s="13"/>
      <c r="G3608" s="13"/>
      <c r="H3608" s="14"/>
      <c r="I3608" s="15" t="s">
        <v>5</v>
      </c>
      <c r="J3608" s="12" t="s">
        <v>17</v>
      </c>
      <c r="K3608" s="13"/>
      <c r="L3608" s="14"/>
    </row>
    <row r="3609" spans="1:12" ht="21.95" customHeight="1" x14ac:dyDescent="0.2">
      <c r="B3609" s="96">
        <v>1</v>
      </c>
      <c r="C3609" s="140" t="s">
        <v>488</v>
      </c>
      <c r="D3609" s="76"/>
      <c r="E3609" s="150"/>
      <c r="F3609" s="144"/>
      <c r="G3609" s="76"/>
      <c r="H3609" s="79"/>
      <c r="I3609" s="56">
        <v>250000</v>
      </c>
      <c r="J3609" s="76"/>
      <c r="L3609" s="17"/>
    </row>
    <row r="3610" spans="1:12" ht="21.95" customHeight="1" x14ac:dyDescent="0.2">
      <c r="B3610" s="96"/>
      <c r="C3610" s="313"/>
      <c r="D3610" s="314"/>
      <c r="E3610" s="314"/>
      <c r="F3610" s="314"/>
      <c r="G3610" s="314"/>
      <c r="H3610" s="315"/>
      <c r="I3610" s="56"/>
      <c r="L3610" s="17"/>
    </row>
    <row r="3611" spans="1:12" ht="21.95" customHeight="1" x14ac:dyDescent="0.25">
      <c r="A3611" s="1"/>
      <c r="B3611" s="39"/>
      <c r="C3611" s="1"/>
      <c r="D3611" s="1"/>
      <c r="E3611" s="1"/>
      <c r="F3611" s="40" t="s">
        <v>5</v>
      </c>
      <c r="G3611" s="40"/>
      <c r="H3611" s="1"/>
      <c r="I3611" s="41">
        <f>I3609</f>
        <v>250000</v>
      </c>
      <c r="J3611" s="1"/>
      <c r="K3611" s="1"/>
      <c r="L3611" s="42"/>
    </row>
    <row r="3612" spans="1:12" ht="21.95" customHeight="1" thickBot="1" x14ac:dyDescent="0.3">
      <c r="A3612" s="1"/>
      <c r="B3612" s="43"/>
      <c r="C3612" s="44"/>
      <c r="D3612" s="44"/>
      <c r="E3612" s="44"/>
      <c r="F3612" s="45"/>
      <c r="G3612" s="45"/>
      <c r="H3612" s="44"/>
      <c r="I3612" s="46"/>
      <c r="J3612" s="44"/>
      <c r="K3612" s="44"/>
      <c r="L3612" s="47"/>
    </row>
    <row r="3613" spans="1:12" ht="21.95" customHeight="1" thickTop="1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</row>
    <row r="3614" spans="1:12" ht="50.25" customHeight="1" x14ac:dyDescent="0.2">
      <c r="A3614" s="10" t="s">
        <v>2</v>
      </c>
      <c r="B3614" s="279" t="s">
        <v>11</v>
      </c>
      <c r="C3614" s="279"/>
      <c r="D3614" s="279"/>
      <c r="E3614" s="279"/>
      <c r="F3614" s="279"/>
      <c r="G3614" s="279"/>
      <c r="H3614" s="279"/>
      <c r="I3614" s="279"/>
      <c r="J3614" s="279"/>
      <c r="K3614" s="279"/>
      <c r="L3614" s="279"/>
    </row>
    <row r="3615" spans="1:12" ht="21.95" customHeight="1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</row>
    <row r="3616" spans="1:12" ht="21.95" customHeight="1" x14ac:dyDescent="0.2">
      <c r="A3616" s="280" t="s">
        <v>12</v>
      </c>
      <c r="B3616" s="280"/>
      <c r="C3616" s="280"/>
      <c r="D3616" s="280"/>
      <c r="E3616" s="280"/>
      <c r="F3616" s="280"/>
      <c r="G3616" s="280"/>
      <c r="H3616" s="280"/>
      <c r="I3616" s="280"/>
      <c r="J3616" s="280"/>
      <c r="K3616" s="280"/>
      <c r="L3616" s="280"/>
    </row>
    <row r="3617" spans="1:12" ht="21.95" customHeight="1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</row>
    <row r="3618" spans="1:12" ht="21.95" customHeight="1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</row>
    <row r="3619" spans="1:12" ht="21.95" customHeight="1" x14ac:dyDescent="0.25">
      <c r="A3619" s="1"/>
      <c r="B3619" s="1"/>
      <c r="C3619" s="1"/>
      <c r="D3619" s="1"/>
      <c r="E3619" s="1"/>
      <c r="F3619" s="1"/>
      <c r="G3619" s="1"/>
      <c r="H3619" s="4" t="s">
        <v>199</v>
      </c>
      <c r="J3619" s="286" t="s">
        <v>491</v>
      </c>
      <c r="K3619" s="286"/>
      <c r="L3619" s="286"/>
    </row>
    <row r="3620" spans="1:12" ht="12.75" customHeight="1" x14ac:dyDescent="0.25">
      <c r="A3620" s="1"/>
      <c r="B3620" s="1" t="s">
        <v>15</v>
      </c>
      <c r="C3620" s="1"/>
      <c r="D3620" s="1"/>
      <c r="E3620" s="1"/>
      <c r="F3620" s="1"/>
      <c r="G3620" s="1"/>
      <c r="H3620" s="4" t="s">
        <v>13</v>
      </c>
    </row>
    <row r="3621" spans="1:12" ht="17.25" customHeight="1" x14ac:dyDescent="0.25">
      <c r="A3621" s="1"/>
      <c r="B3621" s="1" t="s">
        <v>18</v>
      </c>
      <c r="C3621" s="1"/>
      <c r="D3621" s="1"/>
      <c r="E3621" s="1"/>
      <c r="F3621" s="1"/>
      <c r="G3621" s="1"/>
      <c r="H3621" s="4" t="s">
        <v>14</v>
      </c>
    </row>
    <row r="3622" spans="1:12" ht="21.95" customHeight="1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</row>
    <row r="3623" spans="1:12" ht="21.95" customHeight="1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 ht="2.25" customHeight="1" x14ac:dyDescent="0.25">
      <c r="A3624" s="1"/>
      <c r="B3624" s="103"/>
      <c r="C3624" s="103"/>
      <c r="D3624" s="103"/>
      <c r="E3624" s="103"/>
      <c r="F3624" s="103"/>
      <c r="G3624" s="103"/>
      <c r="H3624" s="103"/>
      <c r="I3624" s="103"/>
      <c r="J3624" s="103"/>
      <c r="K3624" s="103"/>
      <c r="L3624" s="1"/>
    </row>
    <row r="3625" spans="1:12" ht="21.75" hidden="1" customHeight="1" x14ac:dyDescent="0.25">
      <c r="A3625" s="1"/>
      <c r="K3625" s="103"/>
      <c r="L3625" s="1"/>
    </row>
    <row r="3626" spans="1:12" ht="21.95" customHeight="1" x14ac:dyDescent="0.25">
      <c r="A3626" s="1"/>
      <c r="B3626" s="95" t="s">
        <v>77</v>
      </c>
      <c r="H3626" s="26" t="s">
        <v>555</v>
      </c>
      <c r="I3626" s="95"/>
      <c r="J3626" s="92"/>
      <c r="K3626" s="103"/>
      <c r="L3626" s="1"/>
    </row>
    <row r="3627" spans="1:12" ht="21.95" customHeight="1" x14ac:dyDescent="0.2">
      <c r="A3627" s="48"/>
      <c r="B3627" s="99" t="s">
        <v>27</v>
      </c>
      <c r="C3627" s="146"/>
      <c r="D3627" s="99"/>
      <c r="E3627" s="99"/>
      <c r="F3627" s="99"/>
      <c r="G3627" s="99"/>
      <c r="H3627" s="28" t="s">
        <v>46</v>
      </c>
      <c r="I3627" s="99"/>
      <c r="J3627" s="99"/>
      <c r="K3627" s="104"/>
      <c r="L3627" s="99"/>
    </row>
    <row r="3632" spans="1:12" ht="21.95" customHeight="1" x14ac:dyDescent="0.25">
      <c r="A3632" s="3" t="s">
        <v>22</v>
      </c>
    </row>
    <row r="3633" spans="1:12" ht="21.95" customHeight="1" x14ac:dyDescent="0.2">
      <c r="A3633" s="122" t="s">
        <v>20</v>
      </c>
    </row>
    <row r="3634" spans="1:12" ht="21.95" customHeight="1" x14ac:dyDescent="0.2">
      <c r="A3634" s="122" t="s">
        <v>21</v>
      </c>
    </row>
    <row r="3638" spans="1:12" ht="21.95" customHeight="1" x14ac:dyDescent="0.3">
      <c r="A3638" s="276" t="s">
        <v>6</v>
      </c>
      <c r="B3638" s="276"/>
      <c r="C3638" s="276"/>
      <c r="D3638" s="276"/>
      <c r="E3638" s="276"/>
      <c r="F3638" s="276"/>
      <c r="G3638" s="276"/>
      <c r="H3638" s="276"/>
      <c r="I3638" s="276"/>
      <c r="J3638" s="276"/>
      <c r="K3638" s="276"/>
      <c r="L3638" s="276"/>
    </row>
    <row r="3639" spans="1:12" ht="21.95" customHeight="1" x14ac:dyDescent="0.3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</row>
    <row r="3640" spans="1:12" ht="21.95" customHeight="1" x14ac:dyDescent="0.3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</row>
    <row r="3641" spans="1:12" ht="21.95" customHeight="1" x14ac:dyDescent="0.25">
      <c r="A3641" s="1"/>
      <c r="B3641" s="1"/>
    </row>
    <row r="3642" spans="1:12" ht="21.95" customHeight="1" x14ac:dyDescent="0.25">
      <c r="A3642" s="1" t="s">
        <v>7</v>
      </c>
      <c r="B3642" s="1"/>
    </row>
    <row r="3643" spans="1:12" ht="21.95" customHeight="1" x14ac:dyDescent="0.25">
      <c r="A3643" s="1"/>
      <c r="B3643" s="1"/>
    </row>
    <row r="3644" spans="1:12" ht="21.95" customHeight="1" x14ac:dyDescent="0.25">
      <c r="A3644" s="1" t="s">
        <v>8</v>
      </c>
      <c r="C3644" s="9" t="s">
        <v>1</v>
      </c>
      <c r="D3644" s="33" t="s">
        <v>78</v>
      </c>
      <c r="E3644" s="76"/>
      <c r="F3644" s="76"/>
      <c r="G3644" s="76"/>
      <c r="H3644" s="76"/>
    </row>
    <row r="3645" spans="1:12" ht="21.95" customHeight="1" x14ac:dyDescent="0.25">
      <c r="A3645" s="1" t="s">
        <v>9</v>
      </c>
      <c r="C3645" s="9" t="s">
        <v>1</v>
      </c>
      <c r="D3645" s="27" t="s">
        <v>234</v>
      </c>
      <c r="E3645" s="76"/>
      <c r="F3645" s="76"/>
      <c r="G3645" s="76"/>
      <c r="H3645" s="76"/>
    </row>
    <row r="3646" spans="1:12" ht="21.95" customHeight="1" x14ac:dyDescent="0.2">
      <c r="A3646" s="50" t="s">
        <v>10</v>
      </c>
      <c r="B3646" s="76"/>
      <c r="C3646" s="91" t="s">
        <v>1</v>
      </c>
      <c r="D3646" s="50" t="s">
        <v>235</v>
      </c>
      <c r="E3646" s="76"/>
      <c r="F3646" s="76"/>
      <c r="G3646" s="76"/>
      <c r="H3646" s="76"/>
      <c r="I3646" s="76"/>
      <c r="J3646" s="76"/>
      <c r="K3646" s="76"/>
      <c r="L3646" s="76"/>
    </row>
    <row r="3647" spans="1:12" ht="21.95" customHeight="1" x14ac:dyDescent="0.25">
      <c r="A3647" s="1"/>
      <c r="B3647" s="1"/>
      <c r="D3647" s="1"/>
    </row>
    <row r="3648" spans="1:12" ht="29.25" customHeight="1" x14ac:dyDescent="0.2">
      <c r="A3648" s="277" t="s">
        <v>492</v>
      </c>
      <c r="B3648" s="277"/>
      <c r="C3648" s="277"/>
      <c r="D3648" s="277"/>
      <c r="E3648" s="277"/>
      <c r="F3648" s="277"/>
      <c r="G3648" s="277"/>
      <c r="H3648" s="277"/>
      <c r="I3648" s="277"/>
      <c r="J3648" s="277"/>
      <c r="K3648" s="277"/>
      <c r="L3648" s="277"/>
    </row>
    <row r="3649" spans="1:12" ht="21.95" customHeight="1" x14ac:dyDescent="0.25">
      <c r="A3649" s="1"/>
      <c r="B3649" s="1"/>
    </row>
    <row r="3650" spans="1:12" ht="30.75" customHeight="1" thickBot="1" x14ac:dyDescent="0.25">
      <c r="A3650" s="10" t="s">
        <v>0</v>
      </c>
      <c r="B3650" s="278" t="s">
        <v>91</v>
      </c>
      <c r="C3650" s="278"/>
      <c r="D3650" s="278"/>
      <c r="E3650" s="278"/>
      <c r="F3650" s="278"/>
      <c r="G3650" s="278"/>
      <c r="H3650" s="278"/>
      <c r="I3650" s="278"/>
      <c r="J3650" s="278"/>
      <c r="K3650" s="278"/>
      <c r="L3650" s="278"/>
    </row>
    <row r="3651" spans="1:12" ht="21.95" customHeight="1" thickTop="1" x14ac:dyDescent="0.25">
      <c r="A3651" s="1"/>
      <c r="B3651" s="11" t="s">
        <v>3</v>
      </c>
      <c r="C3651" s="12" t="s">
        <v>4</v>
      </c>
      <c r="D3651" s="13"/>
      <c r="E3651" s="13"/>
      <c r="F3651" s="13"/>
      <c r="G3651" s="13"/>
      <c r="H3651" s="14"/>
      <c r="I3651" s="15" t="s">
        <v>5</v>
      </c>
      <c r="J3651" s="12" t="s">
        <v>17</v>
      </c>
      <c r="K3651" s="13"/>
      <c r="L3651" s="14"/>
    </row>
    <row r="3652" spans="1:12" ht="21.95" customHeight="1" x14ac:dyDescent="0.2">
      <c r="B3652" s="96">
        <v>1</v>
      </c>
      <c r="C3652" s="140" t="s">
        <v>488</v>
      </c>
      <c r="D3652" s="76"/>
      <c r="E3652" s="150"/>
      <c r="F3652" s="144"/>
      <c r="G3652" s="76"/>
      <c r="H3652" s="79"/>
      <c r="I3652" s="56">
        <v>250000</v>
      </c>
      <c r="J3652" s="76"/>
      <c r="L3652" s="17"/>
    </row>
    <row r="3653" spans="1:12" ht="21.95" customHeight="1" x14ac:dyDescent="0.2">
      <c r="B3653" s="96"/>
      <c r="C3653" s="313"/>
      <c r="D3653" s="314"/>
      <c r="E3653" s="314"/>
      <c r="F3653" s="314"/>
      <c r="G3653" s="314"/>
      <c r="H3653" s="315"/>
      <c r="I3653" s="56"/>
      <c r="L3653" s="17"/>
    </row>
    <row r="3654" spans="1:12" ht="21.95" customHeight="1" x14ac:dyDescent="0.25">
      <c r="A3654" s="1"/>
      <c r="B3654" s="39"/>
      <c r="C3654" s="1"/>
      <c r="D3654" s="1"/>
      <c r="E3654" s="1"/>
      <c r="F3654" s="40" t="s">
        <v>5</v>
      </c>
      <c r="G3654" s="40"/>
      <c r="H3654" s="1"/>
      <c r="I3654" s="41">
        <f>I3652</f>
        <v>250000</v>
      </c>
      <c r="J3654" s="1"/>
      <c r="K3654" s="1"/>
      <c r="L3654" s="42"/>
    </row>
    <row r="3655" spans="1:12" ht="21.95" customHeight="1" thickBot="1" x14ac:dyDescent="0.3">
      <c r="A3655" s="1"/>
      <c r="B3655" s="43"/>
      <c r="C3655" s="44"/>
      <c r="D3655" s="44"/>
      <c r="E3655" s="44"/>
      <c r="F3655" s="45"/>
      <c r="G3655" s="45"/>
      <c r="H3655" s="44"/>
      <c r="I3655" s="46"/>
      <c r="J3655" s="44"/>
      <c r="K3655" s="44"/>
      <c r="L3655" s="47"/>
    </row>
    <row r="3656" spans="1:12" ht="21.95" customHeight="1" thickTop="1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</row>
    <row r="3657" spans="1:12" ht="48.75" customHeight="1" x14ac:dyDescent="0.2">
      <c r="A3657" s="10" t="s">
        <v>2</v>
      </c>
      <c r="B3657" s="279" t="s">
        <v>11</v>
      </c>
      <c r="C3657" s="279"/>
      <c r="D3657" s="279"/>
      <c r="E3657" s="279"/>
      <c r="F3657" s="279"/>
      <c r="G3657" s="279"/>
      <c r="H3657" s="279"/>
      <c r="I3657" s="279"/>
      <c r="J3657" s="279"/>
      <c r="K3657" s="279"/>
      <c r="L3657" s="279"/>
    </row>
    <row r="3658" spans="1:12" ht="21.95" customHeight="1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</row>
    <row r="3659" spans="1:12" ht="21.95" customHeight="1" x14ac:dyDescent="0.2">
      <c r="A3659" s="280" t="s">
        <v>12</v>
      </c>
      <c r="B3659" s="280"/>
      <c r="C3659" s="280"/>
      <c r="D3659" s="280"/>
      <c r="E3659" s="280"/>
      <c r="F3659" s="280"/>
      <c r="G3659" s="280"/>
      <c r="H3659" s="280"/>
      <c r="I3659" s="280"/>
      <c r="J3659" s="280"/>
      <c r="K3659" s="280"/>
      <c r="L3659" s="280"/>
    </row>
    <row r="3660" spans="1:12" ht="21.95" customHeight="1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</row>
    <row r="3661" spans="1:12" ht="21.95" customHeight="1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</row>
    <row r="3662" spans="1:12" ht="21.95" customHeight="1" x14ac:dyDescent="0.25">
      <c r="A3662" s="1"/>
      <c r="B3662" s="1"/>
      <c r="C3662" s="1"/>
      <c r="D3662" s="1"/>
      <c r="E3662" s="1"/>
      <c r="F3662" s="1"/>
      <c r="G3662" s="1"/>
      <c r="H3662" s="4" t="s">
        <v>199</v>
      </c>
      <c r="J3662" s="286" t="s">
        <v>491</v>
      </c>
      <c r="K3662" s="286"/>
      <c r="L3662" s="286"/>
    </row>
    <row r="3663" spans="1:12" ht="13.5" customHeight="1" x14ac:dyDescent="0.25">
      <c r="A3663" s="1"/>
      <c r="B3663" s="1" t="s">
        <v>15</v>
      </c>
      <c r="C3663" s="1"/>
      <c r="D3663" s="1"/>
      <c r="E3663" s="1"/>
      <c r="F3663" s="1"/>
      <c r="G3663" s="1"/>
      <c r="H3663" s="4" t="s">
        <v>13</v>
      </c>
    </row>
    <row r="3664" spans="1:12" ht="14.25" customHeight="1" x14ac:dyDescent="0.2">
      <c r="A3664" s="48"/>
      <c r="B3664" s="48" t="s">
        <v>18</v>
      </c>
      <c r="C3664" s="48"/>
      <c r="D3664" s="48"/>
      <c r="E3664" s="48"/>
      <c r="F3664" s="48"/>
      <c r="G3664" s="48"/>
      <c r="H3664" s="99" t="s">
        <v>14</v>
      </c>
      <c r="I3664" s="99"/>
      <c r="J3664" s="99"/>
      <c r="K3664" s="99"/>
      <c r="L3664" s="99"/>
    </row>
    <row r="3665" spans="1:12" ht="18.75" customHeight="1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</row>
    <row r="3666" spans="1:12" ht="21.75" hidden="1" customHeight="1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</row>
    <row r="3667" spans="1:12" ht="21.75" hidden="1" customHeight="1" x14ac:dyDescent="0.25">
      <c r="A3667" s="1"/>
      <c r="B3667" s="103"/>
      <c r="C3667" s="103"/>
      <c r="D3667" s="103"/>
      <c r="E3667" s="103"/>
      <c r="F3667" s="103"/>
      <c r="G3667" s="103"/>
      <c r="H3667" s="103"/>
      <c r="I3667" s="103"/>
      <c r="J3667" s="103"/>
      <c r="K3667" s="103"/>
      <c r="L3667" s="1"/>
    </row>
    <row r="3668" spans="1:12" ht="29.25" customHeight="1" x14ac:dyDescent="0.25">
      <c r="A3668" s="1"/>
      <c r="K3668" s="103"/>
      <c r="L3668" s="1"/>
    </row>
    <row r="3669" spans="1:12" ht="21.95" customHeight="1" x14ac:dyDescent="0.25">
      <c r="A3669" s="1"/>
      <c r="B3669" s="95" t="s">
        <v>77</v>
      </c>
      <c r="H3669" s="26" t="s">
        <v>78</v>
      </c>
      <c r="I3669" s="95"/>
      <c r="J3669" s="92"/>
      <c r="K3669" s="103"/>
      <c r="L3669" s="1"/>
    </row>
    <row r="3670" spans="1:12" ht="21.95" customHeight="1" x14ac:dyDescent="0.25">
      <c r="A3670" s="1"/>
      <c r="B3670" s="99" t="s">
        <v>27</v>
      </c>
      <c r="C3670" s="57"/>
      <c r="H3670" s="28" t="s">
        <v>79</v>
      </c>
      <c r="K3670" s="103"/>
    </row>
    <row r="3675" spans="1:12" ht="19.5" customHeight="1" x14ac:dyDescent="0.25">
      <c r="A3675" s="3" t="s">
        <v>22</v>
      </c>
    </row>
    <row r="3676" spans="1:12" ht="16.5" customHeight="1" x14ac:dyDescent="0.2">
      <c r="A3676" s="122" t="s">
        <v>20</v>
      </c>
    </row>
    <row r="3677" spans="1:12" ht="17.25" customHeight="1" x14ac:dyDescent="0.2">
      <c r="A3677" s="122" t="s">
        <v>21</v>
      </c>
    </row>
    <row r="3681" spans="1:12" ht="21.95" customHeight="1" x14ac:dyDescent="0.3">
      <c r="A3681" s="276" t="s">
        <v>6</v>
      </c>
      <c r="B3681" s="276"/>
      <c r="C3681" s="276"/>
      <c r="D3681" s="276"/>
      <c r="E3681" s="276"/>
      <c r="F3681" s="276"/>
      <c r="G3681" s="276"/>
      <c r="H3681" s="276"/>
      <c r="I3681" s="276"/>
      <c r="J3681" s="276"/>
      <c r="K3681" s="276"/>
      <c r="L3681" s="276"/>
    </row>
    <row r="3682" spans="1:12" ht="21.95" customHeight="1" x14ac:dyDescent="0.3">
      <c r="A3682" s="24"/>
      <c r="B3682" s="24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</row>
    <row r="3683" spans="1:12" ht="21.95" customHeight="1" x14ac:dyDescent="0.3">
      <c r="A3683" s="24"/>
      <c r="B3683" s="24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</row>
    <row r="3684" spans="1:12" ht="21.95" customHeight="1" x14ac:dyDescent="0.25">
      <c r="A3684" s="1"/>
      <c r="B3684" s="1"/>
    </row>
    <row r="3685" spans="1:12" ht="21.95" customHeight="1" x14ac:dyDescent="0.25">
      <c r="A3685" s="1" t="s">
        <v>7</v>
      </c>
      <c r="B3685" s="1"/>
    </row>
    <row r="3686" spans="1:12" ht="21.95" customHeight="1" x14ac:dyDescent="0.25">
      <c r="A3686" s="1"/>
      <c r="B3686" s="1"/>
    </row>
    <row r="3687" spans="1:12" ht="21.95" customHeight="1" x14ac:dyDescent="0.25">
      <c r="A3687" s="1" t="s">
        <v>8</v>
      </c>
      <c r="C3687" s="9" t="s">
        <v>1</v>
      </c>
      <c r="D3687" s="92" t="s">
        <v>205</v>
      </c>
      <c r="E3687" s="76"/>
      <c r="F3687" s="76"/>
      <c r="G3687" s="76"/>
      <c r="H3687" s="76"/>
    </row>
    <row r="3688" spans="1:12" ht="21.95" customHeight="1" x14ac:dyDescent="0.25">
      <c r="A3688" s="1" t="s">
        <v>9</v>
      </c>
      <c r="C3688" s="9" t="s">
        <v>1</v>
      </c>
      <c r="D3688" s="146" t="s">
        <v>74</v>
      </c>
      <c r="E3688" s="76"/>
      <c r="F3688" s="76"/>
      <c r="G3688" s="76"/>
      <c r="H3688" s="76"/>
    </row>
    <row r="3689" spans="1:12" ht="21.95" customHeight="1" x14ac:dyDescent="0.2">
      <c r="A3689" s="50" t="s">
        <v>10</v>
      </c>
      <c r="B3689" s="76"/>
      <c r="C3689" s="91" t="s">
        <v>1</v>
      </c>
      <c r="D3689" s="4" t="s">
        <v>243</v>
      </c>
      <c r="E3689" s="76"/>
      <c r="F3689" s="76"/>
      <c r="G3689" s="76"/>
      <c r="H3689" s="76"/>
      <c r="I3689" s="76"/>
      <c r="J3689" s="76"/>
      <c r="K3689" s="76"/>
      <c r="L3689" s="76"/>
    </row>
    <row r="3690" spans="1:12" ht="21.95" customHeight="1" x14ac:dyDescent="0.25">
      <c r="A3690" s="1"/>
      <c r="B3690" s="1"/>
      <c r="D3690" s="1"/>
    </row>
    <row r="3691" spans="1:12" ht="37.5" customHeight="1" x14ac:dyDescent="0.2">
      <c r="A3691" s="277" t="s">
        <v>494</v>
      </c>
      <c r="B3691" s="277"/>
      <c r="C3691" s="277"/>
      <c r="D3691" s="277"/>
      <c r="E3691" s="277"/>
      <c r="F3691" s="277"/>
      <c r="G3691" s="277"/>
      <c r="H3691" s="277"/>
      <c r="I3691" s="277"/>
      <c r="J3691" s="277"/>
      <c r="K3691" s="277"/>
      <c r="L3691" s="277"/>
    </row>
    <row r="3692" spans="1:12" ht="21.95" customHeight="1" x14ac:dyDescent="0.25">
      <c r="A3692" s="1"/>
      <c r="B3692" s="1"/>
    </row>
    <row r="3693" spans="1:12" ht="37.5" customHeight="1" thickBot="1" x14ac:dyDescent="0.25">
      <c r="A3693" s="10" t="s">
        <v>0</v>
      </c>
      <c r="B3693" s="278" t="s">
        <v>91</v>
      </c>
      <c r="C3693" s="278"/>
      <c r="D3693" s="278"/>
      <c r="E3693" s="278"/>
      <c r="F3693" s="278"/>
      <c r="G3693" s="278"/>
      <c r="H3693" s="278"/>
      <c r="I3693" s="278"/>
      <c r="J3693" s="278"/>
      <c r="K3693" s="278"/>
      <c r="L3693" s="278"/>
    </row>
    <row r="3694" spans="1:12" ht="21.95" customHeight="1" thickTop="1" x14ac:dyDescent="0.25">
      <c r="A3694" s="1"/>
      <c r="B3694" s="11" t="s">
        <v>3</v>
      </c>
      <c r="C3694" s="12" t="s">
        <v>4</v>
      </c>
      <c r="D3694" s="13"/>
      <c r="E3694" s="13"/>
      <c r="F3694" s="13"/>
      <c r="G3694" s="13"/>
      <c r="H3694" s="14"/>
      <c r="I3694" s="15" t="s">
        <v>5</v>
      </c>
      <c r="J3694" s="12" t="s">
        <v>17</v>
      </c>
      <c r="K3694" s="13"/>
      <c r="L3694" s="14"/>
    </row>
    <row r="3695" spans="1:12" ht="21.95" customHeight="1" x14ac:dyDescent="0.2">
      <c r="B3695" s="96">
        <v>1</v>
      </c>
      <c r="C3695" s="140" t="s">
        <v>488</v>
      </c>
      <c r="D3695" s="76"/>
      <c r="E3695" s="150"/>
      <c r="F3695" s="171">
        <v>250000</v>
      </c>
      <c r="G3695" s="144" t="s">
        <v>262</v>
      </c>
      <c r="H3695" s="79"/>
      <c r="I3695" s="56">
        <v>250000</v>
      </c>
      <c r="J3695" s="76" t="s">
        <v>204</v>
      </c>
      <c r="L3695" s="17"/>
    </row>
    <row r="3696" spans="1:12" ht="21.95" customHeight="1" x14ac:dyDescent="0.2">
      <c r="B3696" s="96"/>
      <c r="C3696" s="313"/>
      <c r="D3696" s="314"/>
      <c r="E3696" s="314"/>
      <c r="F3696" s="314"/>
      <c r="G3696" s="314"/>
      <c r="H3696" s="315"/>
      <c r="I3696" s="56"/>
      <c r="L3696" s="17"/>
    </row>
    <row r="3697" spans="1:12" ht="21.95" customHeight="1" x14ac:dyDescent="0.25">
      <c r="A3697" s="1"/>
      <c r="B3697" s="39"/>
      <c r="C3697" s="1"/>
      <c r="D3697" s="1"/>
      <c r="E3697" s="1"/>
      <c r="F3697" s="40" t="s">
        <v>5</v>
      </c>
      <c r="G3697" s="40"/>
      <c r="H3697" s="1"/>
      <c r="I3697" s="41">
        <f>I3695</f>
        <v>250000</v>
      </c>
      <c r="J3697" s="1"/>
      <c r="K3697" s="1"/>
      <c r="L3697" s="42"/>
    </row>
    <row r="3698" spans="1:12" ht="21.95" customHeight="1" thickBot="1" x14ac:dyDescent="0.3">
      <c r="A3698" s="1"/>
      <c r="B3698" s="43"/>
      <c r="C3698" s="44"/>
      <c r="D3698" s="44"/>
      <c r="E3698" s="44"/>
      <c r="F3698" s="45"/>
      <c r="G3698" s="45"/>
      <c r="H3698" s="44"/>
      <c r="I3698" s="46"/>
      <c r="J3698" s="44"/>
      <c r="K3698" s="44"/>
      <c r="L3698" s="47"/>
    </row>
    <row r="3699" spans="1:12" ht="21.95" customHeight="1" thickTop="1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</row>
    <row r="3700" spans="1:12" ht="45" customHeight="1" x14ac:dyDescent="0.2">
      <c r="A3700" s="10" t="s">
        <v>2</v>
      </c>
      <c r="B3700" s="279" t="s">
        <v>11</v>
      </c>
      <c r="C3700" s="279"/>
      <c r="D3700" s="279"/>
      <c r="E3700" s="279"/>
      <c r="F3700" s="279"/>
      <c r="G3700" s="279"/>
      <c r="H3700" s="279"/>
      <c r="I3700" s="279"/>
      <c r="J3700" s="279"/>
      <c r="K3700" s="279"/>
      <c r="L3700" s="279"/>
    </row>
    <row r="3701" spans="1:12" ht="21.95" customHeight="1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 ht="18.75" customHeight="1" x14ac:dyDescent="0.2">
      <c r="A3702" s="280" t="s">
        <v>12</v>
      </c>
      <c r="B3702" s="280"/>
      <c r="C3702" s="280"/>
      <c r="D3702" s="280"/>
      <c r="E3702" s="280"/>
      <c r="F3702" s="280"/>
      <c r="G3702" s="280"/>
      <c r="H3702" s="280"/>
      <c r="I3702" s="280"/>
      <c r="J3702" s="280"/>
      <c r="K3702" s="280"/>
      <c r="L3702" s="280"/>
    </row>
    <row r="3703" spans="1:12" ht="21.95" customHeight="1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 ht="21.95" customHeight="1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 ht="21.95" customHeight="1" x14ac:dyDescent="0.25">
      <c r="A3705" s="1"/>
      <c r="B3705" s="1"/>
      <c r="C3705" s="1"/>
      <c r="D3705" s="1"/>
      <c r="E3705" s="1"/>
      <c r="F3705" s="1"/>
      <c r="G3705" s="1"/>
      <c r="H3705" s="4" t="s">
        <v>199</v>
      </c>
      <c r="J3705" s="286" t="s">
        <v>491</v>
      </c>
      <c r="K3705" s="286"/>
      <c r="L3705" s="286"/>
    </row>
    <row r="3706" spans="1:12" ht="12" customHeight="1" x14ac:dyDescent="0.25">
      <c r="A3706" s="1"/>
      <c r="B3706" s="1" t="s">
        <v>15</v>
      </c>
      <c r="C3706" s="1"/>
      <c r="D3706" s="1"/>
      <c r="E3706" s="1"/>
      <c r="F3706" s="1"/>
      <c r="G3706" s="1"/>
      <c r="H3706" s="4" t="s">
        <v>13</v>
      </c>
    </row>
    <row r="3707" spans="1:12" ht="18" customHeight="1" x14ac:dyDescent="0.25">
      <c r="A3707" s="1"/>
      <c r="B3707" s="1" t="s">
        <v>18</v>
      </c>
      <c r="C3707" s="1"/>
      <c r="D3707" s="1"/>
      <c r="E3707" s="1"/>
      <c r="F3707" s="1"/>
      <c r="G3707" s="1"/>
      <c r="H3707" s="4" t="s">
        <v>14</v>
      </c>
    </row>
    <row r="3708" spans="1:12" ht="13.5" customHeight="1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</row>
    <row r="3709" spans="1:12" ht="6.75" customHeight="1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</row>
    <row r="3710" spans="1:12" ht="21.75" hidden="1" customHeight="1" x14ac:dyDescent="0.25">
      <c r="A3710" s="1"/>
      <c r="B3710" s="103"/>
      <c r="C3710" s="103"/>
      <c r="D3710" s="103"/>
      <c r="E3710" s="103"/>
      <c r="F3710" s="103"/>
      <c r="G3710" s="103"/>
      <c r="H3710" s="103"/>
      <c r="I3710" s="103"/>
      <c r="J3710" s="103"/>
      <c r="K3710" s="103"/>
      <c r="L3710" s="1"/>
    </row>
    <row r="3711" spans="1:12" ht="21.95" customHeight="1" x14ac:dyDescent="0.25">
      <c r="A3711" s="1"/>
      <c r="K3711" s="103"/>
      <c r="L3711" s="1"/>
    </row>
    <row r="3712" spans="1:12" ht="21.95" customHeight="1" x14ac:dyDescent="0.25">
      <c r="A3712" s="1"/>
      <c r="B3712" s="95" t="s">
        <v>77</v>
      </c>
      <c r="H3712" s="95" t="str">
        <f>D3687</f>
        <v>Meditha Arumsari, S.TP</v>
      </c>
      <c r="I3712" s="95"/>
      <c r="J3712" s="92"/>
      <c r="K3712" s="103"/>
      <c r="L3712" s="1"/>
    </row>
    <row r="3713" spans="1:12" ht="21.95" customHeight="1" x14ac:dyDescent="0.25">
      <c r="A3713" s="1"/>
      <c r="B3713" s="99" t="s">
        <v>27</v>
      </c>
      <c r="C3713" s="57"/>
      <c r="H3713" s="99"/>
      <c r="K3713" s="103"/>
    </row>
    <row r="3716" spans="1:12" ht="21.95" customHeight="1" x14ac:dyDescent="0.25">
      <c r="A3716" s="3" t="s">
        <v>22</v>
      </c>
    </row>
    <row r="3717" spans="1:12" ht="21.95" customHeight="1" x14ac:dyDescent="0.2">
      <c r="A3717" s="122" t="s">
        <v>20</v>
      </c>
    </row>
    <row r="3718" spans="1:12" ht="21.95" customHeight="1" x14ac:dyDescent="0.2">
      <c r="A3718" s="122" t="s">
        <v>21</v>
      </c>
    </row>
    <row r="3720" spans="1:12" ht="15.75" customHeight="1" x14ac:dyDescent="0.2"/>
    <row r="3721" spans="1:12" ht="15" customHeight="1" x14ac:dyDescent="0.2"/>
    <row r="3722" spans="1:12" ht="21.95" customHeight="1" x14ac:dyDescent="0.3">
      <c r="A3722" s="276" t="s">
        <v>6</v>
      </c>
      <c r="B3722" s="276"/>
      <c r="C3722" s="276"/>
      <c r="D3722" s="276"/>
      <c r="E3722" s="276"/>
      <c r="F3722" s="276"/>
      <c r="G3722" s="276"/>
      <c r="H3722" s="276"/>
      <c r="I3722" s="276"/>
      <c r="J3722" s="276"/>
      <c r="K3722" s="276"/>
      <c r="L3722" s="276"/>
    </row>
    <row r="3723" spans="1:12" ht="21.95" customHeight="1" x14ac:dyDescent="0.3">
      <c r="A3723" s="24"/>
      <c r="B3723" s="24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</row>
    <row r="3724" spans="1:12" ht="21.95" customHeight="1" x14ac:dyDescent="0.3">
      <c r="A3724" s="24"/>
      <c r="B3724" s="24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</row>
    <row r="3725" spans="1:12" ht="21.95" customHeight="1" x14ac:dyDescent="0.25">
      <c r="A3725" s="1"/>
      <c r="B3725" s="1"/>
    </row>
    <row r="3726" spans="1:12" ht="21.95" customHeight="1" x14ac:dyDescent="0.25">
      <c r="A3726" s="1" t="s">
        <v>7</v>
      </c>
      <c r="B3726" s="1"/>
    </row>
    <row r="3727" spans="1:12" ht="21.95" customHeight="1" x14ac:dyDescent="0.25">
      <c r="A3727" s="1"/>
      <c r="B3727" s="1"/>
    </row>
    <row r="3728" spans="1:12" ht="21.95" customHeight="1" x14ac:dyDescent="0.25">
      <c r="A3728" s="1" t="s">
        <v>8</v>
      </c>
      <c r="C3728" s="9" t="s">
        <v>1</v>
      </c>
      <c r="D3728" s="92" t="s">
        <v>96</v>
      </c>
      <c r="E3728" s="76"/>
      <c r="F3728" s="76"/>
      <c r="G3728" s="76"/>
      <c r="H3728" s="76"/>
    </row>
    <row r="3729" spans="1:12" ht="16.5" customHeight="1" x14ac:dyDescent="0.25">
      <c r="A3729" s="1" t="s">
        <v>9</v>
      </c>
      <c r="C3729" s="9" t="s">
        <v>1</v>
      </c>
      <c r="D3729" s="57" t="s">
        <v>200</v>
      </c>
      <c r="E3729" s="76"/>
      <c r="F3729" s="76"/>
      <c r="G3729" s="76"/>
      <c r="H3729" s="76"/>
    </row>
    <row r="3730" spans="1:12" ht="21.95" customHeight="1" x14ac:dyDescent="0.2">
      <c r="A3730" s="50" t="s">
        <v>10</v>
      </c>
      <c r="B3730" s="76"/>
      <c r="C3730" s="91" t="s">
        <v>1</v>
      </c>
      <c r="D3730" s="50" t="s">
        <v>203</v>
      </c>
      <c r="E3730" s="76"/>
      <c r="F3730" s="76"/>
      <c r="G3730" s="76"/>
      <c r="H3730" s="76"/>
      <c r="I3730" s="76"/>
      <c r="J3730" s="76"/>
      <c r="K3730" s="76"/>
      <c r="L3730" s="76"/>
    </row>
    <row r="3731" spans="1:12" ht="19.5" customHeight="1" x14ac:dyDescent="0.25">
      <c r="A3731" s="1"/>
      <c r="B3731" s="1"/>
      <c r="D3731" s="1"/>
    </row>
    <row r="3732" spans="1:12" ht="32.25" customHeight="1" x14ac:dyDescent="0.2">
      <c r="A3732" s="277" t="s">
        <v>494</v>
      </c>
      <c r="B3732" s="277"/>
      <c r="C3732" s="277"/>
      <c r="D3732" s="277"/>
      <c r="E3732" s="277"/>
      <c r="F3732" s="277"/>
      <c r="G3732" s="277"/>
      <c r="H3732" s="277"/>
      <c r="I3732" s="277"/>
      <c r="J3732" s="277"/>
      <c r="K3732" s="277"/>
      <c r="L3732" s="277"/>
    </row>
    <row r="3733" spans="1:12" ht="16.5" customHeight="1" x14ac:dyDescent="0.25">
      <c r="A3733" s="1"/>
      <c r="B3733" s="1"/>
    </row>
    <row r="3734" spans="1:12" ht="31.5" customHeight="1" thickBot="1" x14ac:dyDescent="0.25">
      <c r="A3734" s="10" t="s">
        <v>0</v>
      </c>
      <c r="B3734" s="278" t="s">
        <v>91</v>
      </c>
      <c r="C3734" s="278"/>
      <c r="D3734" s="278"/>
      <c r="E3734" s="278"/>
      <c r="F3734" s="278"/>
      <c r="G3734" s="278"/>
      <c r="H3734" s="278"/>
      <c r="I3734" s="278"/>
      <c r="J3734" s="278"/>
      <c r="K3734" s="278"/>
      <c r="L3734" s="278"/>
    </row>
    <row r="3735" spans="1:12" ht="36.75" customHeight="1" thickTop="1" x14ac:dyDescent="0.25">
      <c r="A3735" s="1"/>
      <c r="B3735" s="11" t="s">
        <v>3</v>
      </c>
      <c r="C3735" s="12" t="s">
        <v>4</v>
      </c>
      <c r="D3735" s="13"/>
      <c r="E3735" s="13"/>
      <c r="F3735" s="13"/>
      <c r="G3735" s="13"/>
      <c r="H3735" s="14"/>
      <c r="I3735" s="15" t="s">
        <v>5</v>
      </c>
      <c r="J3735" s="12" t="s">
        <v>17</v>
      </c>
      <c r="K3735" s="13"/>
      <c r="L3735" s="14"/>
    </row>
    <row r="3736" spans="1:12" ht="21.95" customHeight="1" x14ac:dyDescent="0.2">
      <c r="B3736" s="96">
        <v>1</v>
      </c>
      <c r="C3736" s="140" t="s">
        <v>488</v>
      </c>
      <c r="D3736" s="76"/>
      <c r="E3736" s="150"/>
      <c r="F3736" s="171">
        <v>250000</v>
      </c>
      <c r="G3736" s="144" t="s">
        <v>262</v>
      </c>
      <c r="H3736" s="79"/>
      <c r="I3736" s="56">
        <v>250000</v>
      </c>
      <c r="J3736" s="76" t="s">
        <v>204</v>
      </c>
      <c r="L3736" s="17"/>
    </row>
    <row r="3737" spans="1:12" ht="37.5" customHeight="1" x14ac:dyDescent="0.2">
      <c r="B3737" s="96"/>
      <c r="C3737" s="313"/>
      <c r="D3737" s="314"/>
      <c r="E3737" s="314"/>
      <c r="F3737" s="314"/>
      <c r="G3737" s="314"/>
      <c r="H3737" s="315"/>
      <c r="I3737" s="56"/>
      <c r="L3737" s="17"/>
    </row>
    <row r="3738" spans="1:12" ht="21.95" customHeight="1" x14ac:dyDescent="0.25">
      <c r="A3738" s="1"/>
      <c r="B3738" s="39"/>
      <c r="C3738" s="1"/>
      <c r="D3738" s="1"/>
      <c r="E3738" s="1"/>
      <c r="F3738" s="40" t="s">
        <v>5</v>
      </c>
      <c r="G3738" s="40"/>
      <c r="H3738" s="1"/>
      <c r="I3738" s="41">
        <f>I3736</f>
        <v>250000</v>
      </c>
      <c r="J3738" s="1"/>
      <c r="K3738" s="1"/>
      <c r="L3738" s="42"/>
    </row>
    <row r="3739" spans="1:12" ht="21.95" customHeight="1" thickBot="1" x14ac:dyDescent="0.3">
      <c r="A3739" s="1"/>
      <c r="B3739" s="43"/>
      <c r="C3739" s="44"/>
      <c r="D3739" s="44"/>
      <c r="E3739" s="44"/>
      <c r="F3739" s="45"/>
      <c r="G3739" s="45"/>
      <c r="H3739" s="44"/>
      <c r="I3739" s="46"/>
      <c r="J3739" s="44"/>
      <c r="K3739" s="44"/>
      <c r="L3739" s="47"/>
    </row>
    <row r="3740" spans="1:12" ht="21.95" customHeight="1" thickTop="1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</row>
    <row r="3741" spans="1:12" ht="54" customHeight="1" x14ac:dyDescent="0.2">
      <c r="A3741" s="10" t="s">
        <v>2</v>
      </c>
      <c r="B3741" s="279" t="s">
        <v>11</v>
      </c>
      <c r="C3741" s="279"/>
      <c r="D3741" s="279"/>
      <c r="E3741" s="279"/>
      <c r="F3741" s="279"/>
      <c r="G3741" s="279"/>
      <c r="H3741" s="279"/>
      <c r="I3741" s="279"/>
      <c r="J3741" s="279"/>
      <c r="K3741" s="279"/>
      <c r="L3741" s="279"/>
    </row>
    <row r="3742" spans="1:12" ht="21.95" customHeight="1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</row>
    <row r="3743" spans="1:12" ht="21.95" customHeight="1" x14ac:dyDescent="0.2">
      <c r="A3743" s="280" t="s">
        <v>12</v>
      </c>
      <c r="B3743" s="280"/>
      <c r="C3743" s="280"/>
      <c r="D3743" s="280"/>
      <c r="E3743" s="280"/>
      <c r="F3743" s="280"/>
      <c r="G3743" s="280"/>
      <c r="H3743" s="280"/>
      <c r="I3743" s="280"/>
      <c r="J3743" s="280"/>
      <c r="K3743" s="280"/>
      <c r="L3743" s="280"/>
    </row>
    <row r="3744" spans="1:12" ht="15" customHeight="1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 ht="21.95" customHeight="1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 ht="2.25" customHeight="1" x14ac:dyDescent="0.25">
      <c r="A3746" s="1"/>
      <c r="B3746" s="1"/>
      <c r="C3746" s="1"/>
      <c r="D3746" s="1"/>
      <c r="E3746" s="1"/>
      <c r="F3746" s="1"/>
      <c r="G3746" s="1"/>
      <c r="J3746" s="286"/>
      <c r="K3746" s="286"/>
      <c r="L3746" s="286"/>
    </row>
    <row r="3747" spans="1:12" ht="15" customHeight="1" x14ac:dyDescent="0.25">
      <c r="A3747" s="1"/>
      <c r="B3747" s="1"/>
      <c r="C3747" s="1"/>
      <c r="D3747" s="1"/>
      <c r="E3747" s="1"/>
      <c r="F3747" s="1"/>
      <c r="G3747" s="1"/>
      <c r="H3747" s="4" t="s">
        <v>199</v>
      </c>
      <c r="J3747" s="286" t="s">
        <v>491</v>
      </c>
      <c r="K3747" s="286"/>
      <c r="L3747" s="286"/>
    </row>
    <row r="3748" spans="1:12" ht="11.25" customHeight="1" x14ac:dyDescent="0.25">
      <c r="A3748" s="1"/>
      <c r="B3748" s="1" t="s">
        <v>15</v>
      </c>
      <c r="C3748" s="1"/>
      <c r="D3748" s="1"/>
      <c r="E3748" s="1"/>
      <c r="F3748" s="1"/>
      <c r="G3748" s="1"/>
      <c r="H3748" s="4" t="s">
        <v>13</v>
      </c>
    </row>
    <row r="3749" spans="1:12" ht="15.75" customHeight="1" x14ac:dyDescent="0.25">
      <c r="A3749" s="1"/>
      <c r="B3749" s="1" t="s">
        <v>18</v>
      </c>
      <c r="C3749" s="1"/>
      <c r="D3749" s="1"/>
      <c r="E3749" s="1"/>
      <c r="F3749" s="1"/>
      <c r="G3749" s="1"/>
      <c r="H3749" s="4" t="s">
        <v>14</v>
      </c>
    </row>
    <row r="3750" spans="1:12" ht="14.25" customHeight="1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 ht="12.75" customHeight="1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 ht="21.95" customHeight="1" x14ac:dyDescent="0.25">
      <c r="A3752" s="1"/>
      <c r="B3752" s="103"/>
      <c r="C3752" s="103"/>
      <c r="D3752" s="103"/>
      <c r="E3752" s="103"/>
      <c r="F3752" s="103"/>
      <c r="G3752" s="103"/>
      <c r="H3752" s="103"/>
      <c r="I3752" s="103"/>
      <c r="J3752" s="103"/>
      <c r="K3752" s="103"/>
      <c r="L3752" s="1"/>
    </row>
    <row r="3753" spans="1:12" ht="12.75" customHeight="1" x14ac:dyDescent="0.25">
      <c r="A3753" s="1"/>
      <c r="K3753" s="103"/>
      <c r="L3753" s="1"/>
    </row>
    <row r="3754" spans="1:12" ht="21" customHeight="1" x14ac:dyDescent="0.25">
      <c r="A3754" s="1"/>
      <c r="B3754" s="95" t="s">
        <v>77</v>
      </c>
      <c r="H3754" s="26" t="s">
        <v>96</v>
      </c>
      <c r="I3754" s="95"/>
      <c r="J3754" s="92"/>
      <c r="K3754" s="103"/>
      <c r="L3754" s="1"/>
    </row>
    <row r="3755" spans="1:12" ht="12" customHeight="1" x14ac:dyDescent="0.25">
      <c r="A3755" s="1"/>
      <c r="B3755" s="99" t="s">
        <v>27</v>
      </c>
      <c r="C3755" s="57"/>
      <c r="H3755" s="28" t="s">
        <v>100</v>
      </c>
      <c r="K3755" s="103"/>
    </row>
    <row r="3759" spans="1:12" ht="21.95" customHeight="1" x14ac:dyDescent="0.25">
      <c r="A3759" s="3" t="s">
        <v>22</v>
      </c>
    </row>
    <row r="3760" spans="1:12" ht="21.95" customHeight="1" x14ac:dyDescent="0.2">
      <c r="A3760" s="122" t="s">
        <v>20</v>
      </c>
    </row>
    <row r="3761" spans="1:12" ht="21.95" customHeight="1" x14ac:dyDescent="0.2">
      <c r="A3761" s="122" t="s">
        <v>21</v>
      </c>
    </row>
    <row r="3765" spans="1:12" ht="21.95" customHeight="1" x14ac:dyDescent="0.3">
      <c r="A3765" s="276" t="s">
        <v>6</v>
      </c>
      <c r="B3765" s="276"/>
      <c r="C3765" s="276"/>
      <c r="D3765" s="276"/>
      <c r="E3765" s="276"/>
      <c r="F3765" s="276"/>
      <c r="G3765" s="276"/>
      <c r="H3765" s="276"/>
      <c r="I3765" s="276"/>
      <c r="J3765" s="276"/>
      <c r="K3765" s="276"/>
      <c r="L3765" s="276"/>
    </row>
    <row r="3766" spans="1:12" ht="21.95" customHeight="1" x14ac:dyDescent="0.3">
      <c r="A3766" s="24"/>
      <c r="B3766" s="24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</row>
    <row r="3767" spans="1:12" ht="21.95" customHeight="1" x14ac:dyDescent="0.3">
      <c r="A3767" s="24"/>
      <c r="B3767" s="24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</row>
    <row r="3768" spans="1:12" ht="21.95" customHeight="1" x14ac:dyDescent="0.25">
      <c r="A3768" s="1"/>
      <c r="B3768" s="1"/>
    </row>
    <row r="3769" spans="1:12" ht="21.95" customHeight="1" x14ac:dyDescent="0.25">
      <c r="A3769" s="1" t="s">
        <v>7</v>
      </c>
      <c r="B3769" s="1"/>
    </row>
    <row r="3770" spans="1:12" ht="21.95" customHeight="1" x14ac:dyDescent="0.25">
      <c r="A3770" s="1"/>
      <c r="B3770" s="1"/>
    </row>
    <row r="3771" spans="1:12" ht="21.95" customHeight="1" x14ac:dyDescent="0.25">
      <c r="A3771" s="1" t="s">
        <v>8</v>
      </c>
      <c r="C3771" s="9" t="s">
        <v>1</v>
      </c>
      <c r="D3771" s="33" t="s">
        <v>78</v>
      </c>
      <c r="E3771" s="76"/>
      <c r="F3771" s="76"/>
      <c r="G3771" s="76"/>
      <c r="H3771" s="76"/>
    </row>
    <row r="3772" spans="1:12" ht="21.95" customHeight="1" x14ac:dyDescent="0.25">
      <c r="A3772" s="1" t="s">
        <v>9</v>
      </c>
      <c r="C3772" s="9" t="s">
        <v>1</v>
      </c>
      <c r="D3772" s="27" t="s">
        <v>234</v>
      </c>
      <c r="E3772" s="76"/>
      <c r="F3772" s="76"/>
      <c r="G3772" s="76"/>
      <c r="H3772" s="76"/>
    </row>
    <row r="3773" spans="1:12" ht="21.95" customHeight="1" x14ac:dyDescent="0.2">
      <c r="A3773" s="50" t="s">
        <v>10</v>
      </c>
      <c r="B3773" s="76"/>
      <c r="C3773" s="91" t="s">
        <v>1</v>
      </c>
      <c r="D3773" s="50" t="s">
        <v>235</v>
      </c>
      <c r="E3773" s="76"/>
      <c r="F3773" s="76"/>
      <c r="G3773" s="76"/>
      <c r="H3773" s="76"/>
      <c r="I3773" s="76"/>
      <c r="J3773" s="76"/>
      <c r="K3773" s="76"/>
      <c r="L3773" s="76"/>
    </row>
    <row r="3774" spans="1:12" ht="21.95" customHeight="1" x14ac:dyDescent="0.25">
      <c r="A3774" s="1"/>
      <c r="B3774" s="1"/>
      <c r="D3774" s="1"/>
    </row>
    <row r="3775" spans="1:12" ht="15.75" customHeight="1" x14ac:dyDescent="0.2">
      <c r="A3775" s="277" t="s">
        <v>493</v>
      </c>
      <c r="B3775" s="277"/>
      <c r="C3775" s="277"/>
      <c r="D3775" s="277"/>
      <c r="E3775" s="277"/>
      <c r="F3775" s="277"/>
      <c r="G3775" s="277"/>
      <c r="H3775" s="277"/>
      <c r="I3775" s="277"/>
      <c r="J3775" s="277"/>
      <c r="K3775" s="277"/>
      <c r="L3775" s="277"/>
    </row>
    <row r="3776" spans="1:12" ht="21.95" customHeight="1" x14ac:dyDescent="0.25">
      <c r="A3776" s="1"/>
      <c r="B3776" s="1"/>
    </row>
    <row r="3777" spans="1:12" ht="21.95" customHeight="1" thickBot="1" x14ac:dyDescent="0.25">
      <c r="A3777" s="10" t="s">
        <v>0</v>
      </c>
      <c r="B3777" s="278" t="s">
        <v>91</v>
      </c>
      <c r="C3777" s="278"/>
      <c r="D3777" s="278"/>
      <c r="E3777" s="278"/>
      <c r="F3777" s="278"/>
      <c r="G3777" s="278"/>
      <c r="H3777" s="278"/>
      <c r="I3777" s="278"/>
      <c r="J3777" s="278"/>
      <c r="K3777" s="278"/>
      <c r="L3777" s="278"/>
    </row>
    <row r="3778" spans="1:12" ht="25.5" customHeight="1" thickTop="1" x14ac:dyDescent="0.25">
      <c r="A3778" s="1"/>
      <c r="B3778" s="11" t="s">
        <v>3</v>
      </c>
      <c r="C3778" s="12" t="s">
        <v>4</v>
      </c>
      <c r="D3778" s="13"/>
      <c r="E3778" s="13"/>
      <c r="F3778" s="13"/>
      <c r="G3778" s="13"/>
      <c r="H3778" s="14"/>
      <c r="I3778" s="15" t="s">
        <v>5</v>
      </c>
      <c r="J3778" s="12" t="s">
        <v>17</v>
      </c>
      <c r="K3778" s="13"/>
      <c r="L3778" s="14"/>
    </row>
    <row r="3779" spans="1:12" ht="21.95" customHeight="1" x14ac:dyDescent="0.2">
      <c r="B3779" s="96">
        <v>1</v>
      </c>
      <c r="C3779" s="140" t="s">
        <v>443</v>
      </c>
      <c r="D3779" s="76"/>
      <c r="E3779" s="150"/>
      <c r="F3779" s="144"/>
      <c r="G3779" s="76"/>
      <c r="H3779" s="79"/>
      <c r="I3779" s="56">
        <v>150000</v>
      </c>
      <c r="J3779" s="76"/>
      <c r="L3779" s="17"/>
    </row>
    <row r="3780" spans="1:12" ht="34.5" customHeight="1" x14ac:dyDescent="0.2">
      <c r="B3780" s="96"/>
      <c r="C3780" s="313"/>
      <c r="D3780" s="314"/>
      <c r="E3780" s="314"/>
      <c r="F3780" s="314"/>
      <c r="G3780" s="314"/>
      <c r="H3780" s="315"/>
      <c r="I3780" s="56"/>
      <c r="L3780" s="17"/>
    </row>
    <row r="3781" spans="1:12" ht="21.95" customHeight="1" x14ac:dyDescent="0.25">
      <c r="A3781" s="1"/>
      <c r="B3781" s="39"/>
      <c r="C3781" s="1"/>
      <c r="D3781" s="1"/>
      <c r="E3781" s="1"/>
      <c r="F3781" s="40" t="s">
        <v>5</v>
      </c>
      <c r="G3781" s="40"/>
      <c r="H3781" s="1"/>
      <c r="I3781" s="41">
        <f>I3779</f>
        <v>150000</v>
      </c>
      <c r="J3781" s="1"/>
      <c r="K3781" s="1"/>
      <c r="L3781" s="42"/>
    </row>
    <row r="3782" spans="1:12" ht="21.95" customHeight="1" thickBot="1" x14ac:dyDescent="0.3">
      <c r="A3782" s="1"/>
      <c r="B3782" s="43"/>
      <c r="C3782" s="44"/>
      <c r="D3782" s="44"/>
      <c r="E3782" s="44"/>
      <c r="F3782" s="45"/>
      <c r="G3782" s="45"/>
      <c r="H3782" s="44"/>
      <c r="I3782" s="46"/>
      <c r="J3782" s="44"/>
      <c r="K3782" s="44"/>
      <c r="L3782" s="47"/>
    </row>
    <row r="3783" spans="1:12" ht="48" customHeight="1" thickTop="1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2" ht="21.95" customHeight="1" x14ac:dyDescent="0.2">
      <c r="A3784" s="10" t="s">
        <v>2</v>
      </c>
      <c r="B3784" s="279" t="s">
        <v>11</v>
      </c>
      <c r="C3784" s="279"/>
      <c r="D3784" s="279"/>
      <c r="E3784" s="279"/>
      <c r="F3784" s="279"/>
      <c r="G3784" s="279"/>
      <c r="H3784" s="279"/>
      <c r="I3784" s="279"/>
      <c r="J3784" s="279"/>
      <c r="K3784" s="279"/>
      <c r="L3784" s="279"/>
    </row>
    <row r="3785" spans="1:12" ht="21.95" customHeight="1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 ht="21.95" customHeight="1" x14ac:dyDescent="0.2">
      <c r="A3786" s="280" t="s">
        <v>12</v>
      </c>
      <c r="B3786" s="280"/>
      <c r="C3786" s="280"/>
      <c r="D3786" s="280"/>
      <c r="E3786" s="280"/>
      <c r="F3786" s="280"/>
      <c r="G3786" s="280"/>
      <c r="H3786" s="280"/>
      <c r="I3786" s="280"/>
      <c r="J3786" s="280"/>
      <c r="K3786" s="280"/>
      <c r="L3786" s="280"/>
    </row>
    <row r="3787" spans="1:12" ht="48.75" customHeight="1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 ht="21.95" customHeight="1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 ht="21.95" customHeight="1" x14ac:dyDescent="0.25">
      <c r="A3789" s="1"/>
      <c r="B3789" s="1"/>
      <c r="C3789" s="1"/>
      <c r="D3789" s="1"/>
      <c r="E3789" s="1"/>
      <c r="F3789" s="1"/>
      <c r="G3789" s="1"/>
      <c r="H3789" s="4" t="s">
        <v>199</v>
      </c>
      <c r="J3789" s="286" t="s">
        <v>491</v>
      </c>
      <c r="K3789" s="286"/>
      <c r="L3789" s="286"/>
    </row>
    <row r="3790" spans="1:12" ht="21.95" customHeight="1" x14ac:dyDescent="0.25">
      <c r="A3790" s="1"/>
      <c r="B3790" s="1" t="s">
        <v>15</v>
      </c>
      <c r="C3790" s="1"/>
      <c r="D3790" s="1"/>
      <c r="E3790" s="1"/>
      <c r="F3790" s="1"/>
      <c r="G3790" s="1"/>
      <c r="H3790" s="4" t="s">
        <v>13</v>
      </c>
    </row>
    <row r="3791" spans="1:12" ht="21.95" customHeight="1" x14ac:dyDescent="0.2">
      <c r="A3791" s="48"/>
      <c r="B3791" s="48" t="s">
        <v>18</v>
      </c>
      <c r="C3791" s="48"/>
      <c r="D3791" s="48"/>
      <c r="E3791" s="48"/>
      <c r="F3791" s="48"/>
      <c r="G3791" s="48"/>
      <c r="H3791" s="99" t="s">
        <v>14</v>
      </c>
      <c r="I3791" s="99"/>
      <c r="J3791" s="99"/>
      <c r="K3791" s="99"/>
      <c r="L3791" s="99"/>
    </row>
    <row r="3792" spans="1:12" ht="21.95" customHeight="1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 ht="12" customHeight="1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</row>
    <row r="3794" spans="1:12" ht="16.5" customHeight="1" x14ac:dyDescent="0.25">
      <c r="A3794" s="1"/>
      <c r="B3794" s="103"/>
      <c r="C3794" s="103"/>
      <c r="D3794" s="103"/>
      <c r="E3794" s="103"/>
      <c r="F3794" s="103"/>
      <c r="G3794" s="103"/>
      <c r="H3794" s="103"/>
      <c r="I3794" s="103"/>
      <c r="J3794" s="103"/>
      <c r="K3794" s="103"/>
      <c r="L3794" s="1"/>
    </row>
    <row r="3795" spans="1:12" ht="21.95" customHeight="1" x14ac:dyDescent="0.25">
      <c r="A3795" s="1"/>
      <c r="K3795" s="103"/>
      <c r="L3795" s="1"/>
    </row>
    <row r="3796" spans="1:12" ht="21.95" customHeight="1" x14ac:dyDescent="0.25">
      <c r="A3796" s="1"/>
      <c r="B3796" s="95" t="s">
        <v>77</v>
      </c>
      <c r="H3796" s="26" t="s">
        <v>78</v>
      </c>
      <c r="I3796" s="95"/>
      <c r="J3796" s="92"/>
      <c r="K3796" s="103"/>
      <c r="L3796" s="1"/>
    </row>
    <row r="3797" spans="1:12" ht="18" customHeight="1" x14ac:dyDescent="0.25">
      <c r="A3797" s="1"/>
      <c r="B3797" s="99" t="s">
        <v>27</v>
      </c>
      <c r="C3797" s="57"/>
      <c r="H3797" s="28" t="s">
        <v>79</v>
      </c>
      <c r="K3797" s="103"/>
    </row>
    <row r="3798" spans="1:12" ht="21.75" hidden="1" customHeight="1" x14ac:dyDescent="0.2"/>
    <row r="3802" spans="1:12" ht="21.95" customHeight="1" x14ac:dyDescent="0.25">
      <c r="A3802" s="3" t="s">
        <v>22</v>
      </c>
    </row>
    <row r="3803" spans="1:12" ht="21.95" customHeight="1" x14ac:dyDescent="0.2">
      <c r="A3803" s="122" t="s">
        <v>20</v>
      </c>
    </row>
    <row r="3804" spans="1:12" ht="21.95" customHeight="1" x14ac:dyDescent="0.2">
      <c r="A3804" s="122" t="s">
        <v>21</v>
      </c>
    </row>
    <row r="3808" spans="1:12" ht="21.95" customHeight="1" x14ac:dyDescent="0.3">
      <c r="A3808" s="276" t="s">
        <v>6</v>
      </c>
      <c r="B3808" s="276"/>
      <c r="C3808" s="276"/>
      <c r="D3808" s="276"/>
      <c r="E3808" s="276"/>
      <c r="F3808" s="276"/>
      <c r="G3808" s="276"/>
      <c r="H3808" s="276"/>
      <c r="I3808" s="276"/>
      <c r="J3808" s="276"/>
      <c r="K3808" s="276"/>
      <c r="L3808" s="276"/>
    </row>
    <row r="3809" spans="1:12" ht="21.95" customHeight="1" x14ac:dyDescent="0.3">
      <c r="A3809" s="24"/>
      <c r="B3809" s="24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</row>
    <row r="3810" spans="1:12" ht="21.95" customHeight="1" x14ac:dyDescent="0.3">
      <c r="A3810" s="24"/>
      <c r="B3810" s="24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</row>
    <row r="3811" spans="1:12" ht="21.95" customHeight="1" x14ac:dyDescent="0.25">
      <c r="A3811" s="1"/>
      <c r="B3811" s="1"/>
    </row>
    <row r="3812" spans="1:12" ht="21.95" customHeight="1" x14ac:dyDescent="0.25">
      <c r="A3812" s="1" t="s">
        <v>7</v>
      </c>
      <c r="B3812" s="1"/>
    </row>
    <row r="3813" spans="1:12" ht="21.95" customHeight="1" x14ac:dyDescent="0.25">
      <c r="A3813" s="1"/>
      <c r="B3813" s="1"/>
    </row>
    <row r="3814" spans="1:12" ht="21.95" customHeight="1" x14ac:dyDescent="0.25">
      <c r="A3814" s="1" t="s">
        <v>8</v>
      </c>
      <c r="C3814" s="9" t="s">
        <v>1</v>
      </c>
      <c r="D3814" s="92" t="s">
        <v>555</v>
      </c>
      <c r="E3814" s="76"/>
      <c r="F3814" s="76"/>
      <c r="G3814" s="76"/>
      <c r="H3814" s="76"/>
    </row>
    <row r="3815" spans="1:12" ht="21.95" customHeight="1" x14ac:dyDescent="0.25">
      <c r="A3815" s="1" t="s">
        <v>9</v>
      </c>
      <c r="C3815" s="9" t="s">
        <v>1</v>
      </c>
      <c r="D3815" s="57" t="s">
        <v>236</v>
      </c>
      <c r="E3815" s="76"/>
      <c r="F3815" s="76"/>
      <c r="G3815" s="76"/>
      <c r="H3815" s="76"/>
    </row>
    <row r="3816" spans="1:12" ht="21.95" customHeight="1" x14ac:dyDescent="0.2">
      <c r="A3816" s="50" t="s">
        <v>10</v>
      </c>
      <c r="B3816" s="76"/>
      <c r="C3816" s="91" t="s">
        <v>1</v>
      </c>
      <c r="D3816" s="50" t="s">
        <v>235</v>
      </c>
      <c r="E3816" s="76"/>
      <c r="F3816" s="76"/>
      <c r="G3816" s="76"/>
      <c r="H3816" s="76"/>
      <c r="I3816" s="76"/>
      <c r="J3816" s="76"/>
      <c r="K3816" s="76"/>
      <c r="L3816" s="76"/>
    </row>
    <row r="3817" spans="1:12" ht="21.95" customHeight="1" x14ac:dyDescent="0.25">
      <c r="A3817" s="1"/>
      <c r="B3817" s="1"/>
      <c r="D3817" s="1"/>
    </row>
    <row r="3818" spans="1:12" ht="21.95" customHeight="1" x14ac:dyDescent="0.2">
      <c r="A3818" s="277" t="s">
        <v>493</v>
      </c>
      <c r="B3818" s="277"/>
      <c r="C3818" s="277"/>
      <c r="D3818" s="277"/>
      <c r="E3818" s="277"/>
      <c r="F3818" s="277"/>
      <c r="G3818" s="277"/>
      <c r="H3818" s="277"/>
      <c r="I3818" s="277"/>
      <c r="J3818" s="277"/>
      <c r="K3818" s="277"/>
      <c r="L3818" s="277"/>
    </row>
    <row r="3819" spans="1:12" ht="21.95" customHeight="1" x14ac:dyDescent="0.25">
      <c r="A3819" s="1"/>
      <c r="B3819" s="1"/>
    </row>
    <row r="3820" spans="1:12" ht="21.95" customHeight="1" thickBot="1" x14ac:dyDescent="0.25">
      <c r="A3820" s="10" t="s">
        <v>0</v>
      </c>
      <c r="B3820" s="278" t="s">
        <v>91</v>
      </c>
      <c r="C3820" s="278"/>
      <c r="D3820" s="278"/>
      <c r="E3820" s="278"/>
      <c r="F3820" s="278"/>
      <c r="G3820" s="278"/>
      <c r="H3820" s="278"/>
      <c r="I3820" s="278"/>
      <c r="J3820" s="278"/>
      <c r="K3820" s="278"/>
      <c r="L3820" s="278"/>
    </row>
    <row r="3821" spans="1:12" ht="21.95" customHeight="1" thickTop="1" x14ac:dyDescent="0.25">
      <c r="A3821" s="1"/>
      <c r="B3821" s="11" t="s">
        <v>3</v>
      </c>
      <c r="C3821" s="12" t="s">
        <v>4</v>
      </c>
      <c r="D3821" s="13"/>
      <c r="E3821" s="13"/>
      <c r="F3821" s="13"/>
      <c r="G3821" s="13"/>
      <c r="H3821" s="14"/>
      <c r="I3821" s="15" t="s">
        <v>5</v>
      </c>
      <c r="J3821" s="12" t="s">
        <v>17</v>
      </c>
      <c r="K3821" s="13"/>
      <c r="L3821" s="14"/>
    </row>
    <row r="3822" spans="1:12" ht="21.95" customHeight="1" x14ac:dyDescent="0.2">
      <c r="B3822" s="96">
        <v>1</v>
      </c>
      <c r="C3822" s="140" t="s">
        <v>443</v>
      </c>
      <c r="D3822" s="76"/>
      <c r="E3822" s="150"/>
      <c r="F3822" s="144"/>
      <c r="G3822" s="76"/>
      <c r="H3822" s="79"/>
      <c r="I3822" s="56">
        <v>150000</v>
      </c>
      <c r="J3822" s="76"/>
      <c r="L3822" s="17"/>
    </row>
    <row r="3823" spans="1:12" ht="21.95" customHeight="1" x14ac:dyDescent="0.2">
      <c r="B3823" s="96"/>
      <c r="C3823" s="313"/>
      <c r="D3823" s="314"/>
      <c r="E3823" s="314"/>
      <c r="F3823" s="314"/>
      <c r="G3823" s="314"/>
      <c r="H3823" s="315"/>
      <c r="I3823" s="56"/>
      <c r="L3823" s="17"/>
    </row>
    <row r="3824" spans="1:12" ht="21.95" customHeight="1" x14ac:dyDescent="0.25">
      <c r="A3824" s="1"/>
      <c r="B3824" s="39"/>
      <c r="C3824" s="1"/>
      <c r="D3824" s="1"/>
      <c r="E3824" s="1"/>
      <c r="F3824" s="40" t="s">
        <v>5</v>
      </c>
      <c r="G3824" s="40"/>
      <c r="H3824" s="1"/>
      <c r="I3824" s="41">
        <f>I3822</f>
        <v>150000</v>
      </c>
      <c r="J3824" s="1"/>
      <c r="K3824" s="1"/>
      <c r="L3824" s="42"/>
    </row>
    <row r="3825" spans="1:12" ht="21.95" customHeight="1" thickBot="1" x14ac:dyDescent="0.3">
      <c r="A3825" s="1"/>
      <c r="B3825" s="43"/>
      <c r="C3825" s="44"/>
      <c r="D3825" s="44"/>
      <c r="E3825" s="44"/>
      <c r="F3825" s="45"/>
      <c r="G3825" s="45"/>
      <c r="H3825" s="44"/>
      <c r="I3825" s="46"/>
      <c r="J3825" s="44"/>
      <c r="K3825" s="44"/>
      <c r="L3825" s="47"/>
    </row>
    <row r="3826" spans="1:12" ht="21.95" customHeight="1" thickTop="1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 ht="21.95" customHeight="1" x14ac:dyDescent="0.2">
      <c r="A3827" s="10" t="s">
        <v>2</v>
      </c>
      <c r="B3827" s="279" t="s">
        <v>11</v>
      </c>
      <c r="C3827" s="279"/>
      <c r="D3827" s="279"/>
      <c r="E3827" s="279"/>
      <c r="F3827" s="279"/>
      <c r="G3827" s="279"/>
      <c r="H3827" s="279"/>
      <c r="I3827" s="279"/>
      <c r="J3827" s="279"/>
      <c r="K3827" s="279"/>
      <c r="L3827" s="279"/>
    </row>
    <row r="3828" spans="1:12" ht="21.95" customHeight="1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 ht="21.95" customHeight="1" x14ac:dyDescent="0.2">
      <c r="A3829" s="280" t="s">
        <v>12</v>
      </c>
      <c r="B3829" s="280"/>
      <c r="C3829" s="280"/>
      <c r="D3829" s="280"/>
      <c r="E3829" s="280"/>
      <c r="F3829" s="280"/>
      <c r="G3829" s="280"/>
      <c r="H3829" s="280"/>
      <c r="I3829" s="280"/>
      <c r="J3829" s="280"/>
      <c r="K3829" s="280"/>
      <c r="L3829" s="280"/>
    </row>
    <row r="3830" spans="1:12" ht="21.95" customHeight="1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 ht="21.95" customHeight="1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 ht="21.95" customHeight="1" x14ac:dyDescent="0.25">
      <c r="A3832" s="1"/>
      <c r="B3832" s="1"/>
      <c r="C3832" s="1"/>
      <c r="D3832" s="1"/>
      <c r="E3832" s="1"/>
      <c r="F3832" s="1"/>
      <c r="G3832" s="1"/>
      <c r="H3832" s="4" t="s">
        <v>199</v>
      </c>
      <c r="J3832" s="286" t="s">
        <v>491</v>
      </c>
      <c r="K3832" s="286"/>
      <c r="L3832" s="286"/>
    </row>
    <row r="3833" spans="1:12" ht="21.95" customHeight="1" x14ac:dyDescent="0.25">
      <c r="A3833" s="1"/>
      <c r="B3833" s="1" t="s">
        <v>15</v>
      </c>
      <c r="C3833" s="1"/>
      <c r="D3833" s="1"/>
      <c r="E3833" s="1"/>
      <c r="F3833" s="1"/>
      <c r="G3833" s="1"/>
      <c r="H3833" s="4" t="s">
        <v>13</v>
      </c>
    </row>
    <row r="3834" spans="1:12" ht="21.95" customHeight="1" x14ac:dyDescent="0.25">
      <c r="A3834" s="1"/>
      <c r="B3834" s="1" t="s">
        <v>18</v>
      </c>
      <c r="C3834" s="1"/>
      <c r="D3834" s="1"/>
      <c r="E3834" s="1"/>
      <c r="F3834" s="1"/>
      <c r="G3834" s="1"/>
      <c r="H3834" s="4" t="s">
        <v>14</v>
      </c>
    </row>
    <row r="3835" spans="1:12" ht="21.95" customHeight="1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 ht="21.95" customHeight="1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 ht="21.95" customHeight="1" x14ac:dyDescent="0.25">
      <c r="A3837" s="1"/>
      <c r="B3837" s="103"/>
      <c r="C3837" s="103"/>
      <c r="D3837" s="103"/>
      <c r="E3837" s="103"/>
      <c r="F3837" s="103"/>
      <c r="G3837" s="103"/>
      <c r="H3837" s="103"/>
      <c r="I3837" s="103"/>
      <c r="J3837" s="103"/>
      <c r="K3837" s="103"/>
      <c r="L3837" s="1"/>
    </row>
    <row r="3838" spans="1:12" ht="21.95" customHeight="1" x14ac:dyDescent="0.25">
      <c r="A3838" s="1"/>
      <c r="K3838" s="103"/>
      <c r="L3838" s="1"/>
    </row>
    <row r="3839" spans="1:12" ht="21.95" customHeight="1" x14ac:dyDescent="0.25">
      <c r="A3839" s="1"/>
      <c r="B3839" s="95" t="s">
        <v>77</v>
      </c>
      <c r="H3839" s="26" t="s">
        <v>555</v>
      </c>
      <c r="I3839" s="95"/>
      <c r="J3839" s="92"/>
      <c r="K3839" s="103"/>
      <c r="L3839" s="1"/>
    </row>
    <row r="3840" spans="1:12" ht="21.95" customHeight="1" x14ac:dyDescent="0.2">
      <c r="A3840" s="48"/>
      <c r="B3840" s="99" t="s">
        <v>27</v>
      </c>
      <c r="C3840" s="146"/>
      <c r="D3840" s="99"/>
      <c r="E3840" s="99"/>
      <c r="F3840" s="99"/>
      <c r="G3840" s="99"/>
      <c r="H3840" s="28" t="s">
        <v>46</v>
      </c>
      <c r="I3840" s="99"/>
      <c r="J3840" s="99"/>
      <c r="K3840" s="104"/>
      <c r="L3840" s="99"/>
    </row>
    <row r="3847" spans="1:12" ht="21.95" customHeight="1" x14ac:dyDescent="0.25">
      <c r="A3847" s="3" t="s">
        <v>22</v>
      </c>
    </row>
    <row r="3848" spans="1:12" ht="21.95" customHeight="1" x14ac:dyDescent="0.2">
      <c r="A3848" s="122" t="s">
        <v>20</v>
      </c>
    </row>
    <row r="3849" spans="1:12" ht="21.95" customHeight="1" x14ac:dyDescent="0.2">
      <c r="A3849" s="122" t="s">
        <v>21</v>
      </c>
    </row>
    <row r="3853" spans="1:12" ht="21.95" customHeight="1" x14ac:dyDescent="0.3">
      <c r="A3853" s="276" t="s">
        <v>6</v>
      </c>
      <c r="B3853" s="276"/>
      <c r="C3853" s="276"/>
      <c r="D3853" s="276"/>
      <c r="E3853" s="276"/>
      <c r="F3853" s="276"/>
      <c r="G3853" s="276"/>
      <c r="H3853" s="276"/>
      <c r="I3853" s="276"/>
      <c r="J3853" s="276"/>
      <c r="K3853" s="276"/>
      <c r="L3853" s="276"/>
    </row>
    <row r="3854" spans="1:12" ht="21.95" customHeight="1" x14ac:dyDescent="0.3">
      <c r="A3854" s="24"/>
      <c r="B3854" s="24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</row>
    <row r="3855" spans="1:12" ht="21.95" customHeight="1" x14ac:dyDescent="0.3">
      <c r="A3855" s="24"/>
      <c r="B3855" s="24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</row>
    <row r="3856" spans="1:12" ht="21.95" customHeight="1" x14ac:dyDescent="0.25">
      <c r="A3856" s="1"/>
      <c r="B3856" s="1"/>
    </row>
    <row r="3857" spans="1:12" ht="21.95" customHeight="1" x14ac:dyDescent="0.25">
      <c r="A3857" s="1" t="s">
        <v>7</v>
      </c>
      <c r="B3857" s="1"/>
    </row>
    <row r="3858" spans="1:12" ht="21.95" customHeight="1" x14ac:dyDescent="0.25">
      <c r="A3858" s="1"/>
      <c r="B3858" s="1"/>
    </row>
    <row r="3859" spans="1:12" ht="21.95" customHeight="1" x14ac:dyDescent="0.25">
      <c r="A3859" s="1" t="s">
        <v>8</v>
      </c>
      <c r="C3859" s="9" t="s">
        <v>1</v>
      </c>
      <c r="D3859" s="33" t="s">
        <v>78</v>
      </c>
      <c r="E3859" s="76"/>
      <c r="F3859" s="76"/>
      <c r="G3859" s="76"/>
      <c r="H3859" s="76"/>
    </row>
    <row r="3860" spans="1:12" ht="19.5" customHeight="1" x14ac:dyDescent="0.25">
      <c r="A3860" s="1" t="s">
        <v>9</v>
      </c>
      <c r="C3860" s="9" t="s">
        <v>1</v>
      </c>
      <c r="D3860" s="27" t="s">
        <v>234</v>
      </c>
      <c r="E3860" s="76"/>
      <c r="F3860" s="76"/>
      <c r="G3860" s="76"/>
      <c r="H3860" s="76"/>
    </row>
    <row r="3861" spans="1:12" ht="21.95" customHeight="1" x14ac:dyDescent="0.2">
      <c r="A3861" s="50" t="s">
        <v>10</v>
      </c>
      <c r="B3861" s="76"/>
      <c r="C3861" s="91" t="s">
        <v>1</v>
      </c>
      <c r="D3861" s="50" t="s">
        <v>235</v>
      </c>
      <c r="E3861" s="76"/>
      <c r="F3861" s="76"/>
      <c r="G3861" s="76"/>
      <c r="H3861" s="76"/>
      <c r="I3861" s="76"/>
      <c r="J3861" s="76"/>
      <c r="K3861" s="76"/>
      <c r="L3861" s="76"/>
    </row>
    <row r="3862" spans="1:12" ht="21.95" customHeight="1" x14ac:dyDescent="0.25">
      <c r="A3862" s="1"/>
      <c r="B3862" s="1"/>
      <c r="D3862" s="1"/>
    </row>
    <row r="3863" spans="1:12" ht="38.25" customHeight="1" x14ac:dyDescent="0.2">
      <c r="A3863" s="277" t="s">
        <v>495</v>
      </c>
      <c r="B3863" s="277"/>
      <c r="C3863" s="277"/>
      <c r="D3863" s="277"/>
      <c r="E3863" s="277"/>
      <c r="F3863" s="277"/>
      <c r="G3863" s="277"/>
      <c r="H3863" s="277"/>
      <c r="I3863" s="277"/>
      <c r="J3863" s="277"/>
      <c r="K3863" s="277"/>
      <c r="L3863" s="277"/>
    </row>
    <row r="3864" spans="1:12" ht="21.95" customHeight="1" x14ac:dyDescent="0.25">
      <c r="A3864" s="1"/>
      <c r="B3864" s="1"/>
    </row>
    <row r="3865" spans="1:12" ht="39" customHeight="1" thickBot="1" x14ac:dyDescent="0.25">
      <c r="A3865" s="10" t="s">
        <v>0</v>
      </c>
      <c r="B3865" s="278" t="s">
        <v>91</v>
      </c>
      <c r="C3865" s="278"/>
      <c r="D3865" s="278"/>
      <c r="E3865" s="278"/>
      <c r="F3865" s="278"/>
      <c r="G3865" s="278"/>
      <c r="H3865" s="278"/>
      <c r="I3865" s="278"/>
      <c r="J3865" s="278"/>
      <c r="K3865" s="278"/>
      <c r="L3865" s="278"/>
    </row>
    <row r="3866" spans="1:12" ht="21.95" customHeight="1" thickTop="1" x14ac:dyDescent="0.25">
      <c r="A3866" s="1"/>
      <c r="B3866" s="11" t="s">
        <v>3</v>
      </c>
      <c r="C3866" s="12" t="s">
        <v>4</v>
      </c>
      <c r="D3866" s="13"/>
      <c r="E3866" s="13"/>
      <c r="F3866" s="13"/>
      <c r="G3866" s="13"/>
      <c r="H3866" s="14"/>
      <c r="I3866" s="15" t="s">
        <v>5</v>
      </c>
      <c r="J3866" s="12" t="s">
        <v>17</v>
      </c>
      <c r="K3866" s="13"/>
      <c r="L3866" s="14"/>
    </row>
    <row r="3867" spans="1:12" ht="21.95" customHeight="1" x14ac:dyDescent="0.2">
      <c r="B3867" s="96">
        <v>1</v>
      </c>
      <c r="C3867" s="140" t="s">
        <v>238</v>
      </c>
      <c r="D3867" s="76"/>
      <c r="E3867" s="150">
        <v>600000</v>
      </c>
      <c r="F3867" s="144" t="s">
        <v>239</v>
      </c>
      <c r="G3867" s="76"/>
      <c r="H3867" s="79"/>
      <c r="I3867" s="56">
        <f>E3867*30/100*2</f>
        <v>360000</v>
      </c>
      <c r="J3867" s="76" t="s">
        <v>281</v>
      </c>
      <c r="L3867" s="17"/>
    </row>
    <row r="3868" spans="1:12" ht="33" customHeight="1" x14ac:dyDescent="0.2">
      <c r="B3868" s="96"/>
      <c r="C3868" s="313"/>
      <c r="D3868" s="314"/>
      <c r="E3868" s="314"/>
      <c r="F3868" s="314"/>
      <c r="G3868" s="314"/>
      <c r="H3868" s="315"/>
      <c r="I3868" s="56"/>
      <c r="L3868" s="17"/>
    </row>
    <row r="3869" spans="1:12" ht="21.95" customHeight="1" x14ac:dyDescent="0.25">
      <c r="A3869" s="1"/>
      <c r="B3869" s="39"/>
      <c r="C3869" s="1"/>
      <c r="D3869" s="1"/>
      <c r="E3869" s="1"/>
      <c r="F3869" s="40" t="s">
        <v>5</v>
      </c>
      <c r="G3869" s="40"/>
      <c r="H3869" s="1"/>
      <c r="I3869" s="41">
        <f>I3867</f>
        <v>360000</v>
      </c>
      <c r="J3869" s="1"/>
      <c r="K3869" s="1"/>
      <c r="L3869" s="42"/>
    </row>
    <row r="3870" spans="1:12" ht="21.95" customHeight="1" thickBot="1" x14ac:dyDescent="0.3">
      <c r="A3870" s="1"/>
      <c r="B3870" s="43"/>
      <c r="C3870" s="44"/>
      <c r="D3870" s="44"/>
      <c r="E3870" s="44"/>
      <c r="F3870" s="45"/>
      <c r="G3870" s="45"/>
      <c r="H3870" s="44"/>
      <c r="I3870" s="46"/>
      <c r="J3870" s="44"/>
      <c r="K3870" s="44"/>
      <c r="L3870" s="47"/>
    </row>
    <row r="3871" spans="1:12" ht="21.95" customHeight="1" thickTop="1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 ht="46.5" customHeight="1" x14ac:dyDescent="0.2">
      <c r="A3872" s="10" t="s">
        <v>2</v>
      </c>
      <c r="B3872" s="279" t="s">
        <v>11</v>
      </c>
      <c r="C3872" s="279"/>
      <c r="D3872" s="279"/>
      <c r="E3872" s="279"/>
      <c r="F3872" s="279"/>
      <c r="G3872" s="279"/>
      <c r="H3872" s="279"/>
      <c r="I3872" s="279"/>
      <c r="J3872" s="279"/>
      <c r="K3872" s="279"/>
      <c r="L3872" s="279"/>
    </row>
    <row r="3873" spans="1:12" ht="21.95" customHeight="1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 ht="21.95" customHeight="1" x14ac:dyDescent="0.2">
      <c r="A3874" s="280" t="s">
        <v>12</v>
      </c>
      <c r="B3874" s="280"/>
      <c r="C3874" s="280"/>
      <c r="D3874" s="280"/>
      <c r="E3874" s="280"/>
      <c r="F3874" s="280"/>
      <c r="G3874" s="280"/>
      <c r="H3874" s="280"/>
      <c r="I3874" s="280"/>
      <c r="J3874" s="280"/>
      <c r="K3874" s="280"/>
      <c r="L3874" s="280"/>
    </row>
    <row r="3875" spans="1:12" ht="21.95" customHeight="1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 spans="1:12" ht="21.95" customHeight="1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 ht="21.95" customHeight="1" x14ac:dyDescent="0.25">
      <c r="A3877" s="1"/>
      <c r="B3877" s="1"/>
      <c r="C3877" s="1"/>
      <c r="D3877" s="1"/>
      <c r="E3877" s="1"/>
      <c r="F3877" s="1"/>
      <c r="G3877" s="1"/>
      <c r="H3877" s="4" t="s">
        <v>199</v>
      </c>
      <c r="J3877" s="286" t="s">
        <v>491</v>
      </c>
      <c r="K3877" s="286"/>
      <c r="L3877" s="286"/>
    </row>
    <row r="3878" spans="1:12" ht="17.25" customHeight="1" x14ac:dyDescent="0.25">
      <c r="A3878" s="1"/>
      <c r="B3878" s="1" t="s">
        <v>15</v>
      </c>
      <c r="C3878" s="1"/>
      <c r="D3878" s="1"/>
      <c r="E3878" s="1"/>
      <c r="F3878" s="1"/>
      <c r="G3878" s="1"/>
      <c r="H3878" s="4" t="s">
        <v>13</v>
      </c>
    </row>
    <row r="3879" spans="1:12" ht="16.5" customHeight="1" x14ac:dyDescent="0.2">
      <c r="A3879" s="48"/>
      <c r="B3879" s="48" t="s">
        <v>18</v>
      </c>
      <c r="C3879" s="48"/>
      <c r="D3879" s="48"/>
      <c r="E3879" s="48"/>
      <c r="F3879" s="48"/>
      <c r="G3879" s="48"/>
      <c r="H3879" s="99" t="s">
        <v>14</v>
      </c>
      <c r="I3879" s="99"/>
      <c r="J3879" s="99"/>
      <c r="K3879" s="99"/>
      <c r="L3879" s="99"/>
    </row>
    <row r="3880" spans="1:12" ht="21.95" customHeight="1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ht="9.75" customHeight="1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 ht="21.75" hidden="1" customHeight="1" x14ac:dyDescent="0.25">
      <c r="A3882" s="1"/>
      <c r="B3882" s="103"/>
      <c r="C3882" s="103"/>
      <c r="D3882" s="103"/>
      <c r="E3882" s="103"/>
      <c r="F3882" s="103"/>
      <c r="G3882" s="103"/>
      <c r="H3882" s="103"/>
      <c r="I3882" s="103"/>
      <c r="J3882" s="103"/>
      <c r="K3882" s="103"/>
      <c r="L3882" s="1"/>
    </row>
    <row r="3883" spans="1:12" ht="21.95" customHeight="1" x14ac:dyDescent="0.25">
      <c r="A3883" s="1"/>
      <c r="K3883" s="103"/>
      <c r="L3883" s="1"/>
    </row>
    <row r="3884" spans="1:12" ht="21.95" customHeight="1" x14ac:dyDescent="0.25">
      <c r="A3884" s="1"/>
      <c r="B3884" s="95" t="s">
        <v>77</v>
      </c>
      <c r="H3884" s="26" t="s">
        <v>78</v>
      </c>
      <c r="I3884" s="95"/>
      <c r="J3884" s="92"/>
      <c r="K3884" s="103"/>
      <c r="L3884" s="1"/>
    </row>
    <row r="3885" spans="1:12" ht="21.95" customHeight="1" x14ac:dyDescent="0.25">
      <c r="A3885" s="1"/>
      <c r="B3885" s="99" t="s">
        <v>27</v>
      </c>
      <c r="C3885" s="57"/>
      <c r="H3885" s="28" t="s">
        <v>79</v>
      </c>
      <c r="K3885" s="103"/>
    </row>
    <row r="3897" spans="1:12" ht="21.95" customHeight="1" x14ac:dyDescent="0.25">
      <c r="A3897" s="3" t="s">
        <v>22</v>
      </c>
    </row>
    <row r="3898" spans="1:12" ht="21.95" customHeight="1" x14ac:dyDescent="0.2">
      <c r="A3898" s="122" t="s">
        <v>20</v>
      </c>
    </row>
    <row r="3899" spans="1:12" ht="21.95" customHeight="1" x14ac:dyDescent="0.2">
      <c r="A3899" s="122" t="s">
        <v>21</v>
      </c>
    </row>
    <row r="3903" spans="1:12" ht="21.95" customHeight="1" x14ac:dyDescent="0.3">
      <c r="A3903" s="276" t="s">
        <v>6</v>
      </c>
      <c r="B3903" s="276"/>
      <c r="C3903" s="276"/>
      <c r="D3903" s="276"/>
      <c r="E3903" s="276"/>
      <c r="F3903" s="276"/>
      <c r="G3903" s="276"/>
      <c r="H3903" s="276"/>
      <c r="I3903" s="276"/>
      <c r="J3903" s="276"/>
      <c r="K3903" s="276"/>
      <c r="L3903" s="276"/>
    </row>
    <row r="3904" spans="1:12" ht="21.95" customHeight="1" x14ac:dyDescent="0.3">
      <c r="A3904" s="24"/>
      <c r="B3904" s="24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</row>
    <row r="3905" spans="1:12" ht="21.95" customHeight="1" x14ac:dyDescent="0.3">
      <c r="A3905" s="24"/>
      <c r="B3905" s="24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</row>
    <row r="3906" spans="1:12" ht="21.95" customHeight="1" x14ac:dyDescent="0.25">
      <c r="A3906" s="1"/>
      <c r="B3906" s="1"/>
    </row>
    <row r="3907" spans="1:12" ht="21.95" customHeight="1" x14ac:dyDescent="0.25">
      <c r="A3907" s="1" t="s">
        <v>7</v>
      </c>
      <c r="B3907" s="1"/>
    </row>
    <row r="3908" spans="1:12" ht="21.95" customHeight="1" x14ac:dyDescent="0.25">
      <c r="A3908" s="1"/>
      <c r="B3908" s="1"/>
    </row>
    <row r="3909" spans="1:12" ht="21.95" customHeight="1" x14ac:dyDescent="0.25">
      <c r="A3909" s="1" t="s">
        <v>8</v>
      </c>
      <c r="C3909" s="9" t="s">
        <v>1</v>
      </c>
      <c r="D3909" s="92" t="s">
        <v>555</v>
      </c>
      <c r="E3909" s="76"/>
      <c r="F3909" s="76"/>
      <c r="G3909" s="76"/>
      <c r="H3909" s="76"/>
    </row>
    <row r="3910" spans="1:12" ht="21.95" customHeight="1" x14ac:dyDescent="0.25">
      <c r="A3910" s="1" t="s">
        <v>9</v>
      </c>
      <c r="C3910" s="9" t="s">
        <v>1</v>
      </c>
      <c r="D3910" s="57" t="s">
        <v>236</v>
      </c>
      <c r="E3910" s="76"/>
      <c r="F3910" s="76"/>
      <c r="G3910" s="76"/>
      <c r="H3910" s="76"/>
    </row>
    <row r="3911" spans="1:12" ht="21.95" customHeight="1" x14ac:dyDescent="0.2">
      <c r="A3911" s="50" t="s">
        <v>10</v>
      </c>
      <c r="B3911" s="76"/>
      <c r="C3911" s="91" t="s">
        <v>1</v>
      </c>
      <c r="D3911" s="50" t="s">
        <v>235</v>
      </c>
      <c r="E3911" s="76"/>
      <c r="F3911" s="76"/>
      <c r="G3911" s="76"/>
      <c r="H3911" s="76"/>
      <c r="I3911" s="76"/>
      <c r="J3911" s="76"/>
      <c r="K3911" s="76"/>
      <c r="L3911" s="76"/>
    </row>
    <row r="3912" spans="1:12" ht="21.95" customHeight="1" x14ac:dyDescent="0.25">
      <c r="A3912" s="1"/>
      <c r="B3912" s="1"/>
      <c r="D3912" s="1"/>
    </row>
    <row r="3913" spans="1:12" ht="30.75" customHeight="1" x14ac:dyDescent="0.2">
      <c r="A3913" s="277" t="s">
        <v>495</v>
      </c>
      <c r="B3913" s="277"/>
      <c r="C3913" s="277"/>
      <c r="D3913" s="277"/>
      <c r="E3913" s="277"/>
      <c r="F3913" s="277"/>
      <c r="G3913" s="277"/>
      <c r="H3913" s="277"/>
      <c r="I3913" s="277"/>
      <c r="J3913" s="277"/>
      <c r="K3913" s="277"/>
      <c r="L3913" s="277"/>
    </row>
    <row r="3914" spans="1:12" ht="21.95" customHeight="1" x14ac:dyDescent="0.25">
      <c r="A3914" s="1"/>
      <c r="B3914" s="1"/>
    </row>
    <row r="3915" spans="1:12" ht="33.75" customHeight="1" thickBot="1" x14ac:dyDescent="0.25">
      <c r="A3915" s="10" t="s">
        <v>0</v>
      </c>
      <c r="B3915" s="278" t="s">
        <v>91</v>
      </c>
      <c r="C3915" s="278"/>
      <c r="D3915" s="278"/>
      <c r="E3915" s="278"/>
      <c r="F3915" s="278"/>
      <c r="G3915" s="278"/>
      <c r="H3915" s="278"/>
      <c r="I3915" s="278"/>
      <c r="J3915" s="278"/>
      <c r="K3915" s="278"/>
      <c r="L3915" s="278"/>
    </row>
    <row r="3916" spans="1:12" ht="21.95" customHeight="1" thickTop="1" x14ac:dyDescent="0.25">
      <c r="A3916" s="1"/>
      <c r="B3916" s="11" t="s">
        <v>3</v>
      </c>
      <c r="C3916" s="12" t="s">
        <v>4</v>
      </c>
      <c r="D3916" s="13"/>
      <c r="E3916" s="13"/>
      <c r="F3916" s="13"/>
      <c r="G3916" s="13"/>
      <c r="H3916" s="14"/>
      <c r="I3916" s="15" t="s">
        <v>5</v>
      </c>
      <c r="J3916" s="12" t="s">
        <v>17</v>
      </c>
      <c r="K3916" s="13"/>
      <c r="L3916" s="14"/>
    </row>
    <row r="3917" spans="1:12" ht="21.95" customHeight="1" x14ac:dyDescent="0.2">
      <c r="B3917" s="96">
        <v>1</v>
      </c>
      <c r="C3917" s="140" t="s">
        <v>238</v>
      </c>
      <c r="D3917" s="76"/>
      <c r="E3917" s="150">
        <v>600000</v>
      </c>
      <c r="F3917" s="144" t="s">
        <v>239</v>
      </c>
      <c r="G3917" s="76"/>
      <c r="H3917" s="79"/>
      <c r="I3917" s="56">
        <f>E3917*30/100*2</f>
        <v>360000</v>
      </c>
      <c r="J3917" s="76" t="s">
        <v>281</v>
      </c>
      <c r="L3917" s="17"/>
    </row>
    <row r="3918" spans="1:12" ht="21.95" customHeight="1" x14ac:dyDescent="0.2">
      <c r="B3918" s="96"/>
      <c r="C3918" s="313"/>
      <c r="D3918" s="314"/>
      <c r="E3918" s="314"/>
      <c r="F3918" s="314"/>
      <c r="G3918" s="314"/>
      <c r="H3918" s="315"/>
      <c r="I3918" s="56"/>
      <c r="L3918" s="17"/>
    </row>
    <row r="3919" spans="1:12" ht="21.95" customHeight="1" x14ac:dyDescent="0.25">
      <c r="A3919" s="1"/>
      <c r="B3919" s="39"/>
      <c r="C3919" s="1"/>
      <c r="D3919" s="1"/>
      <c r="E3919" s="1"/>
      <c r="F3919" s="40" t="s">
        <v>5</v>
      </c>
      <c r="G3919" s="40"/>
      <c r="H3919" s="1"/>
      <c r="I3919" s="41">
        <f>I3917</f>
        <v>360000</v>
      </c>
      <c r="J3919" s="1"/>
      <c r="K3919" s="1"/>
      <c r="L3919" s="42"/>
    </row>
    <row r="3920" spans="1:12" ht="21.95" customHeight="1" thickBot="1" x14ac:dyDescent="0.3">
      <c r="A3920" s="1"/>
      <c r="B3920" s="43"/>
      <c r="C3920" s="44"/>
      <c r="D3920" s="44"/>
      <c r="E3920" s="44"/>
      <c r="F3920" s="45"/>
      <c r="G3920" s="45"/>
      <c r="H3920" s="44"/>
      <c r="I3920" s="46"/>
      <c r="J3920" s="44"/>
      <c r="K3920" s="44"/>
      <c r="L3920" s="47"/>
    </row>
    <row r="3921" spans="1:12" ht="21.95" customHeight="1" thickTop="1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 spans="1:12" ht="45.75" customHeight="1" x14ac:dyDescent="0.2">
      <c r="A3922" s="10" t="s">
        <v>2</v>
      </c>
      <c r="B3922" s="279" t="s">
        <v>11</v>
      </c>
      <c r="C3922" s="279"/>
      <c r="D3922" s="279"/>
      <c r="E3922" s="279"/>
      <c r="F3922" s="279"/>
      <c r="G3922" s="279"/>
      <c r="H3922" s="279"/>
      <c r="I3922" s="279"/>
      <c r="J3922" s="279"/>
      <c r="K3922" s="279"/>
      <c r="L3922" s="279"/>
    </row>
    <row r="3923" spans="1:12" ht="21.95" customHeight="1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</row>
    <row r="3924" spans="1:12" ht="21.95" customHeight="1" x14ac:dyDescent="0.2">
      <c r="A3924" s="280" t="s">
        <v>12</v>
      </c>
      <c r="B3924" s="280"/>
      <c r="C3924" s="280"/>
      <c r="D3924" s="280"/>
      <c r="E3924" s="280"/>
      <c r="F3924" s="280"/>
      <c r="G3924" s="280"/>
      <c r="H3924" s="280"/>
      <c r="I3924" s="280"/>
      <c r="J3924" s="280"/>
      <c r="K3924" s="280"/>
      <c r="L3924" s="280"/>
    </row>
    <row r="3925" spans="1:12" ht="21.95" customHeight="1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</row>
    <row r="3926" spans="1:12" ht="21.95" customHeight="1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</row>
    <row r="3927" spans="1:12" ht="15" customHeight="1" x14ac:dyDescent="0.25">
      <c r="A3927" s="1"/>
      <c r="B3927" s="1"/>
      <c r="C3927" s="1"/>
      <c r="D3927" s="1"/>
      <c r="E3927" s="1"/>
      <c r="F3927" s="1"/>
      <c r="G3927" s="1"/>
      <c r="H3927" s="4" t="s">
        <v>199</v>
      </c>
      <c r="J3927" s="286" t="s">
        <v>491</v>
      </c>
      <c r="K3927" s="286"/>
      <c r="L3927" s="286"/>
    </row>
    <row r="3928" spans="1:12" ht="15" customHeight="1" x14ac:dyDescent="0.25">
      <c r="A3928" s="1"/>
      <c r="B3928" s="1" t="s">
        <v>15</v>
      </c>
      <c r="C3928" s="1"/>
      <c r="D3928" s="1"/>
      <c r="E3928" s="1"/>
      <c r="F3928" s="1"/>
      <c r="G3928" s="1"/>
      <c r="H3928" s="4" t="s">
        <v>13</v>
      </c>
    </row>
    <row r="3929" spans="1:12" ht="12.75" customHeight="1" x14ac:dyDescent="0.25">
      <c r="A3929" s="1"/>
      <c r="B3929" s="1" t="s">
        <v>18</v>
      </c>
      <c r="C3929" s="1"/>
      <c r="D3929" s="1"/>
      <c r="E3929" s="1"/>
      <c r="F3929" s="1"/>
      <c r="G3929" s="1"/>
      <c r="H3929" s="4" t="s">
        <v>14</v>
      </c>
    </row>
    <row r="3930" spans="1:12" ht="21.95" customHeight="1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</row>
    <row r="3931" spans="1:12" ht="21.95" customHeight="1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</row>
    <row r="3932" spans="1:12" ht="9.75" customHeight="1" x14ac:dyDescent="0.25">
      <c r="A3932" s="1"/>
      <c r="B3932" s="103"/>
      <c r="C3932" s="103"/>
      <c r="D3932" s="103"/>
      <c r="E3932" s="103"/>
      <c r="F3932" s="103"/>
      <c r="G3932" s="103"/>
      <c r="H3932" s="103"/>
      <c r="I3932" s="103"/>
      <c r="J3932" s="103"/>
      <c r="K3932" s="103"/>
      <c r="L3932" s="1"/>
    </row>
    <row r="3933" spans="1:12" ht="21.75" hidden="1" customHeight="1" x14ac:dyDescent="0.25">
      <c r="A3933" s="1"/>
      <c r="K3933" s="103"/>
      <c r="L3933" s="1"/>
    </row>
    <row r="3934" spans="1:12" ht="21.95" customHeight="1" x14ac:dyDescent="0.25">
      <c r="A3934" s="1"/>
      <c r="B3934" s="95" t="s">
        <v>77</v>
      </c>
      <c r="H3934" s="26" t="s">
        <v>555</v>
      </c>
      <c r="I3934" s="95"/>
      <c r="J3934" s="92"/>
      <c r="K3934" s="103"/>
      <c r="L3934" s="1"/>
    </row>
    <row r="3935" spans="1:12" ht="21.95" customHeight="1" x14ac:dyDescent="0.2">
      <c r="A3935" s="48"/>
      <c r="B3935" s="99" t="s">
        <v>27</v>
      </c>
      <c r="C3935" s="146"/>
      <c r="D3935" s="99"/>
      <c r="E3935" s="99"/>
      <c r="F3935" s="99"/>
      <c r="G3935" s="99"/>
      <c r="H3935" s="28" t="s">
        <v>46</v>
      </c>
      <c r="I3935" s="99"/>
      <c r="J3935" s="99"/>
      <c r="K3935" s="104"/>
      <c r="L3935" s="99"/>
    </row>
    <row r="3940" spans="1:12" ht="21.95" customHeight="1" x14ac:dyDescent="0.25">
      <c r="A3940" s="3" t="s">
        <v>22</v>
      </c>
    </row>
    <row r="3941" spans="1:12" ht="21.95" customHeight="1" x14ac:dyDescent="0.2">
      <c r="A3941" s="122" t="s">
        <v>20</v>
      </c>
    </row>
    <row r="3942" spans="1:12" ht="21.95" customHeight="1" x14ac:dyDescent="0.2">
      <c r="A3942" s="122" t="s">
        <v>21</v>
      </c>
    </row>
    <row r="3946" spans="1:12" ht="21.95" customHeight="1" x14ac:dyDescent="0.3">
      <c r="A3946" s="276" t="s">
        <v>6</v>
      </c>
      <c r="B3946" s="276"/>
      <c r="C3946" s="276"/>
      <c r="D3946" s="276"/>
      <c r="E3946" s="276"/>
      <c r="F3946" s="276"/>
      <c r="G3946" s="276"/>
      <c r="H3946" s="276"/>
      <c r="I3946" s="276"/>
      <c r="J3946" s="276"/>
      <c r="K3946" s="276"/>
      <c r="L3946" s="276"/>
    </row>
    <row r="3947" spans="1:12" ht="21.95" customHeight="1" x14ac:dyDescent="0.3">
      <c r="A3947" s="24"/>
      <c r="B3947" s="24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</row>
    <row r="3948" spans="1:12" ht="21.95" customHeight="1" x14ac:dyDescent="0.3">
      <c r="A3948" s="24"/>
      <c r="B3948" s="24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</row>
    <row r="3949" spans="1:12" ht="21.95" customHeight="1" x14ac:dyDescent="0.25">
      <c r="A3949" s="1"/>
      <c r="B3949" s="1"/>
    </row>
    <row r="3950" spans="1:12" ht="21.95" customHeight="1" x14ac:dyDescent="0.25">
      <c r="A3950" s="1" t="s">
        <v>7</v>
      </c>
      <c r="B3950" s="1"/>
    </row>
    <row r="3951" spans="1:12" ht="21.95" customHeight="1" x14ac:dyDescent="0.25">
      <c r="A3951" s="1"/>
      <c r="B3951" s="1"/>
    </row>
    <row r="3952" spans="1:12" ht="21.95" customHeight="1" x14ac:dyDescent="0.25">
      <c r="A3952" s="1" t="s">
        <v>8</v>
      </c>
      <c r="C3952" s="9" t="s">
        <v>1</v>
      </c>
      <c r="D3952" s="92" t="s">
        <v>96</v>
      </c>
      <c r="E3952" s="76"/>
      <c r="F3952" s="76"/>
      <c r="G3952" s="76"/>
      <c r="H3952" s="76"/>
    </row>
    <row r="3953" spans="1:12" ht="17.25" customHeight="1" x14ac:dyDescent="0.25">
      <c r="A3953" s="1" t="s">
        <v>9</v>
      </c>
      <c r="C3953" s="9" t="s">
        <v>1</v>
      </c>
      <c r="D3953" s="57" t="s">
        <v>200</v>
      </c>
      <c r="E3953" s="76"/>
      <c r="F3953" s="76"/>
      <c r="G3953" s="76"/>
      <c r="H3953" s="76"/>
    </row>
    <row r="3954" spans="1:12" ht="15.75" customHeight="1" x14ac:dyDescent="0.2">
      <c r="A3954" s="50" t="s">
        <v>10</v>
      </c>
      <c r="B3954" s="76"/>
      <c r="C3954" s="91" t="s">
        <v>1</v>
      </c>
      <c r="D3954" s="50" t="s">
        <v>203</v>
      </c>
      <c r="E3954" s="76"/>
      <c r="F3954" s="76"/>
      <c r="G3954" s="76"/>
      <c r="H3954" s="76"/>
      <c r="I3954" s="76"/>
      <c r="J3954" s="76"/>
      <c r="K3954" s="76"/>
      <c r="L3954" s="76"/>
    </row>
    <row r="3955" spans="1:12" ht="21.95" customHeight="1" x14ac:dyDescent="0.25">
      <c r="A3955" s="1"/>
      <c r="B3955" s="1"/>
      <c r="D3955" s="1"/>
    </row>
    <row r="3956" spans="1:12" ht="38.25" customHeight="1" x14ac:dyDescent="0.2">
      <c r="A3956" s="277" t="s">
        <v>495</v>
      </c>
      <c r="B3956" s="277"/>
      <c r="C3956" s="277"/>
      <c r="D3956" s="277"/>
      <c r="E3956" s="277"/>
      <c r="F3956" s="277"/>
      <c r="G3956" s="277"/>
      <c r="H3956" s="277"/>
      <c r="I3956" s="277"/>
      <c r="J3956" s="277"/>
      <c r="K3956" s="277"/>
      <c r="L3956" s="277"/>
    </row>
    <row r="3957" spans="1:12" ht="21.95" customHeight="1" x14ac:dyDescent="0.25">
      <c r="A3957" s="1"/>
      <c r="B3957" s="1"/>
    </row>
    <row r="3958" spans="1:12" ht="32.25" customHeight="1" thickBot="1" x14ac:dyDescent="0.25">
      <c r="A3958" s="10" t="s">
        <v>0</v>
      </c>
      <c r="B3958" s="278" t="s">
        <v>91</v>
      </c>
      <c r="C3958" s="278"/>
      <c r="D3958" s="278"/>
      <c r="E3958" s="278"/>
      <c r="F3958" s="278"/>
      <c r="G3958" s="278"/>
      <c r="H3958" s="278"/>
      <c r="I3958" s="278"/>
      <c r="J3958" s="278"/>
      <c r="K3958" s="278"/>
      <c r="L3958" s="278"/>
    </row>
    <row r="3959" spans="1:12" ht="21.95" customHeight="1" thickTop="1" x14ac:dyDescent="0.25">
      <c r="A3959" s="1"/>
      <c r="B3959" s="11" t="s">
        <v>3</v>
      </c>
      <c r="C3959" s="12" t="s">
        <v>4</v>
      </c>
      <c r="D3959" s="13"/>
      <c r="E3959" s="13"/>
      <c r="F3959" s="13"/>
      <c r="G3959" s="13"/>
      <c r="H3959" s="14"/>
      <c r="I3959" s="15" t="s">
        <v>5</v>
      </c>
      <c r="J3959" s="12" t="s">
        <v>17</v>
      </c>
      <c r="K3959" s="13"/>
      <c r="L3959" s="14"/>
    </row>
    <row r="3960" spans="1:12" ht="21.95" customHeight="1" x14ac:dyDescent="0.2">
      <c r="B3960" s="96">
        <v>1</v>
      </c>
      <c r="C3960" s="140" t="s">
        <v>238</v>
      </c>
      <c r="D3960" s="76"/>
      <c r="E3960" s="150">
        <v>600000</v>
      </c>
      <c r="F3960" s="144" t="s">
        <v>239</v>
      </c>
      <c r="G3960" s="76"/>
      <c r="H3960" s="79"/>
      <c r="I3960" s="56">
        <f>E3960*30/100*2</f>
        <v>360000</v>
      </c>
      <c r="J3960" s="76" t="s">
        <v>281</v>
      </c>
      <c r="L3960" s="17"/>
    </row>
    <row r="3961" spans="1:12" ht="21.95" customHeight="1" x14ac:dyDescent="0.2">
      <c r="B3961" s="96"/>
      <c r="C3961" s="313"/>
      <c r="D3961" s="314"/>
      <c r="E3961" s="314"/>
      <c r="F3961" s="314"/>
      <c r="G3961" s="314"/>
      <c r="H3961" s="315"/>
      <c r="I3961" s="56"/>
      <c r="L3961" s="17"/>
    </row>
    <row r="3962" spans="1:12" ht="21.95" customHeight="1" x14ac:dyDescent="0.25">
      <c r="A3962" s="1"/>
      <c r="B3962" s="39"/>
      <c r="C3962" s="1"/>
      <c r="D3962" s="1"/>
      <c r="E3962" s="1"/>
      <c r="F3962" s="40" t="s">
        <v>5</v>
      </c>
      <c r="G3962" s="40"/>
      <c r="H3962" s="1"/>
      <c r="I3962" s="41">
        <f>I3960</f>
        <v>360000</v>
      </c>
      <c r="J3962" s="1"/>
      <c r="K3962" s="1"/>
      <c r="L3962" s="42"/>
    </row>
    <row r="3963" spans="1:12" ht="21.95" customHeight="1" thickBot="1" x14ac:dyDescent="0.3">
      <c r="A3963" s="1"/>
      <c r="B3963" s="43"/>
      <c r="C3963" s="44"/>
      <c r="D3963" s="44"/>
      <c r="E3963" s="44"/>
      <c r="F3963" s="45"/>
      <c r="G3963" s="45"/>
      <c r="H3963" s="44"/>
      <c r="I3963" s="46"/>
      <c r="J3963" s="44"/>
      <c r="K3963" s="44"/>
      <c r="L3963" s="47"/>
    </row>
    <row r="3964" spans="1:12" ht="21.95" customHeight="1" thickTop="1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</row>
    <row r="3965" spans="1:12" ht="48" customHeight="1" x14ac:dyDescent="0.2">
      <c r="A3965" s="10" t="s">
        <v>2</v>
      </c>
      <c r="B3965" s="279" t="s">
        <v>11</v>
      </c>
      <c r="C3965" s="279"/>
      <c r="D3965" s="279"/>
      <c r="E3965" s="279"/>
      <c r="F3965" s="279"/>
      <c r="G3965" s="279"/>
      <c r="H3965" s="279"/>
      <c r="I3965" s="279"/>
      <c r="J3965" s="279"/>
      <c r="K3965" s="279"/>
      <c r="L3965" s="279"/>
    </row>
    <row r="3966" spans="1:12" ht="21.95" customHeight="1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</row>
    <row r="3967" spans="1:12" ht="21.95" customHeight="1" x14ac:dyDescent="0.2">
      <c r="A3967" s="280" t="s">
        <v>12</v>
      </c>
      <c r="B3967" s="280"/>
      <c r="C3967" s="280"/>
      <c r="D3967" s="280"/>
      <c r="E3967" s="280"/>
      <c r="F3967" s="280"/>
      <c r="G3967" s="280"/>
      <c r="H3967" s="280"/>
      <c r="I3967" s="280"/>
      <c r="J3967" s="280"/>
      <c r="K3967" s="280"/>
      <c r="L3967" s="280"/>
    </row>
    <row r="3968" spans="1:12" ht="21.95" customHeight="1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</row>
    <row r="3969" spans="1:12" ht="21.95" customHeight="1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</row>
    <row r="3970" spans="1:12" ht="13.5" customHeight="1" x14ac:dyDescent="0.25">
      <c r="A3970" s="1"/>
      <c r="B3970" s="1"/>
      <c r="C3970" s="1"/>
      <c r="D3970" s="1"/>
      <c r="E3970" s="1"/>
      <c r="F3970" s="1"/>
      <c r="G3970" s="1"/>
      <c r="H3970" s="4" t="s">
        <v>199</v>
      </c>
      <c r="J3970" s="286" t="s">
        <v>491</v>
      </c>
      <c r="K3970" s="286"/>
      <c r="L3970" s="286"/>
    </row>
    <row r="3971" spans="1:12" ht="12.75" customHeight="1" x14ac:dyDescent="0.25">
      <c r="A3971" s="1"/>
      <c r="B3971" s="1" t="s">
        <v>15</v>
      </c>
      <c r="C3971" s="1"/>
      <c r="D3971" s="1"/>
      <c r="E3971" s="1"/>
      <c r="F3971" s="1"/>
      <c r="G3971" s="1"/>
      <c r="H3971" s="4" t="s">
        <v>13</v>
      </c>
    </row>
    <row r="3972" spans="1:12" ht="14.25" customHeight="1" x14ac:dyDescent="0.2">
      <c r="A3972" s="48"/>
      <c r="B3972" s="48" t="s">
        <v>18</v>
      </c>
      <c r="C3972" s="48"/>
      <c r="D3972" s="48"/>
      <c r="E3972" s="48"/>
      <c r="F3972" s="48"/>
      <c r="G3972" s="48"/>
      <c r="H3972" s="99" t="s">
        <v>14</v>
      </c>
      <c r="I3972" s="99"/>
      <c r="J3972" s="99"/>
      <c r="K3972" s="99"/>
      <c r="L3972" s="99"/>
    </row>
    <row r="3973" spans="1:12" ht="21.95" customHeight="1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 ht="21.95" customHeight="1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 ht="2.25" customHeight="1" x14ac:dyDescent="0.25">
      <c r="A3975" s="1"/>
      <c r="B3975" s="103"/>
      <c r="C3975" s="103"/>
      <c r="D3975" s="103"/>
      <c r="E3975" s="103"/>
      <c r="F3975" s="103"/>
      <c r="G3975" s="103"/>
      <c r="H3975" s="103"/>
      <c r="I3975" s="103"/>
      <c r="J3975" s="103"/>
      <c r="K3975" s="103"/>
      <c r="L3975" s="1"/>
    </row>
    <row r="3976" spans="1:12" ht="21.75" hidden="1" customHeight="1" x14ac:dyDescent="0.25">
      <c r="A3976" s="1"/>
      <c r="K3976" s="103"/>
      <c r="L3976" s="1"/>
    </row>
    <row r="3977" spans="1:12" ht="21.95" customHeight="1" x14ac:dyDescent="0.25">
      <c r="A3977" s="1"/>
      <c r="B3977" s="95" t="s">
        <v>77</v>
      </c>
      <c r="H3977" s="26" t="s">
        <v>96</v>
      </c>
      <c r="I3977" s="95"/>
      <c r="J3977" s="92"/>
      <c r="K3977" s="103"/>
      <c r="L3977" s="1"/>
    </row>
    <row r="3978" spans="1:12" ht="21.95" customHeight="1" x14ac:dyDescent="0.25">
      <c r="A3978" s="1"/>
      <c r="B3978" s="99" t="s">
        <v>27</v>
      </c>
      <c r="C3978" s="57"/>
      <c r="H3978" s="28" t="s">
        <v>100</v>
      </c>
      <c r="K3978" s="103"/>
    </row>
    <row r="3983" spans="1:12" ht="21.95" customHeight="1" x14ac:dyDescent="0.25">
      <c r="A3983" s="3" t="s">
        <v>22</v>
      </c>
    </row>
    <row r="3984" spans="1:12" ht="21.95" customHeight="1" x14ac:dyDescent="0.2">
      <c r="A3984" s="122" t="s">
        <v>20</v>
      </c>
    </row>
    <row r="3985" spans="1:12" ht="21.95" customHeight="1" x14ac:dyDescent="0.2">
      <c r="A3985" s="122" t="s">
        <v>21</v>
      </c>
    </row>
    <row r="3989" spans="1:12" ht="21.95" customHeight="1" x14ac:dyDescent="0.3">
      <c r="A3989" s="276" t="s">
        <v>6</v>
      </c>
      <c r="B3989" s="276"/>
      <c r="C3989" s="276"/>
      <c r="D3989" s="276"/>
      <c r="E3989" s="276"/>
      <c r="F3989" s="276"/>
      <c r="G3989" s="276"/>
      <c r="H3989" s="276"/>
      <c r="I3989" s="276"/>
      <c r="J3989" s="276"/>
      <c r="K3989" s="276"/>
      <c r="L3989" s="276"/>
    </row>
    <row r="3990" spans="1:12" ht="21.95" customHeight="1" x14ac:dyDescent="0.3">
      <c r="A3990" s="24"/>
      <c r="B3990" s="24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</row>
    <row r="3991" spans="1:12" ht="21.95" customHeight="1" x14ac:dyDescent="0.3">
      <c r="A3991" s="24"/>
      <c r="B3991" s="24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</row>
    <row r="3992" spans="1:12" ht="21.95" customHeight="1" x14ac:dyDescent="0.25">
      <c r="A3992" s="1"/>
      <c r="B3992" s="1"/>
    </row>
    <row r="3993" spans="1:12" ht="21.95" customHeight="1" x14ac:dyDescent="0.25">
      <c r="A3993" s="1" t="s">
        <v>7</v>
      </c>
      <c r="B3993" s="1"/>
    </row>
    <row r="3994" spans="1:12" ht="21.95" customHeight="1" x14ac:dyDescent="0.25">
      <c r="A3994" s="1"/>
      <c r="B3994" s="1"/>
    </row>
    <row r="3995" spans="1:12" ht="21.95" customHeight="1" x14ac:dyDescent="0.25">
      <c r="A3995" s="1" t="s">
        <v>8</v>
      </c>
      <c r="C3995" s="9" t="s">
        <v>1</v>
      </c>
      <c r="D3995" s="92" t="s">
        <v>77</v>
      </c>
      <c r="E3995" s="76"/>
      <c r="F3995" s="76"/>
      <c r="G3995" s="76"/>
      <c r="H3995" s="76"/>
    </row>
    <row r="3996" spans="1:12" ht="14.25" customHeight="1" x14ac:dyDescent="0.25">
      <c r="A3996" s="1" t="s">
        <v>9</v>
      </c>
      <c r="C3996" s="9" t="s">
        <v>1</v>
      </c>
      <c r="D3996" s="146" t="s">
        <v>201</v>
      </c>
      <c r="E3996" s="76"/>
      <c r="F3996" s="76"/>
      <c r="G3996" s="76"/>
      <c r="H3996" s="76"/>
    </row>
    <row r="3997" spans="1:12" ht="21.95" customHeight="1" x14ac:dyDescent="0.2">
      <c r="A3997" s="50" t="s">
        <v>10</v>
      </c>
      <c r="B3997" s="76"/>
      <c r="C3997" s="91" t="s">
        <v>1</v>
      </c>
      <c r="D3997" s="50" t="s">
        <v>496</v>
      </c>
      <c r="E3997" s="76"/>
      <c r="F3997" s="76"/>
      <c r="G3997" s="76"/>
      <c r="H3997" s="76"/>
      <c r="I3997" s="76"/>
      <c r="J3997" s="76"/>
      <c r="K3997" s="76"/>
      <c r="L3997" s="76"/>
    </row>
    <row r="3998" spans="1:12" ht="21.95" customHeight="1" x14ac:dyDescent="0.25">
      <c r="A3998" s="1"/>
      <c r="B3998" s="1"/>
      <c r="D3998" s="1"/>
    </row>
    <row r="3999" spans="1:12" ht="35.25" customHeight="1" x14ac:dyDescent="0.2">
      <c r="A3999" s="277" t="s">
        <v>495</v>
      </c>
      <c r="B3999" s="277"/>
      <c r="C3999" s="277"/>
      <c r="D3999" s="277"/>
      <c r="E3999" s="277"/>
      <c r="F3999" s="277"/>
      <c r="G3999" s="277"/>
      <c r="H3999" s="277"/>
      <c r="I3999" s="277"/>
      <c r="J3999" s="277"/>
      <c r="K3999" s="277"/>
      <c r="L3999" s="277"/>
    </row>
    <row r="4000" spans="1:12" ht="21.95" customHeight="1" x14ac:dyDescent="0.25">
      <c r="A4000" s="1"/>
      <c r="B4000" s="1"/>
    </row>
    <row r="4001" spans="1:14" ht="33.75" customHeight="1" thickBot="1" x14ac:dyDescent="0.25">
      <c r="A4001" s="10" t="s">
        <v>0</v>
      </c>
      <c r="B4001" s="278" t="s">
        <v>91</v>
      </c>
      <c r="C4001" s="278"/>
      <c r="D4001" s="278"/>
      <c r="E4001" s="278"/>
      <c r="F4001" s="278"/>
      <c r="G4001" s="278"/>
      <c r="H4001" s="278"/>
      <c r="I4001" s="278"/>
      <c r="J4001" s="278"/>
      <c r="K4001" s="278"/>
      <c r="L4001" s="278"/>
    </row>
    <row r="4002" spans="1:14" ht="21.95" customHeight="1" thickTop="1" x14ac:dyDescent="0.25">
      <c r="A4002" s="1"/>
      <c r="B4002" s="11" t="s">
        <v>3</v>
      </c>
      <c r="C4002" s="12" t="s">
        <v>4</v>
      </c>
      <c r="D4002" s="13"/>
      <c r="E4002" s="13"/>
      <c r="F4002" s="13"/>
      <c r="G4002" s="13"/>
      <c r="H4002" s="14"/>
      <c r="I4002" s="15" t="s">
        <v>5</v>
      </c>
      <c r="J4002" s="12" t="s">
        <v>17</v>
      </c>
      <c r="K4002" s="13"/>
      <c r="L4002" s="14"/>
      <c r="N4002" s="59"/>
    </row>
    <row r="4003" spans="1:14" ht="21.95" customHeight="1" x14ac:dyDescent="0.2">
      <c r="B4003" s="96">
        <v>1</v>
      </c>
      <c r="C4003" s="140" t="s">
        <v>238</v>
      </c>
      <c r="D4003" s="76"/>
      <c r="E4003" s="150">
        <v>954000</v>
      </c>
      <c r="F4003" s="144" t="s">
        <v>239</v>
      </c>
      <c r="G4003" s="76"/>
      <c r="H4003" s="79"/>
      <c r="I4003" s="56">
        <f>E4003*30/100*2</f>
        <v>572400</v>
      </c>
      <c r="J4003" s="76" t="s">
        <v>281</v>
      </c>
      <c r="L4003" s="17"/>
    </row>
    <row r="4004" spans="1:14" ht="21.95" customHeight="1" x14ac:dyDescent="0.2">
      <c r="B4004" s="96"/>
      <c r="C4004" s="313"/>
      <c r="D4004" s="314"/>
      <c r="E4004" s="314"/>
      <c r="F4004" s="314"/>
      <c r="G4004" s="314"/>
      <c r="H4004" s="315"/>
      <c r="I4004" s="56"/>
      <c r="L4004" s="17"/>
    </row>
    <row r="4005" spans="1:14" ht="21.95" customHeight="1" x14ac:dyDescent="0.25">
      <c r="A4005" s="1"/>
      <c r="B4005" s="39"/>
      <c r="C4005" s="1"/>
      <c r="D4005" s="1"/>
      <c r="E4005" s="1"/>
      <c r="F4005" s="40" t="s">
        <v>5</v>
      </c>
      <c r="G4005" s="40"/>
      <c r="H4005" s="1"/>
      <c r="I4005" s="41">
        <f>I4003</f>
        <v>572400</v>
      </c>
      <c r="J4005" s="1"/>
      <c r="K4005" s="1"/>
      <c r="L4005" s="42"/>
    </row>
    <row r="4006" spans="1:14" ht="21.95" customHeight="1" thickBot="1" x14ac:dyDescent="0.3">
      <c r="A4006" s="1"/>
      <c r="B4006" s="43"/>
      <c r="C4006" s="44"/>
      <c r="D4006" s="44"/>
      <c r="E4006" s="44"/>
      <c r="F4006" s="45"/>
      <c r="G4006" s="45"/>
      <c r="H4006" s="44"/>
      <c r="I4006" s="46"/>
      <c r="J4006" s="44"/>
      <c r="K4006" s="44"/>
      <c r="L4006" s="47"/>
    </row>
    <row r="4007" spans="1:14" ht="21.95" customHeight="1" thickTop="1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 spans="1:14" ht="67.5" customHeight="1" x14ac:dyDescent="0.2">
      <c r="A4008" s="10" t="s">
        <v>2</v>
      </c>
      <c r="B4008" s="279" t="s">
        <v>11</v>
      </c>
      <c r="C4008" s="279"/>
      <c r="D4008" s="279"/>
      <c r="E4008" s="279"/>
      <c r="F4008" s="279"/>
      <c r="G4008" s="279"/>
      <c r="H4008" s="279"/>
      <c r="I4008" s="279"/>
      <c r="J4008" s="279"/>
      <c r="K4008" s="279"/>
      <c r="L4008" s="279"/>
    </row>
    <row r="4009" spans="1:14" ht="21.95" customHeight="1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 spans="1:14" ht="21.95" customHeight="1" x14ac:dyDescent="0.2">
      <c r="A4010" s="280" t="s">
        <v>12</v>
      </c>
      <c r="B4010" s="280"/>
      <c r="C4010" s="280"/>
      <c r="D4010" s="280"/>
      <c r="E4010" s="280"/>
      <c r="F4010" s="280"/>
      <c r="G4010" s="280"/>
      <c r="H4010" s="280"/>
      <c r="I4010" s="280"/>
      <c r="J4010" s="280"/>
      <c r="K4010" s="280"/>
      <c r="L4010" s="280"/>
    </row>
    <row r="4011" spans="1:14" ht="21.95" customHeight="1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 spans="1:14" ht="21.95" customHeight="1" x14ac:dyDescent="0.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 spans="1:14" ht="15.75" customHeight="1" x14ac:dyDescent="0.25">
      <c r="A4013" s="1"/>
      <c r="B4013" s="1"/>
      <c r="C4013" s="1"/>
      <c r="D4013" s="1"/>
      <c r="E4013" s="1"/>
      <c r="F4013" s="1"/>
      <c r="G4013" s="1"/>
      <c r="H4013" s="4" t="s">
        <v>199</v>
      </c>
      <c r="J4013" s="286" t="s">
        <v>491</v>
      </c>
      <c r="K4013" s="286"/>
      <c r="L4013" s="286"/>
    </row>
    <row r="4014" spans="1:14" ht="13.5" customHeight="1" x14ac:dyDescent="0.25">
      <c r="A4014" s="1"/>
      <c r="B4014" s="1" t="s">
        <v>15</v>
      </c>
      <c r="C4014" s="1"/>
      <c r="D4014" s="1"/>
      <c r="E4014" s="1"/>
      <c r="F4014" s="1"/>
      <c r="G4014" s="1"/>
      <c r="H4014" s="4" t="s">
        <v>13</v>
      </c>
    </row>
    <row r="4015" spans="1:14" ht="18.75" customHeight="1" x14ac:dyDescent="0.2">
      <c r="A4015" s="48"/>
      <c r="B4015" s="48" t="s">
        <v>18</v>
      </c>
      <c r="C4015" s="48"/>
      <c r="D4015" s="48"/>
      <c r="E4015" s="48"/>
      <c r="F4015" s="48"/>
      <c r="G4015" s="48"/>
      <c r="H4015" s="99" t="s">
        <v>14</v>
      </c>
      <c r="I4015" s="99"/>
      <c r="J4015" s="99"/>
      <c r="K4015" s="99"/>
      <c r="L4015" s="99"/>
    </row>
    <row r="4016" spans="1:14" ht="21.95" customHeight="1" x14ac:dyDescent="0.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 ht="21.95" customHeight="1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 ht="21.75" hidden="1" customHeight="1" x14ac:dyDescent="0.25">
      <c r="A4018" s="1"/>
      <c r="B4018" s="103"/>
      <c r="C4018" s="103"/>
      <c r="D4018" s="103"/>
      <c r="E4018" s="103"/>
      <c r="F4018" s="103"/>
      <c r="G4018" s="103"/>
      <c r="H4018" s="103"/>
      <c r="I4018" s="103"/>
      <c r="J4018" s="103"/>
      <c r="K4018" s="103"/>
      <c r="L4018" s="1"/>
    </row>
    <row r="4019" spans="1:12" ht="21.95" customHeight="1" x14ac:dyDescent="0.25">
      <c r="A4019" s="1"/>
      <c r="K4019" s="103"/>
      <c r="L4019" s="1"/>
    </row>
    <row r="4020" spans="1:12" ht="21.95" customHeight="1" x14ac:dyDescent="0.25">
      <c r="A4020" s="1"/>
      <c r="B4020" s="95" t="s">
        <v>77</v>
      </c>
      <c r="H4020" s="95" t="s">
        <v>77</v>
      </c>
      <c r="I4020" s="95"/>
      <c r="J4020" s="92"/>
      <c r="K4020" s="103"/>
      <c r="L4020" s="1"/>
    </row>
    <row r="4021" spans="1:12" ht="21.95" customHeight="1" x14ac:dyDescent="0.25">
      <c r="A4021" s="1"/>
      <c r="B4021" s="99" t="s">
        <v>27</v>
      </c>
      <c r="C4021" s="57"/>
      <c r="H4021" s="99" t="s">
        <v>27</v>
      </c>
      <c r="K4021" s="103"/>
    </row>
    <row r="4027" spans="1:12" ht="21.95" customHeight="1" x14ac:dyDescent="0.25">
      <c r="A4027" s="3" t="s">
        <v>22</v>
      </c>
    </row>
    <row r="4028" spans="1:12" ht="21.95" customHeight="1" x14ac:dyDescent="0.2">
      <c r="A4028" s="122" t="s">
        <v>20</v>
      </c>
    </row>
    <row r="4029" spans="1:12" ht="21.95" customHeight="1" x14ac:dyDescent="0.2">
      <c r="A4029" s="122" t="s">
        <v>21</v>
      </c>
    </row>
    <row r="4033" spans="1:12" ht="21.95" customHeight="1" x14ac:dyDescent="0.3">
      <c r="A4033" s="276" t="s">
        <v>6</v>
      </c>
      <c r="B4033" s="276"/>
      <c r="C4033" s="276"/>
      <c r="D4033" s="276"/>
      <c r="E4033" s="276"/>
      <c r="F4033" s="276"/>
      <c r="G4033" s="276"/>
      <c r="H4033" s="276"/>
      <c r="I4033" s="276"/>
      <c r="J4033" s="276"/>
      <c r="K4033" s="276"/>
      <c r="L4033" s="276"/>
    </row>
    <row r="4034" spans="1:12" ht="21.95" customHeight="1" x14ac:dyDescent="0.3">
      <c r="A4034" s="24"/>
      <c r="B4034" s="24"/>
      <c r="C4034" s="24"/>
      <c r="D4034" s="24"/>
      <c r="E4034" s="24"/>
      <c r="F4034" s="24"/>
      <c r="G4034" s="24"/>
      <c r="H4034" s="24"/>
      <c r="I4034" s="24"/>
      <c r="J4034" s="24"/>
      <c r="K4034" s="24"/>
      <c r="L4034" s="24"/>
    </row>
    <row r="4035" spans="1:12" ht="21.95" customHeight="1" x14ac:dyDescent="0.3">
      <c r="A4035" s="24"/>
      <c r="B4035" s="24"/>
      <c r="C4035" s="24"/>
      <c r="D4035" s="24"/>
      <c r="E4035" s="24"/>
      <c r="F4035" s="24"/>
      <c r="G4035" s="24"/>
      <c r="H4035" s="24"/>
      <c r="I4035" s="24"/>
      <c r="J4035" s="24"/>
      <c r="K4035" s="24"/>
      <c r="L4035" s="24"/>
    </row>
    <row r="4036" spans="1:12" ht="21.95" customHeight="1" x14ac:dyDescent="0.25">
      <c r="A4036" s="1"/>
      <c r="B4036" s="1"/>
    </row>
    <row r="4037" spans="1:12" ht="21.95" customHeight="1" x14ac:dyDescent="0.25">
      <c r="A4037" s="1" t="s">
        <v>7</v>
      </c>
      <c r="B4037" s="1"/>
    </row>
    <row r="4038" spans="1:12" ht="21.95" customHeight="1" x14ac:dyDescent="0.25">
      <c r="A4038" s="1"/>
      <c r="B4038" s="1"/>
    </row>
    <row r="4039" spans="1:12" ht="21.95" customHeight="1" x14ac:dyDescent="0.25">
      <c r="A4039" s="1" t="s">
        <v>8</v>
      </c>
      <c r="C4039" s="9" t="s">
        <v>1</v>
      </c>
      <c r="D4039" s="33" t="s">
        <v>78</v>
      </c>
      <c r="E4039" s="76"/>
      <c r="F4039" s="76"/>
      <c r="G4039" s="76"/>
      <c r="H4039" s="76"/>
    </row>
    <row r="4040" spans="1:12" ht="21.95" customHeight="1" x14ac:dyDescent="0.25">
      <c r="A4040" s="1" t="s">
        <v>9</v>
      </c>
      <c r="C4040" s="9" t="s">
        <v>1</v>
      </c>
      <c r="D4040" s="27" t="s">
        <v>234</v>
      </c>
      <c r="E4040" s="76"/>
      <c r="F4040" s="76"/>
      <c r="G4040" s="76"/>
      <c r="H4040" s="76"/>
    </row>
    <row r="4041" spans="1:12" ht="21.95" customHeight="1" x14ac:dyDescent="0.2">
      <c r="A4041" s="50" t="s">
        <v>10</v>
      </c>
      <c r="B4041" s="76"/>
      <c r="C4041" s="91" t="s">
        <v>1</v>
      </c>
      <c r="D4041" s="50" t="s">
        <v>235</v>
      </c>
      <c r="E4041" s="76"/>
      <c r="F4041" s="76"/>
      <c r="G4041" s="76"/>
      <c r="H4041" s="76"/>
      <c r="I4041" s="76"/>
      <c r="J4041" s="76"/>
      <c r="K4041" s="76"/>
      <c r="L4041" s="76"/>
    </row>
    <row r="4042" spans="1:12" ht="21.95" customHeight="1" x14ac:dyDescent="0.25">
      <c r="A4042" s="1"/>
      <c r="B4042" s="1"/>
      <c r="D4042" s="1"/>
    </row>
    <row r="4043" spans="1:12" ht="36.75" customHeight="1" x14ac:dyDescent="0.2">
      <c r="A4043" s="277" t="s">
        <v>499</v>
      </c>
      <c r="B4043" s="277"/>
      <c r="C4043" s="277"/>
      <c r="D4043" s="277"/>
      <c r="E4043" s="277"/>
      <c r="F4043" s="277"/>
      <c r="G4043" s="277"/>
      <c r="H4043" s="277"/>
      <c r="I4043" s="277"/>
      <c r="J4043" s="277"/>
      <c r="K4043" s="277"/>
      <c r="L4043" s="277"/>
    </row>
    <row r="4044" spans="1:12" ht="21.95" customHeight="1" x14ac:dyDescent="0.25">
      <c r="A4044" s="1"/>
      <c r="B4044" s="1"/>
    </row>
    <row r="4045" spans="1:12" ht="41.25" customHeight="1" thickBot="1" x14ac:dyDescent="0.25">
      <c r="A4045" s="10" t="s">
        <v>0</v>
      </c>
      <c r="B4045" s="278" t="s">
        <v>91</v>
      </c>
      <c r="C4045" s="278"/>
      <c r="D4045" s="278"/>
      <c r="E4045" s="278"/>
      <c r="F4045" s="278"/>
      <c r="G4045" s="278"/>
      <c r="H4045" s="278"/>
      <c r="I4045" s="278"/>
      <c r="J4045" s="278"/>
      <c r="K4045" s="278"/>
      <c r="L4045" s="278"/>
    </row>
    <row r="4046" spans="1:12" ht="21.95" customHeight="1" thickTop="1" x14ac:dyDescent="0.25">
      <c r="A4046" s="1"/>
      <c r="B4046" s="11" t="s">
        <v>3</v>
      </c>
      <c r="C4046" s="12" t="s">
        <v>4</v>
      </c>
      <c r="D4046" s="13"/>
      <c r="E4046" s="13"/>
      <c r="F4046" s="13"/>
      <c r="G4046" s="13"/>
      <c r="H4046" s="14"/>
      <c r="I4046" s="15" t="s">
        <v>5</v>
      </c>
      <c r="J4046" s="12" t="s">
        <v>17</v>
      </c>
      <c r="K4046" s="13"/>
      <c r="L4046" s="14"/>
    </row>
    <row r="4047" spans="1:12" ht="21.95" customHeight="1" x14ac:dyDescent="0.2">
      <c r="B4047" s="96">
        <v>1</v>
      </c>
      <c r="C4047" s="140" t="s">
        <v>497</v>
      </c>
      <c r="D4047" s="76"/>
      <c r="E4047" s="150"/>
      <c r="F4047" s="171">
        <v>150000</v>
      </c>
      <c r="G4047" s="76"/>
      <c r="H4047" s="79"/>
      <c r="I4047" s="56">
        <f>F4047</f>
        <v>150000</v>
      </c>
      <c r="J4047" s="76" t="s">
        <v>204</v>
      </c>
      <c r="L4047" s="17"/>
    </row>
    <row r="4048" spans="1:12" ht="21.95" customHeight="1" x14ac:dyDescent="0.2">
      <c r="B4048" s="96"/>
      <c r="C4048" s="313"/>
      <c r="D4048" s="314"/>
      <c r="E4048" s="314"/>
      <c r="F4048" s="314"/>
      <c r="G4048" s="314"/>
      <c r="H4048" s="315"/>
      <c r="I4048" s="56"/>
      <c r="L4048" s="17"/>
    </row>
    <row r="4049" spans="1:12" ht="21.95" customHeight="1" x14ac:dyDescent="0.25">
      <c r="A4049" s="1"/>
      <c r="B4049" s="39"/>
      <c r="C4049" s="1"/>
      <c r="D4049" s="1"/>
      <c r="E4049" s="1"/>
      <c r="F4049" s="40" t="s">
        <v>5</v>
      </c>
      <c r="G4049" s="40"/>
      <c r="H4049" s="1"/>
      <c r="I4049" s="41">
        <f>I4047</f>
        <v>150000</v>
      </c>
      <c r="J4049" s="1"/>
      <c r="K4049" s="1"/>
      <c r="L4049" s="42"/>
    </row>
    <row r="4050" spans="1:12" ht="21.95" customHeight="1" thickBot="1" x14ac:dyDescent="0.3">
      <c r="A4050" s="1"/>
      <c r="B4050" s="43"/>
      <c r="C4050" s="44"/>
      <c r="D4050" s="44"/>
      <c r="E4050" s="44"/>
      <c r="F4050" s="45"/>
      <c r="G4050" s="45"/>
      <c r="H4050" s="44"/>
      <c r="I4050" s="46"/>
      <c r="J4050" s="44"/>
      <c r="K4050" s="44"/>
      <c r="L4050" s="47"/>
    </row>
    <row r="4051" spans="1:12" ht="21.95" customHeight="1" thickTop="1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</row>
    <row r="4052" spans="1:12" ht="54.75" customHeight="1" x14ac:dyDescent="0.2">
      <c r="A4052" s="10" t="s">
        <v>2</v>
      </c>
      <c r="B4052" s="279" t="s">
        <v>11</v>
      </c>
      <c r="C4052" s="279"/>
      <c r="D4052" s="279"/>
      <c r="E4052" s="279"/>
      <c r="F4052" s="279"/>
      <c r="G4052" s="279"/>
      <c r="H4052" s="279"/>
      <c r="I4052" s="279"/>
      <c r="J4052" s="279"/>
      <c r="K4052" s="279"/>
      <c r="L4052" s="279"/>
    </row>
    <row r="4053" spans="1:12" ht="21.95" customHeight="1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 ht="21.95" customHeight="1" x14ac:dyDescent="0.2">
      <c r="A4054" s="280" t="s">
        <v>12</v>
      </c>
      <c r="B4054" s="280"/>
      <c r="C4054" s="280"/>
      <c r="D4054" s="280"/>
      <c r="E4054" s="280"/>
      <c r="F4054" s="280"/>
      <c r="G4054" s="280"/>
      <c r="H4054" s="280"/>
      <c r="I4054" s="280"/>
      <c r="J4054" s="280"/>
      <c r="K4054" s="280"/>
      <c r="L4054" s="280"/>
    </row>
    <row r="4055" spans="1:12" ht="21.95" customHeight="1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 ht="21.95" customHeight="1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 ht="21.95" customHeight="1" x14ac:dyDescent="0.25">
      <c r="A4057" s="1"/>
      <c r="B4057" s="1"/>
      <c r="C4057" s="1"/>
      <c r="D4057" s="1"/>
      <c r="E4057" s="1"/>
      <c r="F4057" s="1"/>
      <c r="G4057" s="1"/>
      <c r="H4057" s="4" t="s">
        <v>199</v>
      </c>
      <c r="J4057" s="286" t="s">
        <v>498</v>
      </c>
      <c r="K4057" s="286"/>
      <c r="L4057" s="286"/>
    </row>
    <row r="4058" spans="1:12" ht="12" customHeight="1" x14ac:dyDescent="0.25">
      <c r="A4058" s="1"/>
      <c r="B4058" s="1" t="s">
        <v>15</v>
      </c>
      <c r="C4058" s="1"/>
      <c r="D4058" s="1"/>
      <c r="E4058" s="1"/>
      <c r="F4058" s="1"/>
      <c r="G4058" s="1"/>
      <c r="H4058" s="4" t="s">
        <v>13</v>
      </c>
    </row>
    <row r="4059" spans="1:12" ht="21.95" customHeight="1" x14ac:dyDescent="0.2">
      <c r="A4059" s="48"/>
      <c r="B4059" s="48" t="s">
        <v>18</v>
      </c>
      <c r="C4059" s="48"/>
      <c r="D4059" s="48"/>
      <c r="E4059" s="48"/>
      <c r="F4059" s="48"/>
      <c r="G4059" s="48"/>
      <c r="H4059" s="99" t="s">
        <v>14</v>
      </c>
      <c r="I4059" s="99"/>
      <c r="J4059" s="99"/>
      <c r="K4059" s="99"/>
      <c r="L4059" s="99"/>
    </row>
    <row r="4060" spans="1:12" ht="21.95" customHeight="1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</row>
    <row r="4061" spans="1:12" ht="9.75" customHeight="1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</row>
    <row r="4062" spans="1:12" ht="21.75" hidden="1" customHeight="1" x14ac:dyDescent="0.25">
      <c r="A4062" s="1"/>
      <c r="B4062" s="103"/>
      <c r="C4062" s="103"/>
      <c r="D4062" s="103"/>
      <c r="E4062" s="103"/>
      <c r="F4062" s="103"/>
      <c r="G4062" s="103"/>
      <c r="H4062" s="103"/>
      <c r="I4062" s="103"/>
      <c r="J4062" s="103"/>
      <c r="K4062" s="103"/>
      <c r="L4062" s="1"/>
    </row>
    <row r="4063" spans="1:12" ht="21.95" customHeight="1" x14ac:dyDescent="0.25">
      <c r="A4063" s="1"/>
      <c r="K4063" s="103"/>
      <c r="L4063" s="1"/>
    </row>
    <row r="4064" spans="1:12" ht="21.95" customHeight="1" x14ac:dyDescent="0.25">
      <c r="A4064" s="1"/>
      <c r="B4064" s="95" t="s">
        <v>77</v>
      </c>
      <c r="H4064" s="26" t="s">
        <v>78</v>
      </c>
      <c r="I4064" s="95"/>
      <c r="J4064" s="92"/>
      <c r="K4064" s="103"/>
      <c r="L4064" s="1"/>
    </row>
    <row r="4065" spans="1:12" ht="21.95" customHeight="1" x14ac:dyDescent="0.25">
      <c r="A4065" s="1"/>
      <c r="B4065" s="99" t="s">
        <v>27</v>
      </c>
      <c r="C4065" s="57"/>
      <c r="H4065" s="28" t="s">
        <v>79</v>
      </c>
      <c r="K4065" s="103"/>
    </row>
    <row r="4071" spans="1:12" ht="21.95" customHeight="1" x14ac:dyDescent="0.25">
      <c r="A4071" s="3" t="s">
        <v>22</v>
      </c>
    </row>
    <row r="4072" spans="1:12" ht="21.95" customHeight="1" x14ac:dyDescent="0.2">
      <c r="A4072" s="122" t="s">
        <v>20</v>
      </c>
    </row>
    <row r="4073" spans="1:12" ht="21.95" customHeight="1" x14ac:dyDescent="0.2">
      <c r="A4073" s="122" t="s">
        <v>21</v>
      </c>
    </row>
    <row r="4077" spans="1:12" ht="21.95" customHeight="1" x14ac:dyDescent="0.3">
      <c r="A4077" s="276" t="s">
        <v>6</v>
      </c>
      <c r="B4077" s="276"/>
      <c r="C4077" s="276"/>
      <c r="D4077" s="276"/>
      <c r="E4077" s="276"/>
      <c r="F4077" s="276"/>
      <c r="G4077" s="276"/>
      <c r="H4077" s="276"/>
      <c r="I4077" s="276"/>
      <c r="J4077" s="276"/>
      <c r="K4077" s="276"/>
      <c r="L4077" s="276"/>
    </row>
    <row r="4078" spans="1:12" ht="21.95" customHeight="1" x14ac:dyDescent="0.3">
      <c r="A4078" s="24"/>
      <c r="B4078" s="24"/>
      <c r="C4078" s="24"/>
      <c r="D4078" s="24"/>
      <c r="E4078" s="24"/>
      <c r="F4078" s="24"/>
      <c r="G4078" s="24"/>
      <c r="H4078" s="24"/>
      <c r="I4078" s="24"/>
      <c r="J4078" s="24"/>
      <c r="K4078" s="24"/>
      <c r="L4078" s="24"/>
    </row>
    <row r="4079" spans="1:12" ht="21.95" customHeight="1" x14ac:dyDescent="0.3">
      <c r="A4079" s="24"/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</row>
    <row r="4080" spans="1:12" ht="21.95" customHeight="1" x14ac:dyDescent="0.25">
      <c r="A4080" s="1"/>
      <c r="B4080" s="1"/>
    </row>
    <row r="4081" spans="1:12" ht="21.95" customHeight="1" x14ac:dyDescent="0.25">
      <c r="A4081" s="1" t="s">
        <v>7</v>
      </c>
      <c r="B4081" s="1"/>
    </row>
    <row r="4082" spans="1:12" ht="21.95" customHeight="1" x14ac:dyDescent="0.25">
      <c r="A4082" s="1"/>
      <c r="B4082" s="1"/>
    </row>
    <row r="4083" spans="1:12" ht="21.95" customHeight="1" x14ac:dyDescent="0.25">
      <c r="A4083" s="1" t="s">
        <v>8</v>
      </c>
      <c r="C4083" s="9" t="s">
        <v>1</v>
      </c>
      <c r="D4083" s="92" t="s">
        <v>555</v>
      </c>
      <c r="E4083" s="76"/>
      <c r="F4083" s="76"/>
      <c r="G4083" s="76"/>
      <c r="H4083" s="76"/>
    </row>
    <row r="4084" spans="1:12" ht="21.95" customHeight="1" x14ac:dyDescent="0.25">
      <c r="A4084" s="1" t="s">
        <v>9</v>
      </c>
      <c r="C4084" s="9" t="s">
        <v>1</v>
      </c>
      <c r="D4084" s="57" t="s">
        <v>236</v>
      </c>
      <c r="E4084" s="76"/>
      <c r="F4084" s="76"/>
      <c r="G4084" s="76"/>
      <c r="H4084" s="76"/>
    </row>
    <row r="4085" spans="1:12" ht="21.95" customHeight="1" x14ac:dyDescent="0.2">
      <c r="A4085" s="50" t="s">
        <v>10</v>
      </c>
      <c r="B4085" s="76"/>
      <c r="C4085" s="91" t="s">
        <v>1</v>
      </c>
      <c r="D4085" s="50" t="s">
        <v>235</v>
      </c>
      <c r="E4085" s="76"/>
      <c r="F4085" s="76"/>
      <c r="G4085" s="76"/>
      <c r="H4085" s="76"/>
      <c r="I4085" s="76"/>
      <c r="J4085" s="76"/>
      <c r="K4085" s="76"/>
      <c r="L4085" s="76"/>
    </row>
    <row r="4086" spans="1:12" ht="21.95" customHeight="1" x14ac:dyDescent="0.25">
      <c r="A4086" s="1"/>
      <c r="B4086" s="1"/>
      <c r="D4086" s="1"/>
    </row>
    <row r="4087" spans="1:12" ht="29.25" customHeight="1" x14ac:dyDescent="0.2">
      <c r="A4087" s="277" t="s">
        <v>499</v>
      </c>
      <c r="B4087" s="277"/>
      <c r="C4087" s="277"/>
      <c r="D4087" s="277"/>
      <c r="E4087" s="277"/>
      <c r="F4087" s="277"/>
      <c r="G4087" s="277"/>
      <c r="H4087" s="277"/>
      <c r="I4087" s="277"/>
      <c r="J4087" s="277"/>
      <c r="K4087" s="277"/>
      <c r="L4087" s="277"/>
    </row>
    <row r="4088" spans="1:12" ht="21.95" customHeight="1" x14ac:dyDescent="0.25">
      <c r="A4088" s="1"/>
      <c r="B4088" s="1"/>
    </row>
    <row r="4089" spans="1:12" ht="33" customHeight="1" thickBot="1" x14ac:dyDescent="0.25">
      <c r="A4089" s="10" t="s">
        <v>0</v>
      </c>
      <c r="B4089" s="278" t="s">
        <v>91</v>
      </c>
      <c r="C4089" s="278"/>
      <c r="D4089" s="278"/>
      <c r="E4089" s="278"/>
      <c r="F4089" s="278"/>
      <c r="G4089" s="278"/>
      <c r="H4089" s="278"/>
      <c r="I4089" s="278"/>
      <c r="J4089" s="278"/>
      <c r="K4089" s="278"/>
      <c r="L4089" s="278"/>
    </row>
    <row r="4090" spans="1:12" ht="21.95" customHeight="1" thickTop="1" x14ac:dyDescent="0.25">
      <c r="A4090" s="1"/>
      <c r="B4090" s="11" t="s">
        <v>3</v>
      </c>
      <c r="C4090" s="12" t="s">
        <v>4</v>
      </c>
      <c r="D4090" s="13"/>
      <c r="E4090" s="13"/>
      <c r="F4090" s="13"/>
      <c r="G4090" s="13"/>
      <c r="H4090" s="14"/>
      <c r="I4090" s="15" t="s">
        <v>5</v>
      </c>
      <c r="J4090" s="12" t="s">
        <v>17</v>
      </c>
      <c r="K4090" s="13"/>
      <c r="L4090" s="14"/>
    </row>
    <row r="4091" spans="1:12" ht="21.95" customHeight="1" x14ac:dyDescent="0.2">
      <c r="B4091" s="96">
        <v>1</v>
      </c>
      <c r="C4091" s="140" t="s">
        <v>497</v>
      </c>
      <c r="D4091" s="76"/>
      <c r="E4091" s="150"/>
      <c r="F4091" s="171">
        <v>150000</v>
      </c>
      <c r="G4091" s="76"/>
      <c r="H4091" s="79"/>
      <c r="I4091" s="56">
        <f>F4091</f>
        <v>150000</v>
      </c>
      <c r="J4091" s="76" t="s">
        <v>204</v>
      </c>
      <c r="L4091" s="17"/>
    </row>
    <row r="4092" spans="1:12" ht="21.95" customHeight="1" x14ac:dyDescent="0.2">
      <c r="B4092" s="96"/>
      <c r="C4092" s="313"/>
      <c r="D4092" s="314"/>
      <c r="E4092" s="314"/>
      <c r="F4092" s="314"/>
      <c r="G4092" s="314"/>
      <c r="H4092" s="315"/>
      <c r="I4092" s="56"/>
      <c r="L4092" s="17"/>
    </row>
    <row r="4093" spans="1:12" ht="21.95" customHeight="1" x14ac:dyDescent="0.25">
      <c r="A4093" s="1"/>
      <c r="B4093" s="39"/>
      <c r="C4093" s="1"/>
      <c r="D4093" s="1"/>
      <c r="E4093" s="1"/>
      <c r="F4093" s="40" t="s">
        <v>5</v>
      </c>
      <c r="G4093" s="40"/>
      <c r="H4093" s="1"/>
      <c r="I4093" s="41">
        <f>I4091</f>
        <v>150000</v>
      </c>
      <c r="J4093" s="1"/>
      <c r="K4093" s="1"/>
      <c r="L4093" s="42"/>
    </row>
    <row r="4094" spans="1:12" ht="21.95" customHeight="1" thickBot="1" x14ac:dyDescent="0.3">
      <c r="A4094" s="1"/>
      <c r="B4094" s="43"/>
      <c r="C4094" s="44"/>
      <c r="D4094" s="44"/>
      <c r="E4094" s="44"/>
      <c r="F4094" s="45"/>
      <c r="G4094" s="45"/>
      <c r="H4094" s="44"/>
      <c r="I4094" s="46"/>
      <c r="J4094" s="44"/>
      <c r="K4094" s="44"/>
      <c r="L4094" s="47"/>
    </row>
    <row r="4095" spans="1:12" ht="21.95" customHeight="1" thickTop="1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</row>
    <row r="4096" spans="1:12" ht="50.25" customHeight="1" x14ac:dyDescent="0.2">
      <c r="A4096" s="10" t="s">
        <v>2</v>
      </c>
      <c r="B4096" s="279" t="s">
        <v>11</v>
      </c>
      <c r="C4096" s="279"/>
      <c r="D4096" s="279"/>
      <c r="E4096" s="279"/>
      <c r="F4096" s="279"/>
      <c r="G4096" s="279"/>
      <c r="H4096" s="279"/>
      <c r="I4096" s="279"/>
      <c r="J4096" s="279"/>
      <c r="K4096" s="279"/>
      <c r="L4096" s="279"/>
    </row>
    <row r="4097" spans="1:12" ht="21.95" customHeight="1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</row>
    <row r="4098" spans="1:12" ht="21.95" customHeight="1" x14ac:dyDescent="0.2">
      <c r="A4098" s="280" t="s">
        <v>12</v>
      </c>
      <c r="B4098" s="280"/>
      <c r="C4098" s="280"/>
      <c r="D4098" s="280"/>
      <c r="E4098" s="280"/>
      <c r="F4098" s="280"/>
      <c r="G4098" s="280"/>
      <c r="H4098" s="280"/>
      <c r="I4098" s="280"/>
      <c r="J4098" s="280"/>
      <c r="K4098" s="280"/>
      <c r="L4098" s="280"/>
    </row>
    <row r="4099" spans="1:12" ht="21.95" customHeight="1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</row>
    <row r="4100" spans="1:12" ht="21.95" customHeight="1" x14ac:dyDescent="0.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</row>
    <row r="4101" spans="1:12" ht="16.5" customHeight="1" x14ac:dyDescent="0.25">
      <c r="A4101" s="1"/>
      <c r="B4101" s="1"/>
      <c r="C4101" s="1"/>
      <c r="D4101" s="1"/>
      <c r="E4101" s="1"/>
      <c r="F4101" s="1"/>
      <c r="G4101" s="1"/>
      <c r="H4101" s="4" t="s">
        <v>199</v>
      </c>
      <c r="J4101" s="286" t="s">
        <v>498</v>
      </c>
      <c r="K4101" s="286"/>
      <c r="L4101" s="286"/>
    </row>
    <row r="4102" spans="1:12" ht="11.25" customHeight="1" x14ac:dyDescent="0.25">
      <c r="A4102" s="1"/>
      <c r="B4102" s="1" t="s">
        <v>15</v>
      </c>
      <c r="C4102" s="1"/>
      <c r="D4102" s="1"/>
      <c r="E4102" s="1"/>
      <c r="F4102" s="1"/>
      <c r="G4102" s="1"/>
      <c r="H4102" s="4" t="s">
        <v>13</v>
      </c>
    </row>
    <row r="4103" spans="1:12" ht="11.25" customHeight="1" x14ac:dyDescent="0.25">
      <c r="A4103" s="1"/>
      <c r="B4103" s="1" t="s">
        <v>18</v>
      </c>
      <c r="C4103" s="1"/>
      <c r="D4103" s="1"/>
      <c r="E4103" s="1"/>
      <c r="F4103" s="1"/>
      <c r="G4103" s="1"/>
      <c r="H4103" s="4" t="s">
        <v>14</v>
      </c>
    </row>
    <row r="4104" spans="1:12" ht="21.95" customHeight="1" x14ac:dyDescent="0.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</row>
    <row r="4105" spans="1:12" ht="21.95" customHeight="1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</row>
    <row r="4106" spans="1:12" ht="9.75" customHeight="1" x14ac:dyDescent="0.25">
      <c r="A4106" s="1"/>
      <c r="B4106" s="103"/>
      <c r="C4106" s="103"/>
      <c r="D4106" s="103"/>
      <c r="E4106" s="103"/>
      <c r="F4106" s="103"/>
      <c r="G4106" s="103"/>
      <c r="H4106" s="103"/>
      <c r="I4106" s="103"/>
      <c r="J4106" s="103"/>
      <c r="K4106" s="103"/>
      <c r="L4106" s="1"/>
    </row>
    <row r="4107" spans="1:12" ht="21.75" hidden="1" customHeight="1" x14ac:dyDescent="0.25">
      <c r="A4107" s="1"/>
      <c r="K4107" s="103"/>
      <c r="L4107" s="1"/>
    </row>
    <row r="4108" spans="1:12" ht="21.95" customHeight="1" x14ac:dyDescent="0.25">
      <c r="A4108" s="1"/>
      <c r="B4108" s="95" t="s">
        <v>77</v>
      </c>
      <c r="H4108" s="26" t="s">
        <v>555</v>
      </c>
      <c r="I4108" s="95"/>
      <c r="J4108" s="92"/>
      <c r="K4108" s="103"/>
      <c r="L4108" s="1"/>
    </row>
    <row r="4109" spans="1:12" ht="21.95" customHeight="1" x14ac:dyDescent="0.2">
      <c r="A4109" s="48"/>
      <c r="B4109" s="99" t="s">
        <v>27</v>
      </c>
      <c r="C4109" s="146"/>
      <c r="D4109" s="99"/>
      <c r="E4109" s="99"/>
      <c r="F4109" s="99"/>
      <c r="G4109" s="99"/>
      <c r="H4109" s="28" t="s">
        <v>46</v>
      </c>
      <c r="I4109" s="99"/>
      <c r="J4109" s="99"/>
      <c r="K4109" s="104"/>
      <c r="L4109" s="99"/>
    </row>
    <row r="4115" spans="1:12" ht="21.95" customHeight="1" x14ac:dyDescent="0.25">
      <c r="A4115" s="3" t="s">
        <v>22</v>
      </c>
    </row>
    <row r="4116" spans="1:12" ht="21.95" customHeight="1" x14ac:dyDescent="0.2">
      <c r="A4116" s="122" t="s">
        <v>20</v>
      </c>
    </row>
    <row r="4117" spans="1:12" ht="21.95" customHeight="1" x14ac:dyDescent="0.2">
      <c r="A4117" s="122" t="s">
        <v>21</v>
      </c>
    </row>
    <row r="4121" spans="1:12" ht="21.95" customHeight="1" x14ac:dyDescent="0.3">
      <c r="A4121" s="276" t="s">
        <v>6</v>
      </c>
      <c r="B4121" s="276"/>
      <c r="C4121" s="276"/>
      <c r="D4121" s="276"/>
      <c r="E4121" s="276"/>
      <c r="F4121" s="276"/>
      <c r="G4121" s="276"/>
      <c r="H4121" s="276"/>
      <c r="I4121" s="276"/>
      <c r="J4121" s="276"/>
      <c r="K4121" s="276"/>
      <c r="L4121" s="276"/>
    </row>
    <row r="4122" spans="1:12" ht="21.95" customHeight="1" x14ac:dyDescent="0.3">
      <c r="A4122" s="24"/>
      <c r="B4122" s="24"/>
      <c r="C4122" s="24"/>
      <c r="D4122" s="24"/>
      <c r="E4122" s="24"/>
      <c r="F4122" s="24"/>
      <c r="G4122" s="24"/>
      <c r="H4122" s="24"/>
      <c r="I4122" s="24"/>
      <c r="J4122" s="24"/>
      <c r="K4122" s="24"/>
      <c r="L4122" s="24"/>
    </row>
    <row r="4123" spans="1:12" ht="21.95" customHeight="1" x14ac:dyDescent="0.3">
      <c r="A4123" s="24"/>
      <c r="B4123" s="24"/>
      <c r="C4123" s="24"/>
      <c r="D4123" s="24"/>
      <c r="E4123" s="24"/>
      <c r="F4123" s="24"/>
      <c r="G4123" s="24"/>
      <c r="H4123" s="24"/>
      <c r="I4123" s="24"/>
      <c r="J4123" s="24"/>
      <c r="K4123" s="24"/>
      <c r="L4123" s="24"/>
    </row>
    <row r="4124" spans="1:12" ht="21.95" customHeight="1" x14ac:dyDescent="0.25">
      <c r="A4124" s="1"/>
      <c r="B4124" s="1"/>
    </row>
    <row r="4125" spans="1:12" ht="21.95" customHeight="1" x14ac:dyDescent="0.25">
      <c r="A4125" s="1" t="s">
        <v>7</v>
      </c>
      <c r="B4125" s="1"/>
    </row>
    <row r="4126" spans="1:12" ht="21.95" customHeight="1" x14ac:dyDescent="0.25">
      <c r="A4126" s="1"/>
      <c r="B4126" s="1"/>
    </row>
    <row r="4127" spans="1:12" ht="21.95" customHeight="1" x14ac:dyDescent="0.25">
      <c r="A4127" s="1" t="s">
        <v>8</v>
      </c>
      <c r="C4127" s="9" t="s">
        <v>1</v>
      </c>
      <c r="D4127" s="92" t="s">
        <v>96</v>
      </c>
      <c r="E4127" s="76"/>
      <c r="F4127" s="76"/>
      <c r="G4127" s="76"/>
      <c r="H4127" s="76"/>
    </row>
    <row r="4128" spans="1:12" ht="21.95" customHeight="1" x14ac:dyDescent="0.25">
      <c r="A4128" s="1" t="s">
        <v>9</v>
      </c>
      <c r="C4128" s="9" t="s">
        <v>1</v>
      </c>
      <c r="D4128" s="57" t="s">
        <v>200</v>
      </c>
      <c r="E4128" s="76"/>
      <c r="F4128" s="76"/>
      <c r="G4128" s="76"/>
      <c r="H4128" s="76"/>
    </row>
    <row r="4129" spans="1:12" ht="21.95" customHeight="1" x14ac:dyDescent="0.2">
      <c r="A4129" s="50" t="s">
        <v>10</v>
      </c>
      <c r="B4129" s="76"/>
      <c r="C4129" s="91" t="s">
        <v>1</v>
      </c>
      <c r="D4129" s="50" t="s">
        <v>203</v>
      </c>
      <c r="E4129" s="76"/>
      <c r="F4129" s="76"/>
      <c r="G4129" s="76"/>
      <c r="H4129" s="76"/>
      <c r="I4129" s="76"/>
      <c r="J4129" s="76"/>
      <c r="K4129" s="76"/>
      <c r="L4129" s="76"/>
    </row>
    <row r="4130" spans="1:12" ht="21.95" customHeight="1" x14ac:dyDescent="0.25">
      <c r="A4130" s="1"/>
      <c r="B4130" s="1"/>
      <c r="D4130" s="1"/>
    </row>
    <row r="4131" spans="1:12" ht="34.5" customHeight="1" x14ac:dyDescent="0.2">
      <c r="A4131" s="277" t="s">
        <v>499</v>
      </c>
      <c r="B4131" s="277"/>
      <c r="C4131" s="277"/>
      <c r="D4131" s="277"/>
      <c r="E4131" s="277"/>
      <c r="F4131" s="277"/>
      <c r="G4131" s="277"/>
      <c r="H4131" s="277"/>
      <c r="I4131" s="277"/>
      <c r="J4131" s="277"/>
      <c r="K4131" s="277"/>
      <c r="L4131" s="277"/>
    </row>
    <row r="4132" spans="1:12" ht="21.95" customHeight="1" x14ac:dyDescent="0.25">
      <c r="A4132" s="1"/>
      <c r="B4132" s="1"/>
    </row>
    <row r="4133" spans="1:12" ht="35.25" customHeight="1" thickBot="1" x14ac:dyDescent="0.25">
      <c r="A4133" s="10" t="s">
        <v>0</v>
      </c>
      <c r="B4133" s="278" t="s">
        <v>91</v>
      </c>
      <c r="C4133" s="278"/>
      <c r="D4133" s="278"/>
      <c r="E4133" s="278"/>
      <c r="F4133" s="278"/>
      <c r="G4133" s="278"/>
      <c r="H4133" s="278"/>
      <c r="I4133" s="278"/>
      <c r="J4133" s="278"/>
      <c r="K4133" s="278"/>
      <c r="L4133" s="278"/>
    </row>
    <row r="4134" spans="1:12" ht="21.95" customHeight="1" thickTop="1" x14ac:dyDescent="0.25">
      <c r="A4134" s="1"/>
      <c r="B4134" s="11" t="s">
        <v>3</v>
      </c>
      <c r="C4134" s="12" t="s">
        <v>4</v>
      </c>
      <c r="D4134" s="13"/>
      <c r="E4134" s="13"/>
      <c r="F4134" s="13"/>
      <c r="G4134" s="13"/>
      <c r="H4134" s="14"/>
      <c r="I4134" s="15" t="s">
        <v>5</v>
      </c>
      <c r="J4134" s="12" t="s">
        <v>17</v>
      </c>
      <c r="K4134" s="13"/>
      <c r="L4134" s="14"/>
    </row>
    <row r="4135" spans="1:12" ht="21.95" customHeight="1" x14ac:dyDescent="0.2">
      <c r="B4135" s="96">
        <v>1</v>
      </c>
      <c r="C4135" s="140" t="s">
        <v>497</v>
      </c>
      <c r="D4135" s="76"/>
      <c r="E4135" s="150"/>
      <c r="F4135" s="171">
        <v>150000</v>
      </c>
      <c r="G4135" s="76"/>
      <c r="H4135" s="79"/>
      <c r="I4135" s="56">
        <f>F4135</f>
        <v>150000</v>
      </c>
      <c r="J4135" s="76" t="s">
        <v>204</v>
      </c>
      <c r="L4135" s="17"/>
    </row>
    <row r="4136" spans="1:12" ht="21.95" customHeight="1" x14ac:dyDescent="0.2">
      <c r="B4136" s="96"/>
      <c r="C4136" s="313"/>
      <c r="D4136" s="314"/>
      <c r="E4136" s="314"/>
      <c r="F4136" s="314"/>
      <c r="G4136" s="314"/>
      <c r="H4136" s="315"/>
      <c r="I4136" s="56"/>
      <c r="L4136" s="17"/>
    </row>
    <row r="4137" spans="1:12" ht="21.95" customHeight="1" x14ac:dyDescent="0.25">
      <c r="A4137" s="1"/>
      <c r="B4137" s="39"/>
      <c r="C4137" s="1"/>
      <c r="D4137" s="1"/>
      <c r="E4137" s="1"/>
      <c r="F4137" s="40" t="s">
        <v>5</v>
      </c>
      <c r="G4137" s="40"/>
      <c r="H4137" s="1"/>
      <c r="I4137" s="41">
        <f>I4135</f>
        <v>150000</v>
      </c>
      <c r="J4137" s="1"/>
      <c r="K4137" s="1"/>
      <c r="L4137" s="42"/>
    </row>
    <row r="4138" spans="1:12" ht="21.95" customHeight="1" thickBot="1" x14ac:dyDescent="0.3">
      <c r="A4138" s="1"/>
      <c r="B4138" s="43"/>
      <c r="C4138" s="44"/>
      <c r="D4138" s="44"/>
      <c r="E4138" s="44"/>
      <c r="F4138" s="45"/>
      <c r="G4138" s="45"/>
      <c r="H4138" s="44"/>
      <c r="I4138" s="46"/>
      <c r="J4138" s="44"/>
      <c r="K4138" s="44"/>
      <c r="L4138" s="47"/>
    </row>
    <row r="4139" spans="1:12" ht="21.95" customHeight="1" thickTop="1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</row>
    <row r="4140" spans="1:12" ht="46.5" customHeight="1" x14ac:dyDescent="0.2">
      <c r="A4140" s="10" t="s">
        <v>2</v>
      </c>
      <c r="B4140" s="279" t="s">
        <v>11</v>
      </c>
      <c r="C4140" s="279"/>
      <c r="D4140" s="279"/>
      <c r="E4140" s="279"/>
      <c r="F4140" s="279"/>
      <c r="G4140" s="279"/>
      <c r="H4140" s="279"/>
      <c r="I4140" s="279"/>
      <c r="J4140" s="279"/>
      <c r="K4140" s="279"/>
      <c r="L4140" s="279"/>
    </row>
    <row r="4141" spans="1:12" ht="21.95" customHeight="1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</row>
    <row r="4142" spans="1:12" ht="21.95" customHeight="1" x14ac:dyDescent="0.2">
      <c r="A4142" s="280" t="s">
        <v>12</v>
      </c>
      <c r="B4142" s="280"/>
      <c r="C4142" s="280"/>
      <c r="D4142" s="280"/>
      <c r="E4142" s="280"/>
      <c r="F4142" s="280"/>
      <c r="G4142" s="280"/>
      <c r="H4142" s="280"/>
      <c r="I4142" s="280"/>
      <c r="J4142" s="280"/>
      <c r="K4142" s="280"/>
      <c r="L4142" s="280"/>
    </row>
    <row r="4143" spans="1:12" ht="21.95" customHeight="1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</row>
    <row r="4144" spans="1:12" ht="21.95" customHeight="1" x14ac:dyDescent="0.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</row>
    <row r="4145" spans="1:12" ht="21.95" customHeight="1" x14ac:dyDescent="0.25">
      <c r="A4145" s="1"/>
      <c r="B4145" s="1"/>
      <c r="C4145" s="1"/>
      <c r="D4145" s="1"/>
      <c r="E4145" s="1"/>
      <c r="F4145" s="1"/>
      <c r="G4145" s="1"/>
      <c r="H4145" s="4" t="s">
        <v>199</v>
      </c>
      <c r="J4145" s="286" t="s">
        <v>498</v>
      </c>
      <c r="K4145" s="286"/>
      <c r="L4145" s="286"/>
    </row>
    <row r="4146" spans="1:12" ht="16.5" customHeight="1" x14ac:dyDescent="0.25">
      <c r="A4146" s="1"/>
      <c r="B4146" s="1" t="s">
        <v>15</v>
      </c>
      <c r="C4146" s="1"/>
      <c r="D4146" s="1"/>
      <c r="E4146" s="1"/>
      <c r="F4146" s="1"/>
      <c r="G4146" s="1"/>
      <c r="H4146" s="4" t="s">
        <v>13</v>
      </c>
    </row>
    <row r="4147" spans="1:12" ht="17.25" customHeight="1" x14ac:dyDescent="0.2">
      <c r="A4147" s="48"/>
      <c r="B4147" s="48" t="s">
        <v>18</v>
      </c>
      <c r="C4147" s="48"/>
      <c r="D4147" s="48"/>
      <c r="E4147" s="48"/>
      <c r="F4147" s="48"/>
      <c r="G4147" s="48"/>
      <c r="H4147" s="99" t="s">
        <v>14</v>
      </c>
      <c r="I4147" s="99"/>
      <c r="J4147" s="99"/>
      <c r="K4147" s="99"/>
      <c r="L4147" s="99"/>
    </row>
    <row r="4148" spans="1:12" ht="21.95" customHeight="1" x14ac:dyDescent="0.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</row>
    <row r="4149" spans="1:12" ht="6.75" customHeight="1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</row>
    <row r="4150" spans="1:12" ht="21.75" hidden="1" customHeight="1" x14ac:dyDescent="0.25">
      <c r="A4150" s="1"/>
      <c r="B4150" s="103"/>
      <c r="C4150" s="103"/>
      <c r="D4150" s="103"/>
      <c r="E4150" s="103"/>
      <c r="F4150" s="103"/>
      <c r="G4150" s="103"/>
      <c r="H4150" s="103"/>
      <c r="I4150" s="103"/>
      <c r="J4150" s="103"/>
      <c r="K4150" s="103"/>
      <c r="L4150" s="1"/>
    </row>
    <row r="4151" spans="1:12" ht="21.95" customHeight="1" x14ac:dyDescent="0.25">
      <c r="A4151" s="1"/>
      <c r="K4151" s="103"/>
      <c r="L4151" s="1"/>
    </row>
    <row r="4152" spans="1:12" ht="21.95" customHeight="1" x14ac:dyDescent="0.25">
      <c r="A4152" s="1"/>
      <c r="B4152" s="95" t="s">
        <v>77</v>
      </c>
      <c r="H4152" s="26" t="s">
        <v>96</v>
      </c>
      <c r="I4152" s="95"/>
      <c r="J4152" s="92"/>
      <c r="K4152" s="103"/>
      <c r="L4152" s="1"/>
    </row>
    <row r="4153" spans="1:12" ht="21.95" customHeight="1" x14ac:dyDescent="0.25">
      <c r="A4153" s="1"/>
      <c r="B4153" s="99" t="s">
        <v>27</v>
      </c>
      <c r="C4153" s="57"/>
      <c r="H4153" s="28" t="s">
        <v>100</v>
      </c>
      <c r="K4153" s="103"/>
    </row>
    <row r="4157" spans="1:12" ht="21.95" customHeight="1" x14ac:dyDescent="0.25">
      <c r="A4157" s="3" t="s">
        <v>22</v>
      </c>
    </row>
    <row r="4158" spans="1:12" ht="21.95" customHeight="1" x14ac:dyDescent="0.2">
      <c r="A4158" s="122" t="s">
        <v>20</v>
      </c>
    </row>
    <row r="4159" spans="1:12" ht="21.95" customHeight="1" x14ac:dyDescent="0.2">
      <c r="A4159" s="122" t="s">
        <v>21</v>
      </c>
    </row>
    <row r="4163" spans="1:12" ht="21.95" customHeight="1" x14ac:dyDescent="0.3">
      <c r="A4163" s="276" t="s">
        <v>6</v>
      </c>
      <c r="B4163" s="276"/>
      <c r="C4163" s="276"/>
      <c r="D4163" s="276"/>
      <c r="E4163" s="276"/>
      <c r="F4163" s="276"/>
      <c r="G4163" s="276"/>
      <c r="H4163" s="276"/>
      <c r="I4163" s="276"/>
      <c r="J4163" s="276"/>
      <c r="K4163" s="276"/>
      <c r="L4163" s="276"/>
    </row>
    <row r="4164" spans="1:12" ht="21.95" customHeight="1" x14ac:dyDescent="0.3">
      <c r="A4164" s="24"/>
      <c r="B4164" s="24"/>
      <c r="C4164" s="24"/>
      <c r="D4164" s="24"/>
      <c r="E4164" s="24"/>
      <c r="F4164" s="24"/>
      <c r="G4164" s="24"/>
      <c r="H4164" s="24"/>
      <c r="I4164" s="24"/>
      <c r="J4164" s="24"/>
      <c r="K4164" s="24"/>
      <c r="L4164" s="24"/>
    </row>
    <row r="4165" spans="1:12" ht="21.95" customHeight="1" x14ac:dyDescent="0.3">
      <c r="A4165" s="24"/>
      <c r="B4165" s="24"/>
      <c r="C4165" s="24"/>
      <c r="D4165" s="24"/>
      <c r="E4165" s="24"/>
      <c r="F4165" s="24"/>
      <c r="G4165" s="24"/>
      <c r="H4165" s="24"/>
      <c r="I4165" s="24"/>
      <c r="J4165" s="24"/>
      <c r="K4165" s="24"/>
      <c r="L4165" s="24"/>
    </row>
    <row r="4166" spans="1:12" ht="21.95" customHeight="1" x14ac:dyDescent="0.25">
      <c r="A4166" s="1"/>
      <c r="B4166" s="1"/>
    </row>
    <row r="4167" spans="1:12" ht="21.95" customHeight="1" x14ac:dyDescent="0.25">
      <c r="A4167" s="1" t="s">
        <v>7</v>
      </c>
      <c r="B4167" s="1"/>
    </row>
    <row r="4168" spans="1:12" ht="21.95" customHeight="1" x14ac:dyDescent="0.25">
      <c r="A4168" s="1"/>
      <c r="B4168" s="1"/>
    </row>
    <row r="4169" spans="1:12" ht="21.95" customHeight="1" x14ac:dyDescent="0.25">
      <c r="A4169" s="1" t="s">
        <v>8</v>
      </c>
      <c r="C4169" s="9" t="s">
        <v>1</v>
      </c>
      <c r="D4169" s="33" t="s">
        <v>78</v>
      </c>
      <c r="E4169" s="76"/>
      <c r="F4169" s="76"/>
      <c r="G4169" s="76"/>
      <c r="H4169" s="76"/>
    </row>
    <row r="4170" spans="1:12" ht="21.95" customHeight="1" x14ac:dyDescent="0.25">
      <c r="A4170" s="1" t="s">
        <v>9</v>
      </c>
      <c r="C4170" s="9" t="s">
        <v>1</v>
      </c>
      <c r="D4170" s="27" t="s">
        <v>234</v>
      </c>
      <c r="E4170" s="76"/>
      <c r="F4170" s="76"/>
      <c r="G4170" s="76"/>
      <c r="H4170" s="76"/>
    </row>
    <row r="4171" spans="1:12" ht="21.95" customHeight="1" x14ac:dyDescent="0.2">
      <c r="A4171" s="50" t="s">
        <v>10</v>
      </c>
      <c r="B4171" s="76"/>
      <c r="C4171" s="91" t="s">
        <v>1</v>
      </c>
      <c r="D4171" s="50" t="s">
        <v>235</v>
      </c>
      <c r="E4171" s="76"/>
      <c r="F4171" s="76"/>
      <c r="G4171" s="76"/>
      <c r="H4171" s="76"/>
      <c r="I4171" s="76"/>
      <c r="J4171" s="76"/>
      <c r="K4171" s="76"/>
      <c r="L4171" s="76"/>
    </row>
    <row r="4172" spans="1:12" ht="21.95" customHeight="1" x14ac:dyDescent="0.25">
      <c r="A4172" s="1"/>
      <c r="B4172" s="1"/>
      <c r="D4172" s="1"/>
    </row>
    <row r="4173" spans="1:12" ht="35.25" customHeight="1" x14ac:dyDescent="0.2">
      <c r="A4173" s="277" t="s">
        <v>501</v>
      </c>
      <c r="B4173" s="277"/>
      <c r="C4173" s="277"/>
      <c r="D4173" s="277"/>
      <c r="E4173" s="277"/>
      <c r="F4173" s="277"/>
      <c r="G4173" s="277"/>
      <c r="H4173" s="277"/>
      <c r="I4173" s="277"/>
      <c r="J4173" s="277"/>
      <c r="K4173" s="277"/>
      <c r="L4173" s="277"/>
    </row>
    <row r="4174" spans="1:12" ht="21.95" customHeight="1" x14ac:dyDescent="0.25">
      <c r="A4174" s="1"/>
      <c r="B4174" s="1"/>
    </row>
    <row r="4175" spans="1:12" ht="36" customHeight="1" thickBot="1" x14ac:dyDescent="0.25">
      <c r="A4175" s="10" t="s">
        <v>0</v>
      </c>
      <c r="B4175" s="278" t="s">
        <v>91</v>
      </c>
      <c r="C4175" s="278"/>
      <c r="D4175" s="278"/>
      <c r="E4175" s="278"/>
      <c r="F4175" s="278"/>
      <c r="G4175" s="278"/>
      <c r="H4175" s="278"/>
      <c r="I4175" s="278"/>
      <c r="J4175" s="278"/>
      <c r="K4175" s="278"/>
      <c r="L4175" s="278"/>
    </row>
    <row r="4176" spans="1:12" ht="21.95" customHeight="1" thickTop="1" x14ac:dyDescent="0.25">
      <c r="A4176" s="1"/>
      <c r="B4176" s="11" t="s">
        <v>3</v>
      </c>
      <c r="C4176" s="12" t="s">
        <v>4</v>
      </c>
      <c r="D4176" s="13"/>
      <c r="E4176" s="13"/>
      <c r="F4176" s="13"/>
      <c r="G4176" s="13"/>
      <c r="H4176" s="14"/>
      <c r="I4176" s="15" t="s">
        <v>5</v>
      </c>
      <c r="J4176" s="12" t="s">
        <v>17</v>
      </c>
      <c r="K4176" s="13"/>
      <c r="L4176" s="14"/>
    </row>
    <row r="4177" spans="1:12" ht="26.25" customHeight="1" x14ac:dyDescent="0.2">
      <c r="B4177" s="96">
        <v>1</v>
      </c>
      <c r="C4177" s="140" t="s">
        <v>500</v>
      </c>
      <c r="D4177" s="76"/>
      <c r="E4177" s="150"/>
      <c r="F4177" s="171">
        <v>250000</v>
      </c>
      <c r="G4177" s="144" t="s">
        <v>262</v>
      </c>
      <c r="H4177" s="79"/>
      <c r="I4177" s="56">
        <f>F4177*2</f>
        <v>500000</v>
      </c>
      <c r="J4177" s="76" t="s">
        <v>207</v>
      </c>
      <c r="L4177" s="17"/>
    </row>
    <row r="4178" spans="1:12" ht="21.95" customHeight="1" x14ac:dyDescent="0.2">
      <c r="B4178" s="96"/>
      <c r="C4178" s="313"/>
      <c r="D4178" s="314"/>
      <c r="E4178" s="314"/>
      <c r="F4178" s="314"/>
      <c r="G4178" s="314"/>
      <c r="H4178" s="315"/>
      <c r="I4178" s="56"/>
      <c r="L4178" s="17"/>
    </row>
    <row r="4179" spans="1:12" ht="21.95" customHeight="1" x14ac:dyDescent="0.25">
      <c r="A4179" s="1"/>
      <c r="B4179" s="39"/>
      <c r="C4179" s="1"/>
      <c r="D4179" s="1"/>
      <c r="E4179" s="1"/>
      <c r="F4179" s="40" t="s">
        <v>5</v>
      </c>
      <c r="G4179" s="40"/>
      <c r="H4179" s="1"/>
      <c r="I4179" s="41">
        <f>I4177</f>
        <v>500000</v>
      </c>
      <c r="J4179" s="1"/>
      <c r="K4179" s="1"/>
      <c r="L4179" s="42"/>
    </row>
    <row r="4180" spans="1:12" ht="21.95" customHeight="1" thickBot="1" x14ac:dyDescent="0.3">
      <c r="A4180" s="1"/>
      <c r="B4180" s="43"/>
      <c r="C4180" s="44"/>
      <c r="D4180" s="44"/>
      <c r="E4180" s="44"/>
      <c r="F4180" s="45"/>
      <c r="G4180" s="45"/>
      <c r="H4180" s="44"/>
      <c r="I4180" s="46"/>
      <c r="J4180" s="44"/>
      <c r="K4180" s="44"/>
      <c r="L4180" s="47"/>
    </row>
    <row r="4181" spans="1:12" ht="21.95" customHeight="1" thickTop="1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</row>
    <row r="4182" spans="1:12" ht="47.25" customHeight="1" x14ac:dyDescent="0.2">
      <c r="A4182" s="10" t="s">
        <v>2</v>
      </c>
      <c r="B4182" s="279" t="s">
        <v>11</v>
      </c>
      <c r="C4182" s="279"/>
      <c r="D4182" s="279"/>
      <c r="E4182" s="279"/>
      <c r="F4182" s="279"/>
      <c r="G4182" s="279"/>
      <c r="H4182" s="279"/>
      <c r="I4182" s="279"/>
      <c r="J4182" s="279"/>
      <c r="K4182" s="279"/>
      <c r="L4182" s="279"/>
    </row>
    <row r="4183" spans="1:12" ht="21.95" customHeight="1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</row>
    <row r="4184" spans="1:12" ht="21.95" customHeight="1" x14ac:dyDescent="0.2">
      <c r="A4184" s="280" t="s">
        <v>12</v>
      </c>
      <c r="B4184" s="280"/>
      <c r="C4184" s="280"/>
      <c r="D4184" s="280"/>
      <c r="E4184" s="280"/>
      <c r="F4184" s="280"/>
      <c r="G4184" s="280"/>
      <c r="H4184" s="280"/>
      <c r="I4184" s="280"/>
      <c r="J4184" s="280"/>
      <c r="K4184" s="280"/>
      <c r="L4184" s="280"/>
    </row>
    <row r="4185" spans="1:12" ht="21.95" customHeight="1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</row>
    <row r="4186" spans="1:12" ht="21.95" customHeight="1" x14ac:dyDescent="0.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</row>
    <row r="4187" spans="1:12" ht="12.75" customHeight="1" x14ac:dyDescent="0.25">
      <c r="A4187" s="1"/>
      <c r="B4187" s="1"/>
      <c r="C4187" s="1"/>
      <c r="D4187" s="1"/>
      <c r="E4187" s="1"/>
      <c r="F4187" s="1"/>
      <c r="G4187" s="1"/>
      <c r="H4187" s="4" t="s">
        <v>199</v>
      </c>
      <c r="J4187" s="286" t="s">
        <v>498</v>
      </c>
      <c r="K4187" s="286"/>
      <c r="L4187" s="286"/>
    </row>
    <row r="4188" spans="1:12" ht="15" customHeight="1" x14ac:dyDescent="0.25">
      <c r="A4188" s="1"/>
      <c r="B4188" s="1" t="s">
        <v>15</v>
      </c>
      <c r="C4188" s="1"/>
      <c r="D4188" s="1"/>
      <c r="E4188" s="1"/>
      <c r="F4188" s="1"/>
      <c r="G4188" s="1"/>
      <c r="H4188" s="4" t="s">
        <v>13</v>
      </c>
    </row>
    <row r="4189" spans="1:12" ht="14.25" customHeight="1" x14ac:dyDescent="0.2">
      <c r="A4189" s="48"/>
      <c r="B4189" s="48" t="s">
        <v>18</v>
      </c>
      <c r="C4189" s="48"/>
      <c r="D4189" s="48"/>
      <c r="E4189" s="48"/>
      <c r="F4189" s="48"/>
      <c r="G4189" s="48"/>
      <c r="H4189" s="99" t="s">
        <v>14</v>
      </c>
      <c r="I4189" s="99"/>
      <c r="J4189" s="99"/>
      <c r="K4189" s="99"/>
      <c r="L4189" s="99"/>
    </row>
    <row r="4190" spans="1:12" ht="21.95" customHeight="1" x14ac:dyDescent="0.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</row>
    <row r="4191" spans="1:12" ht="8.25" customHeight="1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</row>
    <row r="4192" spans="1:12" ht="21.75" hidden="1" customHeight="1" x14ac:dyDescent="0.25">
      <c r="A4192" s="1"/>
      <c r="B4192" s="103"/>
      <c r="C4192" s="103"/>
      <c r="D4192" s="103"/>
      <c r="E4192" s="103"/>
      <c r="F4192" s="103"/>
      <c r="G4192" s="103"/>
      <c r="H4192" s="103"/>
      <c r="I4192" s="103"/>
      <c r="J4192" s="103"/>
      <c r="K4192" s="103"/>
      <c r="L4192" s="1"/>
    </row>
    <row r="4193" spans="1:12" ht="21.95" customHeight="1" x14ac:dyDescent="0.25">
      <c r="A4193" s="1"/>
      <c r="K4193" s="103"/>
      <c r="L4193" s="1"/>
    </row>
    <row r="4194" spans="1:12" ht="21.95" customHeight="1" x14ac:dyDescent="0.25">
      <c r="A4194" s="1"/>
      <c r="B4194" s="95" t="s">
        <v>77</v>
      </c>
      <c r="H4194" s="26" t="s">
        <v>78</v>
      </c>
      <c r="I4194" s="95"/>
      <c r="J4194" s="92"/>
      <c r="K4194" s="103"/>
      <c r="L4194" s="1"/>
    </row>
    <row r="4195" spans="1:12" ht="21.95" customHeight="1" x14ac:dyDescent="0.25">
      <c r="A4195" s="1"/>
      <c r="B4195" s="99" t="s">
        <v>27</v>
      </c>
      <c r="C4195" s="57"/>
      <c r="H4195" s="28" t="s">
        <v>79</v>
      </c>
      <c r="K4195" s="103"/>
    </row>
    <row r="4199" spans="1:12" ht="21.95" customHeight="1" x14ac:dyDescent="0.25">
      <c r="A4199" s="3" t="s">
        <v>22</v>
      </c>
    </row>
    <row r="4200" spans="1:12" ht="21.95" customHeight="1" x14ac:dyDescent="0.2">
      <c r="A4200" s="122" t="s">
        <v>20</v>
      </c>
    </row>
    <row r="4201" spans="1:12" ht="21.95" customHeight="1" x14ac:dyDescent="0.2">
      <c r="A4201" s="122" t="s">
        <v>21</v>
      </c>
    </row>
    <row r="4205" spans="1:12" ht="21.95" customHeight="1" x14ac:dyDescent="0.3">
      <c r="A4205" s="276" t="s">
        <v>6</v>
      </c>
      <c r="B4205" s="276"/>
      <c r="C4205" s="276"/>
      <c r="D4205" s="276"/>
      <c r="E4205" s="276"/>
      <c r="F4205" s="276"/>
      <c r="G4205" s="276"/>
      <c r="H4205" s="276"/>
      <c r="I4205" s="276"/>
      <c r="J4205" s="276"/>
      <c r="K4205" s="276"/>
      <c r="L4205" s="276"/>
    </row>
    <row r="4206" spans="1:12" ht="21.95" customHeight="1" x14ac:dyDescent="0.3">
      <c r="A4206" s="24"/>
      <c r="B4206" s="24"/>
      <c r="C4206" s="24"/>
      <c r="D4206" s="24"/>
      <c r="E4206" s="24"/>
      <c r="F4206" s="24"/>
      <c r="G4206" s="24"/>
      <c r="H4206" s="24"/>
      <c r="I4206" s="24"/>
      <c r="J4206" s="24"/>
      <c r="K4206" s="24"/>
      <c r="L4206" s="24"/>
    </row>
    <row r="4207" spans="1:12" ht="21.95" customHeight="1" x14ac:dyDescent="0.3">
      <c r="A4207" s="24"/>
      <c r="B4207" s="24"/>
      <c r="C4207" s="24"/>
      <c r="D4207" s="24"/>
      <c r="E4207" s="24"/>
      <c r="F4207" s="24"/>
      <c r="G4207" s="24"/>
      <c r="H4207" s="24"/>
      <c r="I4207" s="24"/>
      <c r="J4207" s="24"/>
      <c r="K4207" s="24"/>
      <c r="L4207" s="24"/>
    </row>
    <row r="4208" spans="1:12" ht="21.95" customHeight="1" x14ac:dyDescent="0.25">
      <c r="A4208" s="1"/>
      <c r="B4208" s="1"/>
    </row>
    <row r="4209" spans="1:12" ht="21.95" customHeight="1" x14ac:dyDescent="0.25">
      <c r="A4209" s="1" t="s">
        <v>7</v>
      </c>
      <c r="B4209" s="1"/>
    </row>
    <row r="4210" spans="1:12" ht="21.95" customHeight="1" x14ac:dyDescent="0.25">
      <c r="A4210" s="1"/>
      <c r="B4210" s="1"/>
    </row>
    <row r="4211" spans="1:12" ht="21.95" customHeight="1" x14ac:dyDescent="0.25">
      <c r="A4211" s="1" t="s">
        <v>8</v>
      </c>
      <c r="C4211" s="9" t="s">
        <v>1</v>
      </c>
      <c r="D4211" s="92" t="s">
        <v>555</v>
      </c>
      <c r="E4211" s="76"/>
      <c r="F4211" s="76"/>
      <c r="G4211" s="76"/>
      <c r="H4211" s="76"/>
    </row>
    <row r="4212" spans="1:12" ht="15" customHeight="1" x14ac:dyDescent="0.25">
      <c r="A4212" s="1" t="s">
        <v>9</v>
      </c>
      <c r="C4212" s="9" t="s">
        <v>1</v>
      </c>
      <c r="D4212" s="57" t="s">
        <v>236</v>
      </c>
      <c r="E4212" s="76"/>
      <c r="F4212" s="76"/>
      <c r="G4212" s="76"/>
      <c r="H4212" s="76"/>
    </row>
    <row r="4213" spans="1:12" ht="18.75" customHeight="1" x14ac:dyDescent="0.2">
      <c r="A4213" s="50" t="s">
        <v>10</v>
      </c>
      <c r="B4213" s="76"/>
      <c r="C4213" s="91" t="s">
        <v>1</v>
      </c>
      <c r="D4213" s="50" t="s">
        <v>235</v>
      </c>
      <c r="E4213" s="76"/>
      <c r="F4213" s="76"/>
      <c r="G4213" s="76"/>
      <c r="H4213" s="76"/>
      <c r="I4213" s="76"/>
      <c r="J4213" s="76"/>
      <c r="K4213" s="76"/>
      <c r="L4213" s="76"/>
    </row>
    <row r="4214" spans="1:12" ht="21.95" customHeight="1" x14ac:dyDescent="0.25">
      <c r="A4214" s="1"/>
      <c r="B4214" s="1"/>
      <c r="D4214" s="1"/>
    </row>
    <row r="4215" spans="1:12" ht="34.5" customHeight="1" x14ac:dyDescent="0.2">
      <c r="A4215" s="277" t="s">
        <v>501</v>
      </c>
      <c r="B4215" s="277"/>
      <c r="C4215" s="277"/>
      <c r="D4215" s="277"/>
      <c r="E4215" s="277"/>
      <c r="F4215" s="277"/>
      <c r="G4215" s="277"/>
      <c r="H4215" s="277"/>
      <c r="I4215" s="277"/>
      <c r="J4215" s="277"/>
      <c r="K4215" s="277"/>
      <c r="L4215" s="277"/>
    </row>
    <row r="4216" spans="1:12" ht="21.95" customHeight="1" x14ac:dyDescent="0.25">
      <c r="A4216" s="1"/>
      <c r="B4216" s="1"/>
    </row>
    <row r="4217" spans="1:12" ht="33.75" customHeight="1" thickBot="1" x14ac:dyDescent="0.25">
      <c r="A4217" s="10" t="s">
        <v>0</v>
      </c>
      <c r="B4217" s="278" t="s">
        <v>91</v>
      </c>
      <c r="C4217" s="278"/>
      <c r="D4217" s="278"/>
      <c r="E4217" s="278"/>
      <c r="F4217" s="278"/>
      <c r="G4217" s="278"/>
      <c r="H4217" s="278"/>
      <c r="I4217" s="278"/>
      <c r="J4217" s="278"/>
      <c r="K4217" s="278"/>
      <c r="L4217" s="278"/>
    </row>
    <row r="4218" spans="1:12" ht="21.95" customHeight="1" thickTop="1" x14ac:dyDescent="0.25">
      <c r="A4218" s="1"/>
      <c r="B4218" s="11" t="s">
        <v>3</v>
      </c>
      <c r="C4218" s="12" t="s">
        <v>4</v>
      </c>
      <c r="D4218" s="13"/>
      <c r="E4218" s="13"/>
      <c r="F4218" s="13"/>
      <c r="G4218" s="13"/>
      <c r="H4218" s="14"/>
      <c r="I4218" s="15" t="s">
        <v>5</v>
      </c>
      <c r="J4218" s="12" t="s">
        <v>17</v>
      </c>
      <c r="K4218" s="13"/>
      <c r="L4218" s="14"/>
    </row>
    <row r="4219" spans="1:12" ht="21.95" customHeight="1" x14ac:dyDescent="0.2">
      <c r="B4219" s="96">
        <v>1</v>
      </c>
      <c r="C4219" s="140" t="s">
        <v>500</v>
      </c>
      <c r="D4219" s="76"/>
      <c r="E4219" s="150"/>
      <c r="F4219" s="171">
        <v>250000</v>
      </c>
      <c r="G4219" s="144" t="s">
        <v>262</v>
      </c>
      <c r="H4219" s="79"/>
      <c r="I4219" s="56">
        <f>F4219*2</f>
        <v>500000</v>
      </c>
      <c r="J4219" s="76" t="s">
        <v>207</v>
      </c>
      <c r="L4219" s="17"/>
    </row>
    <row r="4220" spans="1:12" ht="21.95" customHeight="1" x14ac:dyDescent="0.2">
      <c r="B4220" s="96"/>
      <c r="C4220" s="313"/>
      <c r="D4220" s="314"/>
      <c r="E4220" s="314"/>
      <c r="F4220" s="314"/>
      <c r="G4220" s="314"/>
      <c r="H4220" s="315"/>
      <c r="I4220" s="56"/>
      <c r="L4220" s="17"/>
    </row>
    <row r="4221" spans="1:12" ht="21.95" customHeight="1" x14ac:dyDescent="0.25">
      <c r="A4221" s="1"/>
      <c r="B4221" s="39"/>
      <c r="C4221" s="1"/>
      <c r="D4221" s="1"/>
      <c r="E4221" s="1"/>
      <c r="F4221" s="40" t="s">
        <v>5</v>
      </c>
      <c r="G4221" s="40"/>
      <c r="H4221" s="1"/>
      <c r="I4221" s="41">
        <f>I4219</f>
        <v>500000</v>
      </c>
      <c r="J4221" s="1"/>
      <c r="K4221" s="1"/>
      <c r="L4221" s="42"/>
    </row>
    <row r="4222" spans="1:12" ht="21.95" customHeight="1" thickBot="1" x14ac:dyDescent="0.3">
      <c r="A4222" s="1"/>
      <c r="B4222" s="43"/>
      <c r="C4222" s="44"/>
      <c r="D4222" s="44"/>
      <c r="E4222" s="44"/>
      <c r="F4222" s="45"/>
      <c r="G4222" s="45"/>
      <c r="H4222" s="44"/>
      <c r="I4222" s="46"/>
      <c r="J4222" s="44"/>
      <c r="K4222" s="44"/>
      <c r="L4222" s="47"/>
    </row>
    <row r="4223" spans="1:12" ht="21.95" customHeight="1" thickTop="1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</row>
    <row r="4224" spans="1:12" ht="44.25" customHeight="1" x14ac:dyDescent="0.2">
      <c r="A4224" s="10" t="s">
        <v>2</v>
      </c>
      <c r="B4224" s="279" t="s">
        <v>11</v>
      </c>
      <c r="C4224" s="279"/>
      <c r="D4224" s="279"/>
      <c r="E4224" s="279"/>
      <c r="F4224" s="279"/>
      <c r="G4224" s="279"/>
      <c r="H4224" s="279"/>
      <c r="I4224" s="279"/>
      <c r="J4224" s="279"/>
      <c r="K4224" s="279"/>
      <c r="L4224" s="279"/>
    </row>
    <row r="4225" spans="1:12" ht="21.95" customHeight="1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</row>
    <row r="4226" spans="1:12" ht="21.95" customHeight="1" x14ac:dyDescent="0.2">
      <c r="A4226" s="280" t="s">
        <v>12</v>
      </c>
      <c r="B4226" s="280"/>
      <c r="C4226" s="280"/>
      <c r="D4226" s="280"/>
      <c r="E4226" s="280"/>
      <c r="F4226" s="280"/>
      <c r="G4226" s="280"/>
      <c r="H4226" s="280"/>
      <c r="I4226" s="280"/>
      <c r="J4226" s="280"/>
      <c r="K4226" s="280"/>
      <c r="L4226" s="280"/>
    </row>
    <row r="4227" spans="1:12" ht="21.95" customHeight="1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</row>
    <row r="4228" spans="1:12" ht="21.95" customHeight="1" x14ac:dyDescent="0.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</row>
    <row r="4229" spans="1:12" ht="13.5" customHeight="1" x14ac:dyDescent="0.25">
      <c r="A4229" s="1"/>
      <c r="B4229" s="1"/>
      <c r="C4229" s="1"/>
      <c r="D4229" s="1"/>
      <c r="E4229" s="1"/>
      <c r="F4229" s="1"/>
      <c r="G4229" s="1"/>
      <c r="H4229" s="4" t="s">
        <v>199</v>
      </c>
      <c r="J4229" s="286" t="s">
        <v>498</v>
      </c>
      <c r="K4229" s="286"/>
      <c r="L4229" s="286"/>
    </row>
    <row r="4230" spans="1:12" ht="15.75" customHeight="1" x14ac:dyDescent="0.25">
      <c r="A4230" s="1"/>
      <c r="B4230" s="1" t="s">
        <v>15</v>
      </c>
      <c r="C4230" s="1"/>
      <c r="D4230" s="1"/>
      <c r="E4230" s="1"/>
      <c r="F4230" s="1"/>
      <c r="G4230" s="1"/>
      <c r="H4230" s="4" t="s">
        <v>13</v>
      </c>
    </row>
    <row r="4231" spans="1:12" ht="15.75" customHeight="1" x14ac:dyDescent="0.2">
      <c r="A4231" s="48"/>
      <c r="B4231" s="48" t="s">
        <v>18</v>
      </c>
      <c r="C4231" s="48"/>
      <c r="D4231" s="48"/>
      <c r="E4231" s="48"/>
      <c r="F4231" s="48"/>
      <c r="G4231" s="48"/>
      <c r="H4231" s="99" t="s">
        <v>14</v>
      </c>
      <c r="I4231" s="99"/>
      <c r="J4231" s="99"/>
      <c r="K4231" s="99"/>
      <c r="L4231" s="99"/>
    </row>
    <row r="4232" spans="1:12" ht="21.95" customHeight="1" x14ac:dyDescent="0.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</row>
    <row r="4233" spans="1:12" ht="20.25" customHeight="1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</row>
    <row r="4234" spans="1:12" ht="21.75" hidden="1" customHeight="1" x14ac:dyDescent="0.25">
      <c r="A4234" s="1"/>
      <c r="B4234" s="103"/>
      <c r="C4234" s="103"/>
      <c r="D4234" s="103"/>
      <c r="E4234" s="103"/>
      <c r="F4234" s="103"/>
      <c r="G4234" s="103"/>
      <c r="H4234" s="103"/>
      <c r="I4234" s="103"/>
      <c r="J4234" s="103"/>
      <c r="K4234" s="103"/>
      <c r="L4234" s="1"/>
    </row>
    <row r="4235" spans="1:12" ht="21.95" customHeight="1" x14ac:dyDescent="0.25">
      <c r="A4235" s="1"/>
      <c r="K4235" s="103"/>
      <c r="L4235" s="1"/>
    </row>
    <row r="4236" spans="1:12" ht="21.95" customHeight="1" x14ac:dyDescent="0.25">
      <c r="A4236" s="1"/>
      <c r="B4236" s="95" t="s">
        <v>77</v>
      </c>
      <c r="H4236" s="26" t="s">
        <v>555</v>
      </c>
      <c r="I4236" s="95"/>
      <c r="J4236" s="92"/>
      <c r="K4236" s="103"/>
      <c r="L4236" s="1"/>
    </row>
    <row r="4237" spans="1:12" ht="21.95" customHeight="1" x14ac:dyDescent="0.25">
      <c r="A4237" s="1"/>
      <c r="B4237" s="99" t="s">
        <v>27</v>
      </c>
      <c r="C4237" s="57"/>
      <c r="H4237" s="28" t="s">
        <v>46</v>
      </c>
      <c r="K4237" s="103"/>
    </row>
    <row r="4242" spans="1:12" ht="21.95" customHeight="1" x14ac:dyDescent="0.25">
      <c r="A4242" s="3" t="s">
        <v>22</v>
      </c>
    </row>
    <row r="4243" spans="1:12" ht="21.95" customHeight="1" x14ac:dyDescent="0.2">
      <c r="A4243" s="122" t="s">
        <v>20</v>
      </c>
    </row>
    <row r="4244" spans="1:12" ht="21.95" customHeight="1" x14ac:dyDescent="0.2">
      <c r="A4244" s="122" t="s">
        <v>21</v>
      </c>
    </row>
    <row r="4248" spans="1:12" ht="21.95" customHeight="1" x14ac:dyDescent="0.3">
      <c r="A4248" s="276" t="s">
        <v>6</v>
      </c>
      <c r="B4248" s="276"/>
      <c r="C4248" s="276"/>
      <c r="D4248" s="276"/>
      <c r="E4248" s="276"/>
      <c r="F4248" s="276"/>
      <c r="G4248" s="276"/>
      <c r="H4248" s="276"/>
      <c r="I4248" s="276"/>
      <c r="J4248" s="276"/>
      <c r="K4248" s="276"/>
      <c r="L4248" s="276"/>
    </row>
    <row r="4249" spans="1:12" ht="21.95" customHeight="1" x14ac:dyDescent="0.3">
      <c r="A4249" s="24"/>
      <c r="B4249" s="24"/>
      <c r="C4249" s="24"/>
      <c r="D4249" s="24"/>
      <c r="E4249" s="24"/>
      <c r="F4249" s="24"/>
      <c r="G4249" s="24"/>
      <c r="H4249" s="24"/>
      <c r="I4249" s="24"/>
      <c r="J4249" s="24"/>
      <c r="K4249" s="24"/>
      <c r="L4249" s="24"/>
    </row>
    <row r="4250" spans="1:12" ht="21.95" customHeight="1" x14ac:dyDescent="0.3">
      <c r="A4250" s="24"/>
      <c r="B4250" s="24"/>
      <c r="C4250" s="24"/>
      <c r="D4250" s="24"/>
      <c r="E4250" s="24"/>
      <c r="F4250" s="24"/>
      <c r="G4250" s="24"/>
      <c r="H4250" s="24"/>
      <c r="I4250" s="24"/>
      <c r="J4250" s="24"/>
      <c r="K4250" s="24"/>
      <c r="L4250" s="24"/>
    </row>
    <row r="4251" spans="1:12" ht="21.95" customHeight="1" x14ac:dyDescent="0.25">
      <c r="A4251" s="1"/>
      <c r="B4251" s="1"/>
    </row>
    <row r="4252" spans="1:12" ht="21.95" customHeight="1" x14ac:dyDescent="0.25">
      <c r="A4252" s="1" t="s">
        <v>7</v>
      </c>
      <c r="B4252" s="1"/>
    </row>
    <row r="4253" spans="1:12" ht="21.95" customHeight="1" x14ac:dyDescent="0.25">
      <c r="A4253" s="1"/>
      <c r="B4253" s="1"/>
    </row>
    <row r="4254" spans="1:12" ht="21.95" customHeight="1" x14ac:dyDescent="0.25">
      <c r="A4254" s="1" t="s">
        <v>8</v>
      </c>
      <c r="C4254" s="9" t="s">
        <v>1</v>
      </c>
      <c r="D4254" s="92" t="s">
        <v>96</v>
      </c>
      <c r="E4254" s="76"/>
      <c r="F4254" s="76"/>
      <c r="G4254" s="76"/>
      <c r="H4254" s="76"/>
    </row>
    <row r="4255" spans="1:12" ht="21.95" customHeight="1" x14ac:dyDescent="0.25">
      <c r="A4255" s="1" t="s">
        <v>9</v>
      </c>
      <c r="C4255" s="9" t="s">
        <v>1</v>
      </c>
      <c r="D4255" s="57" t="s">
        <v>200</v>
      </c>
      <c r="E4255" s="76"/>
      <c r="F4255" s="76"/>
      <c r="G4255" s="76"/>
      <c r="H4255" s="76"/>
    </row>
    <row r="4256" spans="1:12" ht="21.95" customHeight="1" x14ac:dyDescent="0.2">
      <c r="A4256" s="50" t="s">
        <v>10</v>
      </c>
      <c r="B4256" s="76"/>
      <c r="C4256" s="91" t="s">
        <v>1</v>
      </c>
      <c r="D4256" s="50" t="s">
        <v>203</v>
      </c>
      <c r="E4256" s="76"/>
      <c r="F4256" s="76"/>
      <c r="G4256" s="76"/>
      <c r="H4256" s="76"/>
      <c r="I4256" s="76"/>
      <c r="J4256" s="76"/>
      <c r="K4256" s="76"/>
      <c r="L4256" s="76"/>
    </row>
    <row r="4257" spans="1:12" ht="21.95" customHeight="1" x14ac:dyDescent="0.25">
      <c r="A4257" s="1"/>
      <c r="B4257" s="1"/>
      <c r="D4257" s="1"/>
    </row>
    <row r="4258" spans="1:12" ht="27" customHeight="1" x14ac:dyDescent="0.2">
      <c r="A4258" s="277" t="s">
        <v>502</v>
      </c>
      <c r="B4258" s="277"/>
      <c r="C4258" s="277"/>
      <c r="D4258" s="277"/>
      <c r="E4258" s="277"/>
      <c r="F4258" s="277"/>
      <c r="G4258" s="277"/>
      <c r="H4258" s="277"/>
      <c r="I4258" s="277"/>
      <c r="J4258" s="277"/>
      <c r="K4258" s="277"/>
      <c r="L4258" s="277"/>
    </row>
    <row r="4259" spans="1:12" ht="21.95" customHeight="1" x14ac:dyDescent="0.25">
      <c r="A4259" s="1"/>
      <c r="B4259" s="1"/>
    </row>
    <row r="4260" spans="1:12" ht="45.75" customHeight="1" thickBot="1" x14ac:dyDescent="0.25">
      <c r="A4260" s="10" t="s">
        <v>0</v>
      </c>
      <c r="B4260" s="278" t="s">
        <v>91</v>
      </c>
      <c r="C4260" s="278"/>
      <c r="D4260" s="278"/>
      <c r="E4260" s="278"/>
      <c r="F4260" s="278"/>
      <c r="G4260" s="278"/>
      <c r="H4260" s="278"/>
      <c r="I4260" s="278"/>
      <c r="J4260" s="278"/>
      <c r="K4260" s="278"/>
      <c r="L4260" s="278"/>
    </row>
    <row r="4261" spans="1:12" ht="21.95" customHeight="1" thickTop="1" x14ac:dyDescent="0.25">
      <c r="A4261" s="1"/>
      <c r="B4261" s="11" t="s">
        <v>3</v>
      </c>
      <c r="C4261" s="12" t="s">
        <v>4</v>
      </c>
      <c r="D4261" s="13"/>
      <c r="E4261" s="13"/>
      <c r="F4261" s="13"/>
      <c r="G4261" s="13"/>
      <c r="H4261" s="14"/>
      <c r="I4261" s="15" t="s">
        <v>5</v>
      </c>
      <c r="J4261" s="12" t="s">
        <v>17</v>
      </c>
      <c r="K4261" s="13"/>
      <c r="L4261" s="14"/>
    </row>
    <row r="4262" spans="1:12" ht="21.95" customHeight="1" x14ac:dyDescent="0.2">
      <c r="B4262" s="96">
        <v>1</v>
      </c>
      <c r="C4262" s="140" t="s">
        <v>500</v>
      </c>
      <c r="D4262" s="76"/>
      <c r="E4262" s="150"/>
      <c r="F4262" s="171"/>
      <c r="G4262" s="144"/>
      <c r="H4262" s="79"/>
      <c r="I4262" s="56">
        <v>250000</v>
      </c>
      <c r="J4262" s="76"/>
      <c r="L4262" s="17"/>
    </row>
    <row r="4263" spans="1:12" ht="21.95" customHeight="1" x14ac:dyDescent="0.2">
      <c r="B4263" s="96"/>
      <c r="C4263" s="313"/>
      <c r="D4263" s="314"/>
      <c r="E4263" s="314"/>
      <c r="F4263" s="314"/>
      <c r="G4263" s="314"/>
      <c r="H4263" s="315"/>
      <c r="I4263" s="56"/>
      <c r="L4263" s="17"/>
    </row>
    <row r="4264" spans="1:12" ht="21.95" customHeight="1" x14ac:dyDescent="0.25">
      <c r="A4264" s="1"/>
      <c r="B4264" s="39"/>
      <c r="C4264" s="1"/>
      <c r="D4264" s="1"/>
      <c r="E4264" s="1"/>
      <c r="F4264" s="40" t="s">
        <v>5</v>
      </c>
      <c r="G4264" s="40"/>
      <c r="H4264" s="1"/>
      <c r="I4264" s="41">
        <f>I4262</f>
        <v>250000</v>
      </c>
      <c r="J4264" s="1"/>
      <c r="K4264" s="1"/>
      <c r="L4264" s="42"/>
    </row>
    <row r="4265" spans="1:12" ht="21.95" customHeight="1" thickBot="1" x14ac:dyDescent="0.3">
      <c r="A4265" s="1"/>
      <c r="B4265" s="43"/>
      <c r="C4265" s="44"/>
      <c r="D4265" s="44"/>
      <c r="E4265" s="44"/>
      <c r="F4265" s="45"/>
      <c r="G4265" s="45"/>
      <c r="H4265" s="44"/>
      <c r="I4265" s="46"/>
      <c r="J4265" s="44"/>
      <c r="K4265" s="44"/>
      <c r="L4265" s="47"/>
    </row>
    <row r="4266" spans="1:12" ht="21.95" customHeight="1" thickTop="1" x14ac:dyDescent="0.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</row>
    <row r="4267" spans="1:12" ht="55.5" customHeight="1" x14ac:dyDescent="0.2">
      <c r="A4267" s="10" t="s">
        <v>2</v>
      </c>
      <c r="B4267" s="279" t="s">
        <v>11</v>
      </c>
      <c r="C4267" s="279"/>
      <c r="D4267" s="279"/>
      <c r="E4267" s="279"/>
      <c r="F4267" s="279"/>
      <c r="G4267" s="279"/>
      <c r="H4267" s="279"/>
      <c r="I4267" s="279"/>
      <c r="J4267" s="279"/>
      <c r="K4267" s="279"/>
      <c r="L4267" s="279"/>
    </row>
    <row r="4268" spans="1:12" ht="21.95" customHeight="1" x14ac:dyDescent="0.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</row>
    <row r="4269" spans="1:12" ht="21.95" customHeight="1" x14ac:dyDescent="0.2">
      <c r="A4269" s="280" t="s">
        <v>12</v>
      </c>
      <c r="B4269" s="280"/>
      <c r="C4269" s="280"/>
      <c r="D4269" s="280"/>
      <c r="E4269" s="280"/>
      <c r="F4269" s="280"/>
      <c r="G4269" s="280"/>
      <c r="H4269" s="280"/>
      <c r="I4269" s="280"/>
      <c r="J4269" s="280"/>
      <c r="K4269" s="280"/>
      <c r="L4269" s="280"/>
    </row>
    <row r="4270" spans="1:12" ht="21.95" customHeight="1" x14ac:dyDescent="0.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 ht="21.95" customHeight="1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 ht="21.95" customHeight="1" x14ac:dyDescent="0.25">
      <c r="A4272" s="1"/>
      <c r="B4272" s="1"/>
      <c r="C4272" s="1"/>
      <c r="D4272" s="1"/>
      <c r="E4272" s="1"/>
      <c r="F4272" s="1"/>
      <c r="G4272" s="1"/>
      <c r="H4272" s="4" t="s">
        <v>199</v>
      </c>
      <c r="J4272" s="286" t="s">
        <v>498</v>
      </c>
      <c r="K4272" s="286"/>
      <c r="L4272" s="286"/>
    </row>
    <row r="4273" spans="1:12" ht="21.95" customHeight="1" x14ac:dyDescent="0.25">
      <c r="A4273" s="1"/>
      <c r="B4273" s="1" t="s">
        <v>15</v>
      </c>
      <c r="C4273" s="1"/>
      <c r="D4273" s="1"/>
      <c r="E4273" s="1"/>
      <c r="F4273" s="1"/>
      <c r="G4273" s="1"/>
      <c r="H4273" s="4" t="s">
        <v>13</v>
      </c>
    </row>
    <row r="4274" spans="1:12" ht="21.95" customHeight="1" x14ac:dyDescent="0.2">
      <c r="A4274" s="48"/>
      <c r="B4274" s="48" t="s">
        <v>18</v>
      </c>
      <c r="C4274" s="48"/>
      <c r="D4274" s="48"/>
      <c r="E4274" s="48"/>
      <c r="F4274" s="48"/>
      <c r="G4274" s="48"/>
      <c r="H4274" s="99" t="s">
        <v>14</v>
      </c>
      <c r="I4274" s="99"/>
      <c r="J4274" s="99"/>
      <c r="K4274" s="99"/>
      <c r="L4274" s="99"/>
    </row>
    <row r="4275" spans="1:12" ht="21.95" customHeight="1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</row>
    <row r="4276" spans="1:12" ht="16.5" customHeight="1" x14ac:dyDescent="0.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</row>
    <row r="4277" spans="1:12" ht="21.75" hidden="1" customHeight="1" x14ac:dyDescent="0.25">
      <c r="A4277" s="1"/>
      <c r="B4277" s="103"/>
      <c r="C4277" s="103"/>
      <c r="D4277" s="103"/>
      <c r="E4277" s="103"/>
      <c r="F4277" s="103"/>
      <c r="G4277" s="103"/>
      <c r="H4277" s="103"/>
      <c r="I4277" s="103"/>
      <c r="J4277" s="103"/>
      <c r="K4277" s="103"/>
      <c r="L4277" s="1"/>
    </row>
    <row r="4278" spans="1:12" ht="21.95" customHeight="1" x14ac:dyDescent="0.25">
      <c r="A4278" s="1"/>
      <c r="K4278" s="103"/>
      <c r="L4278" s="1"/>
    </row>
    <row r="4279" spans="1:12" ht="21.95" customHeight="1" x14ac:dyDescent="0.25">
      <c r="A4279" s="1"/>
      <c r="B4279" s="95" t="s">
        <v>77</v>
      </c>
      <c r="H4279" s="26" t="s">
        <v>96</v>
      </c>
      <c r="I4279" s="95"/>
      <c r="J4279" s="92"/>
      <c r="K4279" s="103"/>
      <c r="L4279" s="1"/>
    </row>
    <row r="4280" spans="1:12" ht="21.95" customHeight="1" x14ac:dyDescent="0.25">
      <c r="A4280" s="1"/>
      <c r="B4280" s="99" t="s">
        <v>27</v>
      </c>
      <c r="C4280" s="57"/>
      <c r="H4280" s="28" t="s">
        <v>100</v>
      </c>
      <c r="K4280" s="103"/>
    </row>
    <row r="4285" spans="1:12" ht="21.95" customHeight="1" x14ac:dyDescent="0.25">
      <c r="A4285" s="3" t="s">
        <v>22</v>
      </c>
    </row>
    <row r="4286" spans="1:12" ht="21.95" customHeight="1" x14ac:dyDescent="0.2">
      <c r="A4286" s="122" t="s">
        <v>20</v>
      </c>
    </row>
    <row r="4287" spans="1:12" ht="21.95" customHeight="1" x14ac:dyDescent="0.2">
      <c r="A4287" s="122" t="s">
        <v>21</v>
      </c>
    </row>
    <row r="4291" spans="1:12" ht="21.95" customHeight="1" x14ac:dyDescent="0.3">
      <c r="A4291" s="276" t="s">
        <v>6</v>
      </c>
      <c r="B4291" s="276"/>
      <c r="C4291" s="276"/>
      <c r="D4291" s="276"/>
      <c r="E4291" s="276"/>
      <c r="F4291" s="276"/>
      <c r="G4291" s="276"/>
      <c r="H4291" s="276"/>
      <c r="I4291" s="276"/>
      <c r="J4291" s="276"/>
      <c r="K4291" s="276"/>
      <c r="L4291" s="276"/>
    </row>
    <row r="4292" spans="1:12" ht="21.95" customHeight="1" x14ac:dyDescent="0.3">
      <c r="A4292" s="24"/>
      <c r="B4292" s="24"/>
      <c r="C4292" s="24"/>
      <c r="D4292" s="24"/>
      <c r="E4292" s="24"/>
      <c r="F4292" s="24"/>
      <c r="G4292" s="24"/>
      <c r="H4292" s="24"/>
      <c r="I4292" s="24"/>
      <c r="J4292" s="24"/>
      <c r="K4292" s="24"/>
      <c r="L4292" s="24"/>
    </row>
    <row r="4293" spans="1:12" ht="21.95" customHeight="1" x14ac:dyDescent="0.3">
      <c r="A4293" s="24"/>
      <c r="B4293" s="24"/>
      <c r="C4293" s="24"/>
      <c r="D4293" s="24"/>
      <c r="E4293" s="24"/>
      <c r="F4293" s="24"/>
      <c r="G4293" s="24"/>
      <c r="H4293" s="24"/>
      <c r="I4293" s="24"/>
      <c r="J4293" s="24"/>
      <c r="K4293" s="24"/>
      <c r="L4293" s="24"/>
    </row>
    <row r="4294" spans="1:12" ht="21.95" customHeight="1" x14ac:dyDescent="0.25">
      <c r="A4294" s="1"/>
      <c r="B4294" s="1"/>
    </row>
    <row r="4295" spans="1:12" ht="21.95" customHeight="1" x14ac:dyDescent="0.25">
      <c r="A4295" s="1" t="s">
        <v>7</v>
      </c>
      <c r="B4295" s="1"/>
    </row>
    <row r="4296" spans="1:12" ht="21.95" customHeight="1" x14ac:dyDescent="0.25">
      <c r="A4296" s="1"/>
      <c r="B4296" s="1"/>
    </row>
    <row r="4297" spans="1:12" ht="21.95" customHeight="1" x14ac:dyDescent="0.25">
      <c r="A4297" s="1" t="s">
        <v>8</v>
      </c>
      <c r="C4297" s="9" t="s">
        <v>1</v>
      </c>
      <c r="D4297" s="92" t="s">
        <v>77</v>
      </c>
      <c r="E4297" s="76"/>
      <c r="F4297" s="76"/>
      <c r="G4297" s="76"/>
      <c r="H4297" s="76"/>
    </row>
    <row r="4298" spans="1:12" ht="15" customHeight="1" x14ac:dyDescent="0.25">
      <c r="A4298" s="1" t="s">
        <v>9</v>
      </c>
      <c r="C4298" s="9" t="s">
        <v>1</v>
      </c>
      <c r="D4298" s="146" t="s">
        <v>201</v>
      </c>
      <c r="E4298" s="76"/>
      <c r="F4298" s="76"/>
      <c r="G4298" s="76"/>
      <c r="H4298" s="76"/>
    </row>
    <row r="4299" spans="1:12" ht="21.95" customHeight="1" x14ac:dyDescent="0.2">
      <c r="A4299" s="50" t="s">
        <v>10</v>
      </c>
      <c r="B4299" s="76"/>
      <c r="C4299" s="91" t="s">
        <v>1</v>
      </c>
      <c r="D4299" s="50" t="s">
        <v>496</v>
      </c>
      <c r="E4299" s="76"/>
      <c r="F4299" s="76"/>
      <c r="G4299" s="76"/>
      <c r="H4299" s="76"/>
      <c r="I4299" s="76"/>
      <c r="J4299" s="76"/>
      <c r="K4299" s="76"/>
      <c r="L4299" s="76"/>
    </row>
    <row r="4300" spans="1:12" ht="21.95" customHeight="1" x14ac:dyDescent="0.25">
      <c r="A4300" s="1"/>
      <c r="B4300" s="1"/>
      <c r="D4300" s="1"/>
    </row>
    <row r="4301" spans="1:12" ht="36.75" customHeight="1" x14ac:dyDescent="0.2">
      <c r="A4301" s="277" t="s">
        <v>502</v>
      </c>
      <c r="B4301" s="277"/>
      <c r="C4301" s="277"/>
      <c r="D4301" s="277"/>
      <c r="E4301" s="277"/>
      <c r="F4301" s="277"/>
      <c r="G4301" s="277"/>
      <c r="H4301" s="277"/>
      <c r="I4301" s="277"/>
      <c r="J4301" s="277"/>
      <c r="K4301" s="277"/>
      <c r="L4301" s="277"/>
    </row>
    <row r="4302" spans="1:12" ht="21.95" customHeight="1" x14ac:dyDescent="0.25">
      <c r="A4302" s="1"/>
      <c r="B4302" s="1"/>
    </row>
    <row r="4303" spans="1:12" ht="33.75" customHeight="1" thickBot="1" x14ac:dyDescent="0.25">
      <c r="A4303" s="10" t="s">
        <v>0</v>
      </c>
      <c r="B4303" s="278" t="s">
        <v>91</v>
      </c>
      <c r="C4303" s="278"/>
      <c r="D4303" s="278"/>
      <c r="E4303" s="278"/>
      <c r="F4303" s="278"/>
      <c r="G4303" s="278"/>
      <c r="H4303" s="278"/>
      <c r="I4303" s="278"/>
      <c r="J4303" s="278"/>
      <c r="K4303" s="278"/>
      <c r="L4303" s="278"/>
    </row>
    <row r="4304" spans="1:12" ht="21.95" customHeight="1" thickTop="1" x14ac:dyDescent="0.25">
      <c r="A4304" s="1"/>
      <c r="B4304" s="11" t="s">
        <v>3</v>
      </c>
      <c r="C4304" s="12" t="s">
        <v>4</v>
      </c>
      <c r="D4304" s="13"/>
      <c r="E4304" s="13"/>
      <c r="F4304" s="13"/>
      <c r="G4304" s="13"/>
      <c r="H4304" s="14"/>
      <c r="I4304" s="15" t="s">
        <v>5</v>
      </c>
      <c r="J4304" s="12" t="s">
        <v>17</v>
      </c>
      <c r="K4304" s="13"/>
      <c r="L4304" s="14"/>
    </row>
    <row r="4305" spans="1:12" ht="21.95" customHeight="1" x14ac:dyDescent="0.2">
      <c r="B4305" s="96">
        <v>1</v>
      </c>
      <c r="C4305" s="140" t="s">
        <v>500</v>
      </c>
      <c r="D4305" s="76"/>
      <c r="E4305" s="150"/>
      <c r="F4305" s="171"/>
      <c r="G4305" s="144"/>
      <c r="H4305" s="79"/>
      <c r="I4305" s="56">
        <v>250000</v>
      </c>
      <c r="J4305" s="76"/>
      <c r="L4305" s="17"/>
    </row>
    <row r="4306" spans="1:12" ht="21.95" customHeight="1" x14ac:dyDescent="0.2">
      <c r="B4306" s="96"/>
      <c r="C4306" s="313"/>
      <c r="D4306" s="314"/>
      <c r="E4306" s="314"/>
      <c r="F4306" s="314"/>
      <c r="G4306" s="314"/>
      <c r="H4306" s="315"/>
      <c r="I4306" s="56"/>
      <c r="L4306" s="17"/>
    </row>
    <row r="4307" spans="1:12" ht="21.95" customHeight="1" x14ac:dyDescent="0.25">
      <c r="A4307" s="1"/>
      <c r="B4307" s="39"/>
      <c r="C4307" s="1"/>
      <c r="D4307" s="1"/>
      <c r="E4307" s="1"/>
      <c r="F4307" s="40" t="s">
        <v>5</v>
      </c>
      <c r="G4307" s="40"/>
      <c r="H4307" s="1"/>
      <c r="I4307" s="41">
        <f>I4305</f>
        <v>250000</v>
      </c>
      <c r="J4307" s="1"/>
      <c r="K4307" s="1"/>
      <c r="L4307" s="42"/>
    </row>
    <row r="4308" spans="1:12" ht="21.95" customHeight="1" thickBot="1" x14ac:dyDescent="0.3">
      <c r="A4308" s="1"/>
      <c r="B4308" s="43"/>
      <c r="C4308" s="44"/>
      <c r="D4308" s="44"/>
      <c r="E4308" s="44"/>
      <c r="F4308" s="45"/>
      <c r="G4308" s="45"/>
      <c r="H4308" s="44"/>
      <c r="I4308" s="46"/>
      <c r="J4308" s="44"/>
      <c r="K4308" s="44"/>
      <c r="L4308" s="47"/>
    </row>
    <row r="4309" spans="1:12" ht="21.95" customHeight="1" thickTop="1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</row>
    <row r="4310" spans="1:12" ht="51" customHeight="1" x14ac:dyDescent="0.2">
      <c r="A4310" s="10" t="s">
        <v>2</v>
      </c>
      <c r="B4310" s="279" t="s">
        <v>11</v>
      </c>
      <c r="C4310" s="279"/>
      <c r="D4310" s="279"/>
      <c r="E4310" s="279"/>
      <c r="F4310" s="279"/>
      <c r="G4310" s="279"/>
      <c r="H4310" s="279"/>
      <c r="I4310" s="279"/>
      <c r="J4310" s="279"/>
      <c r="K4310" s="279"/>
      <c r="L4310" s="279"/>
    </row>
    <row r="4311" spans="1:12" ht="21.95" customHeight="1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</row>
    <row r="4312" spans="1:12" ht="21.95" customHeight="1" x14ac:dyDescent="0.2">
      <c r="A4312" s="280" t="s">
        <v>12</v>
      </c>
      <c r="B4312" s="280"/>
      <c r="C4312" s="280"/>
      <c r="D4312" s="280"/>
      <c r="E4312" s="280"/>
      <c r="F4312" s="280"/>
      <c r="G4312" s="280"/>
      <c r="H4312" s="280"/>
      <c r="I4312" s="280"/>
      <c r="J4312" s="280"/>
      <c r="K4312" s="280"/>
      <c r="L4312" s="280"/>
    </row>
    <row r="4313" spans="1:12" ht="21.95" customHeight="1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</row>
    <row r="4314" spans="1:12" ht="21.95" customHeight="1" x14ac:dyDescent="0.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</row>
    <row r="4315" spans="1:12" ht="17.25" customHeight="1" x14ac:dyDescent="0.25">
      <c r="A4315" s="1"/>
      <c r="B4315" s="1"/>
      <c r="C4315" s="1"/>
      <c r="D4315" s="1"/>
      <c r="E4315" s="1"/>
      <c r="F4315" s="1"/>
      <c r="G4315" s="1"/>
      <c r="H4315" s="4" t="s">
        <v>199</v>
      </c>
      <c r="J4315" s="286" t="s">
        <v>498</v>
      </c>
      <c r="K4315" s="286"/>
      <c r="L4315" s="286"/>
    </row>
    <row r="4316" spans="1:12" ht="11.25" customHeight="1" x14ac:dyDescent="0.25">
      <c r="A4316" s="1"/>
      <c r="B4316" s="1" t="s">
        <v>15</v>
      </c>
      <c r="C4316" s="1"/>
      <c r="D4316" s="1"/>
      <c r="E4316" s="1"/>
      <c r="F4316" s="1"/>
      <c r="G4316" s="1"/>
      <c r="H4316" s="4" t="s">
        <v>13</v>
      </c>
    </row>
    <row r="4317" spans="1:12" ht="14.25" customHeight="1" x14ac:dyDescent="0.2">
      <c r="A4317" s="48"/>
      <c r="B4317" s="48" t="s">
        <v>18</v>
      </c>
      <c r="C4317" s="48"/>
      <c r="D4317" s="48"/>
      <c r="E4317" s="48"/>
      <c r="F4317" s="48"/>
      <c r="G4317" s="48"/>
      <c r="H4317" s="99" t="s">
        <v>14</v>
      </c>
      <c r="I4317" s="99"/>
      <c r="J4317" s="99"/>
      <c r="K4317" s="99"/>
      <c r="L4317" s="99"/>
    </row>
    <row r="4318" spans="1:12" ht="21.95" customHeight="1" x14ac:dyDescent="0.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</row>
    <row r="4319" spans="1:12" ht="21.95" customHeight="1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</row>
    <row r="4320" spans="1:12" ht="4.5" customHeight="1" x14ac:dyDescent="0.25">
      <c r="A4320" s="1"/>
      <c r="B4320" s="103"/>
      <c r="C4320" s="103"/>
      <c r="D4320" s="103"/>
      <c r="E4320" s="103"/>
      <c r="F4320" s="103"/>
      <c r="G4320" s="103"/>
      <c r="H4320" s="103"/>
      <c r="I4320" s="103"/>
      <c r="J4320" s="103"/>
      <c r="K4320" s="103"/>
      <c r="L4320" s="1"/>
    </row>
    <row r="4321" spans="1:12" ht="21.75" hidden="1" customHeight="1" x14ac:dyDescent="0.25">
      <c r="A4321" s="1"/>
      <c r="K4321" s="103"/>
      <c r="L4321" s="1"/>
    </row>
    <row r="4322" spans="1:12" ht="21.95" customHeight="1" x14ac:dyDescent="0.25">
      <c r="A4322" s="1"/>
      <c r="B4322" s="95" t="s">
        <v>77</v>
      </c>
      <c r="H4322" s="95" t="s">
        <v>77</v>
      </c>
      <c r="I4322" s="95"/>
      <c r="J4322" s="92"/>
      <c r="K4322" s="103"/>
      <c r="L4322" s="1"/>
    </row>
    <row r="4323" spans="1:12" ht="21.95" customHeight="1" x14ac:dyDescent="0.25">
      <c r="A4323" s="1"/>
      <c r="B4323" s="99" t="s">
        <v>27</v>
      </c>
      <c r="C4323" s="57"/>
      <c r="H4323" s="99" t="s">
        <v>27</v>
      </c>
      <c r="K4323" s="103"/>
    </row>
    <row r="4328" spans="1:12" ht="21.95" customHeight="1" x14ac:dyDescent="0.25">
      <c r="A4328" s="3" t="s">
        <v>22</v>
      </c>
    </row>
    <row r="4329" spans="1:12" ht="21.95" customHeight="1" x14ac:dyDescent="0.2">
      <c r="A4329" s="122" t="s">
        <v>20</v>
      </c>
    </row>
    <row r="4330" spans="1:12" ht="21.95" customHeight="1" x14ac:dyDescent="0.2">
      <c r="A4330" s="122" t="s">
        <v>21</v>
      </c>
    </row>
    <row r="4334" spans="1:12" ht="21.95" customHeight="1" x14ac:dyDescent="0.3">
      <c r="A4334" s="276" t="s">
        <v>6</v>
      </c>
      <c r="B4334" s="276"/>
      <c r="C4334" s="276"/>
      <c r="D4334" s="276"/>
      <c r="E4334" s="276"/>
      <c r="F4334" s="276"/>
      <c r="G4334" s="276"/>
      <c r="H4334" s="276"/>
      <c r="I4334" s="276"/>
      <c r="J4334" s="276"/>
      <c r="K4334" s="276"/>
      <c r="L4334" s="276"/>
    </row>
    <row r="4335" spans="1:12" ht="21.95" customHeight="1" x14ac:dyDescent="0.3">
      <c r="A4335" s="24"/>
      <c r="B4335" s="24"/>
      <c r="C4335" s="24"/>
      <c r="D4335" s="24"/>
      <c r="E4335" s="24"/>
      <c r="F4335" s="24"/>
      <c r="G4335" s="24"/>
      <c r="H4335" s="24"/>
      <c r="I4335" s="24"/>
      <c r="J4335" s="24"/>
      <c r="K4335" s="24"/>
      <c r="L4335" s="24"/>
    </row>
    <row r="4336" spans="1:12" ht="21.95" customHeight="1" x14ac:dyDescent="0.3">
      <c r="A4336" s="24"/>
      <c r="B4336" s="24"/>
      <c r="C4336" s="24"/>
      <c r="D4336" s="24"/>
      <c r="E4336" s="24"/>
      <c r="F4336" s="24"/>
      <c r="G4336" s="24"/>
      <c r="H4336" s="24"/>
      <c r="I4336" s="24"/>
      <c r="J4336" s="24"/>
      <c r="K4336" s="24"/>
      <c r="L4336" s="24"/>
    </row>
    <row r="4337" spans="1:12" ht="21.95" customHeight="1" x14ac:dyDescent="0.25">
      <c r="A4337" s="1"/>
      <c r="B4337" s="1"/>
    </row>
    <row r="4338" spans="1:12" ht="21.95" customHeight="1" x14ac:dyDescent="0.25">
      <c r="A4338" s="1" t="s">
        <v>7</v>
      </c>
      <c r="B4338" s="1"/>
    </row>
    <row r="4339" spans="1:12" ht="21.95" customHeight="1" x14ac:dyDescent="0.25">
      <c r="A4339" s="1"/>
      <c r="B4339" s="1"/>
    </row>
    <row r="4340" spans="1:12" ht="21.95" customHeight="1" x14ac:dyDescent="0.25">
      <c r="A4340" s="1" t="s">
        <v>8</v>
      </c>
      <c r="C4340" s="9" t="s">
        <v>1</v>
      </c>
      <c r="D4340" s="92" t="s">
        <v>96</v>
      </c>
      <c r="E4340" s="76"/>
      <c r="F4340" s="76"/>
      <c r="G4340" s="76"/>
      <c r="H4340" s="76"/>
    </row>
    <row r="4341" spans="1:12" ht="21.95" customHeight="1" x14ac:dyDescent="0.25">
      <c r="A4341" s="1" t="s">
        <v>9</v>
      </c>
      <c r="C4341" s="9" t="s">
        <v>1</v>
      </c>
      <c r="D4341" s="57" t="s">
        <v>200</v>
      </c>
      <c r="E4341" s="76"/>
      <c r="F4341" s="76"/>
      <c r="G4341" s="76"/>
      <c r="H4341" s="76"/>
    </row>
    <row r="4342" spans="1:12" ht="21.95" customHeight="1" x14ac:dyDescent="0.2">
      <c r="A4342" s="50" t="s">
        <v>10</v>
      </c>
      <c r="B4342" s="76"/>
      <c r="C4342" s="91" t="s">
        <v>1</v>
      </c>
      <c r="D4342" s="50" t="s">
        <v>203</v>
      </c>
      <c r="E4342" s="76"/>
      <c r="F4342" s="76"/>
      <c r="G4342" s="76"/>
      <c r="H4342" s="76"/>
      <c r="I4342" s="76"/>
      <c r="J4342" s="76"/>
      <c r="K4342" s="76"/>
      <c r="L4342" s="76"/>
    </row>
    <row r="4343" spans="1:12" ht="14.25" customHeight="1" x14ac:dyDescent="0.25">
      <c r="A4343" s="1"/>
      <c r="B4343" s="1"/>
      <c r="D4343" s="1"/>
    </row>
    <row r="4344" spans="1:12" ht="39.75" customHeight="1" x14ac:dyDescent="0.2">
      <c r="A4344" s="277" t="s">
        <v>504</v>
      </c>
      <c r="B4344" s="277"/>
      <c r="C4344" s="277"/>
      <c r="D4344" s="277"/>
      <c r="E4344" s="277"/>
      <c r="F4344" s="277"/>
      <c r="G4344" s="277"/>
      <c r="H4344" s="277"/>
      <c r="I4344" s="277"/>
      <c r="J4344" s="277"/>
      <c r="K4344" s="277"/>
      <c r="L4344" s="277"/>
    </row>
    <row r="4345" spans="1:12" ht="21.95" customHeight="1" x14ac:dyDescent="0.25">
      <c r="A4345" s="1"/>
      <c r="B4345" s="1"/>
    </row>
    <row r="4346" spans="1:12" ht="41.25" customHeight="1" thickBot="1" x14ac:dyDescent="0.25">
      <c r="A4346" s="10" t="s">
        <v>0</v>
      </c>
      <c r="B4346" s="278" t="s">
        <v>91</v>
      </c>
      <c r="C4346" s="278"/>
      <c r="D4346" s="278"/>
      <c r="E4346" s="278"/>
      <c r="F4346" s="278"/>
      <c r="G4346" s="278"/>
      <c r="H4346" s="278"/>
      <c r="I4346" s="278"/>
      <c r="J4346" s="278"/>
      <c r="K4346" s="278"/>
      <c r="L4346" s="278"/>
    </row>
    <row r="4347" spans="1:12" ht="21.95" customHeight="1" thickTop="1" x14ac:dyDescent="0.25">
      <c r="A4347" s="1"/>
      <c r="B4347" s="11" t="s">
        <v>3</v>
      </c>
      <c r="C4347" s="12" t="s">
        <v>4</v>
      </c>
      <c r="D4347" s="13"/>
      <c r="E4347" s="13"/>
      <c r="F4347" s="13"/>
      <c r="G4347" s="13"/>
      <c r="H4347" s="14"/>
      <c r="I4347" s="15" t="s">
        <v>5</v>
      </c>
      <c r="J4347" s="12" t="s">
        <v>17</v>
      </c>
      <c r="K4347" s="13"/>
      <c r="L4347" s="14"/>
    </row>
    <row r="4348" spans="1:12" ht="21.95" customHeight="1" x14ac:dyDescent="0.2">
      <c r="B4348" s="96">
        <v>1</v>
      </c>
      <c r="C4348" s="140" t="s">
        <v>500</v>
      </c>
      <c r="D4348" s="76"/>
      <c r="E4348" s="150"/>
      <c r="F4348" s="171"/>
      <c r="G4348" s="144"/>
      <c r="H4348" s="79"/>
      <c r="I4348" s="56">
        <v>250000</v>
      </c>
      <c r="J4348" s="76"/>
      <c r="L4348" s="17"/>
    </row>
    <row r="4349" spans="1:12" ht="21.95" customHeight="1" x14ac:dyDescent="0.2">
      <c r="B4349" s="96"/>
      <c r="C4349" s="313"/>
      <c r="D4349" s="314"/>
      <c r="E4349" s="314"/>
      <c r="F4349" s="314"/>
      <c r="G4349" s="314"/>
      <c r="H4349" s="315"/>
      <c r="I4349" s="56"/>
      <c r="L4349" s="17"/>
    </row>
    <row r="4350" spans="1:12" ht="21.95" customHeight="1" x14ac:dyDescent="0.25">
      <c r="A4350" s="1"/>
      <c r="B4350" s="39"/>
      <c r="C4350" s="1"/>
      <c r="D4350" s="1"/>
      <c r="E4350" s="1"/>
      <c r="F4350" s="40" t="s">
        <v>5</v>
      </c>
      <c r="G4350" s="40"/>
      <c r="H4350" s="1"/>
      <c r="I4350" s="41">
        <f>I4348</f>
        <v>250000</v>
      </c>
      <c r="J4350" s="1"/>
      <c r="K4350" s="1"/>
      <c r="L4350" s="42"/>
    </row>
    <row r="4351" spans="1:12" ht="21.95" customHeight="1" thickBot="1" x14ac:dyDescent="0.3">
      <c r="A4351" s="1"/>
      <c r="B4351" s="43"/>
      <c r="C4351" s="44"/>
      <c r="D4351" s="44"/>
      <c r="E4351" s="44"/>
      <c r="F4351" s="45"/>
      <c r="G4351" s="45"/>
      <c r="H4351" s="44"/>
      <c r="I4351" s="46"/>
      <c r="J4351" s="44"/>
      <c r="K4351" s="44"/>
      <c r="L4351" s="47"/>
    </row>
    <row r="4352" spans="1:12" ht="21.95" customHeight="1" thickTop="1" x14ac:dyDescent="0.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</row>
    <row r="4353" spans="1:12" ht="48.75" customHeight="1" x14ac:dyDescent="0.2">
      <c r="A4353" s="10" t="s">
        <v>2</v>
      </c>
      <c r="B4353" s="279" t="s">
        <v>11</v>
      </c>
      <c r="C4353" s="279"/>
      <c r="D4353" s="279"/>
      <c r="E4353" s="279"/>
      <c r="F4353" s="279"/>
      <c r="G4353" s="279"/>
      <c r="H4353" s="279"/>
      <c r="I4353" s="279"/>
      <c r="J4353" s="279"/>
      <c r="K4353" s="279"/>
      <c r="L4353" s="279"/>
    </row>
    <row r="4354" spans="1:12" ht="21.95" customHeight="1" x14ac:dyDescent="0.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</row>
    <row r="4355" spans="1:12" ht="21.95" customHeight="1" x14ac:dyDescent="0.2">
      <c r="A4355" s="280" t="s">
        <v>12</v>
      </c>
      <c r="B4355" s="280"/>
      <c r="C4355" s="280"/>
      <c r="D4355" s="280"/>
      <c r="E4355" s="280"/>
      <c r="F4355" s="280"/>
      <c r="G4355" s="280"/>
      <c r="H4355" s="280"/>
      <c r="I4355" s="280"/>
      <c r="J4355" s="280"/>
      <c r="K4355" s="280"/>
      <c r="L4355" s="280"/>
    </row>
    <row r="4356" spans="1:12" ht="21.95" customHeight="1" x14ac:dyDescent="0.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</row>
    <row r="4357" spans="1:12" ht="21.95" customHeight="1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</row>
    <row r="4358" spans="1:12" ht="21.95" customHeight="1" x14ac:dyDescent="0.25">
      <c r="A4358" s="1"/>
      <c r="B4358" s="1"/>
      <c r="C4358" s="1"/>
      <c r="D4358" s="1"/>
      <c r="E4358" s="1"/>
      <c r="F4358" s="1"/>
      <c r="G4358" s="1"/>
      <c r="H4358" s="4" t="s">
        <v>199</v>
      </c>
      <c r="J4358" s="286" t="s">
        <v>503</v>
      </c>
      <c r="K4358" s="286"/>
      <c r="L4358" s="286"/>
    </row>
    <row r="4359" spans="1:12" ht="14.25" customHeight="1" x14ac:dyDescent="0.25">
      <c r="A4359" s="1"/>
      <c r="B4359" s="1" t="s">
        <v>15</v>
      </c>
      <c r="C4359" s="1"/>
      <c r="D4359" s="1"/>
      <c r="E4359" s="1"/>
      <c r="F4359" s="1"/>
      <c r="G4359" s="1"/>
      <c r="H4359" s="4" t="s">
        <v>13</v>
      </c>
    </row>
    <row r="4360" spans="1:12" ht="21.95" customHeight="1" x14ac:dyDescent="0.2">
      <c r="A4360" s="48"/>
      <c r="B4360" s="48" t="s">
        <v>18</v>
      </c>
      <c r="C4360" s="48"/>
      <c r="D4360" s="48"/>
      <c r="E4360" s="48"/>
      <c r="F4360" s="48"/>
      <c r="G4360" s="48"/>
      <c r="H4360" s="99" t="s">
        <v>14</v>
      </c>
      <c r="I4360" s="99"/>
      <c r="J4360" s="99"/>
      <c r="K4360" s="99"/>
      <c r="L4360" s="99"/>
    </row>
    <row r="4361" spans="1:12" ht="21.95" customHeight="1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</row>
    <row r="4362" spans="1:12" ht="5.25" customHeight="1" x14ac:dyDescent="0.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</row>
    <row r="4363" spans="1:12" ht="3.75" customHeight="1" x14ac:dyDescent="0.25">
      <c r="A4363" s="1"/>
      <c r="B4363" s="103"/>
      <c r="C4363" s="103"/>
      <c r="D4363" s="103"/>
      <c r="E4363" s="103"/>
      <c r="F4363" s="103"/>
      <c r="G4363" s="103"/>
      <c r="H4363" s="103"/>
      <c r="I4363" s="103"/>
      <c r="J4363" s="103"/>
      <c r="K4363" s="103"/>
      <c r="L4363" s="1"/>
    </row>
    <row r="4364" spans="1:12" ht="21.95" customHeight="1" x14ac:dyDescent="0.25">
      <c r="A4364" s="1"/>
      <c r="K4364" s="103"/>
      <c r="L4364" s="1"/>
    </row>
    <row r="4365" spans="1:12" ht="21.95" customHeight="1" x14ac:dyDescent="0.25">
      <c r="A4365" s="1"/>
      <c r="B4365" s="95" t="s">
        <v>77</v>
      </c>
      <c r="H4365" s="26" t="s">
        <v>96</v>
      </c>
      <c r="I4365" s="95"/>
      <c r="J4365" s="92"/>
      <c r="K4365" s="103"/>
      <c r="L4365" s="1"/>
    </row>
    <row r="4366" spans="1:12" ht="21.95" customHeight="1" x14ac:dyDescent="0.25">
      <c r="A4366" s="1"/>
      <c r="B4366" s="99" t="s">
        <v>27</v>
      </c>
      <c r="C4366" s="57"/>
      <c r="H4366" s="28" t="s">
        <v>100</v>
      </c>
      <c r="K4366" s="103"/>
    </row>
    <row r="4370" spans="1:12" ht="21.95" customHeight="1" x14ac:dyDescent="0.25">
      <c r="A4370" s="3" t="s">
        <v>22</v>
      </c>
    </row>
    <row r="4371" spans="1:12" ht="21.95" customHeight="1" x14ac:dyDescent="0.2">
      <c r="A4371" s="122" t="s">
        <v>20</v>
      </c>
    </row>
    <row r="4372" spans="1:12" ht="21.95" customHeight="1" x14ac:dyDescent="0.2">
      <c r="A4372" s="122" t="s">
        <v>21</v>
      </c>
    </row>
    <row r="4376" spans="1:12" ht="21.95" customHeight="1" x14ac:dyDescent="0.3">
      <c r="A4376" s="276" t="s">
        <v>6</v>
      </c>
      <c r="B4376" s="276"/>
      <c r="C4376" s="276"/>
      <c r="D4376" s="276"/>
      <c r="E4376" s="276"/>
      <c r="F4376" s="276"/>
      <c r="G4376" s="276"/>
      <c r="H4376" s="276"/>
      <c r="I4376" s="276"/>
      <c r="J4376" s="276"/>
      <c r="K4376" s="276"/>
      <c r="L4376" s="276"/>
    </row>
    <row r="4377" spans="1:12" ht="21.95" customHeight="1" x14ac:dyDescent="0.3">
      <c r="A4377" s="24"/>
      <c r="B4377" s="24"/>
      <c r="C4377" s="24"/>
      <c r="D4377" s="24"/>
      <c r="E4377" s="24"/>
      <c r="F4377" s="24"/>
      <c r="G4377" s="24"/>
      <c r="H4377" s="24"/>
      <c r="I4377" s="24"/>
      <c r="J4377" s="24"/>
      <c r="K4377" s="24"/>
      <c r="L4377" s="24"/>
    </row>
    <row r="4378" spans="1:12" ht="21.95" customHeight="1" x14ac:dyDescent="0.3">
      <c r="A4378" s="24"/>
      <c r="B4378" s="24"/>
      <c r="C4378" s="24"/>
      <c r="D4378" s="24"/>
      <c r="E4378" s="24"/>
      <c r="F4378" s="24"/>
      <c r="G4378" s="24"/>
      <c r="H4378" s="24"/>
      <c r="I4378" s="24"/>
      <c r="J4378" s="24"/>
      <c r="K4378" s="24"/>
      <c r="L4378" s="24"/>
    </row>
    <row r="4379" spans="1:12" ht="21.95" customHeight="1" x14ac:dyDescent="0.25">
      <c r="A4379" s="1"/>
      <c r="B4379" s="1"/>
    </row>
    <row r="4380" spans="1:12" ht="21.95" customHeight="1" x14ac:dyDescent="0.25">
      <c r="A4380" s="1" t="s">
        <v>7</v>
      </c>
      <c r="B4380" s="1"/>
    </row>
    <row r="4381" spans="1:12" ht="21.95" customHeight="1" x14ac:dyDescent="0.25">
      <c r="A4381" s="1"/>
      <c r="B4381" s="1"/>
    </row>
    <row r="4382" spans="1:12" ht="21.95" customHeight="1" x14ac:dyDescent="0.25">
      <c r="A4382" s="1" t="s">
        <v>8</v>
      </c>
      <c r="C4382" s="9" t="s">
        <v>1</v>
      </c>
      <c r="D4382" s="33" t="s">
        <v>78</v>
      </c>
      <c r="E4382" s="76"/>
      <c r="F4382" s="76"/>
      <c r="G4382" s="76"/>
      <c r="H4382" s="76"/>
    </row>
    <row r="4383" spans="1:12" ht="21.95" customHeight="1" x14ac:dyDescent="0.25">
      <c r="A4383" s="1" t="s">
        <v>9</v>
      </c>
      <c r="C4383" s="9" t="s">
        <v>1</v>
      </c>
      <c r="D4383" s="27" t="s">
        <v>234</v>
      </c>
      <c r="E4383" s="76"/>
      <c r="F4383" s="76"/>
      <c r="G4383" s="76"/>
      <c r="H4383" s="76"/>
    </row>
    <row r="4384" spans="1:12" ht="21.95" customHeight="1" x14ac:dyDescent="0.2">
      <c r="A4384" s="50" t="s">
        <v>10</v>
      </c>
      <c r="B4384" s="76"/>
      <c r="C4384" s="91" t="s">
        <v>1</v>
      </c>
      <c r="D4384" s="50" t="s">
        <v>235</v>
      </c>
      <c r="E4384" s="76"/>
      <c r="F4384" s="76"/>
      <c r="G4384" s="76"/>
      <c r="H4384" s="76"/>
      <c r="I4384" s="76"/>
      <c r="J4384" s="76"/>
      <c r="K4384" s="76"/>
      <c r="L4384" s="76"/>
    </row>
    <row r="4385" spans="1:12" ht="21.95" customHeight="1" x14ac:dyDescent="0.25">
      <c r="A4385" s="1"/>
      <c r="B4385" s="1"/>
      <c r="D4385" s="1"/>
    </row>
    <row r="4386" spans="1:12" ht="31.5" customHeight="1" x14ac:dyDescent="0.2">
      <c r="A4386" s="277" t="s">
        <v>504</v>
      </c>
      <c r="B4386" s="277"/>
      <c r="C4386" s="277"/>
      <c r="D4386" s="277"/>
      <c r="E4386" s="277"/>
      <c r="F4386" s="277"/>
      <c r="G4386" s="277"/>
      <c r="H4386" s="277"/>
      <c r="I4386" s="277"/>
      <c r="J4386" s="277"/>
      <c r="K4386" s="277"/>
      <c r="L4386" s="277"/>
    </row>
    <row r="4387" spans="1:12" ht="21.95" customHeight="1" x14ac:dyDescent="0.25">
      <c r="A4387" s="1"/>
      <c r="B4387" s="1"/>
    </row>
    <row r="4388" spans="1:12" ht="38.25" customHeight="1" thickBot="1" x14ac:dyDescent="0.25">
      <c r="A4388" s="10" t="s">
        <v>0</v>
      </c>
      <c r="B4388" s="278" t="s">
        <v>91</v>
      </c>
      <c r="C4388" s="278"/>
      <c r="D4388" s="278"/>
      <c r="E4388" s="278"/>
      <c r="F4388" s="278"/>
      <c r="G4388" s="278"/>
      <c r="H4388" s="278"/>
      <c r="I4388" s="278"/>
      <c r="J4388" s="278"/>
      <c r="K4388" s="278"/>
      <c r="L4388" s="278"/>
    </row>
    <row r="4389" spans="1:12" ht="21.95" customHeight="1" thickTop="1" x14ac:dyDescent="0.25">
      <c r="A4389" s="1"/>
      <c r="B4389" s="11" t="s">
        <v>3</v>
      </c>
      <c r="C4389" s="12" t="s">
        <v>4</v>
      </c>
      <c r="D4389" s="13"/>
      <c r="E4389" s="13"/>
      <c r="F4389" s="13"/>
      <c r="G4389" s="13"/>
      <c r="H4389" s="14"/>
      <c r="I4389" s="15" t="s">
        <v>5</v>
      </c>
      <c r="J4389" s="12" t="s">
        <v>17</v>
      </c>
      <c r="K4389" s="13"/>
      <c r="L4389" s="14"/>
    </row>
    <row r="4390" spans="1:12" ht="21.95" customHeight="1" x14ac:dyDescent="0.2">
      <c r="B4390" s="96">
        <v>1</v>
      </c>
      <c r="C4390" s="140" t="s">
        <v>500</v>
      </c>
      <c r="D4390" s="76"/>
      <c r="E4390" s="150"/>
      <c r="F4390" s="171"/>
      <c r="G4390" s="144"/>
      <c r="H4390" s="79"/>
      <c r="I4390" s="56">
        <v>250000</v>
      </c>
      <c r="J4390" s="76"/>
      <c r="L4390" s="17"/>
    </row>
    <row r="4391" spans="1:12" ht="21.95" customHeight="1" x14ac:dyDescent="0.2">
      <c r="B4391" s="96"/>
      <c r="C4391" s="313"/>
      <c r="D4391" s="314"/>
      <c r="E4391" s="314"/>
      <c r="F4391" s="314"/>
      <c r="G4391" s="314"/>
      <c r="H4391" s="315"/>
      <c r="I4391" s="56"/>
      <c r="L4391" s="17"/>
    </row>
    <row r="4392" spans="1:12" ht="21.95" customHeight="1" x14ac:dyDescent="0.25">
      <c r="A4392" s="1"/>
      <c r="B4392" s="39"/>
      <c r="C4392" s="1"/>
      <c r="D4392" s="1"/>
      <c r="E4392" s="1"/>
      <c r="F4392" s="40" t="s">
        <v>5</v>
      </c>
      <c r="G4392" s="40"/>
      <c r="H4392" s="1"/>
      <c r="I4392" s="41">
        <f>I4390</f>
        <v>250000</v>
      </c>
      <c r="J4392" s="1"/>
      <c r="K4392" s="1"/>
      <c r="L4392" s="42"/>
    </row>
    <row r="4393" spans="1:12" ht="21.95" customHeight="1" thickBot="1" x14ac:dyDescent="0.3">
      <c r="A4393" s="1"/>
      <c r="B4393" s="43"/>
      <c r="C4393" s="44"/>
      <c r="D4393" s="44"/>
      <c r="E4393" s="44"/>
      <c r="F4393" s="45"/>
      <c r="G4393" s="45"/>
      <c r="H4393" s="44"/>
      <c r="I4393" s="46"/>
      <c r="J4393" s="44"/>
      <c r="K4393" s="44"/>
      <c r="L4393" s="47"/>
    </row>
    <row r="4394" spans="1:12" ht="21.95" customHeight="1" thickTop="1" x14ac:dyDescent="0.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</row>
    <row r="4395" spans="1:12" ht="51" customHeight="1" x14ac:dyDescent="0.2">
      <c r="A4395" s="10" t="s">
        <v>2</v>
      </c>
      <c r="B4395" s="279" t="s">
        <v>11</v>
      </c>
      <c r="C4395" s="279"/>
      <c r="D4395" s="279"/>
      <c r="E4395" s="279"/>
      <c r="F4395" s="279"/>
      <c r="G4395" s="279"/>
      <c r="H4395" s="279"/>
      <c r="I4395" s="279"/>
      <c r="J4395" s="279"/>
      <c r="K4395" s="279"/>
      <c r="L4395" s="279"/>
    </row>
    <row r="4396" spans="1:12" ht="21.95" customHeight="1" x14ac:dyDescent="0.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</row>
    <row r="4397" spans="1:12" ht="21.95" customHeight="1" x14ac:dyDescent="0.2">
      <c r="A4397" s="280" t="s">
        <v>12</v>
      </c>
      <c r="B4397" s="280"/>
      <c r="C4397" s="280"/>
      <c r="D4397" s="280"/>
      <c r="E4397" s="280"/>
      <c r="F4397" s="280"/>
      <c r="G4397" s="280"/>
      <c r="H4397" s="280"/>
      <c r="I4397" s="280"/>
      <c r="J4397" s="280"/>
      <c r="K4397" s="280"/>
      <c r="L4397" s="280"/>
    </row>
    <row r="4398" spans="1:12" ht="21.95" customHeight="1" x14ac:dyDescent="0.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</row>
    <row r="4399" spans="1:12" ht="21.95" customHeight="1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</row>
    <row r="4400" spans="1:12" ht="21.95" customHeight="1" x14ac:dyDescent="0.25">
      <c r="A4400" s="1"/>
      <c r="B4400" s="1"/>
      <c r="C4400" s="1"/>
      <c r="D4400" s="1"/>
      <c r="E4400" s="1"/>
      <c r="F4400" s="1"/>
      <c r="G4400" s="1"/>
      <c r="H4400" s="4" t="s">
        <v>199</v>
      </c>
      <c r="J4400" s="286" t="s">
        <v>503</v>
      </c>
      <c r="K4400" s="286"/>
      <c r="L4400" s="286"/>
    </row>
    <row r="4401" spans="1:12" ht="12" customHeight="1" x14ac:dyDescent="0.25">
      <c r="A4401" s="1"/>
      <c r="B4401" s="1" t="s">
        <v>15</v>
      </c>
      <c r="C4401" s="1"/>
      <c r="D4401" s="1"/>
      <c r="E4401" s="1"/>
      <c r="F4401" s="1"/>
      <c r="G4401" s="1"/>
      <c r="H4401" s="4" t="s">
        <v>13</v>
      </c>
    </row>
    <row r="4402" spans="1:12" ht="21.95" customHeight="1" x14ac:dyDescent="0.2">
      <c r="A4402" s="48"/>
      <c r="B4402" s="48" t="s">
        <v>18</v>
      </c>
      <c r="C4402" s="48"/>
      <c r="D4402" s="48"/>
      <c r="E4402" s="48"/>
      <c r="F4402" s="48"/>
      <c r="G4402" s="48"/>
      <c r="H4402" s="99" t="s">
        <v>14</v>
      </c>
      <c r="I4402" s="99"/>
      <c r="J4402" s="99"/>
      <c r="K4402" s="99"/>
      <c r="L4402" s="99"/>
    </row>
    <row r="4403" spans="1:12" ht="21.95" customHeight="1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</row>
    <row r="4404" spans="1:12" ht="8.25" customHeight="1" x14ac:dyDescent="0.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</row>
    <row r="4405" spans="1:12" ht="21.75" hidden="1" customHeight="1" x14ac:dyDescent="0.25">
      <c r="A4405" s="1"/>
      <c r="B4405" s="103"/>
      <c r="C4405" s="103"/>
      <c r="D4405" s="103"/>
      <c r="E4405" s="103"/>
      <c r="F4405" s="103"/>
      <c r="G4405" s="103"/>
      <c r="H4405" s="103"/>
      <c r="I4405" s="103"/>
      <c r="J4405" s="103"/>
      <c r="K4405" s="103"/>
      <c r="L4405" s="1"/>
    </row>
    <row r="4406" spans="1:12" ht="21.95" customHeight="1" x14ac:dyDescent="0.25">
      <c r="A4406" s="1"/>
      <c r="K4406" s="103"/>
      <c r="L4406" s="1"/>
    </row>
    <row r="4407" spans="1:12" ht="21.95" customHeight="1" x14ac:dyDescent="0.25">
      <c r="A4407" s="1"/>
      <c r="B4407" s="95" t="s">
        <v>77</v>
      </c>
      <c r="H4407" s="26" t="s">
        <v>78</v>
      </c>
      <c r="I4407" s="95"/>
      <c r="J4407" s="92"/>
      <c r="K4407" s="103"/>
      <c r="L4407" s="1"/>
    </row>
    <row r="4408" spans="1:12" ht="21.95" customHeight="1" x14ac:dyDescent="0.25">
      <c r="A4408" s="1"/>
      <c r="B4408" s="99" t="s">
        <v>27</v>
      </c>
      <c r="C4408" s="57"/>
      <c r="H4408" s="28" t="s">
        <v>79</v>
      </c>
      <c r="K4408" s="103"/>
    </row>
    <row r="4411" spans="1:12" ht="21.95" customHeight="1" x14ac:dyDescent="0.25">
      <c r="A4411" s="3" t="s">
        <v>22</v>
      </c>
    </row>
    <row r="4412" spans="1:12" ht="21.95" customHeight="1" x14ac:dyDescent="0.2">
      <c r="A4412" s="122" t="s">
        <v>20</v>
      </c>
    </row>
    <row r="4413" spans="1:12" ht="21.95" customHeight="1" x14ac:dyDescent="0.2">
      <c r="A4413" s="122" t="s">
        <v>21</v>
      </c>
    </row>
    <row r="4417" spans="1:12" ht="21.95" customHeight="1" x14ac:dyDescent="0.3">
      <c r="A4417" s="276" t="s">
        <v>6</v>
      </c>
      <c r="B4417" s="276"/>
      <c r="C4417" s="276"/>
      <c r="D4417" s="276"/>
      <c r="E4417" s="276"/>
      <c r="F4417" s="276"/>
      <c r="G4417" s="276"/>
      <c r="H4417" s="276"/>
      <c r="I4417" s="276"/>
      <c r="J4417" s="276"/>
      <c r="K4417" s="276"/>
      <c r="L4417" s="276"/>
    </row>
    <row r="4418" spans="1:12" ht="21.95" customHeight="1" x14ac:dyDescent="0.3">
      <c r="A4418" s="24"/>
      <c r="B4418" s="24"/>
      <c r="C4418" s="24"/>
      <c r="D4418" s="24"/>
      <c r="E4418" s="24"/>
      <c r="F4418" s="24"/>
      <c r="G4418" s="24"/>
      <c r="H4418" s="24"/>
      <c r="I4418" s="24"/>
      <c r="J4418" s="24"/>
      <c r="K4418" s="24"/>
      <c r="L4418" s="24"/>
    </row>
    <row r="4419" spans="1:12" ht="21.95" customHeight="1" x14ac:dyDescent="0.3">
      <c r="A4419" s="24"/>
      <c r="B4419" s="24"/>
      <c r="C4419" s="24"/>
      <c r="D4419" s="24"/>
      <c r="E4419" s="24"/>
      <c r="F4419" s="24"/>
      <c r="G4419" s="24"/>
      <c r="H4419" s="24"/>
      <c r="I4419" s="24"/>
      <c r="J4419" s="24"/>
      <c r="K4419" s="24"/>
      <c r="L4419" s="24"/>
    </row>
    <row r="4420" spans="1:12" ht="21.95" customHeight="1" x14ac:dyDescent="0.25">
      <c r="A4420" s="1"/>
      <c r="B4420" s="1"/>
    </row>
    <row r="4421" spans="1:12" ht="21.95" customHeight="1" x14ac:dyDescent="0.25">
      <c r="A4421" s="1" t="s">
        <v>7</v>
      </c>
      <c r="B4421" s="1"/>
    </row>
    <row r="4422" spans="1:12" ht="21.95" customHeight="1" x14ac:dyDescent="0.25">
      <c r="A4422" s="1"/>
      <c r="B4422" s="1"/>
    </row>
    <row r="4423" spans="1:12" ht="21.95" customHeight="1" x14ac:dyDescent="0.25">
      <c r="A4423" s="1" t="s">
        <v>8</v>
      </c>
      <c r="C4423" s="9" t="s">
        <v>1</v>
      </c>
      <c r="D4423" s="33" t="s">
        <v>78</v>
      </c>
      <c r="E4423" s="76"/>
      <c r="F4423" s="76"/>
      <c r="G4423" s="76"/>
      <c r="H4423" s="76"/>
    </row>
    <row r="4424" spans="1:12" ht="21.95" customHeight="1" x14ac:dyDescent="0.25">
      <c r="A4424" s="1" t="s">
        <v>9</v>
      </c>
      <c r="C4424" s="9" t="s">
        <v>1</v>
      </c>
      <c r="D4424" s="27" t="s">
        <v>234</v>
      </c>
      <c r="E4424" s="76"/>
      <c r="F4424" s="76"/>
      <c r="G4424" s="76"/>
      <c r="H4424" s="76"/>
    </row>
    <row r="4425" spans="1:12" ht="21.95" customHeight="1" x14ac:dyDescent="0.2">
      <c r="A4425" s="50" t="s">
        <v>10</v>
      </c>
      <c r="B4425" s="76"/>
      <c r="C4425" s="91" t="s">
        <v>1</v>
      </c>
      <c r="D4425" s="50" t="s">
        <v>235</v>
      </c>
      <c r="E4425" s="76"/>
      <c r="F4425" s="76"/>
      <c r="G4425" s="76"/>
      <c r="H4425" s="76"/>
      <c r="I4425" s="76"/>
      <c r="J4425" s="76"/>
      <c r="K4425" s="76"/>
      <c r="L4425" s="76"/>
    </row>
    <row r="4426" spans="1:12" ht="21.95" customHeight="1" x14ac:dyDescent="0.25">
      <c r="A4426" s="1"/>
      <c r="B4426" s="1"/>
      <c r="D4426" s="1"/>
    </row>
    <row r="4427" spans="1:12" ht="33.75" customHeight="1" x14ac:dyDescent="0.2">
      <c r="A4427" s="277" t="s">
        <v>505</v>
      </c>
      <c r="B4427" s="277"/>
      <c r="C4427" s="277"/>
      <c r="D4427" s="277"/>
      <c r="E4427" s="277"/>
      <c r="F4427" s="277"/>
      <c r="G4427" s="277"/>
      <c r="H4427" s="277"/>
      <c r="I4427" s="277"/>
      <c r="J4427" s="277"/>
      <c r="K4427" s="277"/>
      <c r="L4427" s="277"/>
    </row>
    <row r="4428" spans="1:12" ht="21.95" customHeight="1" x14ac:dyDescent="0.25">
      <c r="A4428" s="1"/>
      <c r="B4428" s="1"/>
    </row>
    <row r="4429" spans="1:12" ht="38.25" customHeight="1" thickBot="1" x14ac:dyDescent="0.25">
      <c r="A4429" s="10" t="s">
        <v>0</v>
      </c>
      <c r="B4429" s="278" t="s">
        <v>91</v>
      </c>
      <c r="C4429" s="278"/>
      <c r="D4429" s="278"/>
      <c r="E4429" s="278"/>
      <c r="F4429" s="278"/>
      <c r="G4429" s="278"/>
      <c r="H4429" s="278"/>
      <c r="I4429" s="278"/>
      <c r="J4429" s="278"/>
      <c r="K4429" s="278"/>
      <c r="L4429" s="278"/>
    </row>
    <row r="4430" spans="1:12" ht="21.95" customHeight="1" thickTop="1" x14ac:dyDescent="0.25">
      <c r="A4430" s="1"/>
      <c r="B4430" s="11" t="s">
        <v>3</v>
      </c>
      <c r="C4430" s="12" t="s">
        <v>4</v>
      </c>
      <c r="D4430" s="13"/>
      <c r="E4430" s="13"/>
      <c r="F4430" s="13"/>
      <c r="G4430" s="13"/>
      <c r="H4430" s="14"/>
      <c r="I4430" s="15" t="s">
        <v>5</v>
      </c>
      <c r="J4430" s="12" t="s">
        <v>17</v>
      </c>
      <c r="K4430" s="13"/>
      <c r="L4430" s="14"/>
    </row>
    <row r="4431" spans="1:12" ht="21.95" customHeight="1" x14ac:dyDescent="0.2">
      <c r="B4431" s="96">
        <v>1</v>
      </c>
      <c r="C4431" s="140" t="s">
        <v>506</v>
      </c>
      <c r="D4431" s="76"/>
      <c r="E4431" s="150"/>
      <c r="F4431" s="171"/>
      <c r="G4431" s="144"/>
      <c r="H4431" s="79"/>
      <c r="I4431" s="56">
        <v>150000</v>
      </c>
      <c r="J4431" s="76"/>
      <c r="L4431" s="17"/>
    </row>
    <row r="4432" spans="1:12" ht="21.95" customHeight="1" x14ac:dyDescent="0.2">
      <c r="B4432" s="96"/>
      <c r="C4432" s="313"/>
      <c r="D4432" s="314"/>
      <c r="E4432" s="314"/>
      <c r="F4432" s="314"/>
      <c r="G4432" s="314"/>
      <c r="H4432" s="315"/>
      <c r="I4432" s="56"/>
      <c r="L4432" s="17"/>
    </row>
    <row r="4433" spans="1:12" ht="21.95" customHeight="1" x14ac:dyDescent="0.25">
      <c r="A4433" s="1"/>
      <c r="B4433" s="39"/>
      <c r="C4433" s="1"/>
      <c r="D4433" s="1"/>
      <c r="E4433" s="1"/>
      <c r="F4433" s="40" t="s">
        <v>5</v>
      </c>
      <c r="G4433" s="40"/>
      <c r="H4433" s="1"/>
      <c r="I4433" s="41">
        <f>I4431</f>
        <v>150000</v>
      </c>
      <c r="J4433" s="1"/>
      <c r="K4433" s="1"/>
      <c r="L4433" s="42"/>
    </row>
    <row r="4434" spans="1:12" ht="21.95" customHeight="1" thickBot="1" x14ac:dyDescent="0.3">
      <c r="A4434" s="1"/>
      <c r="B4434" s="43"/>
      <c r="C4434" s="44"/>
      <c r="D4434" s="44"/>
      <c r="E4434" s="44"/>
      <c r="F4434" s="45"/>
      <c r="G4434" s="45"/>
      <c r="H4434" s="44"/>
      <c r="I4434" s="46"/>
      <c r="J4434" s="44"/>
      <c r="K4434" s="44"/>
      <c r="L4434" s="47"/>
    </row>
    <row r="4435" spans="1:12" ht="21.95" customHeight="1" thickTop="1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</row>
    <row r="4436" spans="1:12" ht="49.5" customHeight="1" x14ac:dyDescent="0.2">
      <c r="A4436" s="10" t="s">
        <v>2</v>
      </c>
      <c r="B4436" s="279" t="s">
        <v>11</v>
      </c>
      <c r="C4436" s="279"/>
      <c r="D4436" s="279"/>
      <c r="E4436" s="279"/>
      <c r="F4436" s="279"/>
      <c r="G4436" s="279"/>
      <c r="H4436" s="279"/>
      <c r="I4436" s="279"/>
      <c r="J4436" s="279"/>
      <c r="K4436" s="279"/>
      <c r="L4436" s="279"/>
    </row>
    <row r="4437" spans="1:12" ht="21.95" customHeight="1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</row>
    <row r="4438" spans="1:12" ht="21.95" customHeight="1" x14ac:dyDescent="0.2">
      <c r="A4438" s="280" t="s">
        <v>12</v>
      </c>
      <c r="B4438" s="280"/>
      <c r="C4438" s="280"/>
      <c r="D4438" s="280"/>
      <c r="E4438" s="280"/>
      <c r="F4438" s="280"/>
      <c r="G4438" s="280"/>
      <c r="H4438" s="280"/>
      <c r="I4438" s="280"/>
      <c r="J4438" s="280"/>
      <c r="K4438" s="280"/>
      <c r="L4438" s="280"/>
    </row>
    <row r="4439" spans="1:12" ht="21.95" customHeight="1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</row>
    <row r="4440" spans="1:12" ht="21.95" customHeight="1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</row>
    <row r="4441" spans="1:12" ht="21.95" customHeight="1" x14ac:dyDescent="0.25">
      <c r="A4441" s="1"/>
      <c r="B4441" s="1"/>
      <c r="C4441" s="1"/>
      <c r="D4441" s="1"/>
      <c r="E4441" s="1"/>
      <c r="F4441" s="1"/>
      <c r="G4441" s="1"/>
      <c r="H4441" s="4" t="s">
        <v>199</v>
      </c>
      <c r="J4441" s="286" t="s">
        <v>498</v>
      </c>
      <c r="K4441" s="286"/>
      <c r="L4441" s="286"/>
    </row>
    <row r="4442" spans="1:12" ht="13.5" customHeight="1" x14ac:dyDescent="0.25">
      <c r="A4442" s="1"/>
      <c r="B4442" s="1" t="s">
        <v>15</v>
      </c>
      <c r="C4442" s="1"/>
      <c r="D4442" s="1"/>
      <c r="E4442" s="1"/>
      <c r="F4442" s="1"/>
      <c r="G4442" s="1"/>
      <c r="H4442" s="4" t="s">
        <v>13</v>
      </c>
    </row>
    <row r="4443" spans="1:12" ht="21.95" customHeight="1" x14ac:dyDescent="0.2">
      <c r="A4443" s="48"/>
      <c r="B4443" s="48" t="s">
        <v>18</v>
      </c>
      <c r="C4443" s="48"/>
      <c r="D4443" s="48"/>
      <c r="E4443" s="48"/>
      <c r="F4443" s="48"/>
      <c r="G4443" s="48"/>
      <c r="H4443" s="99" t="s">
        <v>14</v>
      </c>
      <c r="I4443" s="99"/>
      <c r="J4443" s="99"/>
      <c r="K4443" s="99"/>
      <c r="L4443" s="99"/>
    </row>
    <row r="4444" spans="1:12" ht="15" customHeight="1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</row>
    <row r="4445" spans="1:12" ht="9" hidden="1" customHeight="1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</row>
    <row r="4446" spans="1:12" ht="21.75" hidden="1" customHeight="1" x14ac:dyDescent="0.25">
      <c r="A4446" s="1"/>
      <c r="B4446" s="103"/>
      <c r="C4446" s="103"/>
      <c r="D4446" s="103"/>
      <c r="E4446" s="103"/>
      <c r="F4446" s="103"/>
      <c r="G4446" s="103"/>
      <c r="H4446" s="103"/>
      <c r="I4446" s="103"/>
      <c r="J4446" s="103"/>
      <c r="K4446" s="103"/>
      <c r="L4446" s="1"/>
    </row>
    <row r="4447" spans="1:12" ht="21.95" customHeight="1" x14ac:dyDescent="0.25">
      <c r="A4447" s="1"/>
      <c r="K4447" s="103"/>
      <c r="L4447" s="1"/>
    </row>
    <row r="4448" spans="1:12" ht="21.95" customHeight="1" x14ac:dyDescent="0.25">
      <c r="A4448" s="1"/>
      <c r="B4448" s="95" t="s">
        <v>77</v>
      </c>
      <c r="H4448" s="26" t="s">
        <v>78</v>
      </c>
      <c r="I4448" s="95"/>
      <c r="J4448" s="92"/>
      <c r="K4448" s="103"/>
      <c r="L4448" s="1"/>
    </row>
    <row r="4449" spans="1:12" ht="21.95" customHeight="1" x14ac:dyDescent="0.25">
      <c r="A4449" s="1"/>
      <c r="B4449" s="99" t="s">
        <v>27</v>
      </c>
      <c r="C4449" s="57"/>
      <c r="H4449" s="28" t="s">
        <v>79</v>
      </c>
      <c r="K4449" s="103"/>
    </row>
    <row r="4454" spans="1:12" ht="21.95" customHeight="1" x14ac:dyDescent="0.25">
      <c r="A4454" s="3" t="s">
        <v>22</v>
      </c>
    </row>
    <row r="4455" spans="1:12" ht="21.95" customHeight="1" x14ac:dyDescent="0.2">
      <c r="A4455" s="122" t="s">
        <v>20</v>
      </c>
    </row>
    <row r="4456" spans="1:12" ht="21.95" customHeight="1" x14ac:dyDescent="0.2">
      <c r="A4456" s="122" t="s">
        <v>21</v>
      </c>
    </row>
    <row r="4460" spans="1:12" ht="21.95" customHeight="1" x14ac:dyDescent="0.3">
      <c r="A4460" s="276" t="s">
        <v>6</v>
      </c>
      <c r="B4460" s="276"/>
      <c r="C4460" s="276"/>
      <c r="D4460" s="276"/>
      <c r="E4460" s="276"/>
      <c r="F4460" s="276"/>
      <c r="G4460" s="276"/>
      <c r="H4460" s="276"/>
      <c r="I4460" s="276"/>
      <c r="J4460" s="276"/>
      <c r="K4460" s="276"/>
      <c r="L4460" s="276"/>
    </row>
    <row r="4461" spans="1:12" ht="21.95" customHeight="1" x14ac:dyDescent="0.3">
      <c r="A4461" s="24"/>
      <c r="B4461" s="24"/>
      <c r="C4461" s="24"/>
      <c r="D4461" s="24"/>
      <c r="E4461" s="24"/>
      <c r="F4461" s="24"/>
      <c r="G4461" s="24"/>
      <c r="H4461" s="24"/>
      <c r="I4461" s="24"/>
      <c r="J4461" s="24"/>
      <c r="K4461" s="24"/>
      <c r="L4461" s="24"/>
    </row>
    <row r="4462" spans="1:12" ht="21.95" customHeight="1" x14ac:dyDescent="0.3">
      <c r="A4462" s="24"/>
      <c r="B4462" s="24"/>
      <c r="C4462" s="24"/>
      <c r="D4462" s="24"/>
      <c r="E4462" s="24"/>
      <c r="F4462" s="24"/>
      <c r="G4462" s="24"/>
      <c r="H4462" s="24"/>
      <c r="I4462" s="24"/>
      <c r="J4462" s="24"/>
      <c r="K4462" s="24"/>
      <c r="L4462" s="24"/>
    </row>
    <row r="4463" spans="1:12" ht="12" customHeight="1" x14ac:dyDescent="0.25">
      <c r="A4463" s="1"/>
      <c r="B4463" s="1"/>
    </row>
    <row r="4464" spans="1:12" ht="21.95" customHeight="1" x14ac:dyDescent="0.25">
      <c r="A4464" s="1" t="s">
        <v>7</v>
      </c>
      <c r="B4464" s="1"/>
    </row>
    <row r="4465" spans="1:12" ht="21.95" customHeight="1" x14ac:dyDescent="0.25">
      <c r="A4465" s="1"/>
      <c r="B4465" s="1"/>
    </row>
    <row r="4466" spans="1:12" ht="21.95" customHeight="1" x14ac:dyDescent="0.25">
      <c r="A4466" s="1" t="s">
        <v>8</v>
      </c>
      <c r="C4466" s="9" t="s">
        <v>1</v>
      </c>
      <c r="D4466" s="92" t="s">
        <v>96</v>
      </c>
      <c r="E4466" s="76"/>
      <c r="F4466" s="76"/>
      <c r="G4466" s="76"/>
      <c r="H4466" s="76"/>
    </row>
    <row r="4467" spans="1:12" ht="21.95" customHeight="1" x14ac:dyDescent="0.25">
      <c r="A4467" s="1" t="s">
        <v>9</v>
      </c>
      <c r="C4467" s="9" t="s">
        <v>1</v>
      </c>
      <c r="D4467" s="57" t="s">
        <v>200</v>
      </c>
      <c r="E4467" s="76"/>
      <c r="F4467" s="76"/>
      <c r="G4467" s="76"/>
      <c r="H4467" s="76"/>
    </row>
    <row r="4468" spans="1:12" ht="21.95" customHeight="1" x14ac:dyDescent="0.2">
      <c r="A4468" s="50" t="s">
        <v>10</v>
      </c>
      <c r="B4468" s="76"/>
      <c r="C4468" s="91" t="s">
        <v>1</v>
      </c>
      <c r="D4468" s="50" t="s">
        <v>203</v>
      </c>
      <c r="E4468" s="76"/>
      <c r="F4468" s="76"/>
      <c r="G4468" s="76"/>
      <c r="H4468" s="76"/>
      <c r="I4468" s="76"/>
      <c r="J4468" s="76"/>
      <c r="K4468" s="76"/>
      <c r="L4468" s="76"/>
    </row>
    <row r="4469" spans="1:12" ht="21.95" customHeight="1" x14ac:dyDescent="0.25">
      <c r="A4469" s="1"/>
      <c r="B4469" s="1"/>
      <c r="D4469" s="1"/>
    </row>
    <row r="4470" spans="1:12" ht="28.5" customHeight="1" x14ac:dyDescent="0.2">
      <c r="A4470" s="277" t="s">
        <v>507</v>
      </c>
      <c r="B4470" s="277"/>
      <c r="C4470" s="277"/>
      <c r="D4470" s="277"/>
      <c r="E4470" s="277"/>
      <c r="F4470" s="277"/>
      <c r="G4470" s="277"/>
      <c r="H4470" s="277"/>
      <c r="I4470" s="277"/>
      <c r="J4470" s="277"/>
      <c r="K4470" s="277"/>
      <c r="L4470" s="277"/>
    </row>
    <row r="4471" spans="1:12" ht="21.95" customHeight="1" x14ac:dyDescent="0.25">
      <c r="A4471" s="1"/>
      <c r="B4471" s="1"/>
    </row>
    <row r="4472" spans="1:12" ht="42.75" customHeight="1" thickBot="1" x14ac:dyDescent="0.25">
      <c r="A4472" s="10" t="s">
        <v>0</v>
      </c>
      <c r="B4472" s="278" t="s">
        <v>91</v>
      </c>
      <c r="C4472" s="278"/>
      <c r="D4472" s="278"/>
      <c r="E4472" s="278"/>
      <c r="F4472" s="278"/>
      <c r="G4472" s="278"/>
      <c r="H4472" s="278"/>
      <c r="I4472" s="278"/>
      <c r="J4472" s="278"/>
      <c r="K4472" s="278"/>
      <c r="L4472" s="278"/>
    </row>
    <row r="4473" spans="1:12" ht="21.95" customHeight="1" thickTop="1" x14ac:dyDescent="0.25">
      <c r="A4473" s="1"/>
      <c r="B4473" s="11" t="s">
        <v>3</v>
      </c>
      <c r="C4473" s="12" t="s">
        <v>4</v>
      </c>
      <c r="D4473" s="13"/>
      <c r="E4473" s="13"/>
      <c r="F4473" s="13"/>
      <c r="G4473" s="13"/>
      <c r="H4473" s="14"/>
      <c r="I4473" s="15" t="s">
        <v>5</v>
      </c>
      <c r="J4473" s="12" t="s">
        <v>17</v>
      </c>
      <c r="K4473" s="13"/>
      <c r="L4473" s="14"/>
    </row>
    <row r="4474" spans="1:12" ht="21.95" customHeight="1" x14ac:dyDescent="0.2">
      <c r="B4474" s="96">
        <v>1</v>
      </c>
      <c r="C4474" s="140" t="s">
        <v>508</v>
      </c>
      <c r="D4474" s="76"/>
      <c r="E4474" s="150"/>
      <c r="F4474" s="171"/>
      <c r="G4474" s="144"/>
      <c r="H4474" s="79"/>
      <c r="I4474" s="56">
        <v>250000</v>
      </c>
      <c r="J4474" s="76"/>
      <c r="L4474" s="17"/>
    </row>
    <row r="4475" spans="1:12" ht="21.95" customHeight="1" x14ac:dyDescent="0.2">
      <c r="B4475" s="96"/>
      <c r="C4475" s="313"/>
      <c r="D4475" s="314"/>
      <c r="E4475" s="314"/>
      <c r="F4475" s="314"/>
      <c r="G4475" s="314"/>
      <c r="H4475" s="315"/>
      <c r="I4475" s="56"/>
      <c r="L4475" s="17"/>
    </row>
    <row r="4476" spans="1:12" ht="21.95" customHeight="1" x14ac:dyDescent="0.25">
      <c r="A4476" s="1"/>
      <c r="B4476" s="39"/>
      <c r="C4476" s="1"/>
      <c r="D4476" s="1"/>
      <c r="E4476" s="1"/>
      <c r="F4476" s="40" t="s">
        <v>5</v>
      </c>
      <c r="G4476" s="40"/>
      <c r="H4476" s="1"/>
      <c r="I4476" s="41">
        <f>I4474</f>
        <v>250000</v>
      </c>
      <c r="J4476" s="1"/>
      <c r="K4476" s="1"/>
      <c r="L4476" s="42"/>
    </row>
    <row r="4477" spans="1:12" ht="21.95" customHeight="1" thickBot="1" x14ac:dyDescent="0.3">
      <c r="A4477" s="1"/>
      <c r="B4477" s="43"/>
      <c r="C4477" s="44"/>
      <c r="D4477" s="44"/>
      <c r="E4477" s="44"/>
      <c r="F4477" s="45"/>
      <c r="G4477" s="45"/>
      <c r="H4477" s="44"/>
      <c r="I4477" s="46"/>
      <c r="J4477" s="44"/>
      <c r="K4477" s="44"/>
      <c r="L4477" s="47"/>
    </row>
    <row r="4478" spans="1:12" ht="21.95" customHeight="1" thickTop="1" x14ac:dyDescent="0.2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</row>
    <row r="4479" spans="1:12" ht="50.25" customHeight="1" x14ac:dyDescent="0.2">
      <c r="A4479" s="10" t="s">
        <v>2</v>
      </c>
      <c r="B4479" s="279" t="s">
        <v>11</v>
      </c>
      <c r="C4479" s="279"/>
      <c r="D4479" s="279"/>
      <c r="E4479" s="279"/>
      <c r="F4479" s="279"/>
      <c r="G4479" s="279"/>
      <c r="H4479" s="279"/>
      <c r="I4479" s="279"/>
      <c r="J4479" s="279"/>
      <c r="K4479" s="279"/>
      <c r="L4479" s="279"/>
    </row>
    <row r="4480" spans="1:12" ht="21.95" customHeight="1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 ht="21.95" customHeight="1" x14ac:dyDescent="0.2">
      <c r="A4481" s="280" t="s">
        <v>12</v>
      </c>
      <c r="B4481" s="280"/>
      <c r="C4481" s="280"/>
      <c r="D4481" s="280"/>
      <c r="E4481" s="280"/>
      <c r="F4481" s="280"/>
      <c r="G4481" s="280"/>
      <c r="H4481" s="280"/>
      <c r="I4481" s="280"/>
      <c r="J4481" s="280"/>
      <c r="K4481" s="280"/>
      <c r="L4481" s="280"/>
    </row>
    <row r="4482" spans="1:12" ht="19.5" customHeight="1" x14ac:dyDescent="0.2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</row>
    <row r="4483" spans="1:12" ht="3.75" customHeight="1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</row>
    <row r="4484" spans="1:12" ht="21.95" customHeight="1" x14ac:dyDescent="0.25">
      <c r="A4484" s="1"/>
      <c r="B4484" s="1"/>
      <c r="C4484" s="1"/>
      <c r="D4484" s="1"/>
      <c r="E4484" s="1"/>
      <c r="F4484" s="1"/>
      <c r="G4484" s="1"/>
      <c r="H4484" s="4" t="s">
        <v>199</v>
      </c>
      <c r="J4484" s="286" t="s">
        <v>503</v>
      </c>
      <c r="K4484" s="286"/>
      <c r="L4484" s="286"/>
    </row>
    <row r="4485" spans="1:12" ht="13.5" customHeight="1" x14ac:dyDescent="0.25">
      <c r="A4485" s="1"/>
      <c r="B4485" s="1" t="s">
        <v>15</v>
      </c>
      <c r="C4485" s="1"/>
      <c r="D4485" s="1"/>
      <c r="E4485" s="1"/>
      <c r="F4485" s="1"/>
      <c r="G4485" s="1"/>
      <c r="H4485" s="4" t="s">
        <v>13</v>
      </c>
    </row>
    <row r="4486" spans="1:12" ht="17.25" customHeight="1" x14ac:dyDescent="0.2">
      <c r="A4486" s="48"/>
      <c r="B4486" s="48" t="s">
        <v>18</v>
      </c>
      <c r="C4486" s="48"/>
      <c r="D4486" s="48"/>
      <c r="E4486" s="48"/>
      <c r="F4486" s="48"/>
      <c r="G4486" s="48"/>
      <c r="H4486" s="99" t="s">
        <v>14</v>
      </c>
      <c r="I4486" s="99"/>
      <c r="J4486" s="99"/>
      <c r="K4486" s="99"/>
      <c r="L4486" s="99"/>
    </row>
    <row r="4487" spans="1:12" ht="11.25" customHeight="1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 ht="21.75" hidden="1" customHeight="1" x14ac:dyDescent="0.2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 ht="21.95" customHeight="1" x14ac:dyDescent="0.25">
      <c r="A4489" s="1"/>
      <c r="B4489" s="103"/>
      <c r="C4489" s="103"/>
      <c r="D4489" s="103"/>
      <c r="E4489" s="103"/>
      <c r="F4489" s="103"/>
      <c r="G4489" s="103"/>
      <c r="H4489" s="103"/>
      <c r="I4489" s="103"/>
      <c r="J4489" s="103"/>
      <c r="K4489" s="103"/>
      <c r="L4489" s="1"/>
    </row>
    <row r="4490" spans="1:12" ht="3" customHeight="1" x14ac:dyDescent="0.25">
      <c r="A4490" s="1"/>
      <c r="K4490" s="103"/>
      <c r="L4490" s="1"/>
    </row>
    <row r="4491" spans="1:12" ht="21.95" customHeight="1" x14ac:dyDescent="0.25">
      <c r="A4491" s="1"/>
      <c r="B4491" s="95" t="s">
        <v>77</v>
      </c>
      <c r="H4491" s="26" t="s">
        <v>96</v>
      </c>
      <c r="I4491" s="95"/>
      <c r="J4491" s="92"/>
      <c r="K4491" s="103"/>
      <c r="L4491" s="1"/>
    </row>
    <row r="4492" spans="1:12" ht="21.95" customHeight="1" x14ac:dyDescent="0.25">
      <c r="A4492" s="1"/>
      <c r="B4492" s="99" t="s">
        <v>27</v>
      </c>
      <c r="C4492" s="57"/>
      <c r="H4492" s="28" t="s">
        <v>100</v>
      </c>
      <c r="K4492" s="103"/>
    </row>
    <row r="4500" spans="1:12" ht="21.95" customHeight="1" x14ac:dyDescent="0.25">
      <c r="A4500" s="3" t="s">
        <v>22</v>
      </c>
    </row>
    <row r="4501" spans="1:12" ht="21.95" customHeight="1" x14ac:dyDescent="0.2">
      <c r="A4501" s="122" t="s">
        <v>20</v>
      </c>
    </row>
    <row r="4502" spans="1:12" ht="21.95" customHeight="1" x14ac:dyDescent="0.2">
      <c r="A4502" s="122" t="s">
        <v>21</v>
      </c>
    </row>
    <row r="4506" spans="1:12" ht="21.95" customHeight="1" x14ac:dyDescent="0.3">
      <c r="A4506" s="276" t="s">
        <v>6</v>
      </c>
      <c r="B4506" s="276"/>
      <c r="C4506" s="276"/>
      <c r="D4506" s="276"/>
      <c r="E4506" s="276"/>
      <c r="F4506" s="276"/>
      <c r="G4506" s="276"/>
      <c r="H4506" s="276"/>
      <c r="I4506" s="276"/>
      <c r="J4506" s="276"/>
      <c r="K4506" s="276"/>
      <c r="L4506" s="276"/>
    </row>
    <row r="4507" spans="1:12" ht="21.95" customHeight="1" x14ac:dyDescent="0.3">
      <c r="A4507" s="24"/>
      <c r="B4507" s="24"/>
      <c r="C4507" s="24"/>
      <c r="D4507" s="24"/>
      <c r="E4507" s="24"/>
      <c r="F4507" s="24"/>
      <c r="G4507" s="24"/>
      <c r="H4507" s="24"/>
      <c r="I4507" s="24"/>
      <c r="J4507" s="24"/>
      <c r="K4507" s="24"/>
      <c r="L4507" s="24"/>
    </row>
    <row r="4508" spans="1:12" ht="21.95" customHeight="1" x14ac:dyDescent="0.3">
      <c r="A4508" s="24"/>
      <c r="B4508" s="24"/>
      <c r="C4508" s="24"/>
      <c r="D4508" s="24"/>
      <c r="E4508" s="24"/>
      <c r="F4508" s="24"/>
      <c r="G4508" s="24"/>
      <c r="H4508" s="24"/>
      <c r="I4508" s="24"/>
      <c r="J4508" s="24"/>
      <c r="K4508" s="24"/>
      <c r="L4508" s="24"/>
    </row>
    <row r="4509" spans="1:12" ht="21.95" customHeight="1" x14ac:dyDescent="0.25">
      <c r="A4509" s="1"/>
      <c r="B4509" s="1"/>
    </row>
    <row r="4510" spans="1:12" ht="21.95" customHeight="1" x14ac:dyDescent="0.25">
      <c r="A4510" s="1" t="s">
        <v>7</v>
      </c>
      <c r="B4510" s="1"/>
    </row>
    <row r="4511" spans="1:12" ht="21.95" customHeight="1" x14ac:dyDescent="0.25">
      <c r="A4511" s="1"/>
      <c r="B4511" s="1"/>
    </row>
    <row r="4512" spans="1:12" ht="21.95" customHeight="1" x14ac:dyDescent="0.25">
      <c r="A4512" s="1" t="s">
        <v>8</v>
      </c>
      <c r="C4512" s="9" t="s">
        <v>1</v>
      </c>
      <c r="D4512" s="92" t="s">
        <v>77</v>
      </c>
      <c r="E4512" s="76"/>
      <c r="F4512" s="76"/>
      <c r="G4512" s="76"/>
      <c r="H4512" s="76"/>
    </row>
    <row r="4513" spans="1:12" ht="13.5" customHeight="1" x14ac:dyDescent="0.25">
      <c r="A4513" s="1" t="s">
        <v>9</v>
      </c>
      <c r="C4513" s="9" t="s">
        <v>1</v>
      </c>
      <c r="D4513" s="146" t="s">
        <v>201</v>
      </c>
      <c r="E4513" s="76"/>
      <c r="F4513" s="76"/>
      <c r="G4513" s="76"/>
      <c r="H4513" s="76"/>
    </row>
    <row r="4514" spans="1:12" ht="21.95" customHeight="1" x14ac:dyDescent="0.2">
      <c r="A4514" s="50" t="s">
        <v>10</v>
      </c>
      <c r="B4514" s="76"/>
      <c r="C4514" s="91" t="s">
        <v>1</v>
      </c>
      <c r="D4514" s="50" t="s">
        <v>496</v>
      </c>
      <c r="E4514" s="76"/>
      <c r="F4514" s="76"/>
      <c r="G4514" s="76"/>
      <c r="H4514" s="76"/>
      <c r="I4514" s="76"/>
      <c r="J4514" s="76"/>
      <c r="K4514" s="76"/>
      <c r="L4514" s="76"/>
    </row>
    <row r="4515" spans="1:12" ht="21.95" customHeight="1" x14ac:dyDescent="0.25">
      <c r="A4515" s="1"/>
      <c r="B4515" s="1"/>
      <c r="D4515" s="1"/>
    </row>
    <row r="4516" spans="1:12" ht="31.5" customHeight="1" x14ac:dyDescent="0.2">
      <c r="A4516" s="277" t="s">
        <v>507</v>
      </c>
      <c r="B4516" s="277"/>
      <c r="C4516" s="277"/>
      <c r="D4516" s="277"/>
      <c r="E4516" s="277"/>
      <c r="F4516" s="277"/>
      <c r="G4516" s="277"/>
      <c r="H4516" s="277"/>
      <c r="I4516" s="277"/>
      <c r="J4516" s="277"/>
      <c r="K4516" s="277"/>
      <c r="L4516" s="277"/>
    </row>
    <row r="4517" spans="1:12" ht="21.95" customHeight="1" x14ac:dyDescent="0.25">
      <c r="A4517" s="1"/>
      <c r="B4517" s="1"/>
    </row>
    <row r="4518" spans="1:12" ht="29.25" customHeight="1" thickBot="1" x14ac:dyDescent="0.25">
      <c r="A4518" s="10" t="s">
        <v>0</v>
      </c>
      <c r="B4518" s="278" t="s">
        <v>91</v>
      </c>
      <c r="C4518" s="278"/>
      <c r="D4518" s="278"/>
      <c r="E4518" s="278"/>
      <c r="F4518" s="278"/>
      <c r="G4518" s="278"/>
      <c r="H4518" s="278"/>
      <c r="I4518" s="278"/>
      <c r="J4518" s="278"/>
      <c r="K4518" s="278"/>
      <c r="L4518" s="278"/>
    </row>
    <row r="4519" spans="1:12" ht="21.95" customHeight="1" thickTop="1" x14ac:dyDescent="0.25">
      <c r="A4519" s="1"/>
      <c r="B4519" s="11" t="s">
        <v>3</v>
      </c>
      <c r="C4519" s="12" t="s">
        <v>4</v>
      </c>
      <c r="D4519" s="13"/>
      <c r="E4519" s="13"/>
      <c r="F4519" s="13"/>
      <c r="G4519" s="13"/>
      <c r="H4519" s="14"/>
      <c r="I4519" s="15" t="s">
        <v>5</v>
      </c>
      <c r="J4519" s="12" t="s">
        <v>17</v>
      </c>
      <c r="K4519" s="13"/>
      <c r="L4519" s="14"/>
    </row>
    <row r="4520" spans="1:12" ht="21.95" customHeight="1" x14ac:dyDescent="0.2">
      <c r="B4520" s="96">
        <v>1</v>
      </c>
      <c r="C4520" s="140" t="s">
        <v>508</v>
      </c>
      <c r="D4520" s="76"/>
      <c r="E4520" s="150"/>
      <c r="F4520" s="171"/>
      <c r="G4520" s="144"/>
      <c r="H4520" s="79"/>
      <c r="I4520" s="56">
        <v>250000</v>
      </c>
      <c r="J4520" s="76"/>
      <c r="L4520" s="17"/>
    </row>
    <row r="4521" spans="1:12" ht="21.95" customHeight="1" x14ac:dyDescent="0.2">
      <c r="B4521" s="96"/>
      <c r="C4521" s="313"/>
      <c r="D4521" s="314"/>
      <c r="E4521" s="314"/>
      <c r="F4521" s="314"/>
      <c r="G4521" s="314"/>
      <c r="H4521" s="315"/>
      <c r="I4521" s="56"/>
      <c r="L4521" s="17"/>
    </row>
    <row r="4522" spans="1:12" ht="21.95" customHeight="1" x14ac:dyDescent="0.25">
      <c r="A4522" s="1"/>
      <c r="B4522" s="39"/>
      <c r="C4522" s="1"/>
      <c r="D4522" s="1"/>
      <c r="E4522" s="1"/>
      <c r="F4522" s="40" t="s">
        <v>5</v>
      </c>
      <c r="G4522" s="40"/>
      <c r="H4522" s="1"/>
      <c r="I4522" s="41">
        <f>I4520</f>
        <v>250000</v>
      </c>
      <c r="J4522" s="1"/>
      <c r="K4522" s="1"/>
      <c r="L4522" s="42"/>
    </row>
    <row r="4523" spans="1:12" ht="21.95" customHeight="1" thickBot="1" x14ac:dyDescent="0.3">
      <c r="A4523" s="1"/>
      <c r="B4523" s="43"/>
      <c r="C4523" s="44"/>
      <c r="D4523" s="44"/>
      <c r="E4523" s="44"/>
      <c r="F4523" s="45"/>
      <c r="G4523" s="45"/>
      <c r="H4523" s="44"/>
      <c r="I4523" s="46"/>
      <c r="J4523" s="44"/>
      <c r="K4523" s="44"/>
      <c r="L4523" s="47"/>
    </row>
    <row r="4524" spans="1:12" ht="21.95" customHeight="1" thickTop="1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</row>
    <row r="4525" spans="1:12" ht="44.25" customHeight="1" x14ac:dyDescent="0.2">
      <c r="A4525" s="10" t="s">
        <v>2</v>
      </c>
      <c r="B4525" s="279" t="s">
        <v>11</v>
      </c>
      <c r="C4525" s="279"/>
      <c r="D4525" s="279"/>
      <c r="E4525" s="279"/>
      <c r="F4525" s="279"/>
      <c r="G4525" s="279"/>
      <c r="H4525" s="279"/>
      <c r="I4525" s="279"/>
      <c r="J4525" s="279"/>
      <c r="K4525" s="279"/>
      <c r="L4525" s="279"/>
    </row>
    <row r="4526" spans="1:12" ht="21.95" customHeight="1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</row>
    <row r="4527" spans="1:12" ht="21.95" customHeight="1" x14ac:dyDescent="0.2">
      <c r="A4527" s="280" t="s">
        <v>12</v>
      </c>
      <c r="B4527" s="280"/>
      <c r="C4527" s="280"/>
      <c r="D4527" s="280"/>
      <c r="E4527" s="280"/>
      <c r="F4527" s="280"/>
      <c r="G4527" s="280"/>
      <c r="H4527" s="280"/>
      <c r="I4527" s="280"/>
      <c r="J4527" s="280"/>
      <c r="K4527" s="280"/>
      <c r="L4527" s="280"/>
    </row>
    <row r="4528" spans="1:12" ht="21.95" customHeight="1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</row>
    <row r="4529" spans="1:12" ht="21.95" customHeight="1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</row>
    <row r="4530" spans="1:12" ht="21.95" customHeight="1" x14ac:dyDescent="0.25">
      <c r="A4530" s="1"/>
      <c r="B4530" s="1"/>
      <c r="C4530" s="1"/>
      <c r="D4530" s="1"/>
      <c r="E4530" s="1"/>
      <c r="F4530" s="1"/>
      <c r="G4530" s="1"/>
      <c r="H4530" s="4" t="s">
        <v>199</v>
      </c>
      <c r="J4530" s="286" t="s">
        <v>503</v>
      </c>
      <c r="K4530" s="286"/>
      <c r="L4530" s="286"/>
    </row>
    <row r="4531" spans="1:12" ht="15" customHeight="1" x14ac:dyDescent="0.25">
      <c r="A4531" s="1"/>
      <c r="B4531" s="1" t="s">
        <v>15</v>
      </c>
      <c r="C4531" s="1"/>
      <c r="D4531" s="1"/>
      <c r="E4531" s="1"/>
      <c r="F4531" s="1"/>
      <c r="G4531" s="1"/>
      <c r="H4531" s="4" t="s">
        <v>13</v>
      </c>
    </row>
    <row r="4532" spans="1:12" ht="16.5" customHeight="1" x14ac:dyDescent="0.2">
      <c r="A4532" s="48"/>
      <c r="B4532" s="48" t="s">
        <v>18</v>
      </c>
      <c r="C4532" s="48"/>
      <c r="D4532" s="48"/>
      <c r="E4532" s="48"/>
      <c r="F4532" s="48"/>
      <c r="G4532" s="48"/>
      <c r="H4532" s="99" t="s">
        <v>14</v>
      </c>
      <c r="I4532" s="99"/>
      <c r="J4532" s="99"/>
      <c r="K4532" s="99"/>
      <c r="L4532" s="99"/>
    </row>
    <row r="4533" spans="1:12" ht="21.95" customHeight="1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</row>
    <row r="4534" spans="1:12" ht="2.25" customHeight="1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</row>
    <row r="4535" spans="1:12" ht="21.75" hidden="1" customHeight="1" x14ac:dyDescent="0.25">
      <c r="A4535" s="1"/>
      <c r="B4535" s="103"/>
      <c r="C4535" s="103"/>
      <c r="D4535" s="103"/>
      <c r="E4535" s="103"/>
      <c r="F4535" s="103"/>
      <c r="G4535" s="103"/>
      <c r="H4535" s="103"/>
      <c r="I4535" s="103"/>
      <c r="J4535" s="103"/>
      <c r="K4535" s="103"/>
      <c r="L4535" s="1"/>
    </row>
    <row r="4536" spans="1:12" ht="21.95" customHeight="1" x14ac:dyDescent="0.25">
      <c r="A4536" s="1"/>
      <c r="K4536" s="103"/>
      <c r="L4536" s="1"/>
    </row>
    <row r="4537" spans="1:12" ht="21.95" customHeight="1" x14ac:dyDescent="0.25">
      <c r="A4537" s="1"/>
      <c r="B4537" s="95" t="s">
        <v>77</v>
      </c>
      <c r="H4537" s="95" t="s">
        <v>77</v>
      </c>
      <c r="I4537" s="95"/>
      <c r="J4537" s="92"/>
      <c r="K4537" s="103"/>
      <c r="L4537" s="1"/>
    </row>
    <row r="4538" spans="1:12" ht="21.95" customHeight="1" x14ac:dyDescent="0.25">
      <c r="A4538" s="1"/>
      <c r="B4538" s="99" t="s">
        <v>27</v>
      </c>
      <c r="C4538" s="57"/>
      <c r="H4538" s="99" t="s">
        <v>27</v>
      </c>
      <c r="K4538" s="103"/>
    </row>
    <row r="4543" spans="1:12" ht="21.95" customHeight="1" x14ac:dyDescent="0.25">
      <c r="A4543" s="3" t="s">
        <v>22</v>
      </c>
    </row>
    <row r="4544" spans="1:12" ht="21.95" customHeight="1" x14ac:dyDescent="0.2">
      <c r="A4544" s="122" t="s">
        <v>20</v>
      </c>
    </row>
    <row r="4545" spans="1:12" ht="21.95" customHeight="1" x14ac:dyDescent="0.2">
      <c r="A4545" s="122" t="s">
        <v>21</v>
      </c>
    </row>
    <row r="4549" spans="1:12" ht="21.95" customHeight="1" x14ac:dyDescent="0.3">
      <c r="A4549" s="276" t="s">
        <v>6</v>
      </c>
      <c r="B4549" s="276"/>
      <c r="C4549" s="276"/>
      <c r="D4549" s="276"/>
      <c r="E4549" s="276"/>
      <c r="F4549" s="276"/>
      <c r="G4549" s="276"/>
      <c r="H4549" s="276"/>
      <c r="I4549" s="276"/>
      <c r="J4549" s="276"/>
      <c r="K4549" s="276"/>
      <c r="L4549" s="276"/>
    </row>
    <row r="4550" spans="1:12" ht="21.95" customHeight="1" x14ac:dyDescent="0.3">
      <c r="A4550" s="24"/>
      <c r="B4550" s="24"/>
      <c r="C4550" s="24"/>
      <c r="D4550" s="24"/>
      <c r="E4550" s="24"/>
      <c r="F4550" s="24"/>
      <c r="G4550" s="24"/>
      <c r="H4550" s="24"/>
      <c r="I4550" s="24"/>
      <c r="J4550" s="24"/>
      <c r="K4550" s="24"/>
      <c r="L4550" s="24"/>
    </row>
    <row r="4551" spans="1:12" ht="21.95" customHeight="1" x14ac:dyDescent="0.3">
      <c r="A4551" s="24"/>
      <c r="B4551" s="24"/>
      <c r="C4551" s="24"/>
      <c r="D4551" s="24"/>
      <c r="E4551" s="24"/>
      <c r="F4551" s="24"/>
      <c r="G4551" s="24"/>
      <c r="H4551" s="24"/>
      <c r="I4551" s="24"/>
      <c r="J4551" s="24"/>
      <c r="K4551" s="24"/>
      <c r="L4551" s="24"/>
    </row>
    <row r="4552" spans="1:12" ht="21.95" customHeight="1" x14ac:dyDescent="0.25">
      <c r="A4552" s="1"/>
      <c r="B4552" s="1"/>
    </row>
    <row r="4553" spans="1:12" ht="21.95" customHeight="1" x14ac:dyDescent="0.25">
      <c r="A4553" s="1" t="s">
        <v>7</v>
      </c>
      <c r="B4553" s="1"/>
    </row>
    <row r="4554" spans="1:12" ht="21.95" customHeight="1" x14ac:dyDescent="0.25">
      <c r="A4554" s="1"/>
      <c r="B4554" s="1"/>
    </row>
    <row r="4555" spans="1:12" ht="21.95" customHeight="1" x14ac:dyDescent="0.25">
      <c r="A4555" s="1" t="s">
        <v>8</v>
      </c>
      <c r="C4555" s="9" t="s">
        <v>1</v>
      </c>
      <c r="D4555" s="33" t="s">
        <v>78</v>
      </c>
      <c r="E4555" s="76"/>
      <c r="F4555" s="76"/>
      <c r="G4555" s="76"/>
      <c r="H4555" s="76"/>
    </row>
    <row r="4556" spans="1:12" ht="21.95" customHeight="1" x14ac:dyDescent="0.25">
      <c r="A4556" s="1" t="s">
        <v>9</v>
      </c>
      <c r="C4556" s="9" t="s">
        <v>1</v>
      </c>
      <c r="D4556" s="27" t="s">
        <v>234</v>
      </c>
      <c r="E4556" s="76"/>
      <c r="F4556" s="76"/>
      <c r="G4556" s="76"/>
      <c r="H4556" s="76"/>
    </row>
    <row r="4557" spans="1:12" ht="21.95" customHeight="1" x14ac:dyDescent="0.2">
      <c r="A4557" s="50" t="s">
        <v>10</v>
      </c>
      <c r="B4557" s="76"/>
      <c r="C4557" s="91" t="s">
        <v>1</v>
      </c>
      <c r="D4557" s="50" t="s">
        <v>235</v>
      </c>
      <c r="E4557" s="76"/>
      <c r="F4557" s="76"/>
      <c r="G4557" s="76"/>
      <c r="H4557" s="76"/>
      <c r="I4557" s="76"/>
      <c r="J4557" s="76"/>
      <c r="K4557" s="76"/>
      <c r="L4557" s="76"/>
    </row>
    <row r="4558" spans="1:12" ht="21.95" customHeight="1" x14ac:dyDescent="0.25">
      <c r="A4558" s="1"/>
      <c r="B4558" s="1"/>
      <c r="D4558" s="1"/>
    </row>
    <row r="4559" spans="1:12" ht="32.25" customHeight="1" x14ac:dyDescent="0.2">
      <c r="A4559" s="277" t="s">
        <v>509</v>
      </c>
      <c r="B4559" s="277"/>
      <c r="C4559" s="277"/>
      <c r="D4559" s="277"/>
      <c r="E4559" s="277"/>
      <c r="F4559" s="277"/>
      <c r="G4559" s="277"/>
      <c r="H4559" s="277"/>
      <c r="I4559" s="277"/>
      <c r="J4559" s="277"/>
      <c r="K4559" s="277"/>
      <c r="L4559" s="277"/>
    </row>
    <row r="4560" spans="1:12" ht="21.95" customHeight="1" x14ac:dyDescent="0.25">
      <c r="A4560" s="1"/>
      <c r="B4560" s="1"/>
    </row>
    <row r="4561" spans="1:12" ht="37.5" customHeight="1" thickBot="1" x14ac:dyDescent="0.25">
      <c r="A4561" s="10" t="s">
        <v>0</v>
      </c>
      <c r="B4561" s="278" t="s">
        <v>91</v>
      </c>
      <c r="C4561" s="278"/>
      <c r="D4561" s="278"/>
      <c r="E4561" s="278"/>
      <c r="F4561" s="278"/>
      <c r="G4561" s="278"/>
      <c r="H4561" s="278"/>
      <c r="I4561" s="278"/>
      <c r="J4561" s="278"/>
      <c r="K4561" s="278"/>
      <c r="L4561" s="278"/>
    </row>
    <row r="4562" spans="1:12" ht="21.95" customHeight="1" thickTop="1" x14ac:dyDescent="0.25">
      <c r="A4562" s="1"/>
      <c r="B4562" s="11" t="s">
        <v>3</v>
      </c>
      <c r="C4562" s="12" t="s">
        <v>4</v>
      </c>
      <c r="D4562" s="13"/>
      <c r="E4562" s="13"/>
      <c r="F4562" s="13"/>
      <c r="G4562" s="13"/>
      <c r="H4562" s="14"/>
      <c r="I4562" s="15" t="s">
        <v>5</v>
      </c>
      <c r="J4562" s="12" t="s">
        <v>17</v>
      </c>
      <c r="K4562" s="13"/>
      <c r="L4562" s="14"/>
    </row>
    <row r="4563" spans="1:12" ht="21.95" customHeight="1" x14ac:dyDescent="0.2">
      <c r="B4563" s="96">
        <v>1</v>
      </c>
      <c r="C4563" s="140" t="s">
        <v>500</v>
      </c>
      <c r="D4563" s="76"/>
      <c r="E4563" s="150"/>
      <c r="F4563" s="171"/>
      <c r="G4563" s="144"/>
      <c r="H4563" s="79"/>
      <c r="I4563" s="56">
        <v>250000</v>
      </c>
      <c r="J4563" s="76"/>
      <c r="L4563" s="17"/>
    </row>
    <row r="4564" spans="1:12" ht="21.95" customHeight="1" x14ac:dyDescent="0.2">
      <c r="B4564" s="96"/>
      <c r="C4564" s="313"/>
      <c r="D4564" s="314"/>
      <c r="E4564" s="314"/>
      <c r="F4564" s="314"/>
      <c r="G4564" s="314"/>
      <c r="H4564" s="315"/>
      <c r="I4564" s="56"/>
      <c r="L4564" s="17"/>
    </row>
    <row r="4565" spans="1:12" ht="21.95" customHeight="1" x14ac:dyDescent="0.25">
      <c r="A4565" s="1"/>
      <c r="B4565" s="39"/>
      <c r="C4565" s="1"/>
      <c r="D4565" s="1"/>
      <c r="E4565" s="1"/>
      <c r="F4565" s="40" t="s">
        <v>5</v>
      </c>
      <c r="G4565" s="40"/>
      <c r="H4565" s="1"/>
      <c r="I4565" s="41">
        <f>I4563</f>
        <v>250000</v>
      </c>
      <c r="J4565" s="1"/>
      <c r="K4565" s="1"/>
      <c r="L4565" s="42"/>
    </row>
    <row r="4566" spans="1:12" ht="21.95" customHeight="1" thickBot="1" x14ac:dyDescent="0.3">
      <c r="A4566" s="1"/>
      <c r="B4566" s="43"/>
      <c r="C4566" s="44"/>
      <c r="D4566" s="44"/>
      <c r="E4566" s="44"/>
      <c r="F4566" s="45"/>
      <c r="G4566" s="45"/>
      <c r="H4566" s="44"/>
      <c r="I4566" s="46"/>
      <c r="J4566" s="44"/>
      <c r="K4566" s="44"/>
      <c r="L4566" s="47"/>
    </row>
    <row r="4567" spans="1:12" ht="21.95" customHeight="1" thickTop="1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</row>
    <row r="4568" spans="1:12" ht="36.75" customHeight="1" x14ac:dyDescent="0.2">
      <c r="A4568" s="10" t="s">
        <v>2</v>
      </c>
      <c r="B4568" s="279" t="s">
        <v>11</v>
      </c>
      <c r="C4568" s="279"/>
      <c r="D4568" s="279"/>
      <c r="E4568" s="279"/>
      <c r="F4568" s="279"/>
      <c r="G4568" s="279"/>
      <c r="H4568" s="279"/>
      <c r="I4568" s="279"/>
      <c r="J4568" s="279"/>
      <c r="K4568" s="279"/>
      <c r="L4568" s="279"/>
    </row>
    <row r="4569" spans="1:12" ht="21.95" customHeight="1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</row>
    <row r="4570" spans="1:12" ht="21.95" customHeight="1" x14ac:dyDescent="0.2">
      <c r="A4570" s="280" t="s">
        <v>12</v>
      </c>
      <c r="B4570" s="280"/>
      <c r="C4570" s="280"/>
      <c r="D4570" s="280"/>
      <c r="E4570" s="280"/>
      <c r="F4570" s="280"/>
      <c r="G4570" s="280"/>
      <c r="H4570" s="280"/>
      <c r="I4570" s="280"/>
      <c r="J4570" s="280"/>
      <c r="K4570" s="280"/>
      <c r="L4570" s="280"/>
    </row>
    <row r="4571" spans="1:12" ht="21.95" customHeight="1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</row>
    <row r="4572" spans="1:12" ht="21.95" customHeight="1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</row>
    <row r="4573" spans="1:12" ht="21.95" customHeight="1" x14ac:dyDescent="0.25">
      <c r="A4573" s="1"/>
      <c r="B4573" s="1"/>
      <c r="C4573" s="1"/>
      <c r="D4573" s="1"/>
      <c r="E4573" s="1"/>
      <c r="F4573" s="1"/>
      <c r="G4573" s="1"/>
      <c r="H4573" s="4" t="s">
        <v>199</v>
      </c>
      <c r="J4573" s="286" t="s">
        <v>503</v>
      </c>
      <c r="K4573" s="286"/>
      <c r="L4573" s="286"/>
    </row>
    <row r="4574" spans="1:12" ht="13.5" customHeight="1" x14ac:dyDescent="0.25">
      <c r="A4574" s="1"/>
      <c r="B4574" s="1" t="s">
        <v>15</v>
      </c>
      <c r="C4574" s="1"/>
      <c r="D4574" s="1"/>
      <c r="E4574" s="1"/>
      <c r="F4574" s="1"/>
      <c r="G4574" s="1"/>
      <c r="H4574" s="4" t="s">
        <v>13</v>
      </c>
    </row>
    <row r="4575" spans="1:12" ht="21.95" customHeight="1" x14ac:dyDescent="0.2">
      <c r="A4575" s="48"/>
      <c r="B4575" s="48" t="s">
        <v>18</v>
      </c>
      <c r="C4575" s="48"/>
      <c r="D4575" s="48"/>
      <c r="E4575" s="48"/>
      <c r="F4575" s="48"/>
      <c r="G4575" s="48"/>
      <c r="H4575" s="99" t="s">
        <v>14</v>
      </c>
      <c r="I4575" s="99"/>
      <c r="J4575" s="99"/>
      <c r="K4575" s="99"/>
      <c r="L4575" s="99"/>
    </row>
    <row r="4576" spans="1:12" ht="21.95" customHeight="1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</row>
    <row r="4577" spans="1:12" ht="5.25" customHeight="1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</row>
    <row r="4578" spans="1:12" ht="21.75" hidden="1" customHeight="1" x14ac:dyDescent="0.25">
      <c r="A4578" s="1"/>
      <c r="B4578" s="103"/>
      <c r="C4578" s="103"/>
      <c r="D4578" s="103"/>
      <c r="E4578" s="103"/>
      <c r="F4578" s="103"/>
      <c r="G4578" s="103"/>
      <c r="H4578" s="103"/>
      <c r="I4578" s="103"/>
      <c r="J4578" s="103"/>
      <c r="K4578" s="103"/>
      <c r="L4578" s="1"/>
    </row>
    <row r="4579" spans="1:12" ht="21.95" customHeight="1" x14ac:dyDescent="0.25">
      <c r="A4579" s="1"/>
      <c r="K4579" s="103"/>
      <c r="L4579" s="1"/>
    </row>
    <row r="4580" spans="1:12" ht="21.95" customHeight="1" x14ac:dyDescent="0.25">
      <c r="A4580" s="1"/>
      <c r="B4580" s="95" t="s">
        <v>77</v>
      </c>
      <c r="H4580" s="26" t="s">
        <v>78</v>
      </c>
      <c r="I4580" s="95"/>
      <c r="J4580" s="92"/>
      <c r="K4580" s="103"/>
      <c r="L4580" s="1"/>
    </row>
    <row r="4581" spans="1:12" ht="21.95" customHeight="1" x14ac:dyDescent="0.25">
      <c r="A4581" s="1"/>
      <c r="B4581" s="99" t="s">
        <v>27</v>
      </c>
      <c r="C4581" s="57"/>
      <c r="H4581" s="28" t="s">
        <v>79</v>
      </c>
      <c r="K4581" s="103"/>
    </row>
    <row r="4586" spans="1:12" ht="21.95" customHeight="1" x14ac:dyDescent="0.25">
      <c r="A4586" s="3" t="s">
        <v>22</v>
      </c>
    </row>
    <row r="4587" spans="1:12" ht="21.95" customHeight="1" x14ac:dyDescent="0.2">
      <c r="A4587" s="122" t="s">
        <v>20</v>
      </c>
    </row>
    <row r="4588" spans="1:12" ht="21.95" customHeight="1" x14ac:dyDescent="0.2">
      <c r="A4588" s="122" t="s">
        <v>21</v>
      </c>
    </row>
    <row r="4592" spans="1:12" ht="21.95" customHeight="1" x14ac:dyDescent="0.3">
      <c r="A4592" s="276" t="s">
        <v>6</v>
      </c>
      <c r="B4592" s="276"/>
      <c r="C4592" s="276"/>
      <c r="D4592" s="276"/>
      <c r="E4592" s="276"/>
      <c r="F4592" s="276"/>
      <c r="G4592" s="276"/>
      <c r="H4592" s="276"/>
      <c r="I4592" s="276"/>
      <c r="J4592" s="276"/>
      <c r="K4592" s="276"/>
      <c r="L4592" s="276"/>
    </row>
    <row r="4593" spans="1:12" ht="21.95" customHeight="1" x14ac:dyDescent="0.3">
      <c r="A4593" s="24"/>
      <c r="B4593" s="24"/>
      <c r="C4593" s="24"/>
      <c r="D4593" s="24"/>
      <c r="E4593" s="24"/>
      <c r="F4593" s="24"/>
      <c r="G4593" s="24"/>
      <c r="H4593" s="24"/>
      <c r="I4593" s="24"/>
      <c r="J4593" s="24"/>
      <c r="K4593" s="24"/>
      <c r="L4593" s="24"/>
    </row>
    <row r="4594" spans="1:12" ht="21.95" customHeight="1" x14ac:dyDescent="0.3">
      <c r="A4594" s="24"/>
      <c r="B4594" s="24"/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</row>
    <row r="4595" spans="1:12" ht="21.95" customHeight="1" x14ac:dyDescent="0.25">
      <c r="A4595" s="1"/>
      <c r="B4595" s="1"/>
    </row>
    <row r="4596" spans="1:12" ht="21.95" customHeight="1" x14ac:dyDescent="0.25">
      <c r="A4596" s="1" t="s">
        <v>7</v>
      </c>
      <c r="B4596" s="1"/>
    </row>
    <row r="4597" spans="1:12" ht="21.95" customHeight="1" x14ac:dyDescent="0.25">
      <c r="A4597" s="1"/>
      <c r="B4597" s="1"/>
    </row>
    <row r="4598" spans="1:12" ht="21.95" customHeight="1" x14ac:dyDescent="0.25">
      <c r="A4598" s="1" t="s">
        <v>8</v>
      </c>
      <c r="C4598" s="9" t="s">
        <v>1</v>
      </c>
      <c r="D4598" s="92" t="s">
        <v>555</v>
      </c>
      <c r="E4598" s="76"/>
      <c r="F4598" s="76"/>
      <c r="G4598" s="76"/>
      <c r="H4598" s="76"/>
    </row>
    <row r="4599" spans="1:12" ht="21.95" customHeight="1" x14ac:dyDescent="0.25">
      <c r="A4599" s="1" t="s">
        <v>9</v>
      </c>
      <c r="C4599" s="9" t="s">
        <v>1</v>
      </c>
      <c r="D4599" s="57" t="s">
        <v>236</v>
      </c>
      <c r="E4599" s="76"/>
      <c r="F4599" s="76"/>
      <c r="G4599" s="76"/>
      <c r="H4599" s="76"/>
    </row>
    <row r="4600" spans="1:12" ht="21.95" customHeight="1" x14ac:dyDescent="0.2">
      <c r="A4600" s="50" t="s">
        <v>10</v>
      </c>
      <c r="B4600" s="76"/>
      <c r="C4600" s="91" t="s">
        <v>1</v>
      </c>
      <c r="D4600" s="50" t="s">
        <v>235</v>
      </c>
      <c r="E4600" s="76"/>
      <c r="F4600" s="76"/>
      <c r="G4600" s="76"/>
      <c r="H4600" s="76"/>
      <c r="I4600" s="76"/>
      <c r="J4600" s="76"/>
      <c r="K4600" s="76"/>
      <c r="L4600" s="76"/>
    </row>
    <row r="4601" spans="1:12" ht="21.95" customHeight="1" x14ac:dyDescent="0.25">
      <c r="A4601" s="1"/>
      <c r="B4601" s="1"/>
      <c r="D4601" s="1"/>
    </row>
    <row r="4602" spans="1:12" ht="29.25" customHeight="1" x14ac:dyDescent="0.2">
      <c r="A4602" s="277" t="s">
        <v>509</v>
      </c>
      <c r="B4602" s="277"/>
      <c r="C4602" s="277"/>
      <c r="D4602" s="277"/>
      <c r="E4602" s="277"/>
      <c r="F4602" s="277"/>
      <c r="G4602" s="277"/>
      <c r="H4602" s="277"/>
      <c r="I4602" s="277"/>
      <c r="J4602" s="277"/>
      <c r="K4602" s="277"/>
      <c r="L4602" s="277"/>
    </row>
    <row r="4603" spans="1:12" ht="21.95" customHeight="1" x14ac:dyDescent="0.25">
      <c r="A4603" s="1"/>
      <c r="B4603" s="1"/>
    </row>
    <row r="4604" spans="1:12" ht="30" customHeight="1" thickBot="1" x14ac:dyDescent="0.25">
      <c r="A4604" s="10" t="s">
        <v>0</v>
      </c>
      <c r="B4604" s="278" t="s">
        <v>91</v>
      </c>
      <c r="C4604" s="278"/>
      <c r="D4604" s="278"/>
      <c r="E4604" s="278"/>
      <c r="F4604" s="278"/>
      <c r="G4604" s="278"/>
      <c r="H4604" s="278"/>
      <c r="I4604" s="278"/>
      <c r="J4604" s="278"/>
      <c r="K4604" s="278"/>
      <c r="L4604" s="278"/>
    </row>
    <row r="4605" spans="1:12" ht="21.95" customHeight="1" thickTop="1" x14ac:dyDescent="0.25">
      <c r="A4605" s="1"/>
      <c r="B4605" s="11" t="s">
        <v>3</v>
      </c>
      <c r="C4605" s="12" t="s">
        <v>4</v>
      </c>
      <c r="D4605" s="13"/>
      <c r="E4605" s="13"/>
      <c r="F4605" s="13"/>
      <c r="G4605" s="13"/>
      <c r="H4605" s="14"/>
      <c r="I4605" s="15" t="s">
        <v>5</v>
      </c>
      <c r="J4605" s="12" t="s">
        <v>17</v>
      </c>
      <c r="K4605" s="13"/>
      <c r="L4605" s="14"/>
    </row>
    <row r="4606" spans="1:12" ht="21.95" customHeight="1" x14ac:dyDescent="0.2">
      <c r="B4606" s="96">
        <v>1</v>
      </c>
      <c r="C4606" s="140" t="s">
        <v>500</v>
      </c>
      <c r="D4606" s="76"/>
      <c r="E4606" s="150"/>
      <c r="F4606" s="171"/>
      <c r="G4606" s="144"/>
      <c r="H4606" s="79"/>
      <c r="I4606" s="56">
        <v>250000</v>
      </c>
      <c r="J4606" s="76"/>
      <c r="L4606" s="17"/>
    </row>
    <row r="4607" spans="1:12" ht="21.95" customHeight="1" x14ac:dyDescent="0.2">
      <c r="B4607" s="96"/>
      <c r="C4607" s="313"/>
      <c r="D4607" s="314"/>
      <c r="E4607" s="314"/>
      <c r="F4607" s="314"/>
      <c r="G4607" s="314"/>
      <c r="H4607" s="315"/>
      <c r="I4607" s="56"/>
      <c r="L4607" s="17"/>
    </row>
    <row r="4608" spans="1:12" ht="21.95" customHeight="1" x14ac:dyDescent="0.25">
      <c r="A4608" s="1"/>
      <c r="B4608" s="39"/>
      <c r="C4608" s="1"/>
      <c r="D4608" s="1"/>
      <c r="E4608" s="1"/>
      <c r="F4608" s="40" t="s">
        <v>5</v>
      </c>
      <c r="G4608" s="40"/>
      <c r="H4608" s="1"/>
      <c r="I4608" s="41">
        <f>I4606</f>
        <v>250000</v>
      </c>
      <c r="J4608" s="1"/>
      <c r="K4608" s="1"/>
      <c r="L4608" s="42"/>
    </row>
    <row r="4609" spans="1:12" ht="21.95" customHeight="1" thickBot="1" x14ac:dyDescent="0.3">
      <c r="A4609" s="1"/>
      <c r="B4609" s="43"/>
      <c r="C4609" s="44"/>
      <c r="D4609" s="44"/>
      <c r="E4609" s="44"/>
      <c r="F4609" s="45"/>
      <c r="G4609" s="45"/>
      <c r="H4609" s="44"/>
      <c r="I4609" s="46"/>
      <c r="J4609" s="44"/>
      <c r="K4609" s="44"/>
      <c r="L4609" s="47"/>
    </row>
    <row r="4610" spans="1:12" ht="21.95" customHeight="1" thickTop="1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</row>
    <row r="4611" spans="1:12" ht="51" customHeight="1" x14ac:dyDescent="0.2">
      <c r="A4611" s="10" t="s">
        <v>2</v>
      </c>
      <c r="B4611" s="279" t="s">
        <v>11</v>
      </c>
      <c r="C4611" s="279"/>
      <c r="D4611" s="279"/>
      <c r="E4611" s="279"/>
      <c r="F4611" s="279"/>
      <c r="G4611" s="279"/>
      <c r="H4611" s="279"/>
      <c r="I4611" s="279"/>
      <c r="J4611" s="279"/>
      <c r="K4611" s="279"/>
      <c r="L4611" s="279"/>
    </row>
    <row r="4612" spans="1:12" ht="21.95" customHeight="1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</row>
    <row r="4613" spans="1:12" ht="21.95" customHeight="1" x14ac:dyDescent="0.2">
      <c r="A4613" s="280" t="s">
        <v>12</v>
      </c>
      <c r="B4613" s="280"/>
      <c r="C4613" s="280"/>
      <c r="D4613" s="280"/>
      <c r="E4613" s="280"/>
      <c r="F4613" s="280"/>
      <c r="G4613" s="280"/>
      <c r="H4613" s="280"/>
      <c r="I4613" s="280"/>
      <c r="J4613" s="280"/>
      <c r="K4613" s="280"/>
      <c r="L4613" s="280"/>
    </row>
    <row r="4614" spans="1:12" ht="21.95" customHeight="1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</row>
    <row r="4615" spans="1:12" ht="21.95" customHeight="1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</row>
    <row r="4616" spans="1:12" ht="13.5" customHeight="1" x14ac:dyDescent="0.25">
      <c r="A4616" s="1"/>
      <c r="B4616" s="1"/>
      <c r="C4616" s="1"/>
      <c r="D4616" s="1"/>
      <c r="E4616" s="1"/>
      <c r="F4616" s="1"/>
      <c r="G4616" s="1"/>
      <c r="H4616" s="4" t="s">
        <v>199</v>
      </c>
      <c r="J4616" s="286" t="s">
        <v>503</v>
      </c>
      <c r="K4616" s="286"/>
      <c r="L4616" s="286"/>
    </row>
    <row r="4617" spans="1:12" ht="15.75" customHeight="1" x14ac:dyDescent="0.25">
      <c r="A4617" s="1"/>
      <c r="B4617" s="1" t="s">
        <v>15</v>
      </c>
      <c r="C4617" s="1"/>
      <c r="D4617" s="1"/>
      <c r="E4617" s="1"/>
      <c r="F4617" s="1"/>
      <c r="G4617" s="1"/>
      <c r="H4617" s="4" t="s">
        <v>13</v>
      </c>
    </row>
    <row r="4618" spans="1:12" ht="14.25" customHeight="1" x14ac:dyDescent="0.2">
      <c r="A4618" s="48"/>
      <c r="B4618" s="48" t="s">
        <v>18</v>
      </c>
      <c r="C4618" s="48"/>
      <c r="D4618" s="48"/>
      <c r="E4618" s="48"/>
      <c r="F4618" s="48"/>
      <c r="G4618" s="48"/>
      <c r="H4618" s="99" t="s">
        <v>14</v>
      </c>
      <c r="I4618" s="99"/>
      <c r="J4618" s="99"/>
      <c r="K4618" s="99"/>
      <c r="L4618" s="99"/>
    </row>
    <row r="4619" spans="1:12" ht="18.75" customHeight="1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</row>
    <row r="4620" spans="1:12" ht="21.75" hidden="1" customHeight="1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</row>
    <row r="4621" spans="1:12" ht="21.75" hidden="1" customHeight="1" x14ac:dyDescent="0.25">
      <c r="A4621" s="1"/>
      <c r="B4621" s="103"/>
      <c r="C4621" s="103"/>
      <c r="D4621" s="103"/>
      <c r="E4621" s="103"/>
      <c r="F4621" s="103"/>
      <c r="G4621" s="103"/>
      <c r="H4621" s="103"/>
      <c r="I4621" s="103"/>
      <c r="J4621" s="103"/>
      <c r="K4621" s="103"/>
      <c r="L4621" s="1"/>
    </row>
    <row r="4622" spans="1:12" ht="21.95" customHeight="1" x14ac:dyDescent="0.25">
      <c r="A4622" s="1"/>
      <c r="K4622" s="103"/>
      <c r="L4622" s="1"/>
    </row>
    <row r="4623" spans="1:12" ht="21.95" customHeight="1" x14ac:dyDescent="0.25">
      <c r="A4623" s="1"/>
      <c r="B4623" s="95" t="s">
        <v>77</v>
      </c>
      <c r="H4623" s="26" t="s">
        <v>555</v>
      </c>
      <c r="I4623" s="95"/>
      <c r="J4623" s="92"/>
      <c r="K4623" s="103"/>
      <c r="L4623" s="1"/>
    </row>
    <row r="4624" spans="1:12" ht="21.95" customHeight="1" x14ac:dyDescent="0.25">
      <c r="A4624" s="1"/>
      <c r="B4624" s="99" t="s">
        <v>27</v>
      </c>
      <c r="C4624" s="57"/>
      <c r="H4624" s="28" t="s">
        <v>46</v>
      </c>
      <c r="K4624" s="103"/>
    </row>
    <row r="4629" spans="1:12" ht="21.95" customHeight="1" x14ac:dyDescent="0.25">
      <c r="A4629" s="3" t="s">
        <v>22</v>
      </c>
    </row>
    <row r="4630" spans="1:12" ht="21.95" customHeight="1" x14ac:dyDescent="0.2">
      <c r="A4630" s="122" t="s">
        <v>20</v>
      </c>
    </row>
    <row r="4631" spans="1:12" ht="21.95" customHeight="1" x14ac:dyDescent="0.2">
      <c r="A4631" s="122" t="s">
        <v>21</v>
      </c>
    </row>
    <row r="4635" spans="1:12" ht="21.95" customHeight="1" x14ac:dyDescent="0.3">
      <c r="A4635" s="276" t="s">
        <v>6</v>
      </c>
      <c r="B4635" s="276"/>
      <c r="C4635" s="276"/>
      <c r="D4635" s="276"/>
      <c r="E4635" s="276"/>
      <c r="F4635" s="276"/>
      <c r="G4635" s="276"/>
      <c r="H4635" s="276"/>
      <c r="I4635" s="276"/>
      <c r="J4635" s="276"/>
      <c r="K4635" s="276"/>
      <c r="L4635" s="276"/>
    </row>
    <row r="4636" spans="1:12" ht="21.95" customHeight="1" x14ac:dyDescent="0.3">
      <c r="A4636" s="24"/>
      <c r="B4636" s="24"/>
      <c r="C4636" s="24"/>
      <c r="D4636" s="24"/>
      <c r="E4636" s="24"/>
      <c r="F4636" s="24"/>
      <c r="G4636" s="24"/>
      <c r="H4636" s="24"/>
      <c r="I4636" s="24"/>
      <c r="J4636" s="24"/>
      <c r="K4636" s="24"/>
      <c r="L4636" s="24"/>
    </row>
    <row r="4637" spans="1:12" ht="21.95" customHeight="1" x14ac:dyDescent="0.3">
      <c r="A4637" s="24"/>
      <c r="B4637" s="24"/>
      <c r="C4637" s="24"/>
      <c r="D4637" s="24"/>
      <c r="E4637" s="24"/>
      <c r="F4637" s="24"/>
      <c r="G4637" s="24"/>
      <c r="H4637" s="24"/>
      <c r="I4637" s="24"/>
      <c r="J4637" s="24"/>
      <c r="K4637" s="24"/>
      <c r="L4637" s="24"/>
    </row>
    <row r="4638" spans="1:12" ht="21.95" customHeight="1" x14ac:dyDescent="0.25">
      <c r="A4638" s="1"/>
      <c r="B4638" s="1"/>
    </row>
    <row r="4639" spans="1:12" ht="21.95" customHeight="1" x14ac:dyDescent="0.25">
      <c r="A4639" s="1" t="s">
        <v>7</v>
      </c>
      <c r="B4639" s="1"/>
    </row>
    <row r="4640" spans="1:12" ht="21.95" customHeight="1" x14ac:dyDescent="0.25">
      <c r="A4640" s="1"/>
      <c r="B4640" s="1"/>
    </row>
    <row r="4641" spans="1:12" ht="21.95" customHeight="1" x14ac:dyDescent="0.25">
      <c r="A4641" s="1" t="s">
        <v>8</v>
      </c>
      <c r="C4641" s="9" t="s">
        <v>1</v>
      </c>
      <c r="D4641" s="33" t="s">
        <v>78</v>
      </c>
      <c r="E4641" s="76"/>
      <c r="F4641" s="76"/>
      <c r="G4641" s="76"/>
      <c r="H4641" s="76"/>
    </row>
    <row r="4642" spans="1:12" ht="21.95" customHeight="1" x14ac:dyDescent="0.25">
      <c r="A4642" s="1" t="s">
        <v>9</v>
      </c>
      <c r="C4642" s="9" t="s">
        <v>1</v>
      </c>
      <c r="D4642" s="27" t="s">
        <v>234</v>
      </c>
      <c r="E4642" s="76"/>
      <c r="F4642" s="76"/>
      <c r="G4642" s="76"/>
      <c r="H4642" s="76"/>
    </row>
    <row r="4643" spans="1:12" ht="21.95" customHeight="1" x14ac:dyDescent="0.2">
      <c r="A4643" s="50" t="s">
        <v>10</v>
      </c>
      <c r="B4643" s="76"/>
      <c r="C4643" s="91" t="s">
        <v>1</v>
      </c>
      <c r="D4643" s="50" t="s">
        <v>235</v>
      </c>
      <c r="E4643" s="76"/>
      <c r="F4643" s="76"/>
      <c r="G4643" s="76"/>
      <c r="H4643" s="76"/>
      <c r="I4643" s="76"/>
      <c r="J4643" s="76"/>
      <c r="K4643" s="76"/>
      <c r="L4643" s="76"/>
    </row>
    <row r="4644" spans="1:12" ht="21.95" customHeight="1" x14ac:dyDescent="0.25">
      <c r="A4644" s="1"/>
      <c r="B4644" s="1"/>
      <c r="D4644" s="1"/>
    </row>
    <row r="4645" spans="1:12" ht="30" customHeight="1" x14ac:dyDescent="0.2">
      <c r="A4645" s="277" t="s">
        <v>510</v>
      </c>
      <c r="B4645" s="277"/>
      <c r="C4645" s="277"/>
      <c r="D4645" s="277"/>
      <c r="E4645" s="277"/>
      <c r="F4645" s="277"/>
      <c r="G4645" s="277"/>
      <c r="H4645" s="277"/>
      <c r="I4645" s="277"/>
      <c r="J4645" s="277"/>
      <c r="K4645" s="277"/>
      <c r="L4645" s="277"/>
    </row>
    <row r="4646" spans="1:12" ht="21.95" customHeight="1" x14ac:dyDescent="0.25">
      <c r="A4646" s="1"/>
      <c r="B4646" s="1"/>
    </row>
    <row r="4647" spans="1:12" ht="42" customHeight="1" thickBot="1" x14ac:dyDescent="0.25">
      <c r="A4647" s="10" t="s">
        <v>0</v>
      </c>
      <c r="B4647" s="278" t="s">
        <v>91</v>
      </c>
      <c r="C4647" s="278"/>
      <c r="D4647" s="278"/>
      <c r="E4647" s="278"/>
      <c r="F4647" s="278"/>
      <c r="G4647" s="278"/>
      <c r="H4647" s="278"/>
      <c r="I4647" s="278"/>
      <c r="J4647" s="278"/>
      <c r="K4647" s="278"/>
      <c r="L4647" s="278"/>
    </row>
    <row r="4648" spans="1:12" ht="21.95" customHeight="1" thickTop="1" x14ac:dyDescent="0.25">
      <c r="A4648" s="1"/>
      <c r="B4648" s="11" t="s">
        <v>3</v>
      </c>
      <c r="C4648" s="12" t="s">
        <v>4</v>
      </c>
      <c r="D4648" s="13"/>
      <c r="E4648" s="13"/>
      <c r="F4648" s="13"/>
      <c r="G4648" s="13"/>
      <c r="H4648" s="14"/>
      <c r="I4648" s="15" t="s">
        <v>5</v>
      </c>
      <c r="J4648" s="12" t="s">
        <v>17</v>
      </c>
      <c r="K4648" s="13"/>
      <c r="L4648" s="14"/>
    </row>
    <row r="4649" spans="1:12" ht="21.95" customHeight="1" x14ac:dyDescent="0.2">
      <c r="B4649" s="96">
        <v>1</v>
      </c>
      <c r="C4649" s="140" t="s">
        <v>500</v>
      </c>
      <c r="D4649" s="76"/>
      <c r="E4649" s="150"/>
      <c r="F4649" s="171"/>
      <c r="G4649" s="144"/>
      <c r="H4649" s="79"/>
      <c r="I4649" s="56">
        <v>200000</v>
      </c>
      <c r="J4649" s="76"/>
      <c r="L4649" s="17"/>
    </row>
    <row r="4650" spans="1:12" ht="21.95" customHeight="1" x14ac:dyDescent="0.2">
      <c r="B4650" s="96"/>
      <c r="C4650" s="313"/>
      <c r="D4650" s="314"/>
      <c r="E4650" s="314"/>
      <c r="F4650" s="314"/>
      <c r="G4650" s="314"/>
      <c r="H4650" s="315"/>
      <c r="I4650" s="56"/>
      <c r="L4650" s="17"/>
    </row>
    <row r="4651" spans="1:12" ht="21.95" customHeight="1" x14ac:dyDescent="0.25">
      <c r="A4651" s="1"/>
      <c r="B4651" s="39"/>
      <c r="C4651" s="1"/>
      <c r="D4651" s="1"/>
      <c r="E4651" s="1"/>
      <c r="F4651" s="40" t="s">
        <v>5</v>
      </c>
      <c r="G4651" s="40"/>
      <c r="H4651" s="1"/>
      <c r="I4651" s="41">
        <f>I4649</f>
        <v>200000</v>
      </c>
      <c r="J4651" s="1"/>
      <c r="K4651" s="1"/>
      <c r="L4651" s="42"/>
    </row>
    <row r="4652" spans="1:12" ht="21.95" customHeight="1" thickBot="1" x14ac:dyDescent="0.3">
      <c r="A4652" s="1"/>
      <c r="B4652" s="43"/>
      <c r="C4652" s="44"/>
      <c r="D4652" s="44"/>
      <c r="E4652" s="44"/>
      <c r="F4652" s="45"/>
      <c r="G4652" s="45"/>
      <c r="H4652" s="44"/>
      <c r="I4652" s="46"/>
      <c r="J4652" s="44"/>
      <c r="K4652" s="44"/>
      <c r="L4652" s="47"/>
    </row>
    <row r="4653" spans="1:12" ht="21.95" customHeight="1" thickTop="1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</row>
    <row r="4654" spans="1:12" ht="38.25" customHeight="1" x14ac:dyDescent="0.2">
      <c r="A4654" s="10" t="s">
        <v>2</v>
      </c>
      <c r="B4654" s="279" t="s">
        <v>11</v>
      </c>
      <c r="C4654" s="279"/>
      <c r="D4654" s="279"/>
      <c r="E4654" s="279"/>
      <c r="F4654" s="279"/>
      <c r="G4654" s="279"/>
      <c r="H4654" s="279"/>
      <c r="I4654" s="279"/>
      <c r="J4654" s="279"/>
      <c r="K4654" s="279"/>
      <c r="L4654" s="279"/>
    </row>
    <row r="4655" spans="1:12" ht="21.95" customHeight="1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</row>
    <row r="4656" spans="1:12" ht="21.95" customHeight="1" x14ac:dyDescent="0.2">
      <c r="A4656" s="280" t="s">
        <v>12</v>
      </c>
      <c r="B4656" s="280"/>
      <c r="C4656" s="280"/>
      <c r="D4656" s="280"/>
      <c r="E4656" s="280"/>
      <c r="F4656" s="280"/>
      <c r="G4656" s="280"/>
      <c r="H4656" s="280"/>
      <c r="I4656" s="280"/>
      <c r="J4656" s="280"/>
      <c r="K4656" s="280"/>
      <c r="L4656" s="280"/>
    </row>
    <row r="4657" spans="1:12" ht="21.95" customHeight="1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</row>
    <row r="4658" spans="1:12" ht="21.95" customHeight="1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</row>
    <row r="4659" spans="1:12" ht="14.25" customHeight="1" x14ac:dyDescent="0.25">
      <c r="A4659" s="1"/>
      <c r="B4659" s="1"/>
      <c r="C4659" s="1"/>
      <c r="D4659" s="1"/>
      <c r="E4659" s="1"/>
      <c r="F4659" s="1"/>
      <c r="G4659" s="1"/>
      <c r="H4659" s="4" t="s">
        <v>199</v>
      </c>
      <c r="J4659" s="286" t="s">
        <v>503</v>
      </c>
      <c r="K4659" s="286"/>
      <c r="L4659" s="286"/>
    </row>
    <row r="4660" spans="1:12" ht="14.25" customHeight="1" x14ac:dyDescent="0.25">
      <c r="A4660" s="1"/>
      <c r="B4660" s="1" t="s">
        <v>15</v>
      </c>
      <c r="C4660" s="1"/>
      <c r="D4660" s="1"/>
      <c r="E4660" s="1"/>
      <c r="F4660" s="1"/>
      <c r="G4660" s="1"/>
      <c r="H4660" s="4" t="s">
        <v>13</v>
      </c>
    </row>
    <row r="4661" spans="1:12" ht="12" customHeight="1" x14ac:dyDescent="0.2">
      <c r="A4661" s="48"/>
      <c r="B4661" s="48" t="s">
        <v>18</v>
      </c>
      <c r="C4661" s="48"/>
      <c r="D4661" s="48"/>
      <c r="E4661" s="48"/>
      <c r="F4661" s="48"/>
      <c r="G4661" s="48"/>
      <c r="H4661" s="99" t="s">
        <v>14</v>
      </c>
      <c r="I4661" s="99"/>
      <c r="J4661" s="99"/>
      <c r="K4661" s="99"/>
      <c r="L4661" s="99"/>
    </row>
    <row r="4662" spans="1:12" ht="21.95" customHeight="1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</row>
    <row r="4663" spans="1:12" ht="20.25" customHeight="1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</row>
    <row r="4664" spans="1:12" ht="21.75" hidden="1" customHeight="1" x14ac:dyDescent="0.25">
      <c r="A4664" s="1"/>
      <c r="B4664" s="103"/>
      <c r="C4664" s="103"/>
      <c r="D4664" s="103"/>
      <c r="E4664" s="103"/>
      <c r="F4664" s="103"/>
      <c r="G4664" s="103"/>
      <c r="H4664" s="103"/>
      <c r="I4664" s="103"/>
      <c r="J4664" s="103"/>
      <c r="K4664" s="103"/>
      <c r="L4664" s="1"/>
    </row>
    <row r="4665" spans="1:12" ht="21.75" hidden="1" customHeight="1" x14ac:dyDescent="0.25">
      <c r="A4665" s="1"/>
      <c r="K4665" s="103"/>
      <c r="L4665" s="1"/>
    </row>
    <row r="4666" spans="1:12" ht="21.95" customHeight="1" x14ac:dyDescent="0.25">
      <c r="A4666" s="1"/>
      <c r="B4666" s="95" t="s">
        <v>77</v>
      </c>
      <c r="H4666" s="26" t="s">
        <v>78</v>
      </c>
      <c r="I4666" s="95"/>
      <c r="J4666" s="92"/>
      <c r="K4666" s="103"/>
      <c r="L4666" s="1"/>
    </row>
    <row r="4667" spans="1:12" ht="21.95" customHeight="1" x14ac:dyDescent="0.25">
      <c r="A4667" s="1"/>
      <c r="B4667" s="99" t="s">
        <v>27</v>
      </c>
      <c r="C4667" s="57"/>
      <c r="H4667" s="28" t="s">
        <v>79</v>
      </c>
      <c r="K4667" s="103"/>
    </row>
    <row r="4672" spans="1:12" ht="21.95" customHeight="1" x14ac:dyDescent="0.25">
      <c r="A4672" s="3" t="s">
        <v>22</v>
      </c>
    </row>
    <row r="4673" spans="1:12" ht="21.95" customHeight="1" x14ac:dyDescent="0.2">
      <c r="A4673" s="122" t="s">
        <v>20</v>
      </c>
    </row>
    <row r="4674" spans="1:12" ht="21.95" customHeight="1" x14ac:dyDescent="0.2">
      <c r="A4674" s="122" t="s">
        <v>21</v>
      </c>
    </row>
    <row r="4678" spans="1:12" ht="21.95" customHeight="1" x14ac:dyDescent="0.3">
      <c r="A4678" s="276" t="s">
        <v>6</v>
      </c>
      <c r="B4678" s="276"/>
      <c r="C4678" s="276"/>
      <c r="D4678" s="276"/>
      <c r="E4678" s="276"/>
      <c r="F4678" s="276"/>
      <c r="G4678" s="276"/>
      <c r="H4678" s="276"/>
      <c r="I4678" s="276"/>
      <c r="J4678" s="276"/>
      <c r="K4678" s="276"/>
      <c r="L4678" s="276"/>
    </row>
    <row r="4679" spans="1:12" ht="21.95" customHeight="1" x14ac:dyDescent="0.3">
      <c r="A4679" s="24"/>
      <c r="B4679" s="24"/>
      <c r="C4679" s="24"/>
      <c r="D4679" s="24"/>
      <c r="E4679" s="24"/>
      <c r="F4679" s="24"/>
      <c r="G4679" s="24"/>
      <c r="H4679" s="24"/>
      <c r="I4679" s="24"/>
      <c r="J4679" s="24"/>
      <c r="K4679" s="24"/>
      <c r="L4679" s="24"/>
    </row>
    <row r="4680" spans="1:12" ht="21.95" customHeight="1" x14ac:dyDescent="0.3">
      <c r="A4680" s="24"/>
      <c r="B4680" s="24"/>
      <c r="C4680" s="24"/>
      <c r="D4680" s="24"/>
      <c r="E4680" s="24"/>
      <c r="F4680" s="24"/>
      <c r="G4680" s="24"/>
      <c r="H4680" s="24"/>
      <c r="I4680" s="24"/>
      <c r="J4680" s="24"/>
      <c r="K4680" s="24"/>
      <c r="L4680" s="24"/>
    </row>
    <row r="4681" spans="1:12" ht="21.95" customHeight="1" x14ac:dyDescent="0.25">
      <c r="A4681" s="1"/>
      <c r="B4681" s="1"/>
    </row>
    <row r="4682" spans="1:12" ht="21.95" customHeight="1" x14ac:dyDescent="0.25">
      <c r="A4682" s="1" t="s">
        <v>7</v>
      </c>
      <c r="B4682" s="1"/>
    </row>
    <row r="4683" spans="1:12" ht="21.95" customHeight="1" x14ac:dyDescent="0.25">
      <c r="A4683" s="1"/>
      <c r="B4683" s="1"/>
    </row>
    <row r="4684" spans="1:12" ht="21.95" customHeight="1" x14ac:dyDescent="0.25">
      <c r="A4684" s="1" t="s">
        <v>8</v>
      </c>
      <c r="C4684" s="9" t="s">
        <v>1</v>
      </c>
      <c r="D4684" s="92" t="s">
        <v>96</v>
      </c>
      <c r="E4684" s="76"/>
      <c r="F4684" s="76"/>
      <c r="G4684" s="76"/>
      <c r="H4684" s="76"/>
    </row>
    <row r="4685" spans="1:12" ht="21.95" customHeight="1" x14ac:dyDescent="0.25">
      <c r="A4685" s="1" t="s">
        <v>9</v>
      </c>
      <c r="C4685" s="9" t="s">
        <v>1</v>
      </c>
      <c r="D4685" s="57" t="s">
        <v>200</v>
      </c>
      <c r="E4685" s="76"/>
      <c r="F4685" s="76"/>
      <c r="G4685" s="76"/>
      <c r="H4685" s="76"/>
    </row>
    <row r="4686" spans="1:12" ht="21.95" customHeight="1" x14ac:dyDescent="0.2">
      <c r="A4686" s="50" t="s">
        <v>10</v>
      </c>
      <c r="B4686" s="76"/>
      <c r="C4686" s="91" t="s">
        <v>1</v>
      </c>
      <c r="D4686" s="50" t="s">
        <v>203</v>
      </c>
      <c r="E4686" s="76"/>
      <c r="F4686" s="76"/>
      <c r="G4686" s="76"/>
      <c r="H4686" s="76"/>
      <c r="I4686" s="76"/>
      <c r="J4686" s="76"/>
      <c r="K4686" s="76"/>
      <c r="L4686" s="76"/>
    </row>
    <row r="4687" spans="1:12" ht="21.95" customHeight="1" x14ac:dyDescent="0.25">
      <c r="A4687" s="1"/>
      <c r="B4687" s="1"/>
      <c r="D4687" s="1"/>
    </row>
    <row r="4688" spans="1:12" ht="30" customHeight="1" x14ac:dyDescent="0.2">
      <c r="A4688" s="277" t="s">
        <v>510</v>
      </c>
      <c r="B4688" s="277"/>
      <c r="C4688" s="277"/>
      <c r="D4688" s="277"/>
      <c r="E4688" s="277"/>
      <c r="F4688" s="277"/>
      <c r="G4688" s="277"/>
      <c r="H4688" s="277"/>
      <c r="I4688" s="277"/>
      <c r="J4688" s="277"/>
      <c r="K4688" s="277"/>
      <c r="L4688" s="277"/>
    </row>
    <row r="4689" spans="1:12" ht="21.95" customHeight="1" x14ac:dyDescent="0.25">
      <c r="A4689" s="1"/>
      <c r="B4689" s="1"/>
    </row>
    <row r="4690" spans="1:12" ht="21.95" customHeight="1" thickBot="1" x14ac:dyDescent="0.25">
      <c r="A4690" s="10" t="s">
        <v>0</v>
      </c>
      <c r="B4690" s="278" t="s">
        <v>91</v>
      </c>
      <c r="C4690" s="278"/>
      <c r="D4690" s="278"/>
      <c r="E4690" s="278"/>
      <c r="F4690" s="278"/>
      <c r="G4690" s="278"/>
      <c r="H4690" s="278"/>
      <c r="I4690" s="278"/>
      <c r="J4690" s="278"/>
      <c r="K4690" s="278"/>
      <c r="L4690" s="278"/>
    </row>
    <row r="4691" spans="1:12" ht="21.95" customHeight="1" thickTop="1" x14ac:dyDescent="0.25">
      <c r="A4691" s="1"/>
      <c r="B4691" s="11" t="s">
        <v>3</v>
      </c>
      <c r="C4691" s="12" t="s">
        <v>4</v>
      </c>
      <c r="D4691" s="13"/>
      <c r="E4691" s="13"/>
      <c r="F4691" s="13"/>
      <c r="G4691" s="13"/>
      <c r="H4691" s="14"/>
      <c r="I4691" s="15" t="s">
        <v>5</v>
      </c>
      <c r="J4691" s="12" t="s">
        <v>17</v>
      </c>
      <c r="K4691" s="13"/>
      <c r="L4691" s="14"/>
    </row>
    <row r="4692" spans="1:12" ht="21.95" customHeight="1" x14ac:dyDescent="0.2">
      <c r="B4692" s="96">
        <v>1</v>
      </c>
      <c r="C4692" s="140" t="s">
        <v>500</v>
      </c>
      <c r="D4692" s="76"/>
      <c r="E4692" s="150"/>
      <c r="F4692" s="171"/>
      <c r="G4692" s="144"/>
      <c r="H4692" s="79"/>
      <c r="I4692" s="56">
        <v>200000</v>
      </c>
      <c r="J4692" s="76"/>
      <c r="L4692" s="17"/>
    </row>
    <row r="4693" spans="1:12" ht="21.95" customHeight="1" x14ac:dyDescent="0.2">
      <c r="B4693" s="96"/>
      <c r="C4693" s="313"/>
      <c r="D4693" s="314"/>
      <c r="E4693" s="314"/>
      <c r="F4693" s="314"/>
      <c r="G4693" s="314"/>
      <c r="H4693" s="315"/>
      <c r="I4693" s="56"/>
      <c r="L4693" s="17"/>
    </row>
    <row r="4694" spans="1:12" ht="21.95" customHeight="1" x14ac:dyDescent="0.25">
      <c r="A4694" s="1"/>
      <c r="B4694" s="39"/>
      <c r="C4694" s="1"/>
      <c r="D4694" s="1"/>
      <c r="E4694" s="1"/>
      <c r="F4694" s="40" t="s">
        <v>5</v>
      </c>
      <c r="G4694" s="40"/>
      <c r="H4694" s="1"/>
      <c r="I4694" s="41">
        <f>I4692</f>
        <v>200000</v>
      </c>
      <c r="J4694" s="1"/>
      <c r="K4694" s="1"/>
      <c r="L4694" s="42"/>
    </row>
    <row r="4695" spans="1:12" ht="21.95" customHeight="1" thickBot="1" x14ac:dyDescent="0.3">
      <c r="A4695" s="1"/>
      <c r="B4695" s="43"/>
      <c r="C4695" s="44"/>
      <c r="D4695" s="44"/>
      <c r="E4695" s="44"/>
      <c r="F4695" s="45"/>
      <c r="G4695" s="45"/>
      <c r="H4695" s="44"/>
      <c r="I4695" s="46"/>
      <c r="J4695" s="44"/>
      <c r="K4695" s="44"/>
      <c r="L4695" s="47"/>
    </row>
    <row r="4696" spans="1:12" ht="21.95" customHeight="1" thickTop="1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 ht="46.5" customHeight="1" x14ac:dyDescent="0.2">
      <c r="A4697" s="10" t="s">
        <v>2</v>
      </c>
      <c r="B4697" s="279" t="s">
        <v>11</v>
      </c>
      <c r="C4697" s="279"/>
      <c r="D4697" s="279"/>
      <c r="E4697" s="279"/>
      <c r="F4697" s="279"/>
      <c r="G4697" s="279"/>
      <c r="H4697" s="279"/>
      <c r="I4697" s="279"/>
      <c r="J4697" s="279"/>
      <c r="K4697" s="279"/>
      <c r="L4697" s="279"/>
    </row>
    <row r="4698" spans="1:12" ht="21.95" customHeight="1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</row>
    <row r="4699" spans="1:12" ht="21.95" customHeight="1" x14ac:dyDescent="0.2">
      <c r="A4699" s="280" t="s">
        <v>12</v>
      </c>
      <c r="B4699" s="280"/>
      <c r="C4699" s="280"/>
      <c r="D4699" s="280"/>
      <c r="E4699" s="280"/>
      <c r="F4699" s="280"/>
      <c r="G4699" s="280"/>
      <c r="H4699" s="280"/>
      <c r="I4699" s="280"/>
      <c r="J4699" s="280"/>
      <c r="K4699" s="280"/>
      <c r="L4699" s="280"/>
    </row>
    <row r="4700" spans="1:12" ht="21.95" customHeight="1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 ht="21.95" customHeight="1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ht="21.95" customHeight="1" x14ac:dyDescent="0.25">
      <c r="A4702" s="1"/>
      <c r="B4702" s="1"/>
      <c r="C4702" s="1"/>
      <c r="D4702" s="1"/>
      <c r="E4702" s="1"/>
      <c r="F4702" s="1"/>
      <c r="G4702" s="1"/>
      <c r="H4702" s="4" t="s">
        <v>199</v>
      </c>
      <c r="J4702" s="286" t="s">
        <v>503</v>
      </c>
      <c r="K4702" s="286"/>
      <c r="L4702" s="286"/>
    </row>
    <row r="4703" spans="1:12" ht="11.25" customHeight="1" x14ac:dyDescent="0.25">
      <c r="A4703" s="1"/>
      <c r="B4703" s="1" t="s">
        <v>15</v>
      </c>
      <c r="C4703" s="1"/>
      <c r="D4703" s="1"/>
      <c r="E4703" s="1"/>
      <c r="F4703" s="1"/>
      <c r="G4703" s="1"/>
      <c r="H4703" s="4" t="s">
        <v>13</v>
      </c>
    </row>
    <row r="4704" spans="1:12" ht="16.5" customHeight="1" x14ac:dyDescent="0.2">
      <c r="A4704" s="48"/>
      <c r="B4704" s="48" t="s">
        <v>18</v>
      </c>
      <c r="C4704" s="48"/>
      <c r="D4704" s="48"/>
      <c r="E4704" s="48"/>
      <c r="F4704" s="48"/>
      <c r="G4704" s="48"/>
      <c r="H4704" s="99" t="s">
        <v>14</v>
      </c>
      <c r="I4704" s="99"/>
      <c r="J4704" s="99"/>
      <c r="K4704" s="99"/>
      <c r="L4704" s="99"/>
    </row>
    <row r="4705" spans="1:12" ht="18.75" customHeight="1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 ht="21.75" hidden="1" customHeight="1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</row>
    <row r="4707" spans="1:12" ht="21.75" hidden="1" customHeight="1" x14ac:dyDescent="0.25">
      <c r="A4707" s="1"/>
      <c r="B4707" s="103"/>
      <c r="C4707" s="103"/>
      <c r="D4707" s="103"/>
      <c r="E4707" s="103"/>
      <c r="F4707" s="103"/>
      <c r="G4707" s="103"/>
      <c r="H4707" s="103"/>
      <c r="I4707" s="103"/>
      <c r="J4707" s="103"/>
      <c r="K4707" s="103"/>
      <c r="L4707" s="1"/>
    </row>
    <row r="4708" spans="1:12" ht="21.95" customHeight="1" x14ac:dyDescent="0.25">
      <c r="A4708" s="1"/>
      <c r="K4708" s="103"/>
      <c r="L4708" s="1"/>
    </row>
    <row r="4709" spans="1:12" ht="21.95" customHeight="1" x14ac:dyDescent="0.25">
      <c r="A4709" s="1"/>
      <c r="B4709" s="95" t="s">
        <v>77</v>
      </c>
      <c r="H4709" s="26" t="s">
        <v>96</v>
      </c>
      <c r="I4709" s="95"/>
      <c r="J4709" s="92"/>
      <c r="K4709" s="103"/>
      <c r="L4709" s="1"/>
    </row>
    <row r="4710" spans="1:12" ht="21.95" customHeight="1" x14ac:dyDescent="0.25">
      <c r="A4710" s="1"/>
      <c r="B4710" s="99" t="s">
        <v>27</v>
      </c>
      <c r="C4710" s="57"/>
      <c r="H4710" s="28" t="s">
        <v>100</v>
      </c>
      <c r="K4710" s="103"/>
    </row>
    <row r="4718" spans="1:12" ht="21.95" customHeight="1" x14ac:dyDescent="0.25">
      <c r="A4718" s="3" t="s">
        <v>22</v>
      </c>
    </row>
    <row r="4719" spans="1:12" ht="21.95" customHeight="1" x14ac:dyDescent="0.2">
      <c r="A4719" s="122" t="s">
        <v>20</v>
      </c>
    </row>
    <row r="4720" spans="1:12" ht="21.95" customHeight="1" x14ac:dyDescent="0.2">
      <c r="A4720" s="122" t="s">
        <v>21</v>
      </c>
    </row>
    <row r="4724" spans="1:12" ht="21.95" customHeight="1" x14ac:dyDescent="0.3">
      <c r="A4724" s="276" t="s">
        <v>6</v>
      </c>
      <c r="B4724" s="276"/>
      <c r="C4724" s="276"/>
      <c r="D4724" s="276"/>
      <c r="E4724" s="276"/>
      <c r="F4724" s="276"/>
      <c r="G4724" s="276"/>
      <c r="H4724" s="276"/>
      <c r="I4724" s="276"/>
      <c r="J4724" s="276"/>
      <c r="K4724" s="276"/>
      <c r="L4724" s="276"/>
    </row>
    <row r="4725" spans="1:12" ht="21.95" customHeight="1" x14ac:dyDescent="0.3">
      <c r="A4725" s="24"/>
      <c r="B4725" s="24"/>
      <c r="C4725" s="24"/>
      <c r="D4725" s="24"/>
      <c r="E4725" s="24"/>
      <c r="F4725" s="24"/>
      <c r="G4725" s="24"/>
      <c r="H4725" s="24"/>
      <c r="I4725" s="24"/>
      <c r="J4725" s="24"/>
      <c r="K4725" s="24"/>
      <c r="L4725" s="24"/>
    </row>
    <row r="4726" spans="1:12" ht="21.95" customHeight="1" x14ac:dyDescent="0.3">
      <c r="A4726" s="24"/>
      <c r="B4726" s="24"/>
      <c r="C4726" s="24"/>
      <c r="D4726" s="24"/>
      <c r="E4726" s="24"/>
      <c r="F4726" s="24"/>
      <c r="G4726" s="24"/>
      <c r="H4726" s="24"/>
      <c r="I4726" s="24"/>
      <c r="J4726" s="24"/>
      <c r="K4726" s="24"/>
      <c r="L4726" s="24"/>
    </row>
    <row r="4727" spans="1:12" ht="21.95" customHeight="1" x14ac:dyDescent="0.25">
      <c r="A4727" s="1"/>
      <c r="B4727" s="1"/>
    </row>
    <row r="4728" spans="1:12" ht="21.95" customHeight="1" x14ac:dyDescent="0.25">
      <c r="A4728" s="1" t="s">
        <v>7</v>
      </c>
      <c r="B4728" s="1"/>
    </row>
    <row r="4729" spans="1:12" ht="21.95" customHeight="1" x14ac:dyDescent="0.25">
      <c r="A4729" s="1"/>
      <c r="B4729" s="1"/>
    </row>
    <row r="4730" spans="1:12" ht="21.95" customHeight="1" x14ac:dyDescent="0.25">
      <c r="A4730" s="1" t="s">
        <v>8</v>
      </c>
      <c r="C4730" s="9" t="s">
        <v>1</v>
      </c>
      <c r="D4730" s="92" t="s">
        <v>77</v>
      </c>
      <c r="E4730" s="76"/>
      <c r="F4730" s="76"/>
      <c r="G4730" s="76"/>
      <c r="H4730" s="76"/>
    </row>
    <row r="4731" spans="1:12" ht="13.5" customHeight="1" x14ac:dyDescent="0.25">
      <c r="A4731" s="1" t="s">
        <v>9</v>
      </c>
      <c r="C4731" s="9" t="s">
        <v>1</v>
      </c>
      <c r="D4731" s="146" t="s">
        <v>201</v>
      </c>
      <c r="E4731" s="76"/>
      <c r="F4731" s="76"/>
      <c r="G4731" s="76"/>
      <c r="H4731" s="76"/>
    </row>
    <row r="4732" spans="1:12" ht="21.95" customHeight="1" x14ac:dyDescent="0.2">
      <c r="A4732" s="50" t="s">
        <v>10</v>
      </c>
      <c r="B4732" s="76"/>
      <c r="C4732" s="91" t="s">
        <v>1</v>
      </c>
      <c r="D4732" s="50" t="s">
        <v>496</v>
      </c>
      <c r="E4732" s="76"/>
      <c r="F4732" s="76"/>
      <c r="G4732" s="76"/>
      <c r="H4732" s="76"/>
      <c r="I4732" s="76"/>
      <c r="J4732" s="76"/>
      <c r="K4732" s="76"/>
      <c r="L4732" s="76"/>
    </row>
    <row r="4733" spans="1:12" ht="21.95" customHeight="1" x14ac:dyDescent="0.25">
      <c r="A4733" s="1"/>
      <c r="B4733" s="1"/>
      <c r="D4733" s="1"/>
    </row>
    <row r="4734" spans="1:12" ht="33.75" customHeight="1" x14ac:dyDescent="0.2">
      <c r="A4734" s="277" t="s">
        <v>510</v>
      </c>
      <c r="B4734" s="277"/>
      <c r="C4734" s="277"/>
      <c r="D4734" s="277"/>
      <c r="E4734" s="277"/>
      <c r="F4734" s="277"/>
      <c r="G4734" s="277"/>
      <c r="H4734" s="277"/>
      <c r="I4734" s="277"/>
      <c r="J4734" s="277"/>
      <c r="K4734" s="277"/>
      <c r="L4734" s="277"/>
    </row>
    <row r="4735" spans="1:12" ht="21.95" customHeight="1" x14ac:dyDescent="0.25">
      <c r="A4735" s="1"/>
      <c r="B4735" s="1"/>
    </row>
    <row r="4736" spans="1:12" ht="36.75" customHeight="1" thickBot="1" x14ac:dyDescent="0.25">
      <c r="A4736" s="10" t="s">
        <v>0</v>
      </c>
      <c r="B4736" s="278" t="s">
        <v>91</v>
      </c>
      <c r="C4736" s="278"/>
      <c r="D4736" s="278"/>
      <c r="E4736" s="278"/>
      <c r="F4736" s="278"/>
      <c r="G4736" s="278"/>
      <c r="H4736" s="278"/>
      <c r="I4736" s="278"/>
      <c r="J4736" s="278"/>
      <c r="K4736" s="278"/>
      <c r="L4736" s="278"/>
    </row>
    <row r="4737" spans="1:12" ht="21.95" customHeight="1" thickTop="1" x14ac:dyDescent="0.25">
      <c r="A4737" s="1"/>
      <c r="B4737" s="11" t="s">
        <v>3</v>
      </c>
      <c r="C4737" s="12" t="s">
        <v>4</v>
      </c>
      <c r="D4737" s="13"/>
      <c r="E4737" s="13"/>
      <c r="F4737" s="13"/>
      <c r="G4737" s="13"/>
      <c r="H4737" s="14"/>
      <c r="I4737" s="15" t="s">
        <v>5</v>
      </c>
      <c r="J4737" s="12" t="s">
        <v>17</v>
      </c>
      <c r="K4737" s="13"/>
      <c r="L4737" s="14"/>
    </row>
    <row r="4738" spans="1:12" ht="21.95" customHeight="1" x14ac:dyDescent="0.2">
      <c r="B4738" s="96">
        <v>1</v>
      </c>
      <c r="C4738" s="140" t="s">
        <v>500</v>
      </c>
      <c r="D4738" s="76"/>
      <c r="E4738" s="150"/>
      <c r="F4738" s="171"/>
      <c r="G4738" s="144"/>
      <c r="H4738" s="79"/>
      <c r="I4738" s="56">
        <v>200000</v>
      </c>
      <c r="J4738" s="76"/>
      <c r="L4738" s="17"/>
    </row>
    <row r="4739" spans="1:12" ht="21.95" customHeight="1" x14ac:dyDescent="0.2">
      <c r="B4739" s="96"/>
      <c r="C4739" s="313"/>
      <c r="D4739" s="314"/>
      <c r="E4739" s="314"/>
      <c r="F4739" s="314"/>
      <c r="G4739" s="314"/>
      <c r="H4739" s="315"/>
      <c r="I4739" s="56"/>
      <c r="L4739" s="17"/>
    </row>
    <row r="4740" spans="1:12" ht="21.95" customHeight="1" x14ac:dyDescent="0.25">
      <c r="A4740" s="1"/>
      <c r="B4740" s="39"/>
      <c r="C4740" s="1"/>
      <c r="D4740" s="1"/>
      <c r="E4740" s="1"/>
      <c r="F4740" s="40" t="s">
        <v>5</v>
      </c>
      <c r="G4740" s="40"/>
      <c r="H4740" s="1"/>
      <c r="I4740" s="41">
        <f>I4738</f>
        <v>200000</v>
      </c>
      <c r="J4740" s="1"/>
      <c r="K4740" s="1"/>
      <c r="L4740" s="42"/>
    </row>
    <row r="4741" spans="1:12" ht="21.95" customHeight="1" thickBot="1" x14ac:dyDescent="0.3">
      <c r="A4741" s="1"/>
      <c r="B4741" s="43"/>
      <c r="C4741" s="44"/>
      <c r="D4741" s="44"/>
      <c r="E4741" s="44"/>
      <c r="F4741" s="45"/>
      <c r="G4741" s="45"/>
      <c r="H4741" s="44"/>
      <c r="I4741" s="46"/>
      <c r="J4741" s="44"/>
      <c r="K4741" s="44"/>
      <c r="L4741" s="47"/>
    </row>
    <row r="4742" spans="1:12" ht="21.95" customHeight="1" thickTop="1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</row>
    <row r="4743" spans="1:12" ht="48" customHeight="1" x14ac:dyDescent="0.2">
      <c r="A4743" s="10" t="s">
        <v>2</v>
      </c>
      <c r="B4743" s="279" t="s">
        <v>11</v>
      </c>
      <c r="C4743" s="279"/>
      <c r="D4743" s="279"/>
      <c r="E4743" s="279"/>
      <c r="F4743" s="279"/>
      <c r="G4743" s="279"/>
      <c r="H4743" s="279"/>
      <c r="I4743" s="279"/>
      <c r="J4743" s="279"/>
      <c r="K4743" s="279"/>
      <c r="L4743" s="279"/>
    </row>
    <row r="4744" spans="1:12" ht="21.95" customHeight="1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</row>
    <row r="4745" spans="1:12" ht="21.95" customHeight="1" x14ac:dyDescent="0.2">
      <c r="A4745" s="280" t="s">
        <v>12</v>
      </c>
      <c r="B4745" s="280"/>
      <c r="C4745" s="280"/>
      <c r="D4745" s="280"/>
      <c r="E4745" s="280"/>
      <c r="F4745" s="280"/>
      <c r="G4745" s="280"/>
      <c r="H4745" s="280"/>
      <c r="I4745" s="280"/>
      <c r="J4745" s="280"/>
      <c r="K4745" s="280"/>
      <c r="L4745" s="280"/>
    </row>
    <row r="4746" spans="1:12" ht="21.95" customHeight="1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</row>
    <row r="4747" spans="1:12" ht="21.95" customHeight="1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</row>
    <row r="4748" spans="1:12" ht="16.5" customHeight="1" x14ac:dyDescent="0.25">
      <c r="A4748" s="1"/>
      <c r="B4748" s="1"/>
      <c r="C4748" s="1"/>
      <c r="D4748" s="1"/>
      <c r="E4748" s="1"/>
      <c r="F4748" s="1"/>
      <c r="G4748" s="1"/>
      <c r="H4748" s="4" t="s">
        <v>199</v>
      </c>
      <c r="J4748" s="286" t="s">
        <v>503</v>
      </c>
      <c r="K4748" s="286"/>
      <c r="L4748" s="286"/>
    </row>
    <row r="4749" spans="1:12" ht="14.25" customHeight="1" x14ac:dyDescent="0.25">
      <c r="A4749" s="1"/>
      <c r="B4749" s="1" t="s">
        <v>15</v>
      </c>
      <c r="C4749" s="1"/>
      <c r="D4749" s="1"/>
      <c r="E4749" s="1"/>
      <c r="F4749" s="1"/>
      <c r="G4749" s="1"/>
      <c r="H4749" s="4" t="s">
        <v>13</v>
      </c>
    </row>
    <row r="4750" spans="1:12" ht="14.25" customHeight="1" x14ac:dyDescent="0.2">
      <c r="A4750" s="48"/>
      <c r="B4750" s="48" t="s">
        <v>18</v>
      </c>
      <c r="C4750" s="48"/>
      <c r="D4750" s="48"/>
      <c r="E4750" s="48"/>
      <c r="F4750" s="48"/>
      <c r="G4750" s="48"/>
      <c r="H4750" s="99" t="s">
        <v>14</v>
      </c>
      <c r="I4750" s="99"/>
      <c r="J4750" s="99"/>
      <c r="K4750" s="99"/>
      <c r="L4750" s="99"/>
    </row>
    <row r="4751" spans="1:12" ht="21.95" customHeight="1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</row>
    <row r="4752" spans="1:12" ht="6" customHeight="1" x14ac:dyDescent="0.2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</row>
    <row r="4753" spans="1:12" ht="21.75" hidden="1" customHeight="1" x14ac:dyDescent="0.25">
      <c r="A4753" s="1"/>
      <c r="B4753" s="103"/>
      <c r="C4753" s="103"/>
      <c r="D4753" s="103"/>
      <c r="E4753" s="103"/>
      <c r="F4753" s="103"/>
      <c r="G4753" s="103"/>
      <c r="H4753" s="103"/>
      <c r="I4753" s="103"/>
      <c r="J4753" s="103"/>
      <c r="K4753" s="103"/>
      <c r="L4753" s="1"/>
    </row>
    <row r="4754" spans="1:12" ht="21.75" hidden="1" customHeight="1" x14ac:dyDescent="0.25">
      <c r="A4754" s="1"/>
      <c r="K4754" s="103"/>
      <c r="L4754" s="1"/>
    </row>
    <row r="4755" spans="1:12" ht="21.95" customHeight="1" x14ac:dyDescent="0.25">
      <c r="A4755" s="1"/>
      <c r="B4755" s="95" t="s">
        <v>77</v>
      </c>
      <c r="H4755" s="95" t="s">
        <v>77</v>
      </c>
      <c r="I4755" s="95"/>
      <c r="J4755" s="92"/>
      <c r="K4755" s="103"/>
      <c r="L4755" s="1"/>
    </row>
    <row r="4756" spans="1:12" ht="21.95" customHeight="1" x14ac:dyDescent="0.25">
      <c r="A4756" s="1"/>
      <c r="B4756" s="99" t="s">
        <v>27</v>
      </c>
      <c r="C4756" s="57"/>
      <c r="H4756" s="99" t="s">
        <v>27</v>
      </c>
      <c r="K4756" s="103"/>
    </row>
    <row r="4760" spans="1:12" ht="21.95" customHeight="1" x14ac:dyDescent="0.25">
      <c r="A4760" s="3" t="s">
        <v>22</v>
      </c>
    </row>
    <row r="4761" spans="1:12" ht="21.95" customHeight="1" x14ac:dyDescent="0.2">
      <c r="A4761" s="122" t="s">
        <v>20</v>
      </c>
    </row>
    <row r="4762" spans="1:12" ht="21.95" customHeight="1" x14ac:dyDescent="0.2">
      <c r="A4762" s="122" t="s">
        <v>21</v>
      </c>
    </row>
    <row r="4766" spans="1:12" ht="21.95" customHeight="1" x14ac:dyDescent="0.3">
      <c r="A4766" s="276" t="s">
        <v>6</v>
      </c>
      <c r="B4766" s="276"/>
      <c r="C4766" s="276"/>
      <c r="D4766" s="276"/>
      <c r="E4766" s="276"/>
      <c r="F4766" s="276"/>
      <c r="G4766" s="276"/>
      <c r="H4766" s="276"/>
      <c r="I4766" s="276"/>
      <c r="J4766" s="276"/>
      <c r="K4766" s="276"/>
      <c r="L4766" s="276"/>
    </row>
    <row r="4767" spans="1:12" ht="21.95" customHeight="1" x14ac:dyDescent="0.3">
      <c r="A4767" s="24"/>
      <c r="B4767" s="24"/>
      <c r="C4767" s="24"/>
      <c r="D4767" s="24"/>
      <c r="E4767" s="24"/>
      <c r="F4767" s="24"/>
      <c r="G4767" s="24"/>
      <c r="H4767" s="24"/>
      <c r="I4767" s="24"/>
      <c r="J4767" s="24"/>
      <c r="K4767" s="24"/>
      <c r="L4767" s="24"/>
    </row>
    <row r="4768" spans="1:12" ht="21.95" customHeight="1" x14ac:dyDescent="0.3">
      <c r="A4768" s="24"/>
      <c r="B4768" s="24"/>
      <c r="C4768" s="24"/>
      <c r="D4768" s="24"/>
      <c r="E4768" s="24"/>
      <c r="F4768" s="24"/>
      <c r="G4768" s="24"/>
      <c r="H4768" s="24"/>
      <c r="I4768" s="24"/>
      <c r="J4768" s="24"/>
      <c r="K4768" s="24"/>
      <c r="L4768" s="24"/>
    </row>
    <row r="4769" spans="1:12" ht="21.95" customHeight="1" x14ac:dyDescent="0.25">
      <c r="A4769" s="1"/>
      <c r="B4769" s="1"/>
    </row>
    <row r="4770" spans="1:12" ht="21.95" customHeight="1" x14ac:dyDescent="0.25">
      <c r="A4770" s="1" t="s">
        <v>7</v>
      </c>
      <c r="B4770" s="1"/>
    </row>
    <row r="4771" spans="1:12" ht="21.95" customHeight="1" x14ac:dyDescent="0.25">
      <c r="A4771" s="1"/>
      <c r="B4771" s="1"/>
    </row>
    <row r="4772" spans="1:12" ht="21.95" customHeight="1" x14ac:dyDescent="0.25">
      <c r="A4772" s="1" t="s">
        <v>8</v>
      </c>
      <c r="C4772" s="9" t="s">
        <v>1</v>
      </c>
      <c r="D4772" s="92" t="s">
        <v>96</v>
      </c>
      <c r="E4772" s="76"/>
      <c r="F4772" s="76"/>
      <c r="G4772" s="76"/>
      <c r="H4772" s="76"/>
    </row>
    <row r="4773" spans="1:12" ht="18" customHeight="1" x14ac:dyDescent="0.25">
      <c r="A4773" s="1" t="s">
        <v>9</v>
      </c>
      <c r="C4773" s="9" t="s">
        <v>1</v>
      </c>
      <c r="D4773" s="57" t="s">
        <v>200</v>
      </c>
      <c r="E4773" s="76"/>
      <c r="F4773" s="76"/>
      <c r="G4773" s="76"/>
      <c r="H4773" s="76"/>
    </row>
    <row r="4774" spans="1:12" ht="21.95" customHeight="1" x14ac:dyDescent="0.2">
      <c r="A4774" s="50" t="s">
        <v>10</v>
      </c>
      <c r="B4774" s="76"/>
      <c r="C4774" s="91" t="s">
        <v>1</v>
      </c>
      <c r="D4774" s="50" t="s">
        <v>203</v>
      </c>
      <c r="E4774" s="76"/>
      <c r="F4774" s="76"/>
      <c r="G4774" s="76"/>
      <c r="H4774" s="76"/>
      <c r="I4774" s="76"/>
      <c r="J4774" s="76"/>
      <c r="K4774" s="76"/>
      <c r="L4774" s="76"/>
    </row>
    <row r="4775" spans="1:12" ht="21.95" customHeight="1" x14ac:dyDescent="0.25">
      <c r="A4775" s="1"/>
      <c r="B4775" s="1"/>
      <c r="D4775" s="1"/>
    </row>
    <row r="4776" spans="1:12" ht="32.25" customHeight="1" x14ac:dyDescent="0.2">
      <c r="A4776" s="277" t="s">
        <v>512</v>
      </c>
      <c r="B4776" s="277"/>
      <c r="C4776" s="277"/>
      <c r="D4776" s="277"/>
      <c r="E4776" s="277"/>
      <c r="F4776" s="277"/>
      <c r="G4776" s="277"/>
      <c r="H4776" s="277"/>
      <c r="I4776" s="277"/>
      <c r="J4776" s="277"/>
      <c r="K4776" s="277"/>
      <c r="L4776" s="277"/>
    </row>
    <row r="4777" spans="1:12" ht="14.25" customHeight="1" x14ac:dyDescent="0.25">
      <c r="A4777" s="1"/>
      <c r="B4777" s="1"/>
    </row>
    <row r="4778" spans="1:12" ht="35.25" customHeight="1" thickBot="1" x14ac:dyDescent="0.25">
      <c r="A4778" s="10" t="s">
        <v>0</v>
      </c>
      <c r="B4778" s="278" t="s">
        <v>91</v>
      </c>
      <c r="C4778" s="278"/>
      <c r="D4778" s="278"/>
      <c r="E4778" s="278"/>
      <c r="F4778" s="278"/>
      <c r="G4778" s="278"/>
      <c r="H4778" s="278"/>
      <c r="I4778" s="278"/>
      <c r="J4778" s="278"/>
      <c r="K4778" s="278"/>
      <c r="L4778" s="278"/>
    </row>
    <row r="4779" spans="1:12" ht="21.95" customHeight="1" thickTop="1" x14ac:dyDescent="0.25">
      <c r="A4779" s="1"/>
      <c r="B4779" s="11" t="s">
        <v>3</v>
      </c>
      <c r="C4779" s="12" t="s">
        <v>4</v>
      </c>
      <c r="D4779" s="13"/>
      <c r="E4779" s="13"/>
      <c r="F4779" s="13"/>
      <c r="G4779" s="13"/>
      <c r="H4779" s="14"/>
      <c r="I4779" s="15" t="s">
        <v>5</v>
      </c>
      <c r="J4779" s="12" t="s">
        <v>17</v>
      </c>
      <c r="K4779" s="13"/>
      <c r="L4779" s="14"/>
    </row>
    <row r="4780" spans="1:12" ht="21.95" customHeight="1" x14ac:dyDescent="0.2">
      <c r="B4780" s="96">
        <v>1</v>
      </c>
      <c r="C4780" s="140" t="s">
        <v>511</v>
      </c>
      <c r="D4780" s="76"/>
      <c r="E4780" s="150"/>
      <c r="F4780" s="171"/>
      <c r="G4780" s="144"/>
      <c r="H4780" s="79"/>
      <c r="I4780" s="56">
        <v>700000</v>
      </c>
      <c r="J4780" s="76"/>
      <c r="L4780" s="17"/>
    </row>
    <row r="4781" spans="1:12" ht="21.95" customHeight="1" x14ac:dyDescent="0.2">
      <c r="B4781" s="96"/>
      <c r="C4781" s="313"/>
      <c r="D4781" s="314"/>
      <c r="E4781" s="314"/>
      <c r="F4781" s="314"/>
      <c r="G4781" s="314"/>
      <c r="H4781" s="315"/>
      <c r="I4781" s="56"/>
      <c r="L4781" s="17"/>
    </row>
    <row r="4782" spans="1:12" ht="21.95" customHeight="1" x14ac:dyDescent="0.25">
      <c r="A4782" s="1"/>
      <c r="B4782" s="39"/>
      <c r="C4782" s="1"/>
      <c r="D4782" s="1"/>
      <c r="E4782" s="1"/>
      <c r="F4782" s="40" t="s">
        <v>5</v>
      </c>
      <c r="G4782" s="40"/>
      <c r="H4782" s="1"/>
      <c r="I4782" s="41">
        <f>I4780</f>
        <v>700000</v>
      </c>
      <c r="J4782" s="1"/>
      <c r="K4782" s="1"/>
      <c r="L4782" s="42"/>
    </row>
    <row r="4783" spans="1:12" ht="21.95" customHeight="1" thickBot="1" x14ac:dyDescent="0.3">
      <c r="A4783" s="1"/>
      <c r="B4783" s="43"/>
      <c r="C4783" s="44"/>
      <c r="D4783" s="44"/>
      <c r="E4783" s="44"/>
      <c r="F4783" s="45"/>
      <c r="G4783" s="45"/>
      <c r="H4783" s="44"/>
      <c r="I4783" s="46"/>
      <c r="J4783" s="44"/>
      <c r="K4783" s="44"/>
      <c r="L4783" s="47"/>
    </row>
    <row r="4784" spans="1:12" ht="17.25" customHeight="1" thickTop="1" x14ac:dyDescent="0.2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</row>
    <row r="4785" spans="1:12" ht="46.5" customHeight="1" x14ac:dyDescent="0.2">
      <c r="A4785" s="10" t="s">
        <v>2</v>
      </c>
      <c r="B4785" s="279" t="s">
        <v>11</v>
      </c>
      <c r="C4785" s="279"/>
      <c r="D4785" s="279"/>
      <c r="E4785" s="279"/>
      <c r="F4785" s="279"/>
      <c r="G4785" s="279"/>
      <c r="H4785" s="279"/>
      <c r="I4785" s="279"/>
      <c r="J4785" s="279"/>
      <c r="K4785" s="279"/>
      <c r="L4785" s="279"/>
    </row>
    <row r="4786" spans="1:12" ht="21.95" customHeight="1" x14ac:dyDescent="0.2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</row>
    <row r="4787" spans="1:12" ht="21.95" customHeight="1" x14ac:dyDescent="0.2">
      <c r="A4787" s="280" t="s">
        <v>12</v>
      </c>
      <c r="B4787" s="280"/>
      <c r="C4787" s="280"/>
      <c r="D4787" s="280"/>
      <c r="E4787" s="280"/>
      <c r="F4787" s="280"/>
      <c r="G4787" s="280"/>
      <c r="H4787" s="280"/>
      <c r="I4787" s="280"/>
      <c r="J4787" s="280"/>
      <c r="K4787" s="280"/>
      <c r="L4787" s="280"/>
    </row>
    <row r="4788" spans="1:12" ht="21.95" customHeight="1" x14ac:dyDescent="0.2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</row>
    <row r="4789" spans="1:12" ht="21.95" customHeight="1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</row>
    <row r="4790" spans="1:12" ht="21.95" customHeight="1" x14ac:dyDescent="0.25">
      <c r="A4790" s="1"/>
      <c r="B4790" s="1"/>
      <c r="C4790" s="1"/>
      <c r="D4790" s="1"/>
      <c r="E4790" s="1"/>
      <c r="F4790" s="1"/>
      <c r="G4790" s="1"/>
      <c r="H4790" s="4" t="s">
        <v>199</v>
      </c>
      <c r="J4790" s="286" t="s">
        <v>503</v>
      </c>
      <c r="K4790" s="286"/>
      <c r="L4790" s="286"/>
    </row>
    <row r="4791" spans="1:12" ht="14.25" customHeight="1" x14ac:dyDescent="0.25">
      <c r="A4791" s="1"/>
      <c r="B4791" s="1" t="s">
        <v>15</v>
      </c>
      <c r="C4791" s="1"/>
      <c r="D4791" s="1"/>
      <c r="E4791" s="1"/>
      <c r="F4791" s="1"/>
      <c r="G4791" s="1"/>
      <c r="H4791" s="4" t="s">
        <v>13</v>
      </c>
    </row>
    <row r="4792" spans="1:12" ht="16.5" customHeight="1" x14ac:dyDescent="0.2">
      <c r="A4792" s="48"/>
      <c r="B4792" s="48" t="s">
        <v>18</v>
      </c>
      <c r="C4792" s="48"/>
      <c r="D4792" s="48"/>
      <c r="E4792" s="48"/>
      <c r="F4792" s="48"/>
      <c r="G4792" s="48"/>
      <c r="H4792" s="99" t="s">
        <v>14</v>
      </c>
      <c r="I4792" s="99"/>
      <c r="J4792" s="99"/>
      <c r="K4792" s="99"/>
      <c r="L4792" s="99"/>
    </row>
    <row r="4793" spans="1:12" ht="9" customHeight="1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</row>
    <row r="4794" spans="1:12" ht="21.95" customHeight="1" x14ac:dyDescent="0.2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</row>
    <row r="4795" spans="1:12" ht="9.75" customHeight="1" x14ac:dyDescent="0.25">
      <c r="A4795" s="1"/>
      <c r="B4795" s="103"/>
      <c r="C4795" s="103"/>
      <c r="D4795" s="103"/>
      <c r="E4795" s="103"/>
      <c r="F4795" s="103"/>
      <c r="G4795" s="103"/>
      <c r="H4795" s="103"/>
      <c r="I4795" s="103"/>
      <c r="J4795" s="103"/>
      <c r="K4795" s="103"/>
      <c r="L4795" s="1"/>
    </row>
    <row r="4796" spans="1:12" ht="21.75" hidden="1" customHeight="1" x14ac:dyDescent="0.25">
      <c r="A4796" s="1"/>
      <c r="K4796" s="103"/>
      <c r="L4796" s="1"/>
    </row>
    <row r="4797" spans="1:12" ht="21.95" customHeight="1" x14ac:dyDescent="0.25">
      <c r="A4797" s="1"/>
      <c r="B4797" s="95" t="s">
        <v>77</v>
      </c>
      <c r="H4797" s="26" t="s">
        <v>96</v>
      </c>
      <c r="I4797" s="95"/>
      <c r="J4797" s="92"/>
      <c r="K4797" s="103"/>
      <c r="L4797" s="1"/>
    </row>
    <row r="4798" spans="1:12" ht="21.95" customHeight="1" x14ac:dyDescent="0.25">
      <c r="A4798" s="1"/>
      <c r="B4798" s="99" t="s">
        <v>27</v>
      </c>
      <c r="C4798" s="57"/>
      <c r="H4798" s="28" t="s">
        <v>100</v>
      </c>
      <c r="K4798" s="103"/>
    </row>
    <row r="4800" spans="1:12" ht="21.95" customHeight="1" x14ac:dyDescent="0.25">
      <c r="A4800" s="3" t="s">
        <v>22</v>
      </c>
    </row>
    <row r="4801" spans="1:12" ht="21.95" customHeight="1" x14ac:dyDescent="0.2">
      <c r="A4801" s="122" t="s">
        <v>20</v>
      </c>
    </row>
    <row r="4802" spans="1:12" ht="21.95" customHeight="1" x14ac:dyDescent="0.2">
      <c r="A4802" s="122" t="s">
        <v>21</v>
      </c>
    </row>
    <row r="4806" spans="1:12" ht="21.95" customHeight="1" x14ac:dyDescent="0.3">
      <c r="A4806" s="276" t="s">
        <v>6</v>
      </c>
      <c r="B4806" s="276"/>
      <c r="C4806" s="276"/>
      <c r="D4806" s="276"/>
      <c r="E4806" s="276"/>
      <c r="F4806" s="276"/>
      <c r="G4806" s="276"/>
      <c r="H4806" s="276"/>
      <c r="I4806" s="276"/>
      <c r="J4806" s="276"/>
      <c r="K4806" s="276"/>
      <c r="L4806" s="276"/>
    </row>
    <row r="4807" spans="1:12" ht="21.95" customHeight="1" x14ac:dyDescent="0.3">
      <c r="A4807" s="24"/>
      <c r="B4807" s="24"/>
      <c r="C4807" s="24"/>
      <c r="D4807" s="24"/>
      <c r="E4807" s="24"/>
      <c r="F4807" s="24"/>
      <c r="G4807" s="24"/>
      <c r="H4807" s="24"/>
      <c r="I4807" s="24"/>
      <c r="J4807" s="24"/>
      <c r="K4807" s="24"/>
      <c r="L4807" s="24"/>
    </row>
    <row r="4808" spans="1:12" ht="21.95" customHeight="1" x14ac:dyDescent="0.3">
      <c r="A4808" s="24"/>
      <c r="B4808" s="24"/>
      <c r="C4808" s="24"/>
      <c r="D4808" s="24"/>
      <c r="E4808" s="24"/>
      <c r="F4808" s="24"/>
      <c r="G4808" s="24"/>
      <c r="H4808" s="24"/>
      <c r="I4808" s="24"/>
      <c r="J4808" s="24"/>
      <c r="K4808" s="24"/>
      <c r="L4808" s="24"/>
    </row>
    <row r="4809" spans="1:12" ht="21.95" customHeight="1" x14ac:dyDescent="0.25">
      <c r="A4809" s="1"/>
      <c r="B4809" s="1"/>
    </row>
    <row r="4810" spans="1:12" ht="21.95" customHeight="1" x14ac:dyDescent="0.25">
      <c r="A4810" s="1" t="s">
        <v>7</v>
      </c>
      <c r="B4810" s="1"/>
    </row>
    <row r="4811" spans="1:12" ht="21.95" customHeight="1" x14ac:dyDescent="0.25">
      <c r="A4811" s="1"/>
      <c r="B4811" s="1"/>
    </row>
    <row r="4812" spans="1:12" ht="21.95" customHeight="1" x14ac:dyDescent="0.25">
      <c r="A4812" s="1" t="s">
        <v>8</v>
      </c>
      <c r="C4812" s="9" t="s">
        <v>1</v>
      </c>
      <c r="D4812" s="40" t="s">
        <v>109</v>
      </c>
      <c r="E4812" s="76"/>
      <c r="F4812" s="76"/>
      <c r="G4812" s="76"/>
      <c r="H4812" s="76"/>
    </row>
    <row r="4813" spans="1:12" ht="21.95" customHeight="1" x14ac:dyDescent="0.25">
      <c r="A4813" s="1" t="s">
        <v>9</v>
      </c>
      <c r="C4813" s="9" t="s">
        <v>1</v>
      </c>
      <c r="D4813" s="7" t="s">
        <v>424</v>
      </c>
      <c r="E4813" s="76"/>
      <c r="F4813" s="76"/>
      <c r="G4813" s="76"/>
      <c r="H4813" s="76"/>
    </row>
    <row r="4814" spans="1:12" ht="21.95" customHeight="1" x14ac:dyDescent="0.2">
      <c r="A4814" s="50" t="s">
        <v>10</v>
      </c>
      <c r="B4814" s="76"/>
      <c r="C4814" s="91" t="s">
        <v>1</v>
      </c>
      <c r="D4814" s="50" t="s">
        <v>203</v>
      </c>
      <c r="E4814" s="76"/>
      <c r="F4814" s="76"/>
      <c r="G4814" s="76"/>
      <c r="H4814" s="76"/>
      <c r="I4814" s="76"/>
      <c r="J4814" s="76"/>
      <c r="K4814" s="76"/>
      <c r="L4814" s="76"/>
    </row>
    <row r="4815" spans="1:12" ht="21.95" customHeight="1" x14ac:dyDescent="0.25">
      <c r="A4815" s="1"/>
      <c r="B4815" s="1"/>
      <c r="D4815" s="1"/>
    </row>
    <row r="4816" spans="1:12" ht="26.25" customHeight="1" x14ac:dyDescent="0.2">
      <c r="A4816" s="277" t="s">
        <v>512</v>
      </c>
      <c r="B4816" s="277"/>
      <c r="C4816" s="277"/>
      <c r="D4816" s="277"/>
      <c r="E4816" s="277"/>
      <c r="F4816" s="277"/>
      <c r="G4816" s="277"/>
      <c r="H4816" s="277"/>
      <c r="I4816" s="277"/>
      <c r="J4816" s="277"/>
      <c r="K4816" s="277"/>
      <c r="L4816" s="277"/>
    </row>
    <row r="4817" spans="1:12" ht="21.95" customHeight="1" x14ac:dyDescent="0.25">
      <c r="A4817" s="1"/>
      <c r="B4817" s="1"/>
    </row>
    <row r="4818" spans="1:12" ht="34.5" customHeight="1" thickBot="1" x14ac:dyDescent="0.25">
      <c r="A4818" s="10" t="s">
        <v>0</v>
      </c>
      <c r="B4818" s="278" t="s">
        <v>91</v>
      </c>
      <c r="C4818" s="278"/>
      <c r="D4818" s="278"/>
      <c r="E4818" s="278"/>
      <c r="F4818" s="278"/>
      <c r="G4818" s="278"/>
      <c r="H4818" s="278"/>
      <c r="I4818" s="278"/>
      <c r="J4818" s="278"/>
      <c r="K4818" s="278"/>
      <c r="L4818" s="278"/>
    </row>
    <row r="4819" spans="1:12" ht="21.95" customHeight="1" thickTop="1" x14ac:dyDescent="0.25">
      <c r="A4819" s="1"/>
      <c r="B4819" s="11" t="s">
        <v>3</v>
      </c>
      <c r="C4819" s="12" t="s">
        <v>4</v>
      </c>
      <c r="D4819" s="13"/>
      <c r="E4819" s="13"/>
      <c r="F4819" s="13"/>
      <c r="G4819" s="13"/>
      <c r="H4819" s="14"/>
      <c r="I4819" s="15" t="s">
        <v>5</v>
      </c>
      <c r="J4819" s="12" t="s">
        <v>17</v>
      </c>
      <c r="K4819" s="13"/>
      <c r="L4819" s="14"/>
    </row>
    <row r="4820" spans="1:12" ht="21.95" customHeight="1" x14ac:dyDescent="0.2">
      <c r="B4820" s="96">
        <v>1</v>
      </c>
      <c r="C4820" s="140" t="s">
        <v>511</v>
      </c>
      <c r="D4820" s="76"/>
      <c r="E4820" s="150"/>
      <c r="F4820" s="171"/>
      <c r="G4820" s="144"/>
      <c r="H4820" s="79"/>
      <c r="I4820" s="56">
        <v>700000</v>
      </c>
      <c r="J4820" s="76"/>
      <c r="L4820" s="17"/>
    </row>
    <row r="4821" spans="1:12" ht="21.95" customHeight="1" x14ac:dyDescent="0.2">
      <c r="B4821" s="96"/>
      <c r="C4821" s="313"/>
      <c r="D4821" s="314"/>
      <c r="E4821" s="314"/>
      <c r="F4821" s="314"/>
      <c r="G4821" s="314"/>
      <c r="H4821" s="315"/>
      <c r="I4821" s="56"/>
      <c r="L4821" s="17"/>
    </row>
    <row r="4822" spans="1:12" ht="21.95" customHeight="1" x14ac:dyDescent="0.25">
      <c r="A4822" s="1"/>
      <c r="B4822" s="39"/>
      <c r="C4822" s="1"/>
      <c r="D4822" s="1"/>
      <c r="E4822" s="1"/>
      <c r="F4822" s="40" t="s">
        <v>5</v>
      </c>
      <c r="G4822" s="40"/>
      <c r="H4822" s="1"/>
      <c r="I4822" s="41">
        <f>I4820</f>
        <v>700000</v>
      </c>
      <c r="J4822" s="1"/>
      <c r="K4822" s="1"/>
      <c r="L4822" s="42"/>
    </row>
    <row r="4823" spans="1:12" ht="21.95" customHeight="1" thickBot="1" x14ac:dyDescent="0.3">
      <c r="A4823" s="1"/>
      <c r="B4823" s="43"/>
      <c r="C4823" s="44"/>
      <c r="D4823" s="44"/>
      <c r="E4823" s="44"/>
      <c r="F4823" s="45"/>
      <c r="G4823" s="45"/>
      <c r="H4823" s="44"/>
      <c r="I4823" s="46"/>
      <c r="J4823" s="44"/>
      <c r="K4823" s="44"/>
      <c r="L4823" s="47"/>
    </row>
    <row r="4824" spans="1:12" ht="21.95" customHeight="1" thickTop="1" x14ac:dyDescent="0.2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</row>
    <row r="4825" spans="1:12" ht="47.25" customHeight="1" x14ac:dyDescent="0.2">
      <c r="A4825" s="10" t="s">
        <v>2</v>
      </c>
      <c r="B4825" s="279" t="s">
        <v>11</v>
      </c>
      <c r="C4825" s="279"/>
      <c r="D4825" s="279"/>
      <c r="E4825" s="279"/>
      <c r="F4825" s="279"/>
      <c r="G4825" s="279"/>
      <c r="H4825" s="279"/>
      <c r="I4825" s="279"/>
      <c r="J4825" s="279"/>
      <c r="K4825" s="279"/>
      <c r="L4825" s="279"/>
    </row>
    <row r="4826" spans="1:12" ht="21.95" customHeight="1" x14ac:dyDescent="0.2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</row>
    <row r="4827" spans="1:12" ht="21.95" customHeight="1" x14ac:dyDescent="0.2">
      <c r="A4827" s="280" t="s">
        <v>12</v>
      </c>
      <c r="B4827" s="280"/>
      <c r="C4827" s="280"/>
      <c r="D4827" s="280"/>
      <c r="E4827" s="280"/>
      <c r="F4827" s="280"/>
      <c r="G4827" s="280"/>
      <c r="H4827" s="280"/>
      <c r="I4827" s="280"/>
      <c r="J4827" s="280"/>
      <c r="K4827" s="280"/>
      <c r="L4827" s="280"/>
    </row>
    <row r="4828" spans="1:12" ht="21.95" customHeight="1" x14ac:dyDescent="0.2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</row>
    <row r="4829" spans="1:12" ht="21.95" customHeight="1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</row>
    <row r="4830" spans="1:12" ht="21.95" customHeight="1" x14ac:dyDescent="0.25">
      <c r="A4830" s="1"/>
      <c r="B4830" s="1"/>
      <c r="C4830" s="1"/>
      <c r="D4830" s="1"/>
      <c r="E4830" s="1"/>
      <c r="F4830" s="1"/>
      <c r="G4830" s="1"/>
      <c r="H4830" s="4" t="s">
        <v>199</v>
      </c>
      <c r="J4830" s="286" t="s">
        <v>503</v>
      </c>
      <c r="K4830" s="286"/>
      <c r="L4830" s="286"/>
    </row>
    <row r="4831" spans="1:12" ht="13.5" customHeight="1" x14ac:dyDescent="0.25">
      <c r="A4831" s="1"/>
      <c r="B4831" s="1" t="s">
        <v>15</v>
      </c>
      <c r="C4831" s="1"/>
      <c r="D4831" s="1"/>
      <c r="E4831" s="1"/>
      <c r="F4831" s="1"/>
      <c r="G4831" s="1"/>
      <c r="H4831" s="4" t="s">
        <v>13</v>
      </c>
    </row>
    <row r="4832" spans="1:12" ht="21.95" customHeight="1" x14ac:dyDescent="0.2">
      <c r="A4832" s="48"/>
      <c r="B4832" s="48" t="s">
        <v>18</v>
      </c>
      <c r="C4832" s="48"/>
      <c r="D4832" s="48"/>
      <c r="E4832" s="48"/>
      <c r="F4832" s="48"/>
      <c r="G4832" s="48"/>
      <c r="H4832" s="99" t="s">
        <v>14</v>
      </c>
      <c r="I4832" s="99"/>
      <c r="J4832" s="99"/>
      <c r="K4832" s="99"/>
      <c r="L4832" s="99"/>
    </row>
    <row r="4833" spans="1:12" ht="21.95" customHeight="1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</row>
    <row r="4834" spans="1:12" ht="1.5" customHeight="1" x14ac:dyDescent="0.2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</row>
    <row r="4835" spans="1:12" ht="14.25" customHeight="1" x14ac:dyDescent="0.25">
      <c r="A4835" s="1"/>
      <c r="B4835" s="103"/>
      <c r="C4835" s="103"/>
      <c r="D4835" s="103"/>
      <c r="E4835" s="103"/>
      <c r="F4835" s="103"/>
      <c r="G4835" s="103"/>
      <c r="H4835" s="103"/>
      <c r="I4835" s="103"/>
      <c r="J4835" s="103"/>
      <c r="K4835" s="103"/>
      <c r="L4835" s="1"/>
    </row>
    <row r="4836" spans="1:12" ht="21.75" hidden="1" customHeight="1" x14ac:dyDescent="0.25">
      <c r="A4836" s="1"/>
      <c r="K4836" s="103"/>
      <c r="L4836" s="1"/>
    </row>
    <row r="4837" spans="1:12" ht="21.95" customHeight="1" x14ac:dyDescent="0.25">
      <c r="A4837" s="1"/>
      <c r="B4837" s="95" t="s">
        <v>77</v>
      </c>
      <c r="H4837" s="37" t="s">
        <v>109</v>
      </c>
      <c r="I4837" s="95"/>
      <c r="J4837" s="92"/>
      <c r="K4837" s="103"/>
      <c r="L4837" s="1"/>
    </row>
    <row r="4838" spans="1:12" ht="21.95" customHeight="1" x14ac:dyDescent="0.25">
      <c r="A4838" s="1"/>
      <c r="B4838" s="99" t="s">
        <v>27</v>
      </c>
      <c r="C4838" s="57"/>
      <c r="H4838" s="48" t="s">
        <v>45</v>
      </c>
      <c r="K4838" s="103"/>
    </row>
    <row r="4845" spans="1:12" ht="21.95" customHeight="1" x14ac:dyDescent="0.25">
      <c r="A4845" s="3" t="s">
        <v>22</v>
      </c>
    </row>
    <row r="4846" spans="1:12" ht="21.95" customHeight="1" x14ac:dyDescent="0.2">
      <c r="A4846" s="122" t="s">
        <v>20</v>
      </c>
    </row>
    <row r="4847" spans="1:12" ht="21.95" customHeight="1" x14ac:dyDescent="0.2">
      <c r="A4847" s="122" t="s">
        <v>21</v>
      </c>
    </row>
    <row r="4851" spans="1:12" ht="21.95" customHeight="1" x14ac:dyDescent="0.3">
      <c r="A4851" s="276" t="s">
        <v>6</v>
      </c>
      <c r="B4851" s="276"/>
      <c r="C4851" s="276"/>
      <c r="D4851" s="276"/>
      <c r="E4851" s="276"/>
      <c r="F4851" s="276"/>
      <c r="G4851" s="276"/>
      <c r="H4851" s="276"/>
      <c r="I4851" s="276"/>
      <c r="J4851" s="276"/>
      <c r="K4851" s="276"/>
      <c r="L4851" s="276"/>
    </row>
    <row r="4852" spans="1:12" ht="21.95" customHeight="1" x14ac:dyDescent="0.3">
      <c r="A4852" s="24"/>
      <c r="B4852" s="24"/>
      <c r="C4852" s="24"/>
      <c r="D4852" s="24"/>
      <c r="E4852" s="24"/>
      <c r="F4852" s="24"/>
      <c r="G4852" s="24"/>
      <c r="H4852" s="24"/>
      <c r="I4852" s="24"/>
      <c r="J4852" s="24"/>
      <c r="K4852" s="24"/>
      <c r="L4852" s="24"/>
    </row>
    <row r="4853" spans="1:12" ht="21.95" customHeight="1" x14ac:dyDescent="0.3">
      <c r="A4853" s="24"/>
      <c r="B4853" s="24"/>
      <c r="C4853" s="24"/>
      <c r="D4853" s="24"/>
      <c r="E4853" s="24"/>
      <c r="F4853" s="24"/>
      <c r="G4853" s="24"/>
      <c r="H4853" s="24"/>
      <c r="I4853" s="24"/>
      <c r="J4853" s="24"/>
      <c r="K4853" s="24"/>
      <c r="L4853" s="24"/>
    </row>
    <row r="4854" spans="1:12" ht="21.95" customHeight="1" x14ac:dyDescent="0.25">
      <c r="A4854" s="1"/>
      <c r="B4854" s="1"/>
    </row>
    <row r="4855" spans="1:12" ht="21.95" customHeight="1" x14ac:dyDescent="0.25">
      <c r="A4855" s="1" t="s">
        <v>7</v>
      </c>
      <c r="B4855" s="1"/>
    </row>
    <row r="4856" spans="1:12" ht="21.95" customHeight="1" x14ac:dyDescent="0.25">
      <c r="A4856" s="1"/>
      <c r="B4856" s="1"/>
    </row>
    <row r="4857" spans="1:12" ht="21.95" customHeight="1" x14ac:dyDescent="0.25">
      <c r="A4857" s="1" t="s">
        <v>8</v>
      </c>
      <c r="C4857" s="9" t="s">
        <v>1</v>
      </c>
      <c r="D4857" s="40" t="s">
        <v>85</v>
      </c>
      <c r="E4857" s="76"/>
      <c r="F4857" s="76"/>
      <c r="G4857" s="76"/>
      <c r="H4857" s="76"/>
    </row>
    <row r="4858" spans="1:12" ht="21.95" customHeight="1" x14ac:dyDescent="0.25">
      <c r="A4858" s="1" t="s">
        <v>9</v>
      </c>
      <c r="C4858" s="9" t="s">
        <v>1</v>
      </c>
      <c r="D4858" s="7" t="s">
        <v>87</v>
      </c>
      <c r="E4858" s="76"/>
      <c r="F4858" s="76"/>
      <c r="G4858" s="76"/>
      <c r="H4858" s="76"/>
    </row>
    <row r="4859" spans="1:12" ht="21.95" customHeight="1" x14ac:dyDescent="0.2">
      <c r="A4859" s="50" t="s">
        <v>10</v>
      </c>
      <c r="B4859" s="76"/>
      <c r="C4859" s="91" t="s">
        <v>1</v>
      </c>
      <c r="D4859" s="50" t="s">
        <v>203</v>
      </c>
      <c r="E4859" s="76"/>
      <c r="F4859" s="76"/>
      <c r="G4859" s="76"/>
      <c r="H4859" s="76"/>
      <c r="I4859" s="76"/>
      <c r="J4859" s="76"/>
      <c r="K4859" s="76"/>
      <c r="L4859" s="76"/>
    </row>
    <row r="4860" spans="1:12" ht="21.95" customHeight="1" x14ac:dyDescent="0.25">
      <c r="A4860" s="1"/>
      <c r="B4860" s="1"/>
      <c r="D4860" s="1"/>
    </row>
    <row r="4861" spans="1:12" ht="25.5" customHeight="1" x14ac:dyDescent="0.2">
      <c r="A4861" s="277" t="s">
        <v>512</v>
      </c>
      <c r="B4861" s="277"/>
      <c r="C4861" s="277"/>
      <c r="D4861" s="277"/>
      <c r="E4861" s="277"/>
      <c r="F4861" s="277"/>
      <c r="G4861" s="277"/>
      <c r="H4861" s="277"/>
      <c r="I4861" s="277"/>
      <c r="J4861" s="277"/>
      <c r="K4861" s="277"/>
      <c r="L4861" s="277"/>
    </row>
    <row r="4862" spans="1:12" ht="21.95" customHeight="1" x14ac:dyDescent="0.25">
      <c r="A4862" s="1"/>
      <c r="B4862" s="1"/>
    </row>
    <row r="4863" spans="1:12" ht="30.75" customHeight="1" thickBot="1" x14ac:dyDescent="0.25">
      <c r="A4863" s="10" t="s">
        <v>0</v>
      </c>
      <c r="B4863" s="278" t="s">
        <v>91</v>
      </c>
      <c r="C4863" s="278"/>
      <c r="D4863" s="278"/>
      <c r="E4863" s="278"/>
      <c r="F4863" s="278"/>
      <c r="G4863" s="278"/>
      <c r="H4863" s="278"/>
      <c r="I4863" s="278"/>
      <c r="J4863" s="278"/>
      <c r="K4863" s="278"/>
      <c r="L4863" s="278"/>
    </row>
    <row r="4864" spans="1:12" ht="21.95" customHeight="1" thickTop="1" x14ac:dyDescent="0.25">
      <c r="A4864" s="1"/>
      <c r="B4864" s="11" t="s">
        <v>3</v>
      </c>
      <c r="C4864" s="12" t="s">
        <v>4</v>
      </c>
      <c r="D4864" s="13"/>
      <c r="E4864" s="13"/>
      <c r="F4864" s="13"/>
      <c r="G4864" s="13"/>
      <c r="H4864" s="14"/>
      <c r="I4864" s="15" t="s">
        <v>5</v>
      </c>
      <c r="J4864" s="12" t="s">
        <v>17</v>
      </c>
      <c r="K4864" s="13"/>
      <c r="L4864" s="14"/>
    </row>
    <row r="4865" spans="1:12" ht="21.95" customHeight="1" x14ac:dyDescent="0.2">
      <c r="B4865" s="96">
        <v>1</v>
      </c>
      <c r="C4865" s="140" t="s">
        <v>511</v>
      </c>
      <c r="D4865" s="76"/>
      <c r="E4865" s="150"/>
      <c r="F4865" s="171"/>
      <c r="G4865" s="144"/>
      <c r="H4865" s="79"/>
      <c r="I4865" s="56">
        <v>700000</v>
      </c>
      <c r="J4865" s="76"/>
      <c r="L4865" s="17"/>
    </row>
    <row r="4866" spans="1:12" ht="21.95" customHeight="1" x14ac:dyDescent="0.2">
      <c r="B4866" s="96"/>
      <c r="C4866" s="313"/>
      <c r="D4866" s="314"/>
      <c r="E4866" s="314"/>
      <c r="F4866" s="314"/>
      <c r="G4866" s="314"/>
      <c r="H4866" s="315"/>
      <c r="I4866" s="56"/>
      <c r="L4866" s="17"/>
    </row>
    <row r="4867" spans="1:12" ht="21.95" customHeight="1" x14ac:dyDescent="0.25">
      <c r="A4867" s="1"/>
      <c r="B4867" s="39"/>
      <c r="C4867" s="1"/>
      <c r="D4867" s="1"/>
      <c r="E4867" s="1"/>
      <c r="F4867" s="40" t="s">
        <v>5</v>
      </c>
      <c r="G4867" s="40"/>
      <c r="H4867" s="1"/>
      <c r="I4867" s="41">
        <f>I4865</f>
        <v>700000</v>
      </c>
      <c r="J4867" s="1"/>
      <c r="K4867" s="1"/>
      <c r="L4867" s="42"/>
    </row>
    <row r="4868" spans="1:12" ht="21.95" customHeight="1" thickBot="1" x14ac:dyDescent="0.3">
      <c r="A4868" s="1"/>
      <c r="B4868" s="43"/>
      <c r="C4868" s="44"/>
      <c r="D4868" s="44"/>
      <c r="E4868" s="44"/>
      <c r="F4868" s="45"/>
      <c r="G4868" s="45"/>
      <c r="H4868" s="44"/>
      <c r="I4868" s="46"/>
      <c r="J4868" s="44"/>
      <c r="K4868" s="44"/>
      <c r="L4868" s="47"/>
    </row>
    <row r="4869" spans="1:12" ht="21.95" customHeight="1" thickTop="1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</row>
    <row r="4870" spans="1:12" ht="46.5" customHeight="1" x14ac:dyDescent="0.2">
      <c r="A4870" s="10" t="s">
        <v>2</v>
      </c>
      <c r="B4870" s="279" t="s">
        <v>11</v>
      </c>
      <c r="C4870" s="279"/>
      <c r="D4870" s="279"/>
      <c r="E4870" s="279"/>
      <c r="F4870" s="279"/>
      <c r="G4870" s="279"/>
      <c r="H4870" s="279"/>
      <c r="I4870" s="279"/>
      <c r="J4870" s="279"/>
      <c r="K4870" s="279"/>
      <c r="L4870" s="279"/>
    </row>
    <row r="4871" spans="1:12" ht="21.95" customHeight="1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</row>
    <row r="4872" spans="1:12" ht="21.95" customHeight="1" x14ac:dyDescent="0.2">
      <c r="A4872" s="280" t="s">
        <v>12</v>
      </c>
      <c r="B4872" s="280"/>
      <c r="C4872" s="280"/>
      <c r="D4872" s="280"/>
      <c r="E4872" s="280"/>
      <c r="F4872" s="280"/>
      <c r="G4872" s="280"/>
      <c r="H4872" s="280"/>
      <c r="I4872" s="280"/>
      <c r="J4872" s="280"/>
      <c r="K4872" s="280"/>
      <c r="L4872" s="280"/>
    </row>
    <row r="4873" spans="1:12" ht="21.95" customHeight="1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</row>
    <row r="4874" spans="1:12" ht="6" customHeight="1" x14ac:dyDescent="0.2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</row>
    <row r="4875" spans="1:12" ht="16.5" customHeight="1" x14ac:dyDescent="0.25">
      <c r="A4875" s="1"/>
      <c r="B4875" s="1"/>
      <c r="C4875" s="1"/>
      <c r="D4875" s="1"/>
      <c r="E4875" s="1"/>
      <c r="F4875" s="1"/>
      <c r="G4875" s="1"/>
      <c r="H4875" s="4" t="s">
        <v>199</v>
      </c>
      <c r="J4875" s="286" t="s">
        <v>503</v>
      </c>
      <c r="K4875" s="286"/>
      <c r="L4875" s="286"/>
    </row>
    <row r="4876" spans="1:12" ht="10.5" customHeight="1" x14ac:dyDescent="0.25">
      <c r="A4876" s="1"/>
      <c r="B4876" s="1" t="s">
        <v>15</v>
      </c>
      <c r="C4876" s="1"/>
      <c r="D4876" s="1"/>
      <c r="E4876" s="1"/>
      <c r="F4876" s="1"/>
      <c r="G4876" s="1"/>
      <c r="H4876" s="4" t="s">
        <v>13</v>
      </c>
    </row>
    <row r="4877" spans="1:12" ht="15" customHeight="1" x14ac:dyDescent="0.2">
      <c r="A4877" s="48"/>
      <c r="B4877" s="48" t="s">
        <v>18</v>
      </c>
      <c r="C4877" s="48"/>
      <c r="D4877" s="48"/>
      <c r="E4877" s="48"/>
      <c r="F4877" s="48"/>
      <c r="G4877" s="48"/>
      <c r="H4877" s="99" t="s">
        <v>14</v>
      </c>
      <c r="I4877" s="99"/>
      <c r="J4877" s="99"/>
      <c r="K4877" s="99"/>
      <c r="L4877" s="99"/>
    </row>
    <row r="4878" spans="1:12" ht="21.95" customHeight="1" x14ac:dyDescent="0.2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</row>
    <row r="4879" spans="1:12" ht="21.95" customHeight="1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</row>
    <row r="4880" spans="1:12" ht="11.25" customHeight="1" x14ac:dyDescent="0.25">
      <c r="A4880" s="1"/>
      <c r="B4880" s="103"/>
      <c r="C4880" s="103"/>
      <c r="D4880" s="103"/>
      <c r="E4880" s="103"/>
      <c r="F4880" s="103"/>
      <c r="G4880" s="103"/>
      <c r="H4880" s="103"/>
      <c r="I4880" s="103"/>
      <c r="J4880" s="103"/>
      <c r="K4880" s="103"/>
      <c r="L4880" s="1"/>
    </row>
    <row r="4881" spans="1:12" ht="21.75" hidden="1" customHeight="1" x14ac:dyDescent="0.25">
      <c r="A4881" s="1"/>
      <c r="K4881" s="103"/>
      <c r="L4881" s="1"/>
    </row>
    <row r="4882" spans="1:12" ht="21.95" customHeight="1" x14ac:dyDescent="0.25">
      <c r="A4882" s="1"/>
      <c r="B4882" s="95" t="s">
        <v>77</v>
      </c>
      <c r="H4882" s="37" t="s">
        <v>85</v>
      </c>
      <c r="I4882" s="95"/>
      <c r="J4882" s="92"/>
      <c r="K4882" s="103"/>
      <c r="L4882" s="1"/>
    </row>
    <row r="4883" spans="1:12" ht="21.95" customHeight="1" x14ac:dyDescent="0.25">
      <c r="A4883" s="1"/>
      <c r="B4883" s="99" t="s">
        <v>27</v>
      </c>
      <c r="C4883" s="57"/>
      <c r="H4883" s="10" t="s">
        <v>513</v>
      </c>
      <c r="K4883" s="103"/>
    </row>
    <row r="4888" spans="1:12" ht="21.95" customHeight="1" x14ac:dyDescent="0.25">
      <c r="A4888" s="3" t="s">
        <v>22</v>
      </c>
    </row>
    <row r="4889" spans="1:12" ht="21.95" customHeight="1" x14ac:dyDescent="0.2">
      <c r="A4889" s="122" t="s">
        <v>20</v>
      </c>
    </row>
    <row r="4890" spans="1:12" ht="21.95" customHeight="1" x14ac:dyDescent="0.2">
      <c r="A4890" s="122" t="s">
        <v>21</v>
      </c>
    </row>
    <row r="4894" spans="1:12" ht="21.95" customHeight="1" x14ac:dyDescent="0.3">
      <c r="A4894" s="276" t="s">
        <v>6</v>
      </c>
      <c r="B4894" s="276"/>
      <c r="C4894" s="276"/>
      <c r="D4894" s="276"/>
      <c r="E4894" s="276"/>
      <c r="F4894" s="276"/>
      <c r="G4894" s="276"/>
      <c r="H4894" s="276"/>
      <c r="I4894" s="276"/>
      <c r="J4894" s="276"/>
      <c r="K4894" s="276"/>
      <c r="L4894" s="276"/>
    </row>
    <row r="4895" spans="1:12" ht="21.95" customHeight="1" x14ac:dyDescent="0.3">
      <c r="A4895" s="24"/>
      <c r="B4895" s="24"/>
      <c r="C4895" s="24"/>
      <c r="D4895" s="24"/>
      <c r="E4895" s="24"/>
      <c r="F4895" s="24"/>
      <c r="G4895" s="24"/>
      <c r="H4895" s="24"/>
      <c r="I4895" s="24"/>
      <c r="J4895" s="24"/>
      <c r="K4895" s="24"/>
      <c r="L4895" s="24"/>
    </row>
    <row r="4896" spans="1:12" ht="21.95" customHeight="1" x14ac:dyDescent="0.3">
      <c r="A4896" s="24"/>
      <c r="B4896" s="24"/>
      <c r="C4896" s="24"/>
      <c r="D4896" s="24"/>
      <c r="E4896" s="24"/>
      <c r="F4896" s="24"/>
      <c r="G4896" s="24"/>
      <c r="H4896" s="24"/>
      <c r="I4896" s="24"/>
      <c r="J4896" s="24"/>
      <c r="K4896" s="24"/>
      <c r="L4896" s="24"/>
    </row>
    <row r="4897" spans="1:12" ht="21.95" customHeight="1" x14ac:dyDescent="0.25">
      <c r="A4897" s="1"/>
      <c r="B4897" s="1"/>
    </row>
    <row r="4898" spans="1:12" ht="21.95" customHeight="1" x14ac:dyDescent="0.25">
      <c r="A4898" s="1" t="s">
        <v>7</v>
      </c>
      <c r="B4898" s="1"/>
    </row>
    <row r="4899" spans="1:12" ht="21.95" customHeight="1" x14ac:dyDescent="0.25">
      <c r="A4899" s="1"/>
      <c r="B4899" s="1"/>
    </row>
    <row r="4900" spans="1:12" ht="21.95" customHeight="1" x14ac:dyDescent="0.25">
      <c r="A4900" s="1" t="s">
        <v>8</v>
      </c>
      <c r="C4900" s="9" t="s">
        <v>1</v>
      </c>
      <c r="D4900" s="40" t="s">
        <v>43</v>
      </c>
      <c r="E4900" s="76"/>
      <c r="F4900" s="76"/>
      <c r="G4900" s="76"/>
      <c r="H4900" s="76"/>
    </row>
    <row r="4901" spans="1:12" ht="21.95" customHeight="1" x14ac:dyDescent="0.25">
      <c r="A4901" s="1" t="s">
        <v>9</v>
      </c>
      <c r="C4901" s="9" t="s">
        <v>1</v>
      </c>
      <c r="D4901" s="7" t="s">
        <v>514</v>
      </c>
      <c r="E4901" s="76"/>
      <c r="F4901" s="76"/>
      <c r="G4901" s="76"/>
      <c r="H4901" s="76"/>
    </row>
    <row r="4902" spans="1:12" ht="21.95" customHeight="1" x14ac:dyDescent="0.2">
      <c r="A4902" s="50" t="s">
        <v>10</v>
      </c>
      <c r="B4902" s="76"/>
      <c r="C4902" s="91" t="s">
        <v>1</v>
      </c>
      <c r="D4902" s="50" t="s">
        <v>515</v>
      </c>
      <c r="E4902" s="76"/>
      <c r="F4902" s="76"/>
      <c r="G4902" s="76"/>
      <c r="H4902" s="76"/>
      <c r="I4902" s="76"/>
      <c r="J4902" s="76"/>
      <c r="K4902" s="76"/>
      <c r="L4902" s="76"/>
    </row>
    <row r="4903" spans="1:12" ht="21.95" customHeight="1" x14ac:dyDescent="0.25">
      <c r="A4903" s="1"/>
      <c r="B4903" s="1"/>
      <c r="D4903" s="1"/>
    </row>
    <row r="4904" spans="1:12" ht="30.75" customHeight="1" x14ac:dyDescent="0.2">
      <c r="A4904" s="277" t="s">
        <v>512</v>
      </c>
      <c r="B4904" s="277"/>
      <c r="C4904" s="277"/>
      <c r="D4904" s="277"/>
      <c r="E4904" s="277"/>
      <c r="F4904" s="277"/>
      <c r="G4904" s="277"/>
      <c r="H4904" s="277"/>
      <c r="I4904" s="277"/>
      <c r="J4904" s="277"/>
      <c r="K4904" s="277"/>
      <c r="L4904" s="277"/>
    </row>
    <row r="4905" spans="1:12" ht="21.95" customHeight="1" x14ac:dyDescent="0.25">
      <c r="A4905" s="1"/>
      <c r="B4905" s="1"/>
    </row>
    <row r="4906" spans="1:12" ht="35.25" customHeight="1" thickBot="1" x14ac:dyDescent="0.25">
      <c r="A4906" s="10" t="s">
        <v>0</v>
      </c>
      <c r="B4906" s="278" t="s">
        <v>91</v>
      </c>
      <c r="C4906" s="278"/>
      <c r="D4906" s="278"/>
      <c r="E4906" s="278"/>
      <c r="F4906" s="278"/>
      <c r="G4906" s="278"/>
      <c r="H4906" s="278"/>
      <c r="I4906" s="278"/>
      <c r="J4906" s="278"/>
      <c r="K4906" s="278"/>
      <c r="L4906" s="278"/>
    </row>
    <row r="4907" spans="1:12" ht="21.95" customHeight="1" thickTop="1" x14ac:dyDescent="0.25">
      <c r="A4907" s="1"/>
      <c r="B4907" s="11" t="s">
        <v>3</v>
      </c>
      <c r="C4907" s="12" t="s">
        <v>4</v>
      </c>
      <c r="D4907" s="13"/>
      <c r="E4907" s="13"/>
      <c r="F4907" s="13"/>
      <c r="G4907" s="13"/>
      <c r="H4907" s="14"/>
      <c r="I4907" s="15" t="s">
        <v>5</v>
      </c>
      <c r="J4907" s="12" t="s">
        <v>17</v>
      </c>
      <c r="K4907" s="13"/>
      <c r="L4907" s="14"/>
    </row>
    <row r="4908" spans="1:12" ht="21.95" customHeight="1" x14ac:dyDescent="0.2">
      <c r="B4908" s="96">
        <v>1</v>
      </c>
      <c r="C4908" s="140" t="s">
        <v>511</v>
      </c>
      <c r="D4908" s="76"/>
      <c r="E4908" s="150"/>
      <c r="F4908" s="171"/>
      <c r="G4908" s="144"/>
      <c r="H4908" s="79"/>
      <c r="I4908" s="56">
        <v>700000</v>
      </c>
      <c r="J4908" s="76"/>
      <c r="L4908" s="17"/>
    </row>
    <row r="4909" spans="1:12" ht="21.95" customHeight="1" x14ac:dyDescent="0.2">
      <c r="B4909" s="96"/>
      <c r="C4909" s="313"/>
      <c r="D4909" s="314"/>
      <c r="E4909" s="314"/>
      <c r="F4909" s="314"/>
      <c r="G4909" s="314"/>
      <c r="H4909" s="315"/>
      <c r="I4909" s="56"/>
      <c r="L4909" s="17"/>
    </row>
    <row r="4910" spans="1:12" ht="21.95" customHeight="1" x14ac:dyDescent="0.25">
      <c r="A4910" s="1"/>
      <c r="B4910" s="39"/>
      <c r="C4910" s="1"/>
      <c r="D4910" s="1"/>
      <c r="E4910" s="1"/>
      <c r="F4910" s="40" t="s">
        <v>5</v>
      </c>
      <c r="G4910" s="40"/>
      <c r="H4910" s="1"/>
      <c r="I4910" s="41">
        <f>I4908</f>
        <v>700000</v>
      </c>
      <c r="J4910" s="1"/>
      <c r="K4910" s="1"/>
      <c r="L4910" s="42"/>
    </row>
    <row r="4911" spans="1:12" ht="21.95" customHeight="1" thickBot="1" x14ac:dyDescent="0.3">
      <c r="A4911" s="1"/>
      <c r="B4911" s="43"/>
      <c r="C4911" s="44"/>
      <c r="D4911" s="44"/>
      <c r="E4911" s="44"/>
      <c r="F4911" s="45"/>
      <c r="G4911" s="45"/>
      <c r="H4911" s="44"/>
      <c r="I4911" s="46"/>
      <c r="J4911" s="44"/>
      <c r="K4911" s="44"/>
      <c r="L4911" s="47"/>
    </row>
    <row r="4912" spans="1:12" ht="21.95" customHeight="1" thickTop="1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 ht="48" customHeight="1" x14ac:dyDescent="0.2">
      <c r="A4913" s="10" t="s">
        <v>2</v>
      </c>
      <c r="B4913" s="279" t="s">
        <v>11</v>
      </c>
      <c r="C4913" s="279"/>
      <c r="D4913" s="279"/>
      <c r="E4913" s="279"/>
      <c r="F4913" s="279"/>
      <c r="G4913" s="279"/>
      <c r="H4913" s="279"/>
      <c r="I4913" s="279"/>
      <c r="J4913" s="279"/>
      <c r="K4913" s="279"/>
      <c r="L4913" s="279"/>
    </row>
    <row r="4914" spans="1:12" ht="21.95" customHeight="1" x14ac:dyDescent="0.2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</row>
    <row r="4915" spans="1:12" ht="21.95" customHeight="1" x14ac:dyDescent="0.2">
      <c r="A4915" s="280" t="s">
        <v>12</v>
      </c>
      <c r="B4915" s="280"/>
      <c r="C4915" s="280"/>
      <c r="D4915" s="280"/>
      <c r="E4915" s="280"/>
      <c r="F4915" s="280"/>
      <c r="G4915" s="280"/>
      <c r="H4915" s="280"/>
      <c r="I4915" s="280"/>
      <c r="J4915" s="280"/>
      <c r="K4915" s="280"/>
      <c r="L4915" s="280"/>
    </row>
    <row r="4916" spans="1:12" ht="21.95" customHeight="1" x14ac:dyDescent="0.2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</row>
    <row r="4917" spans="1:12" ht="21.95" customHeight="1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 ht="21.95" customHeight="1" x14ac:dyDescent="0.25">
      <c r="A4918" s="1"/>
      <c r="B4918" s="1"/>
      <c r="C4918" s="1"/>
      <c r="D4918" s="1"/>
      <c r="E4918" s="1"/>
      <c r="F4918" s="1"/>
      <c r="G4918" s="1"/>
      <c r="H4918" s="4" t="s">
        <v>199</v>
      </c>
      <c r="J4918" s="286" t="s">
        <v>503</v>
      </c>
      <c r="K4918" s="286"/>
      <c r="L4918" s="286"/>
    </row>
    <row r="4919" spans="1:12" ht="12" customHeight="1" x14ac:dyDescent="0.25">
      <c r="A4919" s="1"/>
      <c r="B4919" s="1" t="s">
        <v>15</v>
      </c>
      <c r="C4919" s="1"/>
      <c r="D4919" s="1"/>
      <c r="E4919" s="1"/>
      <c r="F4919" s="1"/>
      <c r="G4919" s="1"/>
      <c r="H4919" s="4" t="s">
        <v>13</v>
      </c>
    </row>
    <row r="4920" spans="1:12" ht="15.75" customHeight="1" x14ac:dyDescent="0.2">
      <c r="A4920" s="48"/>
      <c r="B4920" s="48" t="s">
        <v>18</v>
      </c>
      <c r="C4920" s="48"/>
      <c r="D4920" s="48"/>
      <c r="E4920" s="48"/>
      <c r="F4920" s="48"/>
      <c r="G4920" s="48"/>
      <c r="H4920" s="99" t="s">
        <v>14</v>
      </c>
      <c r="I4920" s="99"/>
      <c r="J4920" s="99"/>
      <c r="K4920" s="99"/>
      <c r="L4920" s="99"/>
    </row>
    <row r="4921" spans="1:12" ht="21.95" customHeight="1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</row>
    <row r="4922" spans="1:12" ht="9.75" customHeight="1" x14ac:dyDescent="0.2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</row>
    <row r="4923" spans="1:12" ht="12.75" customHeight="1" x14ac:dyDescent="0.25">
      <c r="A4923" s="1"/>
      <c r="B4923" s="103"/>
      <c r="C4923" s="103"/>
      <c r="D4923" s="103"/>
      <c r="E4923" s="103"/>
      <c r="F4923" s="103"/>
      <c r="G4923" s="103"/>
      <c r="H4923" s="103"/>
      <c r="I4923" s="103"/>
      <c r="J4923" s="103"/>
      <c r="K4923" s="103"/>
      <c r="L4923" s="1"/>
    </row>
    <row r="4924" spans="1:12" ht="21.75" hidden="1" customHeight="1" x14ac:dyDescent="0.25">
      <c r="A4924" s="1"/>
      <c r="K4924" s="103"/>
      <c r="L4924" s="1"/>
    </row>
    <row r="4925" spans="1:12" ht="21.95" customHeight="1" x14ac:dyDescent="0.25">
      <c r="A4925" s="1"/>
      <c r="B4925" s="95" t="s">
        <v>77</v>
      </c>
      <c r="H4925" s="37" t="s">
        <v>43</v>
      </c>
      <c r="I4925" s="95"/>
      <c r="J4925" s="92"/>
      <c r="K4925" s="103"/>
      <c r="L4925" s="1"/>
    </row>
    <row r="4926" spans="1:12" ht="21.95" customHeight="1" x14ac:dyDescent="0.25">
      <c r="A4926" s="1"/>
      <c r="B4926" s="99" t="s">
        <v>27</v>
      </c>
      <c r="C4926" s="57"/>
      <c r="H4926" s="48" t="s">
        <v>44</v>
      </c>
      <c r="K4926" s="103"/>
    </row>
    <row r="4931" spans="1:12" ht="21.95" customHeight="1" x14ac:dyDescent="0.25">
      <c r="A4931" s="3" t="s">
        <v>22</v>
      </c>
    </row>
    <row r="4932" spans="1:12" ht="21.95" customHeight="1" x14ac:dyDescent="0.2">
      <c r="A4932" s="122" t="s">
        <v>20</v>
      </c>
    </row>
    <row r="4933" spans="1:12" ht="21.95" customHeight="1" x14ac:dyDescent="0.2">
      <c r="A4933" s="122" t="s">
        <v>21</v>
      </c>
    </row>
    <row r="4937" spans="1:12" ht="21.95" customHeight="1" x14ac:dyDescent="0.3">
      <c r="A4937" s="276" t="s">
        <v>6</v>
      </c>
      <c r="B4937" s="276"/>
      <c r="C4937" s="276"/>
      <c r="D4937" s="276"/>
      <c r="E4937" s="276"/>
      <c r="F4937" s="276"/>
      <c r="G4937" s="276"/>
      <c r="H4937" s="276"/>
      <c r="I4937" s="276"/>
      <c r="J4937" s="276"/>
      <c r="K4937" s="276"/>
      <c r="L4937" s="276"/>
    </row>
    <row r="4938" spans="1:12" ht="21.95" customHeight="1" x14ac:dyDescent="0.3">
      <c r="A4938" s="24"/>
      <c r="B4938" s="24"/>
      <c r="C4938" s="24"/>
      <c r="D4938" s="24"/>
      <c r="E4938" s="24"/>
      <c r="F4938" s="24"/>
      <c r="G4938" s="24"/>
      <c r="H4938" s="24"/>
      <c r="I4938" s="24"/>
      <c r="J4938" s="24"/>
      <c r="K4938" s="24"/>
      <c r="L4938" s="24"/>
    </row>
    <row r="4939" spans="1:12" ht="21.95" customHeight="1" x14ac:dyDescent="0.3">
      <c r="A4939" s="24"/>
      <c r="B4939" s="24"/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</row>
    <row r="4940" spans="1:12" ht="21.95" customHeight="1" x14ac:dyDescent="0.25">
      <c r="A4940" s="1"/>
      <c r="B4940" s="1"/>
    </row>
    <row r="4941" spans="1:12" ht="21.95" customHeight="1" x14ac:dyDescent="0.25">
      <c r="A4941" s="1" t="s">
        <v>7</v>
      </c>
      <c r="B4941" s="1"/>
    </row>
    <row r="4942" spans="1:12" ht="21.95" customHeight="1" x14ac:dyDescent="0.25">
      <c r="A4942" s="1"/>
      <c r="B4942" s="1"/>
    </row>
    <row r="4943" spans="1:12" ht="21.95" customHeight="1" x14ac:dyDescent="0.25">
      <c r="A4943" s="1" t="s">
        <v>8</v>
      </c>
      <c r="C4943" s="9" t="s">
        <v>1</v>
      </c>
      <c r="D4943" s="40" t="s">
        <v>92</v>
      </c>
      <c r="E4943" s="76"/>
      <c r="F4943" s="76"/>
      <c r="G4943" s="76"/>
      <c r="H4943" s="76"/>
    </row>
    <row r="4944" spans="1:12" ht="21.95" customHeight="1" x14ac:dyDescent="0.25">
      <c r="A4944" s="1" t="s">
        <v>9</v>
      </c>
      <c r="C4944" s="9" t="s">
        <v>1</v>
      </c>
      <c r="D4944" s="7" t="s">
        <v>263</v>
      </c>
      <c r="E4944" s="76"/>
      <c r="F4944" s="76"/>
      <c r="G4944" s="76"/>
      <c r="H4944" s="76"/>
    </row>
    <row r="4945" spans="1:12" ht="21.95" customHeight="1" x14ac:dyDescent="0.2">
      <c r="A4945" s="50" t="s">
        <v>10</v>
      </c>
      <c r="B4945" s="76"/>
      <c r="C4945" s="91" t="s">
        <v>1</v>
      </c>
      <c r="D4945" s="50" t="s">
        <v>485</v>
      </c>
      <c r="E4945" s="76"/>
      <c r="F4945" s="76"/>
      <c r="G4945" s="76"/>
      <c r="H4945" s="76"/>
      <c r="I4945" s="76"/>
      <c r="J4945" s="76"/>
      <c r="K4945" s="76"/>
      <c r="L4945" s="76"/>
    </row>
    <row r="4946" spans="1:12" ht="21.95" customHeight="1" x14ac:dyDescent="0.25">
      <c r="A4946" s="1"/>
      <c r="B4946" s="1"/>
      <c r="D4946" s="1"/>
    </row>
    <row r="4947" spans="1:12" ht="26.25" customHeight="1" x14ac:dyDescent="0.2">
      <c r="A4947" s="277" t="s">
        <v>512</v>
      </c>
      <c r="B4947" s="277"/>
      <c r="C4947" s="277"/>
      <c r="D4947" s="277"/>
      <c r="E4947" s="277"/>
      <c r="F4947" s="277"/>
      <c r="G4947" s="277"/>
      <c r="H4947" s="277"/>
      <c r="I4947" s="277"/>
      <c r="J4947" s="277"/>
      <c r="K4947" s="277"/>
      <c r="L4947" s="277"/>
    </row>
    <row r="4948" spans="1:12" ht="21.95" customHeight="1" x14ac:dyDescent="0.25">
      <c r="A4948" s="1"/>
      <c r="B4948" s="1"/>
    </row>
    <row r="4949" spans="1:12" ht="33.75" customHeight="1" thickBot="1" x14ac:dyDescent="0.25">
      <c r="A4949" s="10" t="s">
        <v>0</v>
      </c>
      <c r="B4949" s="278" t="s">
        <v>91</v>
      </c>
      <c r="C4949" s="278"/>
      <c r="D4949" s="278"/>
      <c r="E4949" s="278"/>
      <c r="F4949" s="278"/>
      <c r="G4949" s="278"/>
      <c r="H4949" s="278"/>
      <c r="I4949" s="278"/>
      <c r="J4949" s="278"/>
      <c r="K4949" s="278"/>
      <c r="L4949" s="278"/>
    </row>
    <row r="4950" spans="1:12" ht="21.95" customHeight="1" thickTop="1" x14ac:dyDescent="0.25">
      <c r="A4950" s="1"/>
      <c r="B4950" s="11" t="s">
        <v>3</v>
      </c>
      <c r="C4950" s="12" t="s">
        <v>4</v>
      </c>
      <c r="D4950" s="13"/>
      <c r="E4950" s="13"/>
      <c r="F4950" s="13"/>
      <c r="G4950" s="13"/>
      <c r="H4950" s="14"/>
      <c r="I4950" s="15" t="s">
        <v>5</v>
      </c>
      <c r="J4950" s="12" t="s">
        <v>17</v>
      </c>
      <c r="K4950" s="13"/>
      <c r="L4950" s="14"/>
    </row>
    <row r="4951" spans="1:12" ht="21.95" customHeight="1" x14ac:dyDescent="0.2">
      <c r="B4951" s="96">
        <v>1</v>
      </c>
      <c r="C4951" s="140" t="s">
        <v>511</v>
      </c>
      <c r="D4951" s="76"/>
      <c r="E4951" s="150"/>
      <c r="F4951" s="171"/>
      <c r="G4951" s="144"/>
      <c r="H4951" s="79"/>
      <c r="I4951" s="56">
        <v>700000</v>
      </c>
      <c r="J4951" s="76"/>
      <c r="L4951" s="17"/>
    </row>
    <row r="4952" spans="1:12" ht="21.95" customHeight="1" x14ac:dyDescent="0.2">
      <c r="B4952" s="96"/>
      <c r="C4952" s="313"/>
      <c r="D4952" s="314"/>
      <c r="E4952" s="314"/>
      <c r="F4952" s="314"/>
      <c r="G4952" s="314"/>
      <c r="H4952" s="315"/>
      <c r="I4952" s="56"/>
      <c r="L4952" s="17"/>
    </row>
    <row r="4953" spans="1:12" ht="21.95" customHeight="1" x14ac:dyDescent="0.25">
      <c r="A4953" s="1"/>
      <c r="B4953" s="39"/>
      <c r="C4953" s="1"/>
      <c r="D4953" s="1"/>
      <c r="E4953" s="1"/>
      <c r="F4953" s="40" t="s">
        <v>5</v>
      </c>
      <c r="G4953" s="40"/>
      <c r="H4953" s="1"/>
      <c r="I4953" s="41">
        <f>I4951</f>
        <v>700000</v>
      </c>
      <c r="J4953" s="1"/>
      <c r="K4953" s="1"/>
      <c r="L4953" s="42"/>
    </row>
    <row r="4954" spans="1:12" ht="21.95" customHeight="1" thickBot="1" x14ac:dyDescent="0.3">
      <c r="A4954" s="1"/>
      <c r="B4954" s="43"/>
      <c r="C4954" s="44"/>
      <c r="D4954" s="44"/>
      <c r="E4954" s="44"/>
      <c r="F4954" s="45"/>
      <c r="G4954" s="45"/>
      <c r="H4954" s="44"/>
      <c r="I4954" s="46"/>
      <c r="J4954" s="44"/>
      <c r="K4954" s="44"/>
      <c r="L4954" s="47"/>
    </row>
    <row r="4955" spans="1:12" ht="21.95" customHeight="1" thickTop="1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</row>
    <row r="4956" spans="1:12" ht="50.25" customHeight="1" x14ac:dyDescent="0.2">
      <c r="A4956" s="10" t="s">
        <v>2</v>
      </c>
      <c r="B4956" s="279" t="s">
        <v>11</v>
      </c>
      <c r="C4956" s="279"/>
      <c r="D4956" s="279"/>
      <c r="E4956" s="279"/>
      <c r="F4956" s="279"/>
      <c r="G4956" s="279"/>
      <c r="H4956" s="279"/>
      <c r="I4956" s="279"/>
      <c r="J4956" s="279"/>
      <c r="K4956" s="279"/>
      <c r="L4956" s="279"/>
    </row>
    <row r="4957" spans="1:12" ht="21.95" customHeight="1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</row>
    <row r="4958" spans="1:12" ht="21.95" customHeight="1" x14ac:dyDescent="0.2">
      <c r="A4958" s="280" t="s">
        <v>12</v>
      </c>
      <c r="B4958" s="280"/>
      <c r="C4958" s="280"/>
      <c r="D4958" s="280"/>
      <c r="E4958" s="280"/>
      <c r="F4958" s="280"/>
      <c r="G4958" s="280"/>
      <c r="H4958" s="280"/>
      <c r="I4958" s="280"/>
      <c r="J4958" s="280"/>
      <c r="K4958" s="280"/>
      <c r="L4958" s="280"/>
    </row>
    <row r="4959" spans="1:12" ht="21.95" customHeight="1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</row>
    <row r="4960" spans="1:12" ht="21.95" customHeight="1" x14ac:dyDescent="0.2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</row>
    <row r="4961" spans="1:12" ht="13.5" customHeight="1" x14ac:dyDescent="0.25">
      <c r="A4961" s="1"/>
      <c r="B4961" s="1"/>
      <c r="C4961" s="1"/>
      <c r="D4961" s="1"/>
      <c r="E4961" s="1"/>
      <c r="F4961" s="1"/>
      <c r="G4961" s="1"/>
      <c r="H4961" s="4" t="s">
        <v>199</v>
      </c>
      <c r="J4961" s="286" t="s">
        <v>503</v>
      </c>
      <c r="K4961" s="286"/>
      <c r="L4961" s="286"/>
    </row>
    <row r="4962" spans="1:12" ht="12.75" customHeight="1" x14ac:dyDescent="0.25">
      <c r="A4962" s="1"/>
      <c r="B4962" s="1" t="s">
        <v>15</v>
      </c>
      <c r="C4962" s="1"/>
      <c r="D4962" s="1"/>
      <c r="E4962" s="1"/>
      <c r="F4962" s="1"/>
      <c r="G4962" s="1"/>
      <c r="H4962" s="4" t="s">
        <v>13</v>
      </c>
    </row>
    <row r="4963" spans="1:12" ht="13.5" customHeight="1" x14ac:dyDescent="0.2">
      <c r="A4963" s="48"/>
      <c r="B4963" s="48" t="s">
        <v>18</v>
      </c>
      <c r="C4963" s="48"/>
      <c r="D4963" s="48"/>
      <c r="E4963" s="48"/>
      <c r="F4963" s="48"/>
      <c r="G4963" s="48"/>
      <c r="H4963" s="99" t="s">
        <v>14</v>
      </c>
      <c r="I4963" s="99"/>
      <c r="J4963" s="99"/>
      <c r="K4963" s="99"/>
      <c r="L4963" s="99"/>
    </row>
    <row r="4964" spans="1:12" ht="21.95" customHeight="1" x14ac:dyDescent="0.2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</row>
    <row r="4965" spans="1:12" ht="20.25" customHeight="1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</row>
    <row r="4966" spans="1:12" ht="21.75" hidden="1" customHeight="1" x14ac:dyDescent="0.25">
      <c r="A4966" s="1"/>
      <c r="B4966" s="103"/>
      <c r="C4966" s="103"/>
      <c r="D4966" s="103"/>
      <c r="E4966" s="103"/>
      <c r="F4966" s="103"/>
      <c r="G4966" s="103"/>
      <c r="H4966" s="103"/>
      <c r="I4966" s="103"/>
      <c r="J4966" s="103"/>
      <c r="K4966" s="103"/>
      <c r="L4966" s="1"/>
    </row>
    <row r="4967" spans="1:12" ht="21.95" customHeight="1" x14ac:dyDescent="0.25">
      <c r="A4967" s="1"/>
      <c r="K4967" s="103"/>
      <c r="L4967" s="1"/>
    </row>
    <row r="4968" spans="1:12" ht="21.95" customHeight="1" x14ac:dyDescent="0.25">
      <c r="A4968" s="1"/>
      <c r="B4968" s="95" t="s">
        <v>77</v>
      </c>
      <c r="H4968" s="37" t="s">
        <v>92</v>
      </c>
      <c r="I4968" s="95"/>
      <c r="J4968" s="92"/>
      <c r="K4968" s="103"/>
      <c r="L4968" s="1"/>
    </row>
    <row r="4969" spans="1:12" ht="21.95" customHeight="1" x14ac:dyDescent="0.25">
      <c r="A4969" s="1"/>
      <c r="B4969" s="99" t="s">
        <v>27</v>
      </c>
      <c r="C4969" s="57"/>
      <c r="H4969" s="48" t="s">
        <v>93</v>
      </c>
      <c r="K4969" s="103"/>
    </row>
    <row r="4974" spans="1:12" ht="21.95" customHeight="1" x14ac:dyDescent="0.25">
      <c r="A4974" s="3" t="s">
        <v>22</v>
      </c>
    </row>
    <row r="4975" spans="1:12" ht="21.95" customHeight="1" x14ac:dyDescent="0.2">
      <c r="A4975" s="122" t="s">
        <v>20</v>
      </c>
    </row>
    <row r="4976" spans="1:12" ht="21.95" customHeight="1" x14ac:dyDescent="0.2">
      <c r="A4976" s="122" t="s">
        <v>21</v>
      </c>
    </row>
    <row r="4980" spans="1:12" ht="21.95" customHeight="1" x14ac:dyDescent="0.3">
      <c r="A4980" s="276" t="s">
        <v>6</v>
      </c>
      <c r="B4980" s="276"/>
      <c r="C4980" s="276"/>
      <c r="D4980" s="276"/>
      <c r="E4980" s="276"/>
      <c r="F4980" s="276"/>
      <c r="G4980" s="276"/>
      <c r="H4980" s="276"/>
      <c r="I4980" s="276"/>
      <c r="J4980" s="276"/>
      <c r="K4980" s="276"/>
      <c r="L4980" s="276"/>
    </row>
    <row r="4981" spans="1:12" ht="21.95" customHeight="1" x14ac:dyDescent="0.3">
      <c r="A4981" s="24"/>
      <c r="B4981" s="24"/>
      <c r="C4981" s="24"/>
      <c r="D4981" s="24"/>
      <c r="E4981" s="24"/>
      <c r="F4981" s="24"/>
      <c r="G4981" s="24"/>
      <c r="H4981" s="24"/>
      <c r="I4981" s="24"/>
      <c r="J4981" s="24"/>
      <c r="K4981" s="24"/>
      <c r="L4981" s="24"/>
    </row>
    <row r="4982" spans="1:12" ht="21.95" customHeight="1" x14ac:dyDescent="0.3">
      <c r="A4982" s="24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</row>
    <row r="4983" spans="1:12" ht="21.95" customHeight="1" x14ac:dyDescent="0.25">
      <c r="A4983" s="1"/>
      <c r="B4983" s="1"/>
    </row>
    <row r="4984" spans="1:12" ht="21.95" customHeight="1" x14ac:dyDescent="0.25">
      <c r="A4984" s="1" t="s">
        <v>7</v>
      </c>
      <c r="B4984" s="1"/>
    </row>
    <row r="4985" spans="1:12" ht="21.95" customHeight="1" x14ac:dyDescent="0.25">
      <c r="A4985" s="1"/>
      <c r="B4985" s="1"/>
    </row>
    <row r="4986" spans="1:12" ht="21.95" customHeight="1" x14ac:dyDescent="0.25">
      <c r="A4986" s="1" t="s">
        <v>8</v>
      </c>
      <c r="C4986" s="9" t="s">
        <v>1</v>
      </c>
      <c r="D4986" s="40" t="s">
        <v>75</v>
      </c>
      <c r="E4986" s="76"/>
      <c r="F4986" s="76"/>
      <c r="G4986" s="76"/>
      <c r="H4986" s="76"/>
    </row>
    <row r="4987" spans="1:12" ht="18.75" customHeight="1" x14ac:dyDescent="0.25">
      <c r="A4987" s="1" t="s">
        <v>9</v>
      </c>
      <c r="C4987" s="9" t="s">
        <v>1</v>
      </c>
      <c r="D4987" s="10" t="s">
        <v>516</v>
      </c>
      <c r="E4987" s="76"/>
      <c r="F4987" s="76"/>
      <c r="G4987" s="76"/>
      <c r="H4987" s="76"/>
    </row>
    <row r="4988" spans="1:12" ht="21.95" customHeight="1" x14ac:dyDescent="0.2">
      <c r="A4988" s="50" t="s">
        <v>10</v>
      </c>
      <c r="B4988" s="76"/>
      <c r="C4988" s="91" t="s">
        <v>1</v>
      </c>
      <c r="D4988" s="50" t="s">
        <v>517</v>
      </c>
      <c r="E4988" s="76"/>
      <c r="F4988" s="76"/>
      <c r="G4988" s="76"/>
      <c r="H4988" s="76"/>
      <c r="I4988" s="76"/>
      <c r="J4988" s="76"/>
      <c r="K4988" s="76"/>
      <c r="L4988" s="76"/>
    </row>
    <row r="4989" spans="1:12" ht="21.95" customHeight="1" x14ac:dyDescent="0.25">
      <c r="A4989" s="1"/>
      <c r="B4989" s="1"/>
      <c r="D4989" s="1"/>
    </row>
    <row r="4990" spans="1:12" ht="30.75" customHeight="1" x14ac:dyDescent="0.2">
      <c r="A4990" s="277" t="s">
        <v>512</v>
      </c>
      <c r="B4990" s="277"/>
      <c r="C4990" s="277"/>
      <c r="D4990" s="277"/>
      <c r="E4990" s="277"/>
      <c r="F4990" s="277"/>
      <c r="G4990" s="277"/>
      <c r="H4990" s="277"/>
      <c r="I4990" s="277"/>
      <c r="J4990" s="277"/>
      <c r="K4990" s="277"/>
      <c r="L4990" s="277"/>
    </row>
    <row r="4991" spans="1:12" ht="21.95" customHeight="1" x14ac:dyDescent="0.25">
      <c r="A4991" s="1"/>
      <c r="B4991" s="1"/>
    </row>
    <row r="4992" spans="1:12" ht="34.5" customHeight="1" thickBot="1" x14ac:dyDescent="0.25">
      <c r="A4992" s="10" t="s">
        <v>0</v>
      </c>
      <c r="B4992" s="278" t="s">
        <v>91</v>
      </c>
      <c r="C4992" s="278"/>
      <c r="D4992" s="278"/>
      <c r="E4992" s="278"/>
      <c r="F4992" s="278"/>
      <c r="G4992" s="278"/>
      <c r="H4992" s="278"/>
      <c r="I4992" s="278"/>
      <c r="J4992" s="278"/>
      <c r="K4992" s="278"/>
      <c r="L4992" s="278"/>
    </row>
    <row r="4993" spans="1:12" ht="21.95" customHeight="1" thickTop="1" x14ac:dyDescent="0.25">
      <c r="A4993" s="1"/>
      <c r="B4993" s="11" t="s">
        <v>3</v>
      </c>
      <c r="C4993" s="12" t="s">
        <v>4</v>
      </c>
      <c r="D4993" s="13"/>
      <c r="E4993" s="13"/>
      <c r="F4993" s="13"/>
      <c r="G4993" s="13"/>
      <c r="H4993" s="14"/>
      <c r="I4993" s="15" t="s">
        <v>5</v>
      </c>
      <c r="J4993" s="12" t="s">
        <v>17</v>
      </c>
      <c r="K4993" s="13"/>
      <c r="L4993" s="14"/>
    </row>
    <row r="4994" spans="1:12" ht="21.95" customHeight="1" x14ac:dyDescent="0.2">
      <c r="B4994" s="96">
        <v>1</v>
      </c>
      <c r="C4994" s="140" t="s">
        <v>511</v>
      </c>
      <c r="D4994" s="76"/>
      <c r="E4994" s="150"/>
      <c r="F4994" s="171"/>
      <c r="G4994" s="144"/>
      <c r="H4994" s="79"/>
      <c r="I4994" s="56">
        <v>700000</v>
      </c>
      <c r="J4994" s="76"/>
      <c r="L4994" s="17"/>
    </row>
    <row r="4995" spans="1:12" ht="21.95" customHeight="1" x14ac:dyDescent="0.2">
      <c r="B4995" s="96"/>
      <c r="C4995" s="313"/>
      <c r="D4995" s="314"/>
      <c r="E4995" s="314"/>
      <c r="F4995" s="314"/>
      <c r="G4995" s="314"/>
      <c r="H4995" s="315"/>
      <c r="I4995" s="56"/>
      <c r="L4995" s="17"/>
    </row>
    <row r="4996" spans="1:12" ht="21.95" customHeight="1" x14ac:dyDescent="0.25">
      <c r="A4996" s="1"/>
      <c r="B4996" s="39"/>
      <c r="C4996" s="1"/>
      <c r="D4996" s="1"/>
      <c r="E4996" s="1"/>
      <c r="F4996" s="40" t="s">
        <v>5</v>
      </c>
      <c r="G4996" s="40"/>
      <c r="H4996" s="1"/>
      <c r="I4996" s="41">
        <f>I4994</f>
        <v>700000</v>
      </c>
      <c r="J4996" s="1"/>
      <c r="K4996" s="1"/>
      <c r="L4996" s="42"/>
    </row>
    <row r="4997" spans="1:12" ht="21.95" customHeight="1" thickBot="1" x14ac:dyDescent="0.3">
      <c r="A4997" s="1"/>
      <c r="B4997" s="43"/>
      <c r="C4997" s="44"/>
      <c r="D4997" s="44"/>
      <c r="E4997" s="44"/>
      <c r="F4997" s="45"/>
      <c r="G4997" s="45"/>
      <c r="H4997" s="44"/>
      <c r="I4997" s="46"/>
      <c r="J4997" s="44"/>
      <c r="K4997" s="44"/>
      <c r="L4997" s="47"/>
    </row>
    <row r="4998" spans="1:12" ht="21.95" customHeight="1" thickTop="1" x14ac:dyDescent="0.2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</row>
    <row r="4999" spans="1:12" ht="48.75" customHeight="1" x14ac:dyDescent="0.2">
      <c r="A4999" s="10" t="s">
        <v>2</v>
      </c>
      <c r="B4999" s="279" t="s">
        <v>11</v>
      </c>
      <c r="C4999" s="279"/>
      <c r="D4999" s="279"/>
      <c r="E4999" s="279"/>
      <c r="F4999" s="279"/>
      <c r="G4999" s="279"/>
      <c r="H4999" s="279"/>
      <c r="I4999" s="279"/>
      <c r="J4999" s="279"/>
      <c r="K4999" s="279"/>
      <c r="L4999" s="279"/>
    </row>
    <row r="5000" spans="1:12" ht="21.95" customHeight="1" x14ac:dyDescent="0.2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</row>
    <row r="5001" spans="1:12" ht="21.95" customHeight="1" x14ac:dyDescent="0.2">
      <c r="A5001" s="280" t="s">
        <v>12</v>
      </c>
      <c r="B5001" s="280"/>
      <c r="C5001" s="280"/>
      <c r="D5001" s="280"/>
      <c r="E5001" s="280"/>
      <c r="F5001" s="280"/>
      <c r="G5001" s="280"/>
      <c r="H5001" s="280"/>
      <c r="I5001" s="280"/>
      <c r="J5001" s="280"/>
      <c r="K5001" s="280"/>
      <c r="L5001" s="280"/>
    </row>
    <row r="5002" spans="1:12" ht="21.95" customHeight="1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</row>
    <row r="5003" spans="1:12" ht="21.95" customHeight="1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</row>
    <row r="5004" spans="1:12" ht="21.95" customHeight="1" x14ac:dyDescent="0.25">
      <c r="A5004" s="1"/>
      <c r="B5004" s="1"/>
      <c r="C5004" s="1"/>
      <c r="D5004" s="1"/>
      <c r="E5004" s="1"/>
      <c r="F5004" s="1"/>
      <c r="G5004" s="1"/>
      <c r="H5004" s="4" t="s">
        <v>199</v>
      </c>
      <c r="J5004" s="286" t="s">
        <v>503</v>
      </c>
      <c r="K5004" s="286"/>
      <c r="L5004" s="286"/>
    </row>
    <row r="5005" spans="1:12" ht="13.5" customHeight="1" x14ac:dyDescent="0.25">
      <c r="A5005" s="1"/>
      <c r="B5005" s="1" t="s">
        <v>15</v>
      </c>
      <c r="C5005" s="1"/>
      <c r="D5005" s="1"/>
      <c r="E5005" s="1"/>
      <c r="F5005" s="1"/>
      <c r="G5005" s="1"/>
      <c r="H5005" s="4" t="s">
        <v>13</v>
      </c>
    </row>
    <row r="5006" spans="1:12" ht="21.95" customHeight="1" x14ac:dyDescent="0.2">
      <c r="A5006" s="48"/>
      <c r="B5006" s="48" t="s">
        <v>18</v>
      </c>
      <c r="C5006" s="48"/>
      <c r="D5006" s="48"/>
      <c r="E5006" s="48"/>
      <c r="F5006" s="48"/>
      <c r="G5006" s="48"/>
      <c r="H5006" s="99" t="s">
        <v>14</v>
      </c>
      <c r="I5006" s="99"/>
      <c r="J5006" s="99"/>
      <c r="K5006" s="99"/>
      <c r="L5006" s="99"/>
    </row>
    <row r="5007" spans="1:12" ht="13.5" customHeight="1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</row>
    <row r="5008" spans="1:12" ht="6.75" customHeight="1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</row>
    <row r="5009" spans="1:12" ht="21.75" hidden="1" customHeight="1" x14ac:dyDescent="0.25">
      <c r="A5009" s="1"/>
      <c r="B5009" s="103"/>
      <c r="C5009" s="103"/>
      <c r="D5009" s="103"/>
      <c r="E5009" s="103"/>
      <c r="F5009" s="103"/>
      <c r="G5009" s="103"/>
      <c r="H5009" s="103"/>
      <c r="I5009" s="103"/>
      <c r="J5009" s="103"/>
      <c r="K5009" s="103"/>
      <c r="L5009" s="1"/>
    </row>
    <row r="5010" spans="1:12" ht="21.95" customHeight="1" x14ac:dyDescent="0.25">
      <c r="A5010" s="1"/>
      <c r="K5010" s="103"/>
      <c r="L5010" s="1"/>
    </row>
    <row r="5011" spans="1:12" ht="21.95" customHeight="1" x14ac:dyDescent="0.25">
      <c r="A5011" s="1"/>
      <c r="B5011" s="95" t="s">
        <v>77</v>
      </c>
      <c r="H5011" s="37" t="s">
        <v>75</v>
      </c>
      <c r="I5011" s="95"/>
      <c r="J5011" s="92"/>
      <c r="K5011" s="103"/>
      <c r="L5011" s="1"/>
    </row>
    <row r="5012" spans="1:12" ht="21.95" customHeight="1" x14ac:dyDescent="0.25">
      <c r="A5012" s="1"/>
      <c r="B5012" s="99" t="s">
        <v>27</v>
      </c>
      <c r="C5012" s="57"/>
      <c r="H5012" s="48" t="s">
        <v>23</v>
      </c>
      <c r="K5012" s="103"/>
    </row>
    <row r="5017" spans="1:12" ht="21.95" customHeight="1" x14ac:dyDescent="0.25">
      <c r="A5017" s="3" t="s">
        <v>22</v>
      </c>
    </row>
    <row r="5018" spans="1:12" ht="21.95" customHeight="1" x14ac:dyDescent="0.2">
      <c r="A5018" s="122" t="s">
        <v>20</v>
      </c>
    </row>
    <row r="5019" spans="1:12" ht="21.95" customHeight="1" x14ac:dyDescent="0.2">
      <c r="A5019" s="122" t="s">
        <v>21</v>
      </c>
    </row>
    <row r="5023" spans="1:12" ht="21.95" customHeight="1" x14ac:dyDescent="0.3">
      <c r="A5023" s="276" t="s">
        <v>6</v>
      </c>
      <c r="B5023" s="276"/>
      <c r="C5023" s="276"/>
      <c r="D5023" s="276"/>
      <c r="E5023" s="276"/>
      <c r="F5023" s="276"/>
      <c r="G5023" s="276"/>
      <c r="H5023" s="276"/>
      <c r="I5023" s="276"/>
      <c r="J5023" s="276"/>
      <c r="K5023" s="276"/>
      <c r="L5023" s="276"/>
    </row>
    <row r="5024" spans="1:12" ht="21.95" customHeight="1" x14ac:dyDescent="0.3">
      <c r="A5024" s="24"/>
      <c r="B5024" s="24"/>
      <c r="C5024" s="24"/>
      <c r="D5024" s="24"/>
      <c r="E5024" s="24"/>
      <c r="F5024" s="24"/>
      <c r="G5024" s="24"/>
      <c r="H5024" s="24"/>
      <c r="I5024" s="24"/>
      <c r="J5024" s="24"/>
      <c r="K5024" s="24"/>
      <c r="L5024" s="24"/>
    </row>
    <row r="5025" spans="1:12" ht="21.95" customHeight="1" x14ac:dyDescent="0.3">
      <c r="A5025" s="24"/>
      <c r="B5025" s="24"/>
      <c r="C5025" s="24"/>
      <c r="D5025" s="24"/>
      <c r="E5025" s="24"/>
      <c r="F5025" s="24"/>
      <c r="G5025" s="24"/>
      <c r="H5025" s="24"/>
      <c r="I5025" s="24"/>
      <c r="J5025" s="24"/>
      <c r="K5025" s="24"/>
      <c r="L5025" s="24"/>
    </row>
    <row r="5026" spans="1:12" ht="21.95" customHeight="1" x14ac:dyDescent="0.25">
      <c r="A5026" s="1"/>
      <c r="B5026" s="1"/>
    </row>
    <row r="5027" spans="1:12" ht="21.95" customHeight="1" x14ac:dyDescent="0.25">
      <c r="A5027" s="1" t="s">
        <v>7</v>
      </c>
      <c r="B5027" s="1"/>
    </row>
    <row r="5028" spans="1:12" ht="21.95" customHeight="1" x14ac:dyDescent="0.25">
      <c r="A5028" s="1"/>
      <c r="B5028" s="1"/>
    </row>
    <row r="5029" spans="1:12" ht="21.95" customHeight="1" x14ac:dyDescent="0.25">
      <c r="A5029" s="1" t="s">
        <v>8</v>
      </c>
      <c r="C5029" s="9" t="s">
        <v>1</v>
      </c>
      <c r="D5029" s="174" t="s">
        <v>518</v>
      </c>
      <c r="E5029" s="76"/>
      <c r="F5029" s="76"/>
      <c r="G5029" s="76"/>
      <c r="H5029" s="76"/>
    </row>
    <row r="5030" spans="1:12" ht="19.5" customHeight="1" x14ac:dyDescent="0.25">
      <c r="A5030" s="1" t="s">
        <v>9</v>
      </c>
      <c r="C5030" s="9" t="s">
        <v>1</v>
      </c>
      <c r="D5030" s="175" t="s">
        <v>520</v>
      </c>
      <c r="E5030" s="76"/>
      <c r="F5030" s="76"/>
      <c r="G5030" s="76"/>
      <c r="H5030" s="76"/>
    </row>
    <row r="5031" spans="1:12" ht="18.75" customHeight="1" x14ac:dyDescent="0.2">
      <c r="A5031" s="50" t="s">
        <v>10</v>
      </c>
      <c r="B5031" s="76"/>
      <c r="C5031" s="91" t="s">
        <v>1</v>
      </c>
      <c r="D5031" s="50" t="s">
        <v>81</v>
      </c>
      <c r="E5031" s="76"/>
      <c r="F5031" s="76"/>
      <c r="G5031" s="76"/>
      <c r="H5031" s="76"/>
      <c r="I5031" s="76"/>
      <c r="J5031" s="76"/>
      <c r="K5031" s="76"/>
      <c r="L5031" s="76"/>
    </row>
    <row r="5032" spans="1:12" ht="21.95" customHeight="1" x14ac:dyDescent="0.25">
      <c r="A5032" s="1"/>
      <c r="B5032" s="1"/>
      <c r="D5032" s="1"/>
    </row>
    <row r="5033" spans="1:12" ht="30.75" customHeight="1" x14ac:dyDescent="0.2">
      <c r="A5033" s="277" t="s">
        <v>512</v>
      </c>
      <c r="B5033" s="277"/>
      <c r="C5033" s="277"/>
      <c r="D5033" s="277"/>
      <c r="E5033" s="277"/>
      <c r="F5033" s="277"/>
      <c r="G5033" s="277"/>
      <c r="H5033" s="277"/>
      <c r="I5033" s="277"/>
      <c r="J5033" s="277"/>
      <c r="K5033" s="277"/>
      <c r="L5033" s="277"/>
    </row>
    <row r="5034" spans="1:12" ht="21.95" customHeight="1" x14ac:dyDescent="0.25">
      <c r="A5034" s="1"/>
      <c r="B5034" s="1"/>
    </row>
    <row r="5035" spans="1:12" ht="36" customHeight="1" thickBot="1" x14ac:dyDescent="0.25">
      <c r="A5035" s="10" t="s">
        <v>0</v>
      </c>
      <c r="B5035" s="278" t="s">
        <v>91</v>
      </c>
      <c r="C5035" s="278"/>
      <c r="D5035" s="278"/>
      <c r="E5035" s="278"/>
      <c r="F5035" s="278"/>
      <c r="G5035" s="278"/>
      <c r="H5035" s="278"/>
      <c r="I5035" s="278"/>
      <c r="J5035" s="278"/>
      <c r="K5035" s="278"/>
      <c r="L5035" s="278"/>
    </row>
    <row r="5036" spans="1:12" ht="21.95" customHeight="1" thickTop="1" x14ac:dyDescent="0.25">
      <c r="A5036" s="1"/>
      <c r="B5036" s="11" t="s">
        <v>3</v>
      </c>
      <c r="C5036" s="12" t="s">
        <v>4</v>
      </c>
      <c r="D5036" s="13"/>
      <c r="E5036" s="13"/>
      <c r="F5036" s="13"/>
      <c r="G5036" s="13"/>
      <c r="H5036" s="14"/>
      <c r="I5036" s="15" t="s">
        <v>5</v>
      </c>
      <c r="J5036" s="12" t="s">
        <v>17</v>
      </c>
      <c r="K5036" s="13"/>
      <c r="L5036" s="14"/>
    </row>
    <row r="5037" spans="1:12" ht="21.95" customHeight="1" x14ac:dyDescent="0.2">
      <c r="B5037" s="96">
        <v>1</v>
      </c>
      <c r="C5037" s="140" t="s">
        <v>511</v>
      </c>
      <c r="D5037" s="76"/>
      <c r="E5037" s="150"/>
      <c r="F5037" s="171"/>
      <c r="G5037" s="144"/>
      <c r="H5037" s="79"/>
      <c r="I5037" s="56">
        <v>700000</v>
      </c>
      <c r="J5037" s="76"/>
      <c r="L5037" s="17"/>
    </row>
    <row r="5038" spans="1:12" ht="21.95" customHeight="1" x14ac:dyDescent="0.2">
      <c r="B5038" s="96"/>
      <c r="C5038" s="313"/>
      <c r="D5038" s="314"/>
      <c r="E5038" s="314"/>
      <c r="F5038" s="314"/>
      <c r="G5038" s="314"/>
      <c r="H5038" s="315"/>
      <c r="I5038" s="56"/>
      <c r="L5038" s="17"/>
    </row>
    <row r="5039" spans="1:12" ht="21.95" customHeight="1" x14ac:dyDescent="0.25">
      <c r="A5039" s="1"/>
      <c r="B5039" s="39"/>
      <c r="C5039" s="1"/>
      <c r="D5039" s="1"/>
      <c r="E5039" s="1"/>
      <c r="F5039" s="40" t="s">
        <v>5</v>
      </c>
      <c r="G5039" s="40"/>
      <c r="H5039" s="1"/>
      <c r="I5039" s="41">
        <f>I5037</f>
        <v>700000</v>
      </c>
      <c r="J5039" s="1"/>
      <c r="K5039" s="1"/>
      <c r="L5039" s="42"/>
    </row>
    <row r="5040" spans="1:12" ht="21.95" customHeight="1" thickBot="1" x14ac:dyDescent="0.3">
      <c r="A5040" s="1"/>
      <c r="B5040" s="43"/>
      <c r="C5040" s="44"/>
      <c r="D5040" s="44"/>
      <c r="E5040" s="44"/>
      <c r="F5040" s="45"/>
      <c r="G5040" s="45"/>
      <c r="H5040" s="44"/>
      <c r="I5040" s="46"/>
      <c r="J5040" s="44"/>
      <c r="K5040" s="44"/>
      <c r="L5040" s="47"/>
    </row>
    <row r="5041" spans="1:12" ht="21.95" customHeight="1" thickTop="1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</row>
    <row r="5042" spans="1:12" ht="48.75" customHeight="1" x14ac:dyDescent="0.2">
      <c r="A5042" s="10" t="s">
        <v>2</v>
      </c>
      <c r="B5042" s="279" t="s">
        <v>11</v>
      </c>
      <c r="C5042" s="279"/>
      <c r="D5042" s="279"/>
      <c r="E5042" s="279"/>
      <c r="F5042" s="279"/>
      <c r="G5042" s="279"/>
      <c r="H5042" s="279"/>
      <c r="I5042" s="279"/>
      <c r="J5042" s="279"/>
      <c r="K5042" s="279"/>
      <c r="L5042" s="279"/>
    </row>
    <row r="5043" spans="1:12" ht="21.95" customHeight="1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</row>
    <row r="5044" spans="1:12" ht="21.95" customHeight="1" x14ac:dyDescent="0.2">
      <c r="A5044" s="280" t="s">
        <v>12</v>
      </c>
      <c r="B5044" s="280"/>
      <c r="C5044" s="280"/>
      <c r="D5044" s="280"/>
      <c r="E5044" s="280"/>
      <c r="F5044" s="280"/>
      <c r="G5044" s="280"/>
      <c r="H5044" s="280"/>
      <c r="I5044" s="280"/>
      <c r="J5044" s="280"/>
      <c r="K5044" s="280"/>
      <c r="L5044" s="280"/>
    </row>
    <row r="5045" spans="1:12" ht="21.95" customHeight="1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</row>
    <row r="5046" spans="1:12" ht="21.95" customHeight="1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</row>
    <row r="5047" spans="1:12" ht="21.95" customHeight="1" x14ac:dyDescent="0.25">
      <c r="A5047" s="1"/>
      <c r="B5047" s="1"/>
      <c r="C5047" s="1"/>
      <c r="D5047" s="1"/>
      <c r="E5047" s="1"/>
      <c r="F5047" s="1"/>
      <c r="G5047" s="1"/>
      <c r="H5047" s="4" t="s">
        <v>199</v>
      </c>
      <c r="J5047" s="286" t="s">
        <v>503</v>
      </c>
      <c r="K5047" s="286"/>
      <c r="L5047" s="286"/>
    </row>
    <row r="5048" spans="1:12" ht="15.75" customHeight="1" x14ac:dyDescent="0.25">
      <c r="A5048" s="1"/>
      <c r="B5048" s="1" t="s">
        <v>15</v>
      </c>
      <c r="C5048" s="1"/>
      <c r="D5048" s="1"/>
      <c r="E5048" s="1"/>
      <c r="F5048" s="1"/>
      <c r="G5048" s="1"/>
      <c r="H5048" s="4" t="s">
        <v>13</v>
      </c>
    </row>
    <row r="5049" spans="1:12" ht="17.25" customHeight="1" x14ac:dyDescent="0.2">
      <c r="A5049" s="48"/>
      <c r="B5049" s="48" t="s">
        <v>18</v>
      </c>
      <c r="C5049" s="48"/>
      <c r="D5049" s="48"/>
      <c r="E5049" s="48"/>
      <c r="F5049" s="48"/>
      <c r="G5049" s="48"/>
      <c r="H5049" s="99" t="s">
        <v>14</v>
      </c>
      <c r="I5049" s="99"/>
      <c r="J5049" s="99"/>
      <c r="K5049" s="99"/>
      <c r="L5049" s="99"/>
    </row>
    <row r="5050" spans="1:12" ht="21.95" customHeight="1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</row>
    <row r="5051" spans="1:12" ht="7.5" customHeight="1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</row>
    <row r="5052" spans="1:12" ht="9" customHeight="1" x14ac:dyDescent="0.25">
      <c r="A5052" s="1"/>
      <c r="B5052" s="103"/>
      <c r="C5052" s="103"/>
      <c r="D5052" s="103"/>
      <c r="E5052" s="103"/>
      <c r="F5052" s="103"/>
      <c r="G5052" s="103"/>
      <c r="H5052" s="103"/>
      <c r="I5052" s="103"/>
      <c r="J5052" s="103"/>
      <c r="K5052" s="103"/>
      <c r="L5052" s="1"/>
    </row>
    <row r="5053" spans="1:12" ht="21.95" customHeight="1" x14ac:dyDescent="0.25">
      <c r="A5053" s="1"/>
      <c r="K5053" s="103"/>
      <c r="L5053" s="1"/>
    </row>
    <row r="5054" spans="1:12" ht="21.95" customHeight="1" x14ac:dyDescent="0.25">
      <c r="A5054" s="1"/>
      <c r="B5054" s="95" t="s">
        <v>77</v>
      </c>
      <c r="H5054" s="172" t="s">
        <v>518</v>
      </c>
      <c r="I5054" s="95"/>
      <c r="J5054" s="92"/>
      <c r="K5054" s="103"/>
      <c r="L5054" s="1"/>
    </row>
    <row r="5055" spans="1:12" ht="21.95" customHeight="1" x14ac:dyDescent="0.25">
      <c r="A5055" s="1"/>
      <c r="B5055" s="99" t="s">
        <v>27</v>
      </c>
      <c r="C5055" s="57"/>
      <c r="H5055" s="173" t="s">
        <v>519</v>
      </c>
      <c r="K5055" s="103"/>
    </row>
    <row r="5060" spans="1:12" ht="21.95" customHeight="1" x14ac:dyDescent="0.25">
      <c r="A5060" s="3" t="s">
        <v>22</v>
      </c>
    </row>
    <row r="5061" spans="1:12" ht="21.95" customHeight="1" x14ac:dyDescent="0.2">
      <c r="A5061" s="122" t="s">
        <v>20</v>
      </c>
    </row>
    <row r="5062" spans="1:12" ht="21.95" customHeight="1" x14ac:dyDescent="0.2">
      <c r="A5062" s="122" t="s">
        <v>21</v>
      </c>
    </row>
    <row r="5066" spans="1:12" ht="21.95" customHeight="1" x14ac:dyDescent="0.3">
      <c r="A5066" s="276" t="s">
        <v>6</v>
      </c>
      <c r="B5066" s="276"/>
      <c r="C5066" s="276"/>
      <c r="D5066" s="276"/>
      <c r="E5066" s="276"/>
      <c r="F5066" s="276"/>
      <c r="G5066" s="276"/>
      <c r="H5066" s="276"/>
      <c r="I5066" s="276"/>
      <c r="J5066" s="276"/>
      <c r="K5066" s="276"/>
      <c r="L5066" s="276"/>
    </row>
    <row r="5067" spans="1:12" ht="21.95" customHeight="1" x14ac:dyDescent="0.3">
      <c r="A5067" s="24"/>
      <c r="B5067" s="24"/>
      <c r="C5067" s="24"/>
      <c r="D5067" s="24"/>
      <c r="E5067" s="24"/>
      <c r="F5067" s="24"/>
      <c r="G5067" s="24"/>
      <c r="H5067" s="24"/>
      <c r="I5067" s="24"/>
      <c r="J5067" s="24"/>
      <c r="K5067" s="24"/>
      <c r="L5067" s="24"/>
    </row>
    <row r="5068" spans="1:12" ht="21.95" customHeight="1" x14ac:dyDescent="0.3">
      <c r="A5068" s="24"/>
      <c r="B5068" s="24"/>
      <c r="C5068" s="24"/>
      <c r="D5068" s="24"/>
      <c r="E5068" s="24"/>
      <c r="F5068" s="24"/>
      <c r="G5068" s="24"/>
      <c r="H5068" s="24"/>
      <c r="I5068" s="24"/>
      <c r="J5068" s="24"/>
      <c r="K5068" s="24"/>
      <c r="L5068" s="24"/>
    </row>
    <row r="5069" spans="1:12" ht="21.95" customHeight="1" x14ac:dyDescent="0.25">
      <c r="A5069" s="1"/>
      <c r="B5069" s="1"/>
    </row>
    <row r="5070" spans="1:12" ht="21.95" customHeight="1" x14ac:dyDescent="0.25">
      <c r="A5070" s="1" t="s">
        <v>7</v>
      </c>
      <c r="B5070" s="1"/>
    </row>
    <row r="5071" spans="1:12" ht="21.95" customHeight="1" x14ac:dyDescent="0.25">
      <c r="A5071" s="1"/>
      <c r="B5071" s="1"/>
    </row>
    <row r="5072" spans="1:12" ht="21.95" customHeight="1" x14ac:dyDescent="0.25">
      <c r="A5072" s="1" t="s">
        <v>8</v>
      </c>
      <c r="C5072" s="9" t="s">
        <v>1</v>
      </c>
      <c r="D5072" s="33" t="s">
        <v>77</v>
      </c>
      <c r="E5072" s="76"/>
      <c r="F5072" s="76"/>
      <c r="G5072" s="76"/>
      <c r="H5072" s="76"/>
    </row>
    <row r="5073" spans="1:12" ht="15" customHeight="1" x14ac:dyDescent="0.25">
      <c r="A5073" s="1" t="s">
        <v>9</v>
      </c>
      <c r="C5073" s="9" t="s">
        <v>1</v>
      </c>
      <c r="D5073" s="176" t="s">
        <v>201</v>
      </c>
      <c r="E5073" s="76"/>
      <c r="F5073" s="76"/>
      <c r="G5073" s="76"/>
      <c r="H5073" s="76"/>
    </row>
    <row r="5074" spans="1:12" ht="21.95" customHeight="1" x14ac:dyDescent="0.2">
      <c r="A5074" s="50" t="s">
        <v>10</v>
      </c>
      <c r="B5074" s="76"/>
      <c r="C5074" s="91" t="s">
        <v>1</v>
      </c>
      <c r="D5074" s="50" t="s">
        <v>521</v>
      </c>
      <c r="E5074" s="76"/>
      <c r="F5074" s="76"/>
      <c r="G5074" s="76"/>
      <c r="H5074" s="76"/>
      <c r="I5074" s="76"/>
      <c r="J5074" s="76"/>
      <c r="K5074" s="76"/>
      <c r="L5074" s="76"/>
    </row>
    <row r="5075" spans="1:12" ht="21.95" customHeight="1" x14ac:dyDescent="0.25">
      <c r="A5075" s="1"/>
      <c r="B5075" s="1"/>
      <c r="D5075" s="1"/>
    </row>
    <row r="5076" spans="1:12" ht="33.75" customHeight="1" x14ac:dyDescent="0.2">
      <c r="A5076" s="277" t="s">
        <v>523</v>
      </c>
      <c r="B5076" s="277"/>
      <c r="C5076" s="277"/>
      <c r="D5076" s="277"/>
      <c r="E5076" s="277"/>
      <c r="F5076" s="277"/>
      <c r="G5076" s="277"/>
      <c r="H5076" s="277"/>
      <c r="I5076" s="277"/>
      <c r="J5076" s="277"/>
      <c r="K5076" s="277"/>
      <c r="L5076" s="277"/>
    </row>
    <row r="5077" spans="1:12" ht="21.95" customHeight="1" x14ac:dyDescent="0.25">
      <c r="A5077" s="1"/>
      <c r="B5077" s="1"/>
    </row>
    <row r="5078" spans="1:12" ht="35.25" customHeight="1" thickBot="1" x14ac:dyDescent="0.25">
      <c r="A5078" s="10" t="s">
        <v>0</v>
      </c>
      <c r="B5078" s="278" t="s">
        <v>91</v>
      </c>
      <c r="C5078" s="278"/>
      <c r="D5078" s="278"/>
      <c r="E5078" s="278"/>
      <c r="F5078" s="278"/>
      <c r="G5078" s="278"/>
      <c r="H5078" s="278"/>
      <c r="I5078" s="278"/>
      <c r="J5078" s="278"/>
      <c r="K5078" s="278"/>
      <c r="L5078" s="278"/>
    </row>
    <row r="5079" spans="1:12" ht="21.95" customHeight="1" thickTop="1" x14ac:dyDescent="0.25">
      <c r="A5079" s="1"/>
      <c r="B5079" s="11" t="s">
        <v>3</v>
      </c>
      <c r="C5079" s="12" t="s">
        <v>4</v>
      </c>
      <c r="D5079" s="13"/>
      <c r="E5079" s="13"/>
      <c r="F5079" s="13"/>
      <c r="G5079" s="13"/>
      <c r="H5079" s="14"/>
      <c r="I5079" s="15" t="s">
        <v>5</v>
      </c>
      <c r="J5079" s="12" t="s">
        <v>17</v>
      </c>
      <c r="K5079" s="13"/>
      <c r="L5079" s="14"/>
    </row>
    <row r="5080" spans="1:12" ht="21.95" customHeight="1" x14ac:dyDescent="0.2">
      <c r="B5080" s="96">
        <v>1</v>
      </c>
      <c r="C5080" s="140" t="s">
        <v>511</v>
      </c>
      <c r="D5080" s="76"/>
      <c r="E5080" s="150"/>
      <c r="F5080" s="171"/>
      <c r="G5080" s="144"/>
      <c r="H5080" s="79"/>
      <c r="I5080" s="56">
        <v>700000</v>
      </c>
      <c r="J5080" s="76"/>
      <c r="L5080" s="17"/>
    </row>
    <row r="5081" spans="1:12" ht="21.95" customHeight="1" x14ac:dyDescent="0.2">
      <c r="B5081" s="96"/>
      <c r="C5081" s="313"/>
      <c r="D5081" s="314"/>
      <c r="E5081" s="314"/>
      <c r="F5081" s="314"/>
      <c r="G5081" s="314"/>
      <c r="H5081" s="315"/>
      <c r="I5081" s="56"/>
      <c r="L5081" s="17"/>
    </row>
    <row r="5082" spans="1:12" ht="21.95" customHeight="1" x14ac:dyDescent="0.25">
      <c r="A5082" s="1"/>
      <c r="B5082" s="39"/>
      <c r="C5082" s="1"/>
      <c r="D5082" s="1"/>
      <c r="E5082" s="1"/>
      <c r="F5082" s="40" t="s">
        <v>5</v>
      </c>
      <c r="G5082" s="40"/>
      <c r="H5082" s="1"/>
      <c r="I5082" s="41">
        <f>I5080</f>
        <v>700000</v>
      </c>
      <c r="J5082" s="1"/>
      <c r="K5082" s="1"/>
      <c r="L5082" s="42"/>
    </row>
    <row r="5083" spans="1:12" ht="21.95" customHeight="1" thickBot="1" x14ac:dyDescent="0.3">
      <c r="A5083" s="1"/>
      <c r="B5083" s="43"/>
      <c r="C5083" s="44"/>
      <c r="D5083" s="44"/>
      <c r="E5083" s="44"/>
      <c r="F5083" s="45"/>
      <c r="G5083" s="45"/>
      <c r="H5083" s="44"/>
      <c r="I5083" s="46"/>
      <c r="J5083" s="44"/>
      <c r="K5083" s="44"/>
      <c r="L5083" s="47"/>
    </row>
    <row r="5084" spans="1:12" ht="21.95" customHeight="1" thickTop="1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</row>
    <row r="5085" spans="1:12" ht="46.5" customHeight="1" x14ac:dyDescent="0.2">
      <c r="A5085" s="10" t="s">
        <v>2</v>
      </c>
      <c r="B5085" s="279" t="s">
        <v>11</v>
      </c>
      <c r="C5085" s="279"/>
      <c r="D5085" s="279"/>
      <c r="E5085" s="279"/>
      <c r="F5085" s="279"/>
      <c r="G5085" s="279"/>
      <c r="H5085" s="279"/>
      <c r="I5085" s="279"/>
      <c r="J5085" s="279"/>
      <c r="K5085" s="279"/>
      <c r="L5085" s="279"/>
    </row>
    <row r="5086" spans="1:12" ht="21.95" customHeight="1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</row>
    <row r="5087" spans="1:12" ht="21.95" customHeight="1" x14ac:dyDescent="0.2">
      <c r="A5087" s="280" t="s">
        <v>12</v>
      </c>
      <c r="B5087" s="280"/>
      <c r="C5087" s="280"/>
      <c r="D5087" s="280"/>
      <c r="E5087" s="280"/>
      <c r="F5087" s="280"/>
      <c r="G5087" s="280"/>
      <c r="H5087" s="280"/>
      <c r="I5087" s="280"/>
      <c r="J5087" s="280"/>
      <c r="K5087" s="280"/>
      <c r="L5087" s="280"/>
    </row>
    <row r="5088" spans="1:12" ht="21.95" customHeight="1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</row>
    <row r="5089" spans="1:12" ht="21.95" customHeight="1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</row>
    <row r="5090" spans="1:12" ht="21.95" customHeight="1" x14ac:dyDescent="0.25">
      <c r="A5090" s="1"/>
      <c r="B5090" s="1"/>
      <c r="C5090" s="1"/>
      <c r="D5090" s="1"/>
      <c r="E5090" s="1"/>
      <c r="F5090" s="1"/>
      <c r="G5090" s="1"/>
      <c r="H5090" s="4" t="s">
        <v>199</v>
      </c>
      <c r="J5090" s="286" t="s">
        <v>503</v>
      </c>
      <c r="K5090" s="286"/>
      <c r="L5090" s="286"/>
    </row>
    <row r="5091" spans="1:12" ht="13.5" customHeight="1" x14ac:dyDescent="0.25">
      <c r="A5091" s="1"/>
      <c r="B5091" s="1" t="s">
        <v>15</v>
      </c>
      <c r="C5091" s="1"/>
      <c r="D5091" s="1"/>
      <c r="E5091" s="1"/>
      <c r="F5091" s="1"/>
      <c r="G5091" s="1"/>
      <c r="H5091" s="4" t="s">
        <v>13</v>
      </c>
    </row>
    <row r="5092" spans="1:12" ht="14.25" customHeight="1" x14ac:dyDescent="0.2">
      <c r="A5092" s="48"/>
      <c r="B5092" s="48" t="s">
        <v>18</v>
      </c>
      <c r="C5092" s="48"/>
      <c r="D5092" s="48"/>
      <c r="E5092" s="48"/>
      <c r="F5092" s="48"/>
      <c r="G5092" s="48"/>
      <c r="H5092" s="99" t="s">
        <v>14</v>
      </c>
      <c r="I5092" s="99"/>
      <c r="J5092" s="99"/>
      <c r="K5092" s="99"/>
      <c r="L5092" s="99"/>
    </row>
    <row r="5093" spans="1:12" ht="19.5" customHeight="1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</row>
    <row r="5094" spans="1:12" ht="21.75" hidden="1" customHeight="1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</row>
    <row r="5095" spans="1:12" ht="21.75" hidden="1" customHeight="1" x14ac:dyDescent="0.25">
      <c r="A5095" s="1"/>
      <c r="B5095" s="103"/>
      <c r="C5095" s="103"/>
      <c r="D5095" s="103"/>
      <c r="E5095" s="103"/>
      <c r="F5095" s="103"/>
      <c r="G5095" s="103"/>
      <c r="H5095" s="103"/>
      <c r="I5095" s="103"/>
      <c r="J5095" s="103"/>
      <c r="K5095" s="103"/>
      <c r="L5095" s="1"/>
    </row>
    <row r="5096" spans="1:12" ht="21.95" customHeight="1" x14ac:dyDescent="0.25">
      <c r="A5096" s="1"/>
      <c r="K5096" s="103"/>
      <c r="L5096" s="1"/>
    </row>
    <row r="5097" spans="1:12" ht="21.95" customHeight="1" x14ac:dyDescent="0.25">
      <c r="A5097" s="1"/>
      <c r="B5097" s="95" t="s">
        <v>77</v>
      </c>
      <c r="H5097" s="26" t="s">
        <v>77</v>
      </c>
      <c r="I5097" s="95"/>
      <c r="J5097" s="92"/>
      <c r="K5097" s="103"/>
      <c r="L5097" s="1"/>
    </row>
    <row r="5098" spans="1:12" ht="21.95" customHeight="1" x14ac:dyDescent="0.25">
      <c r="A5098" s="1"/>
      <c r="B5098" s="99" t="s">
        <v>27</v>
      </c>
      <c r="C5098" s="57"/>
      <c r="H5098" s="28" t="s">
        <v>27</v>
      </c>
      <c r="K5098" s="103"/>
    </row>
    <row r="5104" spans="1:12" ht="21.95" customHeight="1" x14ac:dyDescent="0.25">
      <c r="A5104" s="3" t="s">
        <v>22</v>
      </c>
    </row>
    <row r="5105" spans="1:12" ht="21.95" customHeight="1" x14ac:dyDescent="0.2">
      <c r="A5105" s="122" t="s">
        <v>20</v>
      </c>
    </row>
    <row r="5106" spans="1:12" ht="21.95" customHeight="1" x14ac:dyDescent="0.2">
      <c r="A5106" s="122" t="s">
        <v>21</v>
      </c>
    </row>
    <row r="5110" spans="1:12" ht="21.95" customHeight="1" x14ac:dyDescent="0.3">
      <c r="A5110" s="276" t="s">
        <v>6</v>
      </c>
      <c r="B5110" s="276"/>
      <c r="C5110" s="276"/>
      <c r="D5110" s="276"/>
      <c r="E5110" s="276"/>
      <c r="F5110" s="276"/>
      <c r="G5110" s="276"/>
      <c r="H5110" s="276"/>
      <c r="I5110" s="276"/>
      <c r="J5110" s="276"/>
      <c r="K5110" s="276"/>
      <c r="L5110" s="276"/>
    </row>
    <row r="5111" spans="1:12" ht="21.95" customHeight="1" x14ac:dyDescent="0.3">
      <c r="A5111" s="24"/>
      <c r="B5111" s="24"/>
      <c r="C5111" s="24"/>
      <c r="D5111" s="24"/>
      <c r="E5111" s="24"/>
      <c r="F5111" s="24"/>
      <c r="G5111" s="24"/>
      <c r="H5111" s="24"/>
      <c r="I5111" s="24"/>
      <c r="J5111" s="24"/>
      <c r="K5111" s="24"/>
      <c r="L5111" s="24"/>
    </row>
    <row r="5112" spans="1:12" ht="21.95" customHeight="1" x14ac:dyDescent="0.3">
      <c r="A5112" s="24"/>
      <c r="B5112" s="24"/>
      <c r="C5112" s="24"/>
      <c r="D5112" s="24"/>
      <c r="E5112" s="24"/>
      <c r="F5112" s="24"/>
      <c r="G5112" s="24"/>
      <c r="H5112" s="24"/>
      <c r="I5112" s="24"/>
      <c r="J5112" s="24"/>
      <c r="K5112" s="24"/>
      <c r="L5112" s="24"/>
    </row>
    <row r="5113" spans="1:12" ht="21.95" customHeight="1" x14ac:dyDescent="0.25">
      <c r="A5113" s="1"/>
      <c r="B5113" s="1"/>
    </row>
    <row r="5114" spans="1:12" ht="21.95" customHeight="1" x14ac:dyDescent="0.25">
      <c r="A5114" s="1" t="s">
        <v>7</v>
      </c>
      <c r="B5114" s="1"/>
    </row>
    <row r="5115" spans="1:12" ht="21.95" customHeight="1" x14ac:dyDescent="0.25">
      <c r="A5115" s="1"/>
      <c r="B5115" s="1"/>
    </row>
    <row r="5116" spans="1:12" ht="21.95" customHeight="1" x14ac:dyDescent="0.25">
      <c r="A5116" s="1" t="s">
        <v>8</v>
      </c>
      <c r="C5116" s="9" t="s">
        <v>1</v>
      </c>
      <c r="D5116" s="174" t="s">
        <v>518</v>
      </c>
      <c r="E5116" s="76"/>
      <c r="F5116" s="76"/>
      <c r="G5116" s="76"/>
      <c r="H5116" s="76"/>
    </row>
    <row r="5117" spans="1:12" ht="21.95" customHeight="1" x14ac:dyDescent="0.25">
      <c r="A5117" s="1" t="s">
        <v>9</v>
      </c>
      <c r="C5117" s="9" t="s">
        <v>1</v>
      </c>
      <c r="D5117" s="175" t="s">
        <v>520</v>
      </c>
      <c r="E5117" s="76"/>
      <c r="F5117" s="76"/>
      <c r="G5117" s="76"/>
      <c r="H5117" s="76"/>
    </row>
    <row r="5118" spans="1:12" ht="21.95" customHeight="1" x14ac:dyDescent="0.2">
      <c r="A5118" s="50" t="s">
        <v>10</v>
      </c>
      <c r="B5118" s="76"/>
      <c r="C5118" s="91" t="s">
        <v>1</v>
      </c>
      <c r="D5118" s="50" t="s">
        <v>81</v>
      </c>
      <c r="E5118" s="76"/>
      <c r="F5118" s="76"/>
      <c r="G5118" s="76"/>
      <c r="H5118" s="76"/>
      <c r="I5118" s="76"/>
      <c r="J5118" s="76"/>
      <c r="K5118" s="76"/>
      <c r="L5118" s="76"/>
    </row>
    <row r="5119" spans="1:12" ht="21.95" customHeight="1" x14ac:dyDescent="0.25">
      <c r="A5119" s="1"/>
      <c r="B5119" s="1"/>
      <c r="D5119" s="1"/>
    </row>
    <row r="5120" spans="1:12" ht="36.75" customHeight="1" x14ac:dyDescent="0.2">
      <c r="A5120" s="277" t="s">
        <v>523</v>
      </c>
      <c r="B5120" s="277"/>
      <c r="C5120" s="277"/>
      <c r="D5120" s="277"/>
      <c r="E5120" s="277"/>
      <c r="F5120" s="277"/>
      <c r="G5120" s="277"/>
      <c r="H5120" s="277"/>
      <c r="I5120" s="277"/>
      <c r="J5120" s="277"/>
      <c r="K5120" s="277"/>
      <c r="L5120" s="277"/>
    </row>
    <row r="5121" spans="1:12" ht="21.95" customHeight="1" x14ac:dyDescent="0.25">
      <c r="A5121" s="1"/>
      <c r="B5121" s="1"/>
    </row>
    <row r="5122" spans="1:12" ht="36.75" customHeight="1" thickBot="1" x14ac:dyDescent="0.25">
      <c r="A5122" s="10" t="s">
        <v>0</v>
      </c>
      <c r="B5122" s="278" t="s">
        <v>91</v>
      </c>
      <c r="C5122" s="278"/>
      <c r="D5122" s="278"/>
      <c r="E5122" s="278"/>
      <c r="F5122" s="278"/>
      <c r="G5122" s="278"/>
      <c r="H5122" s="278"/>
      <c r="I5122" s="278"/>
      <c r="J5122" s="278"/>
      <c r="K5122" s="278"/>
      <c r="L5122" s="278"/>
    </row>
    <row r="5123" spans="1:12" ht="21.95" customHeight="1" thickTop="1" x14ac:dyDescent="0.25">
      <c r="A5123" s="1"/>
      <c r="B5123" s="11" t="s">
        <v>3</v>
      </c>
      <c r="C5123" s="12" t="s">
        <v>4</v>
      </c>
      <c r="D5123" s="13"/>
      <c r="E5123" s="13"/>
      <c r="F5123" s="13"/>
      <c r="G5123" s="13"/>
      <c r="H5123" s="14"/>
      <c r="I5123" s="15" t="s">
        <v>5</v>
      </c>
      <c r="J5123" s="12" t="s">
        <v>17</v>
      </c>
      <c r="K5123" s="13"/>
      <c r="L5123" s="14"/>
    </row>
    <row r="5124" spans="1:12" ht="21.95" customHeight="1" x14ac:dyDescent="0.2">
      <c r="B5124" s="96">
        <v>1</v>
      </c>
      <c r="C5124" s="140" t="s">
        <v>522</v>
      </c>
      <c r="D5124" s="76"/>
      <c r="E5124" s="150"/>
      <c r="F5124" s="171">
        <v>1200000</v>
      </c>
      <c r="G5124" s="144" t="s">
        <v>239</v>
      </c>
      <c r="H5124" s="79"/>
      <c r="I5124" s="56">
        <f>F5124*30/100</f>
        <v>360000</v>
      </c>
      <c r="J5124" s="76"/>
      <c r="L5124" s="17"/>
    </row>
    <row r="5125" spans="1:12" ht="21.95" customHeight="1" x14ac:dyDescent="0.2">
      <c r="B5125" s="96"/>
      <c r="C5125" s="313"/>
      <c r="D5125" s="314"/>
      <c r="E5125" s="314"/>
      <c r="F5125" s="314"/>
      <c r="G5125" s="314"/>
      <c r="H5125" s="315"/>
      <c r="I5125" s="56"/>
      <c r="L5125" s="17"/>
    </row>
    <row r="5126" spans="1:12" ht="21.95" customHeight="1" x14ac:dyDescent="0.25">
      <c r="A5126" s="1"/>
      <c r="B5126" s="39"/>
      <c r="C5126" s="1"/>
      <c r="D5126" s="1"/>
      <c r="E5126" s="1"/>
      <c r="F5126" s="40" t="s">
        <v>5</v>
      </c>
      <c r="G5126" s="40"/>
      <c r="H5126" s="1"/>
      <c r="I5126" s="41">
        <f>I5124</f>
        <v>360000</v>
      </c>
      <c r="J5126" s="1"/>
      <c r="K5126" s="1"/>
      <c r="L5126" s="42"/>
    </row>
    <row r="5127" spans="1:12" ht="21.95" customHeight="1" thickBot="1" x14ac:dyDescent="0.3">
      <c r="A5127" s="1"/>
      <c r="B5127" s="43"/>
      <c r="C5127" s="44"/>
      <c r="D5127" s="44"/>
      <c r="E5127" s="44"/>
      <c r="F5127" s="45"/>
      <c r="G5127" s="45"/>
      <c r="H5127" s="44"/>
      <c r="I5127" s="46"/>
      <c r="J5127" s="44"/>
      <c r="K5127" s="44"/>
      <c r="L5127" s="47"/>
    </row>
    <row r="5128" spans="1:12" ht="21.95" customHeight="1" thickTop="1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</row>
    <row r="5129" spans="1:12" ht="48.75" customHeight="1" x14ac:dyDescent="0.2">
      <c r="A5129" s="10" t="s">
        <v>2</v>
      </c>
      <c r="B5129" s="279" t="s">
        <v>11</v>
      </c>
      <c r="C5129" s="279"/>
      <c r="D5129" s="279"/>
      <c r="E5129" s="279"/>
      <c r="F5129" s="279"/>
      <c r="G5129" s="279"/>
      <c r="H5129" s="279"/>
      <c r="I5129" s="279"/>
      <c r="J5129" s="279"/>
      <c r="K5129" s="279"/>
      <c r="L5129" s="279"/>
    </row>
    <row r="5130" spans="1:12" ht="21.95" customHeight="1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</row>
    <row r="5131" spans="1:12" ht="21.95" customHeight="1" x14ac:dyDescent="0.2">
      <c r="A5131" s="280" t="s">
        <v>12</v>
      </c>
      <c r="B5131" s="280"/>
      <c r="C5131" s="280"/>
      <c r="D5131" s="280"/>
      <c r="E5131" s="280"/>
      <c r="F5131" s="280"/>
      <c r="G5131" s="280"/>
      <c r="H5131" s="280"/>
      <c r="I5131" s="280"/>
      <c r="J5131" s="280"/>
      <c r="K5131" s="280"/>
      <c r="L5131" s="280"/>
    </row>
    <row r="5132" spans="1:12" ht="21.95" customHeight="1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</row>
    <row r="5133" spans="1:12" ht="21.95" customHeight="1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 ht="21.95" customHeight="1" x14ac:dyDescent="0.25">
      <c r="A5134" s="1"/>
      <c r="B5134" s="1"/>
      <c r="C5134" s="1"/>
      <c r="D5134" s="1"/>
      <c r="E5134" s="1"/>
      <c r="F5134" s="1"/>
      <c r="G5134" s="1"/>
      <c r="H5134" s="4" t="s">
        <v>199</v>
      </c>
      <c r="J5134" s="286" t="s">
        <v>503</v>
      </c>
      <c r="K5134" s="286"/>
      <c r="L5134" s="286"/>
    </row>
    <row r="5135" spans="1:12" ht="16.5" customHeight="1" x14ac:dyDescent="0.25">
      <c r="A5135" s="1"/>
      <c r="B5135" s="1" t="s">
        <v>15</v>
      </c>
      <c r="C5135" s="1"/>
      <c r="D5135" s="1"/>
      <c r="E5135" s="1"/>
      <c r="F5135" s="1"/>
      <c r="G5135" s="1"/>
      <c r="H5135" s="4" t="s">
        <v>13</v>
      </c>
    </row>
    <row r="5136" spans="1:12" ht="21.95" customHeight="1" x14ac:dyDescent="0.2">
      <c r="A5136" s="48"/>
      <c r="B5136" s="48" t="s">
        <v>18</v>
      </c>
      <c r="C5136" s="48"/>
      <c r="D5136" s="48"/>
      <c r="E5136" s="48"/>
      <c r="F5136" s="48"/>
      <c r="G5136" s="48"/>
      <c r="H5136" s="99" t="s">
        <v>14</v>
      </c>
      <c r="I5136" s="99"/>
      <c r="J5136" s="99"/>
      <c r="K5136" s="99"/>
      <c r="L5136" s="99"/>
    </row>
    <row r="5137" spans="1:12" ht="21.95" customHeight="1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</row>
    <row r="5138" spans="1:12" ht="21.95" customHeight="1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</row>
    <row r="5139" spans="1:12" ht="10.5" customHeight="1" x14ac:dyDescent="0.25">
      <c r="A5139" s="1"/>
      <c r="B5139" s="103"/>
      <c r="C5139" s="103"/>
      <c r="D5139" s="103"/>
      <c r="E5139" s="103"/>
      <c r="F5139" s="103"/>
      <c r="G5139" s="103"/>
      <c r="H5139" s="103"/>
      <c r="I5139" s="103"/>
      <c r="J5139" s="103"/>
      <c r="K5139" s="103"/>
      <c r="L5139" s="1"/>
    </row>
    <row r="5140" spans="1:12" ht="21.95" customHeight="1" x14ac:dyDescent="0.25">
      <c r="A5140" s="1"/>
      <c r="K5140" s="103"/>
      <c r="L5140" s="1"/>
    </row>
    <row r="5141" spans="1:12" ht="21.95" customHeight="1" x14ac:dyDescent="0.3">
      <c r="A5141" s="1"/>
      <c r="B5141" s="95" t="s">
        <v>77</v>
      </c>
      <c r="H5141" s="177" t="s">
        <v>518</v>
      </c>
      <c r="I5141" s="95"/>
      <c r="J5141" s="92"/>
      <c r="K5141" s="103"/>
      <c r="L5141" s="1"/>
    </row>
    <row r="5142" spans="1:12" ht="21.95" customHeight="1" x14ac:dyDescent="0.25">
      <c r="A5142" s="1"/>
      <c r="B5142" s="99" t="s">
        <v>27</v>
      </c>
      <c r="C5142" s="57"/>
      <c r="H5142" s="173" t="s">
        <v>519</v>
      </c>
      <c r="K5142" s="103"/>
    </row>
  </sheetData>
  <mergeCells count="824">
    <mergeCell ref="A5087:L5087"/>
    <mergeCell ref="J5090:L5090"/>
    <mergeCell ref="C5038:H5038"/>
    <mergeCell ref="B5042:L5042"/>
    <mergeCell ref="A5044:L5044"/>
    <mergeCell ref="J5047:L5047"/>
    <mergeCell ref="A5066:L5066"/>
    <mergeCell ref="A5076:L5076"/>
    <mergeCell ref="B5078:L5078"/>
    <mergeCell ref="C5081:H5081"/>
    <mergeCell ref="B5085:L5085"/>
    <mergeCell ref="A4990:L4990"/>
    <mergeCell ref="B4992:L4992"/>
    <mergeCell ref="C4995:H4995"/>
    <mergeCell ref="B4999:L4999"/>
    <mergeCell ref="A5001:L5001"/>
    <mergeCell ref="J5004:L5004"/>
    <mergeCell ref="A5023:L5023"/>
    <mergeCell ref="A5033:L5033"/>
    <mergeCell ref="B5035:L5035"/>
    <mergeCell ref="J4918:L4918"/>
    <mergeCell ref="A4937:L4937"/>
    <mergeCell ref="A4947:L4947"/>
    <mergeCell ref="B4949:L4949"/>
    <mergeCell ref="C4952:H4952"/>
    <mergeCell ref="B4956:L4956"/>
    <mergeCell ref="A4958:L4958"/>
    <mergeCell ref="J4961:L4961"/>
    <mergeCell ref="A4980:L4980"/>
    <mergeCell ref="B4870:L4870"/>
    <mergeCell ref="A4872:L4872"/>
    <mergeCell ref="J4875:L4875"/>
    <mergeCell ref="A4894:L4894"/>
    <mergeCell ref="A4904:L4904"/>
    <mergeCell ref="B4906:L4906"/>
    <mergeCell ref="C4909:H4909"/>
    <mergeCell ref="B4913:L4913"/>
    <mergeCell ref="A4915:L4915"/>
    <mergeCell ref="B4818:L4818"/>
    <mergeCell ref="C4821:H4821"/>
    <mergeCell ref="B4825:L4825"/>
    <mergeCell ref="A4827:L4827"/>
    <mergeCell ref="J4830:L4830"/>
    <mergeCell ref="A4851:L4851"/>
    <mergeCell ref="A4861:L4861"/>
    <mergeCell ref="B4863:L4863"/>
    <mergeCell ref="C4866:H4866"/>
    <mergeCell ref="A4766:L4766"/>
    <mergeCell ref="A4776:L4776"/>
    <mergeCell ref="B4778:L4778"/>
    <mergeCell ref="C4781:H4781"/>
    <mergeCell ref="B4785:L4785"/>
    <mergeCell ref="A4787:L4787"/>
    <mergeCell ref="J4790:L4790"/>
    <mergeCell ref="A4806:L4806"/>
    <mergeCell ref="A4816:L4816"/>
    <mergeCell ref="B4690:L4690"/>
    <mergeCell ref="C4693:H4693"/>
    <mergeCell ref="B4697:L4697"/>
    <mergeCell ref="A4699:L4699"/>
    <mergeCell ref="J4702:L4702"/>
    <mergeCell ref="A4724:L4724"/>
    <mergeCell ref="A4734:L4734"/>
    <mergeCell ref="B4736:L4736"/>
    <mergeCell ref="C4739:H4739"/>
    <mergeCell ref="A4506:L4506"/>
    <mergeCell ref="A4516:L4516"/>
    <mergeCell ref="B4518:L4518"/>
    <mergeCell ref="C4521:H4521"/>
    <mergeCell ref="B4525:L4525"/>
    <mergeCell ref="A4527:L4527"/>
    <mergeCell ref="J4530:L4530"/>
    <mergeCell ref="A4376:L4376"/>
    <mergeCell ref="A4386:L4386"/>
    <mergeCell ref="A4460:L4460"/>
    <mergeCell ref="A4470:L4470"/>
    <mergeCell ref="B4472:L4472"/>
    <mergeCell ref="C4475:H4475"/>
    <mergeCell ref="B4479:L4479"/>
    <mergeCell ref="A4481:L4481"/>
    <mergeCell ref="J4484:L4484"/>
    <mergeCell ref="A4417:L4417"/>
    <mergeCell ref="A4427:L4427"/>
    <mergeCell ref="B4429:L4429"/>
    <mergeCell ref="C4432:H4432"/>
    <mergeCell ref="B4436:L4436"/>
    <mergeCell ref="A4438:L4438"/>
    <mergeCell ref="J4441:L4441"/>
    <mergeCell ref="J4400:L4400"/>
    <mergeCell ref="B4217:L4217"/>
    <mergeCell ref="C4220:H4220"/>
    <mergeCell ref="B4224:L4224"/>
    <mergeCell ref="A4226:L4226"/>
    <mergeCell ref="J4229:L4229"/>
    <mergeCell ref="A4163:L4163"/>
    <mergeCell ref="A4173:L4173"/>
    <mergeCell ref="B4175:L4175"/>
    <mergeCell ref="C4178:H4178"/>
    <mergeCell ref="B4182:L4182"/>
    <mergeCell ref="A4184:L4184"/>
    <mergeCell ref="J4187:L4187"/>
    <mergeCell ref="A4205:L4205"/>
    <mergeCell ref="A4215:L4215"/>
    <mergeCell ref="B3958:L3958"/>
    <mergeCell ref="C3961:H3961"/>
    <mergeCell ref="J4013:L4013"/>
    <mergeCell ref="B3965:L3965"/>
    <mergeCell ref="A3967:L3967"/>
    <mergeCell ref="J3970:L3970"/>
    <mergeCell ref="A3989:L3989"/>
    <mergeCell ref="A3999:L3999"/>
    <mergeCell ref="B4001:L4001"/>
    <mergeCell ref="C4004:H4004"/>
    <mergeCell ref="B4008:L4008"/>
    <mergeCell ref="A4010:L4010"/>
    <mergeCell ref="A3903:L3903"/>
    <mergeCell ref="A3913:L3913"/>
    <mergeCell ref="B3915:L3915"/>
    <mergeCell ref="C3918:H3918"/>
    <mergeCell ref="B3922:L3922"/>
    <mergeCell ref="A3924:L3924"/>
    <mergeCell ref="J3927:L3927"/>
    <mergeCell ref="A3946:L3946"/>
    <mergeCell ref="A3956:L3956"/>
    <mergeCell ref="A3509:L3509"/>
    <mergeCell ref="A3519:L3519"/>
    <mergeCell ref="B3521:L3521"/>
    <mergeCell ref="C3524:H3524"/>
    <mergeCell ref="B3528:L3528"/>
    <mergeCell ref="A3530:L3530"/>
    <mergeCell ref="J3533:L3533"/>
    <mergeCell ref="A3659:L3659"/>
    <mergeCell ref="J3662:L3662"/>
    <mergeCell ref="A3551:L3551"/>
    <mergeCell ref="A3561:L3561"/>
    <mergeCell ref="B3563:L3563"/>
    <mergeCell ref="C3566:H3566"/>
    <mergeCell ref="B3570:L3570"/>
    <mergeCell ref="A3572:L3572"/>
    <mergeCell ref="J3575:L3575"/>
    <mergeCell ref="J3576:L3576"/>
    <mergeCell ref="B3650:L3650"/>
    <mergeCell ref="A3595:L3595"/>
    <mergeCell ref="A3605:L3605"/>
    <mergeCell ref="B3607:L3607"/>
    <mergeCell ref="C3610:H3610"/>
    <mergeCell ref="B3614:L3614"/>
    <mergeCell ref="A3616:L3616"/>
    <mergeCell ref="A3413:L3413"/>
    <mergeCell ref="B3415:L3415"/>
    <mergeCell ref="C3418:H3418"/>
    <mergeCell ref="B3422:L3422"/>
    <mergeCell ref="A3424:L3424"/>
    <mergeCell ref="J3427:L3427"/>
    <mergeCell ref="J3342:L3342"/>
    <mergeCell ref="A3360:L3360"/>
    <mergeCell ref="A3370:L3370"/>
    <mergeCell ref="B3372:L3372"/>
    <mergeCell ref="C3375:H3375"/>
    <mergeCell ref="B3379:L3379"/>
    <mergeCell ref="A3381:L3381"/>
    <mergeCell ref="J3384:L3384"/>
    <mergeCell ref="A3403:L3403"/>
    <mergeCell ref="B3295:L3295"/>
    <mergeCell ref="A3297:L3297"/>
    <mergeCell ref="J3300:L3300"/>
    <mergeCell ref="A3318:L3318"/>
    <mergeCell ref="A3328:L3328"/>
    <mergeCell ref="B3330:L3330"/>
    <mergeCell ref="C3333:H3333"/>
    <mergeCell ref="B3337:L3337"/>
    <mergeCell ref="A3339:L3339"/>
    <mergeCell ref="B3246:L3246"/>
    <mergeCell ref="C3249:H3249"/>
    <mergeCell ref="B3253:L3253"/>
    <mergeCell ref="A3255:L3255"/>
    <mergeCell ref="J3258:L3258"/>
    <mergeCell ref="A3276:L3276"/>
    <mergeCell ref="A3286:L3286"/>
    <mergeCell ref="B3288:L3288"/>
    <mergeCell ref="C3291:H3291"/>
    <mergeCell ref="A3192:L3192"/>
    <mergeCell ref="A3202:L3202"/>
    <mergeCell ref="B3204:L3204"/>
    <mergeCell ref="C3207:H3207"/>
    <mergeCell ref="B3211:L3211"/>
    <mergeCell ref="A3213:L3213"/>
    <mergeCell ref="J3216:L3216"/>
    <mergeCell ref="A3234:L3234"/>
    <mergeCell ref="A3244:L3244"/>
    <mergeCell ref="B3162:L3162"/>
    <mergeCell ref="C3165:H3165"/>
    <mergeCell ref="B3169:L3169"/>
    <mergeCell ref="A3171:L3171"/>
    <mergeCell ref="J3174:L3174"/>
    <mergeCell ref="J3130:L3130"/>
    <mergeCell ref="A3085:L3085"/>
    <mergeCell ref="J3088:L3088"/>
    <mergeCell ref="A3106:L3106"/>
    <mergeCell ref="A3116:L3116"/>
    <mergeCell ref="B3118:L3118"/>
    <mergeCell ref="C3121:H3121"/>
    <mergeCell ref="B3125:L3125"/>
    <mergeCell ref="A3127:L3127"/>
    <mergeCell ref="J3047:L3047"/>
    <mergeCell ref="J3048:L3048"/>
    <mergeCell ref="A3064:L3064"/>
    <mergeCell ref="A3074:L3074"/>
    <mergeCell ref="B3076:L3076"/>
    <mergeCell ref="C3079:H3079"/>
    <mergeCell ref="B3083:L3083"/>
    <mergeCell ref="A3150:L3150"/>
    <mergeCell ref="A3160:L3160"/>
    <mergeCell ref="B3001:L3001"/>
    <mergeCell ref="A3003:L3003"/>
    <mergeCell ref="J3006:L3006"/>
    <mergeCell ref="A3023:L3023"/>
    <mergeCell ref="A3033:L3033"/>
    <mergeCell ref="B3035:L3035"/>
    <mergeCell ref="C3038:H3038"/>
    <mergeCell ref="B3042:L3042"/>
    <mergeCell ref="A3044:L3044"/>
    <mergeCell ref="C2541:H2541"/>
    <mergeCell ref="B2545:L2545"/>
    <mergeCell ref="A2547:L2547"/>
    <mergeCell ref="J2550:L2550"/>
    <mergeCell ref="A2490:L2490"/>
    <mergeCell ref="B2492:L2492"/>
    <mergeCell ref="C2495:H2495"/>
    <mergeCell ref="B2499:L2499"/>
    <mergeCell ref="A2501:L2501"/>
    <mergeCell ref="J2504:L2504"/>
    <mergeCell ref="A2526:L2526"/>
    <mergeCell ref="A2536:L2536"/>
    <mergeCell ref="B2538:L2538"/>
    <mergeCell ref="J2414:L2414"/>
    <mergeCell ref="A2440:L2440"/>
    <mergeCell ref="A2450:L2450"/>
    <mergeCell ref="B2452:L2452"/>
    <mergeCell ref="C2455:H2455"/>
    <mergeCell ref="B2459:L2459"/>
    <mergeCell ref="A2461:L2461"/>
    <mergeCell ref="J2464:L2464"/>
    <mergeCell ref="A2480:L2480"/>
    <mergeCell ref="B2348:L2348"/>
    <mergeCell ref="A2350:L2350"/>
    <mergeCell ref="J2353:L2353"/>
    <mergeCell ref="A2390:L2390"/>
    <mergeCell ref="A2400:L2400"/>
    <mergeCell ref="B2402:L2402"/>
    <mergeCell ref="C2405:H2405"/>
    <mergeCell ref="B2409:L2409"/>
    <mergeCell ref="A2411:L2411"/>
    <mergeCell ref="B2298:L2298"/>
    <mergeCell ref="C2301:H2301"/>
    <mergeCell ref="B2305:L2305"/>
    <mergeCell ref="A2307:L2307"/>
    <mergeCell ref="J2310:L2310"/>
    <mergeCell ref="A2329:L2329"/>
    <mergeCell ref="A2339:L2339"/>
    <mergeCell ref="B2341:L2341"/>
    <mergeCell ref="C2344:H2344"/>
    <mergeCell ref="A2244:L2244"/>
    <mergeCell ref="A2254:L2254"/>
    <mergeCell ref="B2256:L2256"/>
    <mergeCell ref="C2259:H2259"/>
    <mergeCell ref="B2263:L2263"/>
    <mergeCell ref="A2265:L2265"/>
    <mergeCell ref="J2268:L2268"/>
    <mergeCell ref="A2286:L2286"/>
    <mergeCell ref="A2296:L2296"/>
    <mergeCell ref="A2179:L2179"/>
    <mergeCell ref="J2182:L2182"/>
    <mergeCell ref="A2201:L2201"/>
    <mergeCell ref="A2211:L2211"/>
    <mergeCell ref="B2213:L2213"/>
    <mergeCell ref="C2216:H2216"/>
    <mergeCell ref="B2220:L2220"/>
    <mergeCell ref="A2222:L2222"/>
    <mergeCell ref="J2225:L2225"/>
    <mergeCell ref="C2130:H2130"/>
    <mergeCell ref="B2134:L2134"/>
    <mergeCell ref="A2136:L2136"/>
    <mergeCell ref="J2139:L2139"/>
    <mergeCell ref="A2158:L2158"/>
    <mergeCell ref="A2168:L2168"/>
    <mergeCell ref="B2170:L2170"/>
    <mergeCell ref="C2173:H2173"/>
    <mergeCell ref="B2177:L2177"/>
    <mergeCell ref="A2082:L2082"/>
    <mergeCell ref="B2084:L2084"/>
    <mergeCell ref="C2087:H2087"/>
    <mergeCell ref="B2091:L2091"/>
    <mergeCell ref="A2093:L2093"/>
    <mergeCell ref="J2096:L2096"/>
    <mergeCell ref="A2115:L2115"/>
    <mergeCell ref="A2125:L2125"/>
    <mergeCell ref="B2127:L2127"/>
    <mergeCell ref="J2007:L2007"/>
    <mergeCell ref="A2026:L2026"/>
    <mergeCell ref="A2036:L2036"/>
    <mergeCell ref="B2038:L2038"/>
    <mergeCell ref="C2041:H2041"/>
    <mergeCell ref="B2045:L2045"/>
    <mergeCell ref="A2047:L2047"/>
    <mergeCell ref="J2050:L2050"/>
    <mergeCell ref="A2072:L2072"/>
    <mergeCell ref="B1960:L1960"/>
    <mergeCell ref="A1962:L1962"/>
    <mergeCell ref="J1965:L1965"/>
    <mergeCell ref="A1983:L1983"/>
    <mergeCell ref="A1993:L1993"/>
    <mergeCell ref="B1995:L1995"/>
    <mergeCell ref="C1998:H1998"/>
    <mergeCell ref="B2002:L2002"/>
    <mergeCell ref="A2004:L2004"/>
    <mergeCell ref="B1912:L1912"/>
    <mergeCell ref="C1915:H1915"/>
    <mergeCell ref="B1919:L1919"/>
    <mergeCell ref="A1921:L1921"/>
    <mergeCell ref="J1924:L1924"/>
    <mergeCell ref="A1941:L1941"/>
    <mergeCell ref="A1951:L1951"/>
    <mergeCell ref="B1953:L1953"/>
    <mergeCell ref="C1956:H1956"/>
    <mergeCell ref="A1859:L1859"/>
    <mergeCell ref="A1869:L1869"/>
    <mergeCell ref="B1871:L1871"/>
    <mergeCell ref="C1874:H1874"/>
    <mergeCell ref="B1878:L1878"/>
    <mergeCell ref="A1880:L1880"/>
    <mergeCell ref="J1883:L1883"/>
    <mergeCell ref="A1900:L1900"/>
    <mergeCell ref="A1910:L1910"/>
    <mergeCell ref="A1771:L1771"/>
    <mergeCell ref="A1781:L1781"/>
    <mergeCell ref="B1783:L1783"/>
    <mergeCell ref="C1786:H1786"/>
    <mergeCell ref="B1790:L1790"/>
    <mergeCell ref="A1792:L1792"/>
    <mergeCell ref="J1795:L1795"/>
    <mergeCell ref="A1688:L1688"/>
    <mergeCell ref="A1698:L1698"/>
    <mergeCell ref="B1700:L1700"/>
    <mergeCell ref="C1703:H1703"/>
    <mergeCell ref="B1707:L1707"/>
    <mergeCell ref="A1709:L1709"/>
    <mergeCell ref="J1712:L1712"/>
    <mergeCell ref="J1753:L1753"/>
    <mergeCell ref="A1750:L1750"/>
    <mergeCell ref="B1748:L1748"/>
    <mergeCell ref="C1744:H1744"/>
    <mergeCell ref="B1741:L1741"/>
    <mergeCell ref="A1739:L1739"/>
    <mergeCell ref="A1729:L1729"/>
    <mergeCell ref="A1625:L1625"/>
    <mergeCell ref="J1628:L1628"/>
    <mergeCell ref="J1669:L1669"/>
    <mergeCell ref="A1666:L1666"/>
    <mergeCell ref="B1664:L1664"/>
    <mergeCell ref="C1660:H1660"/>
    <mergeCell ref="B1657:L1657"/>
    <mergeCell ref="A1655:L1655"/>
    <mergeCell ref="A1645:L1645"/>
    <mergeCell ref="A1426:L1426"/>
    <mergeCell ref="B1428:L1428"/>
    <mergeCell ref="C1431:H1431"/>
    <mergeCell ref="B1435:L1435"/>
    <mergeCell ref="A1437:L1437"/>
    <mergeCell ref="J1440:L1440"/>
    <mergeCell ref="B1144:L1144"/>
    <mergeCell ref="C1147:H1147"/>
    <mergeCell ref="B1151:L1151"/>
    <mergeCell ref="A1153:L1153"/>
    <mergeCell ref="J1156:L1156"/>
    <mergeCell ref="A1173:L1173"/>
    <mergeCell ref="A1183:L1183"/>
    <mergeCell ref="B1185:L1185"/>
    <mergeCell ref="A1416:L1416"/>
    <mergeCell ref="A1317:L1317"/>
    <mergeCell ref="A1327:L1327"/>
    <mergeCell ref="B1329:L1329"/>
    <mergeCell ref="B1278:L1278"/>
    <mergeCell ref="A1280:L1280"/>
    <mergeCell ref="C1332:H1332"/>
    <mergeCell ref="B1336:L1336"/>
    <mergeCell ref="A1338:L1338"/>
    <mergeCell ref="J1341:L1341"/>
    <mergeCell ref="A1080:L1080"/>
    <mergeCell ref="A1090:L1090"/>
    <mergeCell ref="B1092:L1092"/>
    <mergeCell ref="C1095:H1095"/>
    <mergeCell ref="B1099:L1099"/>
    <mergeCell ref="A1101:L1101"/>
    <mergeCell ref="J1104:L1104"/>
    <mergeCell ref="A1132:L1132"/>
    <mergeCell ref="A1142:L1142"/>
    <mergeCell ref="B801:L801"/>
    <mergeCell ref="C804:H804"/>
    <mergeCell ref="B808:L808"/>
    <mergeCell ref="A810:L810"/>
    <mergeCell ref="J813:L813"/>
    <mergeCell ref="A745:L745"/>
    <mergeCell ref="A755:L755"/>
    <mergeCell ref="B757:L757"/>
    <mergeCell ref="C760:H760"/>
    <mergeCell ref="B764:L764"/>
    <mergeCell ref="A766:L766"/>
    <mergeCell ref="J769:L769"/>
    <mergeCell ref="A789:L789"/>
    <mergeCell ref="A799:L799"/>
    <mergeCell ref="C715:H715"/>
    <mergeCell ref="B719:L719"/>
    <mergeCell ref="A721:L721"/>
    <mergeCell ref="J724:L724"/>
    <mergeCell ref="A505:L505"/>
    <mergeCell ref="J508:L508"/>
    <mergeCell ref="A484:L484"/>
    <mergeCell ref="A494:L494"/>
    <mergeCell ref="B496:L496"/>
    <mergeCell ref="C499:H499"/>
    <mergeCell ref="A700:L700"/>
    <mergeCell ref="A710:L710"/>
    <mergeCell ref="B712:L712"/>
    <mergeCell ref="A548:L548"/>
    <mergeCell ref="J551:L551"/>
    <mergeCell ref="A570:L570"/>
    <mergeCell ref="A580:L580"/>
    <mergeCell ref="B582:L582"/>
    <mergeCell ref="A527:L527"/>
    <mergeCell ref="A537:L537"/>
    <mergeCell ref="B539:L539"/>
    <mergeCell ref="C542:H542"/>
    <mergeCell ref="B546:L546"/>
    <mergeCell ref="A677:L677"/>
    <mergeCell ref="J423:L423"/>
    <mergeCell ref="A464:L464"/>
    <mergeCell ref="J467:L467"/>
    <mergeCell ref="A442:L442"/>
    <mergeCell ref="A452:L452"/>
    <mergeCell ref="B454:L454"/>
    <mergeCell ref="C456:H456"/>
    <mergeCell ref="B462:L462"/>
    <mergeCell ref="B503:L503"/>
    <mergeCell ref="A378:L378"/>
    <mergeCell ref="J381:L381"/>
    <mergeCell ref="A399:L399"/>
    <mergeCell ref="A409:L409"/>
    <mergeCell ref="B411:L411"/>
    <mergeCell ref="C413:H413"/>
    <mergeCell ref="C414:H414"/>
    <mergeCell ref="B418:L418"/>
    <mergeCell ref="A420:L420"/>
    <mergeCell ref="A107:L107"/>
    <mergeCell ref="B109:L109"/>
    <mergeCell ref="C111:H111"/>
    <mergeCell ref="B116:L116"/>
    <mergeCell ref="B74:L74"/>
    <mergeCell ref="A76:L76"/>
    <mergeCell ref="J79:L79"/>
    <mergeCell ref="B376:L376"/>
    <mergeCell ref="A118:L118"/>
    <mergeCell ref="J121:L121"/>
    <mergeCell ref="A139:L139"/>
    <mergeCell ref="A149:L149"/>
    <mergeCell ref="B151:L151"/>
    <mergeCell ref="C153:H153"/>
    <mergeCell ref="B158:L158"/>
    <mergeCell ref="A160:L160"/>
    <mergeCell ref="J163:L163"/>
    <mergeCell ref="A182:L182"/>
    <mergeCell ref="A192:L192"/>
    <mergeCell ref="B194:L194"/>
    <mergeCell ref="C197:H197"/>
    <mergeCell ref="B201:L201"/>
    <mergeCell ref="A203:L203"/>
    <mergeCell ref="C239:H239"/>
    <mergeCell ref="A30:L30"/>
    <mergeCell ref="A9:L9"/>
    <mergeCell ref="A19:L19"/>
    <mergeCell ref="B21:L21"/>
    <mergeCell ref="C23:F23"/>
    <mergeCell ref="B28:L28"/>
    <mergeCell ref="C70:H70"/>
    <mergeCell ref="A97:L97"/>
    <mergeCell ref="J33:L33"/>
    <mergeCell ref="A55:L55"/>
    <mergeCell ref="A65:L65"/>
    <mergeCell ref="B67:L67"/>
    <mergeCell ref="C69:F69"/>
    <mergeCell ref="C240:H240"/>
    <mergeCell ref="B244:L244"/>
    <mergeCell ref="A246:L246"/>
    <mergeCell ref="J249:L249"/>
    <mergeCell ref="J206:L206"/>
    <mergeCell ref="C196:H196"/>
    <mergeCell ref="A225:L225"/>
    <mergeCell ref="A235:L235"/>
    <mergeCell ref="B237:L237"/>
    <mergeCell ref="B287:L287"/>
    <mergeCell ref="A289:L289"/>
    <mergeCell ref="J292:L292"/>
    <mergeCell ref="A311:L311"/>
    <mergeCell ref="A321:L321"/>
    <mergeCell ref="A268:L268"/>
    <mergeCell ref="A278:L278"/>
    <mergeCell ref="B280:L280"/>
    <mergeCell ref="C282:H282"/>
    <mergeCell ref="C283:H283"/>
    <mergeCell ref="B323:L323"/>
    <mergeCell ref="C325:H325"/>
    <mergeCell ref="C371:H371"/>
    <mergeCell ref="C326:H326"/>
    <mergeCell ref="B330:L330"/>
    <mergeCell ref="A332:L332"/>
    <mergeCell ref="J335:L335"/>
    <mergeCell ref="A356:L356"/>
    <mergeCell ref="A366:L366"/>
    <mergeCell ref="B368:L368"/>
    <mergeCell ref="J680:L680"/>
    <mergeCell ref="A656:L656"/>
    <mergeCell ref="A666:L666"/>
    <mergeCell ref="B668:L668"/>
    <mergeCell ref="C671:H671"/>
    <mergeCell ref="B675:L675"/>
    <mergeCell ref="C585:H585"/>
    <mergeCell ref="B589:L589"/>
    <mergeCell ref="A591:L591"/>
    <mergeCell ref="J594:L594"/>
    <mergeCell ref="J638:L638"/>
    <mergeCell ref="A635:L635"/>
    <mergeCell ref="B633:L633"/>
    <mergeCell ref="C629:H629"/>
    <mergeCell ref="B626:L626"/>
    <mergeCell ref="A624:L624"/>
    <mergeCell ref="A614:L614"/>
    <mergeCell ref="A829:L829"/>
    <mergeCell ref="A839:L839"/>
    <mergeCell ref="B841:L841"/>
    <mergeCell ref="C844:H844"/>
    <mergeCell ref="B848:L848"/>
    <mergeCell ref="A850:L850"/>
    <mergeCell ref="J853:L853"/>
    <mergeCell ref="J895:L895"/>
    <mergeCell ref="A892:L892"/>
    <mergeCell ref="B890:L890"/>
    <mergeCell ref="C886:H886"/>
    <mergeCell ref="B883:L883"/>
    <mergeCell ref="A881:L881"/>
    <mergeCell ref="A871:L871"/>
    <mergeCell ref="A911:L911"/>
    <mergeCell ref="A921:L921"/>
    <mergeCell ref="B923:L923"/>
    <mergeCell ref="C926:H926"/>
    <mergeCell ref="B930:L930"/>
    <mergeCell ref="A932:L932"/>
    <mergeCell ref="J935:L935"/>
    <mergeCell ref="A954:L954"/>
    <mergeCell ref="A964:L964"/>
    <mergeCell ref="B966:L966"/>
    <mergeCell ref="C969:H969"/>
    <mergeCell ref="B973:L973"/>
    <mergeCell ref="A975:L975"/>
    <mergeCell ref="J978:L978"/>
    <mergeCell ref="A996:L996"/>
    <mergeCell ref="A1006:L1006"/>
    <mergeCell ref="J1063:L1063"/>
    <mergeCell ref="A1060:L1060"/>
    <mergeCell ref="B1058:L1058"/>
    <mergeCell ref="C1054:H1054"/>
    <mergeCell ref="B1051:L1051"/>
    <mergeCell ref="A1049:L1049"/>
    <mergeCell ref="A1039:L1039"/>
    <mergeCell ref="B1008:L1008"/>
    <mergeCell ref="C1011:H1011"/>
    <mergeCell ref="B1015:L1015"/>
    <mergeCell ref="A1017:L1017"/>
    <mergeCell ref="J1020:L1020"/>
    <mergeCell ref="A1367:L1367"/>
    <mergeCell ref="A1377:L1377"/>
    <mergeCell ref="B1379:L1379"/>
    <mergeCell ref="B1387:L1387"/>
    <mergeCell ref="A1389:L1389"/>
    <mergeCell ref="J1392:L1392"/>
    <mergeCell ref="C1382:D1382"/>
    <mergeCell ref="F1382:H1382"/>
    <mergeCell ref="C1188:H1188"/>
    <mergeCell ref="B1192:L1192"/>
    <mergeCell ref="A1194:L1194"/>
    <mergeCell ref="J1197:L1197"/>
    <mergeCell ref="A1215:L1215"/>
    <mergeCell ref="A1225:L1225"/>
    <mergeCell ref="B1227:L1227"/>
    <mergeCell ref="C1230:H1230"/>
    <mergeCell ref="J1283:L1283"/>
    <mergeCell ref="B1234:L1234"/>
    <mergeCell ref="A1236:L1236"/>
    <mergeCell ref="J1239:L1239"/>
    <mergeCell ref="A1259:L1259"/>
    <mergeCell ref="A1269:L1269"/>
    <mergeCell ref="B1271:L1271"/>
    <mergeCell ref="C1274:H1274"/>
    <mergeCell ref="A1473:L1473"/>
    <mergeCell ref="A1483:L1483"/>
    <mergeCell ref="B1485:L1485"/>
    <mergeCell ref="C1488:H1488"/>
    <mergeCell ref="B1492:L1492"/>
    <mergeCell ref="A1494:L1494"/>
    <mergeCell ref="J1497:L1497"/>
    <mergeCell ref="A1515:L1515"/>
    <mergeCell ref="A1525:L1525"/>
    <mergeCell ref="A1816:L1816"/>
    <mergeCell ref="A1826:L1826"/>
    <mergeCell ref="B1828:L1828"/>
    <mergeCell ref="C1831:H1831"/>
    <mergeCell ref="B1835:L1835"/>
    <mergeCell ref="A1837:L1837"/>
    <mergeCell ref="J1840:L1840"/>
    <mergeCell ref="B1527:L1527"/>
    <mergeCell ref="C1530:H1530"/>
    <mergeCell ref="B1534:L1534"/>
    <mergeCell ref="A1536:L1536"/>
    <mergeCell ref="J1539:L1539"/>
    <mergeCell ref="A1562:L1562"/>
    <mergeCell ref="A1572:L1572"/>
    <mergeCell ref="B1574:L1574"/>
    <mergeCell ref="C1577:H1577"/>
    <mergeCell ref="B1581:L1581"/>
    <mergeCell ref="A1583:L1583"/>
    <mergeCell ref="J1586:L1586"/>
    <mergeCell ref="A1604:L1604"/>
    <mergeCell ref="A1614:L1614"/>
    <mergeCell ref="B1616:L1616"/>
    <mergeCell ref="C1619:H1619"/>
    <mergeCell ref="B1623:L1623"/>
    <mergeCell ref="A2567:L2567"/>
    <mergeCell ref="A2577:L2577"/>
    <mergeCell ref="B2579:L2579"/>
    <mergeCell ref="C2582:D2582"/>
    <mergeCell ref="F2582:H2582"/>
    <mergeCell ref="B2587:L2587"/>
    <mergeCell ref="A2589:L2589"/>
    <mergeCell ref="J2592:L2592"/>
    <mergeCell ref="A2616:L2616"/>
    <mergeCell ref="C2688:H2688"/>
    <mergeCell ref="B2692:L2692"/>
    <mergeCell ref="A2694:L2694"/>
    <mergeCell ref="J2697:L2697"/>
    <mergeCell ref="A2715:L2715"/>
    <mergeCell ref="A2725:L2725"/>
    <mergeCell ref="B2727:L2727"/>
    <mergeCell ref="C2730:H2730"/>
    <mergeCell ref="A2626:L2626"/>
    <mergeCell ref="B2628:L2628"/>
    <mergeCell ref="C2631:H2631"/>
    <mergeCell ref="B2635:L2635"/>
    <mergeCell ref="A2637:L2637"/>
    <mergeCell ref="J2640:L2640"/>
    <mergeCell ref="A2673:L2673"/>
    <mergeCell ref="A2683:L2683"/>
    <mergeCell ref="B2685:L2685"/>
    <mergeCell ref="A2857:L2857"/>
    <mergeCell ref="A2867:L2867"/>
    <mergeCell ref="B2869:L2869"/>
    <mergeCell ref="C2872:H2872"/>
    <mergeCell ref="B2876:L2876"/>
    <mergeCell ref="B2734:L2734"/>
    <mergeCell ref="A2736:L2736"/>
    <mergeCell ref="J2739:L2739"/>
    <mergeCell ref="A2767:L2767"/>
    <mergeCell ref="A2777:L2777"/>
    <mergeCell ref="B2779:L2779"/>
    <mergeCell ref="C2782:H2782"/>
    <mergeCell ref="B2786:L2786"/>
    <mergeCell ref="A2788:L2788"/>
    <mergeCell ref="J2791:L2791"/>
    <mergeCell ref="A2808:L2808"/>
    <mergeCell ref="A2818:L2818"/>
    <mergeCell ref="B2820:L2820"/>
    <mergeCell ref="J2833:L2833"/>
    <mergeCell ref="C2823:H2823"/>
    <mergeCell ref="B2827:L2827"/>
    <mergeCell ref="A2829:L2829"/>
    <mergeCell ref="J2832:L2832"/>
    <mergeCell ref="B2960:L2960"/>
    <mergeCell ref="A2962:L2962"/>
    <mergeCell ref="J2965:L2965"/>
    <mergeCell ref="A2982:L2982"/>
    <mergeCell ref="A2992:L2992"/>
    <mergeCell ref="B2994:L2994"/>
    <mergeCell ref="C2997:H2997"/>
    <mergeCell ref="A2878:L2878"/>
    <mergeCell ref="J2881:L2881"/>
    <mergeCell ref="A2899:L2899"/>
    <mergeCell ref="A2909:L2909"/>
    <mergeCell ref="B2911:L2911"/>
    <mergeCell ref="C2914:H2914"/>
    <mergeCell ref="B2918:L2918"/>
    <mergeCell ref="A2920:L2920"/>
    <mergeCell ref="J2923:L2923"/>
    <mergeCell ref="A2941:L2941"/>
    <mergeCell ref="A2951:L2951"/>
    <mergeCell ref="B2953:L2953"/>
    <mergeCell ref="C2956:H2956"/>
    <mergeCell ref="J3619:L3619"/>
    <mergeCell ref="A3638:L3638"/>
    <mergeCell ref="A3648:L3648"/>
    <mergeCell ref="C3653:H3653"/>
    <mergeCell ref="B3657:L3657"/>
    <mergeCell ref="A4033:L4033"/>
    <mergeCell ref="A4043:L4043"/>
    <mergeCell ref="B4045:L4045"/>
    <mergeCell ref="C4048:H4048"/>
    <mergeCell ref="B3741:L3741"/>
    <mergeCell ref="A3743:L3743"/>
    <mergeCell ref="J3746:L3746"/>
    <mergeCell ref="J3747:L3747"/>
    <mergeCell ref="A3853:L3853"/>
    <mergeCell ref="A3863:L3863"/>
    <mergeCell ref="B3865:L3865"/>
    <mergeCell ref="C3868:H3868"/>
    <mergeCell ref="B3872:L3872"/>
    <mergeCell ref="A3808:L3808"/>
    <mergeCell ref="A3818:L3818"/>
    <mergeCell ref="B3820:L3820"/>
    <mergeCell ref="C3823:H3823"/>
    <mergeCell ref="B3827:L3827"/>
    <mergeCell ref="A3829:L3829"/>
    <mergeCell ref="B4052:L4052"/>
    <mergeCell ref="A4054:L4054"/>
    <mergeCell ref="J4057:L4057"/>
    <mergeCell ref="B3700:L3700"/>
    <mergeCell ref="A3702:L3702"/>
    <mergeCell ref="J3705:L3705"/>
    <mergeCell ref="A3681:L3681"/>
    <mergeCell ref="A3691:L3691"/>
    <mergeCell ref="B3693:L3693"/>
    <mergeCell ref="C3696:H3696"/>
    <mergeCell ref="A3722:L3722"/>
    <mergeCell ref="A3732:L3732"/>
    <mergeCell ref="B3734:L3734"/>
    <mergeCell ref="C3737:H3737"/>
    <mergeCell ref="J3832:L3832"/>
    <mergeCell ref="B3784:L3784"/>
    <mergeCell ref="A3786:L3786"/>
    <mergeCell ref="J3789:L3789"/>
    <mergeCell ref="A3765:L3765"/>
    <mergeCell ref="A3775:L3775"/>
    <mergeCell ref="B3777:L3777"/>
    <mergeCell ref="C3780:H3780"/>
    <mergeCell ref="A3874:L3874"/>
    <mergeCell ref="J3877:L3877"/>
    <mergeCell ref="A4077:L4077"/>
    <mergeCell ref="A4087:L4087"/>
    <mergeCell ref="B4140:L4140"/>
    <mergeCell ref="A4142:L4142"/>
    <mergeCell ref="J4145:L4145"/>
    <mergeCell ref="B4089:L4089"/>
    <mergeCell ref="C4092:H4092"/>
    <mergeCell ref="B4096:L4096"/>
    <mergeCell ref="A4098:L4098"/>
    <mergeCell ref="J4101:L4101"/>
    <mergeCell ref="A4121:L4121"/>
    <mergeCell ref="A4131:L4131"/>
    <mergeCell ref="B4133:L4133"/>
    <mergeCell ref="C4136:H4136"/>
    <mergeCell ref="A4248:L4248"/>
    <mergeCell ref="A4258:L4258"/>
    <mergeCell ref="B4260:L4260"/>
    <mergeCell ref="C4263:H4263"/>
    <mergeCell ref="B4267:L4267"/>
    <mergeCell ref="A4269:L4269"/>
    <mergeCell ref="J4272:L4272"/>
    <mergeCell ref="A4291:L4291"/>
    <mergeCell ref="A4301:L4301"/>
    <mergeCell ref="B4303:L4303"/>
    <mergeCell ref="C4306:H4306"/>
    <mergeCell ref="B4310:L4310"/>
    <mergeCell ref="A4312:L4312"/>
    <mergeCell ref="J4315:L4315"/>
    <mergeCell ref="B4388:L4388"/>
    <mergeCell ref="C4391:H4391"/>
    <mergeCell ref="B4395:L4395"/>
    <mergeCell ref="A4397:L4397"/>
    <mergeCell ref="A4334:L4334"/>
    <mergeCell ref="A4344:L4344"/>
    <mergeCell ref="B4346:L4346"/>
    <mergeCell ref="C4349:H4349"/>
    <mergeCell ref="B4353:L4353"/>
    <mergeCell ref="A4355:L4355"/>
    <mergeCell ref="J4358:L4358"/>
    <mergeCell ref="A4549:L4549"/>
    <mergeCell ref="A4559:L4559"/>
    <mergeCell ref="B4561:L4561"/>
    <mergeCell ref="C4564:H4564"/>
    <mergeCell ref="B4568:L4568"/>
    <mergeCell ref="A4570:L4570"/>
    <mergeCell ref="J4573:L4573"/>
    <mergeCell ref="A4592:L4592"/>
    <mergeCell ref="A4602:L4602"/>
    <mergeCell ref="A5110:L5110"/>
    <mergeCell ref="A5120:L5120"/>
    <mergeCell ref="B5122:L5122"/>
    <mergeCell ref="C5125:H5125"/>
    <mergeCell ref="B5129:L5129"/>
    <mergeCell ref="A5131:L5131"/>
    <mergeCell ref="J5134:L5134"/>
    <mergeCell ref="B4604:L4604"/>
    <mergeCell ref="C4607:H4607"/>
    <mergeCell ref="B4611:L4611"/>
    <mergeCell ref="A4613:L4613"/>
    <mergeCell ref="J4616:L4616"/>
    <mergeCell ref="A4635:L4635"/>
    <mergeCell ref="A4645:L4645"/>
    <mergeCell ref="B4647:L4647"/>
    <mergeCell ref="C4650:H4650"/>
    <mergeCell ref="B4654:L4654"/>
    <mergeCell ref="A4656:L4656"/>
    <mergeCell ref="J4659:L4659"/>
    <mergeCell ref="A4678:L4678"/>
    <mergeCell ref="A4688:L4688"/>
    <mergeCell ref="B4743:L4743"/>
    <mergeCell ref="A4745:L4745"/>
    <mergeCell ref="J4748:L4748"/>
  </mergeCells>
  <pageMargins left="0.5" right="0.2" top="0.75" bottom="1" header="0.5" footer="0.5"/>
  <pageSetup paperSize="5" scale="9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E7CF-882D-4CA1-A502-1A3C8DB3CEAA}">
  <dimension ref="A1:L669"/>
  <sheetViews>
    <sheetView zoomScaleNormal="100" zoomScaleSheetLayoutView="100" workbookViewId="0">
      <selection activeCell="M40" sqref="M40"/>
    </sheetView>
  </sheetViews>
  <sheetFormatPr defaultColWidth="9.140625" defaultRowHeight="21.9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4.7109375" style="4" customWidth="1"/>
    <col min="5" max="5" width="15.42578125" style="4" customWidth="1"/>
    <col min="6" max="6" width="14.85546875" style="4" customWidth="1"/>
    <col min="7" max="7" width="1.7109375" style="4" customWidth="1"/>
    <col min="8" max="8" width="7.5703125" style="4" customWidth="1"/>
    <col min="9" max="9" width="12.42578125" style="4" customWidth="1"/>
    <col min="10" max="10" width="10.28515625" style="4" customWidth="1"/>
    <col min="11" max="11" width="5.28515625" style="4" customWidth="1"/>
    <col min="12" max="12" width="2.14062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6.42578125" style="4" customWidth="1"/>
    <col min="17" max="17" width="2.5703125" style="4" customWidth="1"/>
    <col min="18" max="19" width="9.140625" style="4" customWidth="1"/>
    <col min="20" max="20" width="10" style="4" customWidth="1"/>
    <col min="21" max="21" width="9.140625" style="4" customWidth="1"/>
    <col min="22" max="22" width="9.140625" style="4"/>
    <col min="23" max="23" width="15.85546875" style="4" customWidth="1"/>
    <col min="24" max="24" width="9.140625" style="4"/>
    <col min="25" max="25" width="7.140625" style="4" customWidth="1"/>
    <col min="26" max="26" width="3" style="4" customWidth="1"/>
    <col min="27" max="16384" width="9.140625" style="4"/>
  </cols>
  <sheetData>
    <row r="1" spans="1:12" ht="15.75" x14ac:dyDescent="0.25">
      <c r="A1" s="3" t="s">
        <v>22</v>
      </c>
    </row>
    <row r="2" spans="1:12" ht="15.75" x14ac:dyDescent="0.2">
      <c r="A2" s="122" t="s">
        <v>20</v>
      </c>
    </row>
    <row r="3" spans="1:12" ht="15.75" x14ac:dyDescent="0.2">
      <c r="A3" s="122" t="s">
        <v>21</v>
      </c>
    </row>
    <row r="4" spans="1:12" ht="15.75" x14ac:dyDescent="0.2">
      <c r="A4" s="122"/>
    </row>
    <row r="5" spans="1:12" ht="12.75" x14ac:dyDescent="0.2"/>
    <row r="6" spans="1:12" ht="21.95" customHeight="1" x14ac:dyDescent="0.3">
      <c r="A6" s="276" t="s">
        <v>6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</row>
    <row r="7" spans="1:12" ht="18.75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15" x14ac:dyDescent="0.25">
      <c r="A8" s="1"/>
      <c r="B8" s="1"/>
    </row>
    <row r="9" spans="1:12" ht="15" x14ac:dyDescent="0.25">
      <c r="A9" s="1" t="s">
        <v>7</v>
      </c>
      <c r="B9" s="1"/>
    </row>
    <row r="10" spans="1:12" ht="21.95" customHeight="1" x14ac:dyDescent="0.25">
      <c r="A10" s="1"/>
      <c r="B10" s="1"/>
    </row>
    <row r="11" spans="1:12" ht="15" x14ac:dyDescent="0.25">
      <c r="A11" s="1" t="s">
        <v>8</v>
      </c>
      <c r="C11" s="9" t="s">
        <v>1</v>
      </c>
      <c r="D11" s="37" t="s">
        <v>92</v>
      </c>
      <c r="E11" s="76"/>
      <c r="F11" s="76"/>
      <c r="G11" s="76"/>
      <c r="H11" s="76"/>
    </row>
    <row r="12" spans="1:12" ht="15" x14ac:dyDescent="0.25">
      <c r="A12" s="1" t="s">
        <v>9</v>
      </c>
      <c r="C12" s="9" t="s">
        <v>1</v>
      </c>
      <c r="D12" s="1" t="s">
        <v>263</v>
      </c>
      <c r="E12" s="76"/>
      <c r="F12" s="76"/>
      <c r="G12" s="76"/>
      <c r="H12" s="76"/>
    </row>
    <row r="13" spans="1:12" ht="15" x14ac:dyDescent="0.2">
      <c r="A13" s="50" t="s">
        <v>10</v>
      </c>
      <c r="B13" s="76"/>
      <c r="C13" s="91" t="s">
        <v>1</v>
      </c>
      <c r="D13" s="50" t="s">
        <v>203</v>
      </c>
      <c r="E13" s="76"/>
      <c r="F13" s="76"/>
      <c r="G13" s="76"/>
      <c r="H13" s="76"/>
      <c r="I13" s="76"/>
      <c r="J13" s="76"/>
      <c r="K13" s="76"/>
      <c r="L13" s="76"/>
    </row>
    <row r="14" spans="1:12" ht="15" customHeight="1" x14ac:dyDescent="0.25">
      <c r="A14" s="1"/>
      <c r="B14" s="1"/>
      <c r="D14" s="1"/>
    </row>
    <row r="15" spans="1:12" ht="41.25" customHeight="1" x14ac:dyDescent="0.2">
      <c r="A15" s="277" t="s">
        <v>669</v>
      </c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</row>
    <row r="16" spans="1:12" ht="21.95" customHeight="1" x14ac:dyDescent="0.25">
      <c r="A16" s="1"/>
      <c r="B16" s="1"/>
    </row>
    <row r="17" spans="1:12" ht="39" customHeight="1" thickBot="1" x14ac:dyDescent="0.25">
      <c r="A17" s="10" t="s">
        <v>0</v>
      </c>
      <c r="B17" s="278" t="s">
        <v>91</v>
      </c>
      <c r="C17" s="278"/>
      <c r="D17" s="278"/>
      <c r="E17" s="278"/>
      <c r="F17" s="278"/>
      <c r="G17" s="278"/>
      <c r="H17" s="278"/>
      <c r="I17" s="278"/>
      <c r="J17" s="278"/>
      <c r="K17" s="278"/>
      <c r="L17" s="278"/>
    </row>
    <row r="18" spans="1:12" ht="15.75" thickTop="1" x14ac:dyDescent="0.25">
      <c r="A18" s="1"/>
      <c r="B18" s="11" t="s">
        <v>3</v>
      </c>
      <c r="C18" s="12" t="s">
        <v>4</v>
      </c>
      <c r="D18" s="13"/>
      <c r="E18" s="13"/>
      <c r="F18" s="13"/>
      <c r="G18" s="13"/>
      <c r="H18" s="14"/>
      <c r="I18" s="15" t="s">
        <v>5</v>
      </c>
      <c r="J18" s="12" t="s">
        <v>17</v>
      </c>
      <c r="K18" s="13"/>
      <c r="L18" s="14"/>
    </row>
    <row r="19" spans="1:12" ht="15" x14ac:dyDescent="0.2">
      <c r="A19" s="50"/>
      <c r="B19" s="143">
        <v>1</v>
      </c>
      <c r="C19" s="129" t="s">
        <v>640</v>
      </c>
      <c r="D19" s="130"/>
      <c r="E19" s="130"/>
      <c r="F19" s="217"/>
      <c r="G19" s="76"/>
      <c r="H19" s="79"/>
      <c r="I19" s="56">
        <v>170000</v>
      </c>
      <c r="J19" s="76" t="s">
        <v>204</v>
      </c>
      <c r="K19" s="76"/>
      <c r="L19" s="79"/>
    </row>
    <row r="20" spans="1:12" ht="15" x14ac:dyDescent="0.2">
      <c r="A20" s="50"/>
      <c r="B20" s="100"/>
      <c r="C20" s="76"/>
      <c r="D20" s="76"/>
      <c r="E20" s="76"/>
      <c r="F20" s="169"/>
      <c r="G20" s="76"/>
      <c r="H20" s="76"/>
      <c r="I20" s="56"/>
      <c r="J20" s="76"/>
      <c r="K20" s="76"/>
      <c r="L20" s="79"/>
    </row>
    <row r="21" spans="1:12" ht="15" x14ac:dyDescent="0.2">
      <c r="A21" s="50"/>
      <c r="B21" s="100"/>
      <c r="C21" s="76"/>
      <c r="D21" s="76"/>
      <c r="E21" s="76"/>
      <c r="F21" s="169"/>
      <c r="G21" s="76"/>
      <c r="H21" s="76"/>
      <c r="I21" s="56"/>
      <c r="J21" s="76"/>
      <c r="K21" s="76"/>
      <c r="L21" s="79"/>
    </row>
    <row r="22" spans="1:12" ht="15" x14ac:dyDescent="0.2">
      <c r="A22" s="50"/>
      <c r="B22" s="100"/>
      <c r="C22" s="76"/>
      <c r="D22" s="76"/>
      <c r="E22" s="76"/>
      <c r="F22" s="169"/>
      <c r="G22" s="76"/>
      <c r="H22" s="76"/>
      <c r="I22" s="56"/>
      <c r="J22" s="76"/>
      <c r="K22" s="76"/>
      <c r="L22" s="79"/>
    </row>
    <row r="23" spans="1:12" ht="15" x14ac:dyDescent="0.25">
      <c r="A23" s="1"/>
      <c r="B23" s="39"/>
      <c r="C23" s="1"/>
      <c r="D23" s="1"/>
      <c r="E23" s="1"/>
      <c r="F23" s="40" t="s">
        <v>5</v>
      </c>
      <c r="G23" s="40"/>
      <c r="H23" s="1"/>
      <c r="I23" s="41">
        <f>I19</f>
        <v>170000</v>
      </c>
      <c r="J23" s="1"/>
      <c r="K23" s="1"/>
      <c r="L23" s="42"/>
    </row>
    <row r="24" spans="1:12" ht="21.95" customHeight="1" thickBot="1" x14ac:dyDescent="0.3">
      <c r="A24" s="1"/>
      <c r="B24" s="43"/>
      <c r="C24" s="44"/>
      <c r="D24" s="44"/>
      <c r="E24" s="44"/>
      <c r="F24" s="45"/>
      <c r="G24" s="45"/>
      <c r="H24" s="44"/>
      <c r="I24" s="46"/>
      <c r="J24" s="44"/>
      <c r="K24" s="44"/>
      <c r="L24" s="47"/>
    </row>
    <row r="25" spans="1:12" ht="21.95" customHeight="1" thickTop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48.75" customHeight="1" x14ac:dyDescent="0.2">
      <c r="A26" s="10" t="s">
        <v>2</v>
      </c>
      <c r="B26" s="279" t="s">
        <v>11</v>
      </c>
      <c r="C26" s="279"/>
      <c r="D26" s="279"/>
      <c r="E26" s="279"/>
      <c r="F26" s="279"/>
      <c r="G26" s="279"/>
      <c r="H26" s="279"/>
      <c r="I26" s="279"/>
      <c r="J26" s="279"/>
      <c r="K26" s="279"/>
      <c r="L26" s="279"/>
    </row>
    <row r="27" spans="1:12" ht="21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1.75" customHeight="1" x14ac:dyDescent="0.2">
      <c r="A28" s="280" t="s">
        <v>12</v>
      </c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</row>
    <row r="29" spans="1:12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x14ac:dyDescent="0.25">
      <c r="A31" s="1"/>
      <c r="B31" s="1"/>
      <c r="C31" s="1"/>
      <c r="D31" s="1"/>
      <c r="E31" s="1"/>
      <c r="F31" s="1"/>
      <c r="G31" s="1"/>
      <c r="H31" s="4" t="s">
        <v>668</v>
      </c>
    </row>
    <row r="32" spans="1:12" ht="15" x14ac:dyDescent="0.25">
      <c r="A32" s="1"/>
      <c r="B32" s="1" t="s">
        <v>15</v>
      </c>
      <c r="C32" s="1"/>
      <c r="D32" s="1"/>
      <c r="E32" s="1"/>
      <c r="F32" s="1"/>
      <c r="G32" s="1"/>
      <c r="H32" s="4" t="s">
        <v>13</v>
      </c>
    </row>
    <row r="33" spans="1:12" ht="15" x14ac:dyDescent="0.2">
      <c r="A33" s="48"/>
      <c r="B33" s="48" t="s">
        <v>18</v>
      </c>
      <c r="C33" s="48"/>
      <c r="D33" s="48"/>
      <c r="E33" s="48"/>
      <c r="F33" s="48"/>
      <c r="G33" s="48"/>
      <c r="H33" s="99" t="s">
        <v>14</v>
      </c>
      <c r="I33" s="99"/>
      <c r="J33" s="99"/>
      <c r="K33" s="99"/>
      <c r="L33" s="99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x14ac:dyDescent="0.25">
      <c r="A36" s="1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"/>
    </row>
    <row r="37" spans="1:12" ht="15" x14ac:dyDescent="0.25">
      <c r="A37" s="1"/>
      <c r="K37" s="103"/>
      <c r="L37" s="1"/>
    </row>
    <row r="38" spans="1:12" ht="15" x14ac:dyDescent="0.25">
      <c r="A38" s="1"/>
      <c r="B38" s="272" t="s">
        <v>644</v>
      </c>
      <c r="H38" s="37" t="str">
        <f>D11</f>
        <v>Ronny Adha Wicaksono, S.Farm, Apt</v>
      </c>
      <c r="I38" s="95"/>
      <c r="J38" s="92"/>
      <c r="K38" s="103"/>
      <c r="L38" s="1"/>
    </row>
    <row r="39" spans="1:12" ht="15" x14ac:dyDescent="0.25">
      <c r="A39" s="1"/>
      <c r="B39" s="273" t="s">
        <v>638</v>
      </c>
      <c r="C39" s="57"/>
      <c r="H39" s="269" t="s">
        <v>27</v>
      </c>
      <c r="K39" s="103"/>
    </row>
    <row r="40" spans="1:12" ht="12.75" x14ac:dyDescent="0.2"/>
    <row r="41" spans="1:12" ht="12.75" x14ac:dyDescent="0.2"/>
    <row r="42" spans="1:12" ht="12.75" x14ac:dyDescent="0.2"/>
    <row r="43" spans="1:12" ht="12.75" x14ac:dyDescent="0.2"/>
    <row r="44" spans="1:12" ht="12.75" x14ac:dyDescent="0.2"/>
    <row r="45" spans="1:12" ht="12" customHeight="1" x14ac:dyDescent="0.2"/>
    <row r="46" spans="1:12" ht="12.75" x14ac:dyDescent="0.2"/>
    <row r="47" spans="1:12" ht="12.75" x14ac:dyDescent="0.2"/>
    <row r="48" spans="1:12" ht="12.75" x14ac:dyDescent="0.2"/>
    <row r="49" spans="1:12" ht="12.75" x14ac:dyDescent="0.2"/>
    <row r="50" spans="1:12" ht="15.75" x14ac:dyDescent="0.25">
      <c r="A50" s="3" t="s">
        <v>22</v>
      </c>
    </row>
    <row r="51" spans="1:12" ht="15.75" x14ac:dyDescent="0.2">
      <c r="A51" s="122" t="s">
        <v>20</v>
      </c>
    </row>
    <row r="52" spans="1:12" ht="15.75" x14ac:dyDescent="0.2">
      <c r="A52" s="122" t="s">
        <v>21</v>
      </c>
    </row>
    <row r="53" spans="1:12" ht="15.75" x14ac:dyDescent="0.2">
      <c r="A53" s="122"/>
    </row>
    <row r="54" spans="1:12" ht="12.75" x14ac:dyDescent="0.2"/>
    <row r="55" spans="1:12" ht="18.75" x14ac:dyDescent="0.3">
      <c r="A55" s="276" t="s">
        <v>6</v>
      </c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</row>
    <row r="56" spans="1:12" ht="18.75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15" x14ac:dyDescent="0.25">
      <c r="A57" s="1"/>
      <c r="B57" s="1"/>
    </row>
    <row r="58" spans="1:12" ht="21.95" customHeight="1" x14ac:dyDescent="0.25">
      <c r="A58" s="1" t="s">
        <v>7</v>
      </c>
      <c r="B58" s="1"/>
    </row>
    <row r="59" spans="1:12" ht="15" x14ac:dyDescent="0.25">
      <c r="A59" s="1"/>
      <c r="B59" s="1"/>
    </row>
    <row r="60" spans="1:12" ht="15" x14ac:dyDescent="0.25">
      <c r="A60" s="1" t="s">
        <v>8</v>
      </c>
      <c r="C60" s="9" t="s">
        <v>1</v>
      </c>
      <c r="D60" s="37" t="s">
        <v>96</v>
      </c>
      <c r="E60" s="76"/>
      <c r="F60" s="76"/>
      <c r="G60" s="76"/>
      <c r="H60" s="76"/>
    </row>
    <row r="61" spans="1:12" ht="15" x14ac:dyDescent="0.25">
      <c r="A61" s="1" t="s">
        <v>9</v>
      </c>
      <c r="C61" s="9" t="s">
        <v>1</v>
      </c>
      <c r="D61" s="1" t="s">
        <v>200</v>
      </c>
      <c r="E61" s="76"/>
      <c r="F61" s="76"/>
      <c r="G61" s="76"/>
      <c r="H61" s="76"/>
    </row>
    <row r="62" spans="1:12" ht="15" x14ac:dyDescent="0.25">
      <c r="A62" s="50" t="s">
        <v>10</v>
      </c>
      <c r="B62" s="76"/>
      <c r="C62" s="91" t="s">
        <v>1</v>
      </c>
      <c r="D62" s="1" t="s">
        <v>203</v>
      </c>
      <c r="E62" s="76"/>
      <c r="F62" s="76"/>
      <c r="G62" s="76"/>
      <c r="H62" s="76"/>
      <c r="I62" s="76"/>
      <c r="J62" s="76"/>
      <c r="K62" s="76"/>
      <c r="L62" s="76"/>
    </row>
    <row r="63" spans="1:12" ht="15" x14ac:dyDescent="0.25">
      <c r="A63" s="1"/>
      <c r="B63" s="1"/>
      <c r="D63" s="1"/>
    </row>
    <row r="64" spans="1:12" ht="30.75" customHeight="1" x14ac:dyDescent="0.2">
      <c r="A64" s="277" t="s">
        <v>669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</row>
    <row r="65" spans="1:12" ht="15" x14ac:dyDescent="0.25">
      <c r="A65" s="1"/>
      <c r="B65" s="1"/>
    </row>
    <row r="66" spans="1:12" ht="33.75" customHeight="1" thickBot="1" x14ac:dyDescent="0.25">
      <c r="A66" s="10" t="s">
        <v>0</v>
      </c>
      <c r="B66" s="278" t="s">
        <v>91</v>
      </c>
      <c r="C66" s="278"/>
      <c r="D66" s="278"/>
      <c r="E66" s="278"/>
      <c r="F66" s="278"/>
      <c r="G66" s="278"/>
      <c r="H66" s="278"/>
      <c r="I66" s="278"/>
      <c r="J66" s="278"/>
      <c r="K66" s="278"/>
      <c r="L66" s="278"/>
    </row>
    <row r="67" spans="1:12" ht="15.75" thickTop="1" x14ac:dyDescent="0.25">
      <c r="A67" s="1"/>
      <c r="B67" s="11" t="s">
        <v>3</v>
      </c>
      <c r="C67" s="12" t="s">
        <v>4</v>
      </c>
      <c r="D67" s="13"/>
      <c r="E67" s="13"/>
      <c r="F67" s="13"/>
      <c r="G67" s="13"/>
      <c r="H67" s="14"/>
      <c r="I67" s="15" t="s">
        <v>5</v>
      </c>
      <c r="J67" s="12" t="s">
        <v>17</v>
      </c>
      <c r="K67" s="13"/>
      <c r="L67" s="14"/>
    </row>
    <row r="68" spans="1:12" ht="15" x14ac:dyDescent="0.2">
      <c r="A68" s="50"/>
      <c r="B68" s="143">
        <v>1</v>
      </c>
      <c r="C68" s="129" t="s">
        <v>640</v>
      </c>
      <c r="D68" s="130"/>
      <c r="E68" s="130"/>
      <c r="F68" s="217"/>
      <c r="G68" s="76"/>
      <c r="H68" s="79"/>
      <c r="I68" s="56">
        <v>170000</v>
      </c>
      <c r="J68" s="76" t="s">
        <v>204</v>
      </c>
      <c r="K68" s="76"/>
      <c r="L68" s="79"/>
    </row>
    <row r="69" spans="1:12" ht="15" x14ac:dyDescent="0.2">
      <c r="A69" s="50"/>
      <c r="B69" s="100"/>
      <c r="C69" s="76"/>
      <c r="D69" s="76"/>
      <c r="E69" s="76"/>
      <c r="F69" s="169"/>
      <c r="G69" s="76"/>
      <c r="H69" s="76"/>
      <c r="I69" s="56"/>
      <c r="J69" s="76"/>
      <c r="K69" s="76"/>
      <c r="L69" s="79"/>
    </row>
    <row r="70" spans="1:12" ht="15" x14ac:dyDescent="0.2">
      <c r="A70" s="50"/>
      <c r="B70" s="100"/>
      <c r="C70" s="76"/>
      <c r="D70" s="76"/>
      <c r="E70" s="76"/>
      <c r="F70" s="169"/>
      <c r="G70" s="76"/>
      <c r="H70" s="76"/>
      <c r="I70" s="56"/>
      <c r="J70" s="76"/>
      <c r="K70" s="76"/>
      <c r="L70" s="79"/>
    </row>
    <row r="71" spans="1:12" ht="15" x14ac:dyDescent="0.2">
      <c r="B71" s="96"/>
      <c r="C71" s="124"/>
      <c r="D71" s="124"/>
      <c r="E71" s="127"/>
      <c r="F71" s="125"/>
      <c r="G71" s="124"/>
      <c r="H71" s="124"/>
      <c r="I71" s="23"/>
      <c r="L71" s="17"/>
    </row>
    <row r="72" spans="1:12" ht="15" x14ac:dyDescent="0.25">
      <c r="A72" s="1"/>
      <c r="B72" s="39"/>
      <c r="C72" s="1"/>
      <c r="D72" s="1"/>
      <c r="E72" s="1"/>
      <c r="F72" s="40" t="s">
        <v>5</v>
      </c>
      <c r="G72" s="40"/>
      <c r="H72" s="1"/>
      <c r="I72" s="41">
        <f>I68</f>
        <v>170000</v>
      </c>
      <c r="J72" s="1"/>
      <c r="K72" s="1"/>
      <c r="L72" s="42"/>
    </row>
    <row r="73" spans="1:12" ht="15.75" thickBot="1" x14ac:dyDescent="0.3">
      <c r="A73" s="1"/>
      <c r="B73" s="43"/>
      <c r="C73" s="44"/>
      <c r="D73" s="44"/>
      <c r="E73" s="44"/>
      <c r="F73" s="45"/>
      <c r="G73" s="45"/>
      <c r="H73" s="44"/>
      <c r="I73" s="46"/>
      <c r="J73" s="44"/>
      <c r="K73" s="44"/>
      <c r="L73" s="47"/>
    </row>
    <row r="74" spans="1:12" ht="15.75" thickTop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46.5" customHeight="1" x14ac:dyDescent="0.2">
      <c r="A75" s="10" t="s">
        <v>2</v>
      </c>
      <c r="B75" s="279" t="s">
        <v>11</v>
      </c>
      <c r="C75" s="279"/>
      <c r="D75" s="279"/>
      <c r="E75" s="279"/>
      <c r="F75" s="279"/>
      <c r="G75" s="279"/>
      <c r="H75" s="279"/>
      <c r="I75" s="279"/>
      <c r="J75" s="279"/>
      <c r="K75" s="279"/>
      <c r="L75" s="279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1.95" customHeight="1" x14ac:dyDescent="0.2">
      <c r="A77" s="280" t="s">
        <v>12</v>
      </c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</row>
    <row r="78" spans="1:12" ht="1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6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7.25" customHeight="1" x14ac:dyDescent="0.25">
      <c r="A80" s="1"/>
      <c r="B80" s="1"/>
      <c r="C80" s="1"/>
      <c r="D80" s="1"/>
      <c r="E80" s="1"/>
      <c r="F80" s="1"/>
      <c r="G80" s="1"/>
      <c r="H80" s="4" t="s">
        <v>668</v>
      </c>
    </row>
    <row r="81" spans="1:12" ht="21.95" customHeight="1" x14ac:dyDescent="0.25">
      <c r="A81" s="1"/>
      <c r="B81" s="1" t="s">
        <v>15</v>
      </c>
      <c r="C81" s="1"/>
      <c r="D81" s="1"/>
      <c r="E81" s="1"/>
      <c r="F81" s="1"/>
      <c r="G81" s="1"/>
      <c r="H81" s="4" t="s">
        <v>13</v>
      </c>
    </row>
    <row r="82" spans="1:12" ht="15" x14ac:dyDescent="0.2">
      <c r="A82" s="48"/>
      <c r="B82" s="48" t="s">
        <v>18</v>
      </c>
      <c r="C82" s="48"/>
      <c r="D82" s="48"/>
      <c r="E82" s="48"/>
      <c r="F82" s="48"/>
      <c r="G82" s="48"/>
      <c r="H82" s="99" t="s">
        <v>14</v>
      </c>
      <c r="I82" s="99"/>
      <c r="J82" s="99"/>
      <c r="K82" s="99"/>
      <c r="L82" s="99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"/>
    </row>
    <row r="86" spans="1:12" ht="15" x14ac:dyDescent="0.25">
      <c r="A86" s="1"/>
      <c r="K86" s="103"/>
      <c r="L86" s="1"/>
    </row>
    <row r="87" spans="1:12" ht="15" x14ac:dyDescent="0.25">
      <c r="A87" s="1"/>
      <c r="B87" s="272" t="s">
        <v>644</v>
      </c>
      <c r="H87" s="37" t="str">
        <f>D60</f>
        <v>Puspa Sari Paniti Ratri, S. Farm. Apt</v>
      </c>
      <c r="I87" s="95"/>
      <c r="J87" s="92"/>
      <c r="K87" s="103"/>
      <c r="L87" s="1"/>
    </row>
    <row r="88" spans="1:12" ht="15" x14ac:dyDescent="0.25">
      <c r="A88" s="1"/>
      <c r="B88" s="273" t="s">
        <v>638</v>
      </c>
      <c r="C88" s="57"/>
      <c r="H88" s="269" t="s">
        <v>27</v>
      </c>
      <c r="K88" s="103"/>
    </row>
    <row r="89" spans="1:12" ht="12.75" x14ac:dyDescent="0.2"/>
    <row r="90" spans="1:12" ht="12.75" x14ac:dyDescent="0.2"/>
    <row r="95" spans="1:12" ht="15.75" x14ac:dyDescent="0.25">
      <c r="A95" s="3" t="s">
        <v>22</v>
      </c>
    </row>
    <row r="96" spans="1:12" ht="15.75" x14ac:dyDescent="0.2">
      <c r="A96" s="122" t="s">
        <v>20</v>
      </c>
    </row>
    <row r="97" spans="1:12" ht="15.75" x14ac:dyDescent="0.2">
      <c r="A97" s="122" t="s">
        <v>21</v>
      </c>
    </row>
    <row r="98" spans="1:12" ht="15.75" x14ac:dyDescent="0.2">
      <c r="A98" s="122"/>
    </row>
    <row r="99" spans="1:12" ht="12.75" x14ac:dyDescent="0.2"/>
    <row r="100" spans="1:12" ht="18.75" x14ac:dyDescent="0.3">
      <c r="A100" s="276" t="s">
        <v>6</v>
      </c>
      <c r="B100" s="276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</row>
    <row r="101" spans="1:12" ht="18.75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</row>
    <row r="102" spans="1:12" ht="15" x14ac:dyDescent="0.25">
      <c r="A102" s="1"/>
      <c r="B102" s="1"/>
    </row>
    <row r="103" spans="1:12" ht="15" x14ac:dyDescent="0.25">
      <c r="A103" s="1" t="s">
        <v>7</v>
      </c>
      <c r="B103" s="1"/>
    </row>
    <row r="104" spans="1:12" ht="16.5" customHeight="1" x14ac:dyDescent="0.25">
      <c r="A104" s="1"/>
      <c r="B104" s="1"/>
    </row>
    <row r="105" spans="1:12" ht="15" x14ac:dyDescent="0.25">
      <c r="A105" s="1" t="s">
        <v>8</v>
      </c>
      <c r="C105" s="9" t="s">
        <v>1</v>
      </c>
      <c r="D105" s="37" t="s">
        <v>554</v>
      </c>
      <c r="E105" s="76"/>
      <c r="F105" s="76"/>
      <c r="G105" s="76"/>
      <c r="H105" s="76"/>
    </row>
    <row r="106" spans="1:12" ht="15" x14ac:dyDescent="0.25">
      <c r="A106" s="1" t="s">
        <v>9</v>
      </c>
      <c r="C106" s="9" t="s">
        <v>1</v>
      </c>
      <c r="D106" s="1" t="s">
        <v>234</v>
      </c>
      <c r="E106" s="76"/>
      <c r="F106" s="76"/>
      <c r="G106" s="76"/>
      <c r="H106" s="76"/>
    </row>
    <row r="107" spans="1:12" ht="15" x14ac:dyDescent="0.25">
      <c r="A107" s="50" t="s">
        <v>10</v>
      </c>
      <c r="B107" s="76"/>
      <c r="C107" s="91" t="s">
        <v>1</v>
      </c>
      <c r="D107" s="1" t="s">
        <v>203</v>
      </c>
      <c r="E107" s="76"/>
      <c r="F107" s="76"/>
      <c r="G107" s="76"/>
      <c r="H107" s="76"/>
      <c r="I107" s="76"/>
      <c r="J107" s="76"/>
      <c r="K107" s="76"/>
      <c r="L107" s="76"/>
    </row>
    <row r="108" spans="1:12" ht="15" x14ac:dyDescent="0.25">
      <c r="A108" s="1"/>
      <c r="B108" s="1"/>
      <c r="D108" s="1"/>
    </row>
    <row r="109" spans="1:12" ht="31.5" customHeight="1" x14ac:dyDescent="0.2">
      <c r="A109" s="277" t="s">
        <v>669</v>
      </c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</row>
    <row r="110" spans="1:12" ht="15" x14ac:dyDescent="0.25">
      <c r="A110" s="1"/>
      <c r="B110" s="1"/>
    </row>
    <row r="111" spans="1:12" ht="36.75" customHeight="1" thickBot="1" x14ac:dyDescent="0.25">
      <c r="A111" s="10" t="s">
        <v>0</v>
      </c>
      <c r="B111" s="278" t="s">
        <v>91</v>
      </c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</row>
    <row r="112" spans="1:12" ht="15.75" thickTop="1" x14ac:dyDescent="0.25">
      <c r="A112" s="1"/>
      <c r="B112" s="11" t="s">
        <v>3</v>
      </c>
      <c r="C112" s="12" t="s">
        <v>4</v>
      </c>
      <c r="D112" s="13"/>
      <c r="E112" s="13"/>
      <c r="F112" s="13"/>
      <c r="G112" s="13"/>
      <c r="H112" s="14"/>
      <c r="I112" s="15" t="s">
        <v>5</v>
      </c>
      <c r="J112" s="12" t="s">
        <v>17</v>
      </c>
      <c r="K112" s="13"/>
      <c r="L112" s="14"/>
    </row>
    <row r="113" spans="1:12" ht="15" x14ac:dyDescent="0.2">
      <c r="A113" s="50"/>
      <c r="B113" s="143">
        <v>1</v>
      </c>
      <c r="C113" s="129" t="s">
        <v>640</v>
      </c>
      <c r="D113" s="130"/>
      <c r="E113" s="130"/>
      <c r="F113" s="217"/>
      <c r="G113" s="76"/>
      <c r="H113" s="79"/>
      <c r="I113" s="56">
        <v>170000</v>
      </c>
      <c r="J113" s="76" t="s">
        <v>204</v>
      </c>
      <c r="K113" s="76"/>
      <c r="L113" s="79"/>
    </row>
    <row r="114" spans="1:12" ht="15" x14ac:dyDescent="0.2">
      <c r="A114" s="50"/>
      <c r="B114" s="100"/>
      <c r="C114" s="76"/>
      <c r="D114" s="76"/>
      <c r="E114" s="76"/>
      <c r="F114" s="169"/>
      <c r="G114" s="76"/>
      <c r="H114" s="76"/>
      <c r="I114" s="56"/>
      <c r="J114" s="76"/>
      <c r="K114" s="76"/>
      <c r="L114" s="79"/>
    </row>
    <row r="115" spans="1:12" ht="15" x14ac:dyDescent="0.2">
      <c r="A115" s="50"/>
      <c r="B115" s="100"/>
      <c r="C115" s="76"/>
      <c r="D115" s="76"/>
      <c r="E115" s="76"/>
      <c r="F115" s="169"/>
      <c r="G115" s="76"/>
      <c r="H115" s="76"/>
      <c r="I115" s="56"/>
      <c r="J115" s="76"/>
      <c r="K115" s="76"/>
      <c r="L115" s="79"/>
    </row>
    <row r="116" spans="1:12" ht="15" x14ac:dyDescent="0.2">
      <c r="B116" s="96"/>
      <c r="C116" s="124"/>
      <c r="D116" s="124"/>
      <c r="E116" s="127"/>
      <c r="F116" s="125"/>
      <c r="G116" s="124"/>
      <c r="H116" s="124"/>
      <c r="I116" s="23"/>
      <c r="L116" s="17"/>
    </row>
    <row r="117" spans="1:12" ht="15" x14ac:dyDescent="0.25">
      <c r="A117" s="1"/>
      <c r="B117" s="39"/>
      <c r="C117" s="1"/>
      <c r="D117" s="1"/>
      <c r="E117" s="1"/>
      <c r="F117" s="40" t="s">
        <v>5</v>
      </c>
      <c r="G117" s="40"/>
      <c r="H117" s="1"/>
      <c r="I117" s="41">
        <f>I113</f>
        <v>170000</v>
      </c>
      <c r="J117" s="1"/>
      <c r="K117" s="1"/>
      <c r="L117" s="42"/>
    </row>
    <row r="118" spans="1:12" ht="15.75" thickBot="1" x14ac:dyDescent="0.3">
      <c r="A118" s="1"/>
      <c r="B118" s="43"/>
      <c r="C118" s="44"/>
      <c r="D118" s="44"/>
      <c r="E118" s="44"/>
      <c r="F118" s="45"/>
      <c r="G118" s="45"/>
      <c r="H118" s="44"/>
      <c r="I118" s="46"/>
      <c r="J118" s="44"/>
      <c r="K118" s="44"/>
      <c r="L118" s="47"/>
    </row>
    <row r="119" spans="1:12" ht="21.95" customHeight="1" thickTop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49.5" customHeight="1" x14ac:dyDescent="0.2">
      <c r="A120" s="10" t="s">
        <v>2</v>
      </c>
      <c r="B120" s="279" t="s">
        <v>11</v>
      </c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x14ac:dyDescent="0.2">
      <c r="A122" s="280" t="s">
        <v>12</v>
      </c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</row>
    <row r="123" spans="1:12" ht="16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4.25" customHeight="1" x14ac:dyDescent="0.25">
      <c r="A125" s="1"/>
      <c r="B125" s="1"/>
      <c r="C125" s="1"/>
      <c r="D125" s="1"/>
      <c r="E125" s="1"/>
      <c r="F125" s="1"/>
      <c r="G125" s="1"/>
      <c r="H125" s="4" t="s">
        <v>668</v>
      </c>
    </row>
    <row r="126" spans="1:12" ht="15" x14ac:dyDescent="0.25">
      <c r="A126" s="1"/>
      <c r="B126" s="1" t="s">
        <v>15</v>
      </c>
      <c r="C126" s="1"/>
      <c r="D126" s="1"/>
      <c r="E126" s="1"/>
      <c r="F126" s="1"/>
      <c r="G126" s="1"/>
      <c r="H126" s="4" t="s">
        <v>13</v>
      </c>
    </row>
    <row r="127" spans="1:12" ht="15" x14ac:dyDescent="0.2">
      <c r="A127" s="48"/>
      <c r="B127" s="48" t="s">
        <v>18</v>
      </c>
      <c r="C127" s="48"/>
      <c r="D127" s="48"/>
      <c r="E127" s="48"/>
      <c r="F127" s="48"/>
      <c r="G127" s="48"/>
      <c r="H127" s="99" t="s">
        <v>14</v>
      </c>
      <c r="I127" s="99"/>
      <c r="J127" s="99"/>
      <c r="K127" s="99"/>
      <c r="L127" s="99"/>
    </row>
    <row r="128" spans="1:1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5">
      <c r="A130" s="1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"/>
    </row>
    <row r="131" spans="1:12" ht="15" x14ac:dyDescent="0.25">
      <c r="A131" s="1"/>
      <c r="K131" s="103"/>
      <c r="L131" s="1"/>
    </row>
    <row r="132" spans="1:12" ht="15" x14ac:dyDescent="0.25">
      <c r="A132" s="1"/>
      <c r="B132" s="272" t="s">
        <v>644</v>
      </c>
      <c r="H132" s="37" t="str">
        <f>D105</f>
        <v>Lia Tri Wahyuni, S.Si</v>
      </c>
      <c r="I132" s="95"/>
      <c r="J132" s="92"/>
      <c r="K132" s="103"/>
      <c r="L132" s="1"/>
    </row>
    <row r="133" spans="1:12" ht="15" x14ac:dyDescent="0.25">
      <c r="A133" s="1"/>
      <c r="B133" s="273" t="s">
        <v>638</v>
      </c>
      <c r="C133" s="57"/>
      <c r="H133" s="269" t="s">
        <v>27</v>
      </c>
      <c r="K133" s="103"/>
    </row>
    <row r="138" spans="1:12" ht="21.95" customHeight="1" x14ac:dyDescent="0.25">
      <c r="A138" s="3" t="s">
        <v>22</v>
      </c>
    </row>
    <row r="139" spans="1:12" ht="15.75" x14ac:dyDescent="0.2">
      <c r="A139" s="122" t="s">
        <v>20</v>
      </c>
    </row>
    <row r="140" spans="1:12" ht="15.75" x14ac:dyDescent="0.2">
      <c r="A140" s="122" t="s">
        <v>21</v>
      </c>
    </row>
    <row r="141" spans="1:12" ht="15.75" x14ac:dyDescent="0.2">
      <c r="A141" s="122"/>
    </row>
    <row r="142" spans="1:12" ht="12.75" x14ac:dyDescent="0.2"/>
    <row r="143" spans="1:12" ht="18.75" x14ac:dyDescent="0.3">
      <c r="A143" s="276" t="s">
        <v>6</v>
      </c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</row>
    <row r="144" spans="1:12" ht="18.75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</row>
    <row r="145" spans="1:12" ht="15" x14ac:dyDescent="0.25">
      <c r="A145" s="1"/>
      <c r="B145" s="1"/>
    </row>
    <row r="146" spans="1:12" ht="15" x14ac:dyDescent="0.25">
      <c r="A146" s="1" t="s">
        <v>7</v>
      </c>
      <c r="B146" s="1"/>
    </row>
    <row r="147" spans="1:12" ht="15" x14ac:dyDescent="0.25">
      <c r="A147" s="1"/>
      <c r="B147" s="1"/>
    </row>
    <row r="148" spans="1:12" ht="15" x14ac:dyDescent="0.25">
      <c r="A148" s="1" t="s">
        <v>8</v>
      </c>
      <c r="C148" s="9" t="s">
        <v>1</v>
      </c>
      <c r="D148" s="37" t="s">
        <v>555</v>
      </c>
      <c r="E148" s="76"/>
      <c r="F148" s="76"/>
      <c r="G148" s="76"/>
      <c r="H148" s="76"/>
    </row>
    <row r="149" spans="1:12" ht="15" x14ac:dyDescent="0.25">
      <c r="A149" s="1" t="s">
        <v>9</v>
      </c>
      <c r="C149" s="9" t="s">
        <v>1</v>
      </c>
      <c r="D149" s="1" t="s">
        <v>236</v>
      </c>
      <c r="E149" s="76"/>
      <c r="F149" s="76"/>
      <c r="G149" s="76"/>
      <c r="H149" s="76"/>
    </row>
    <row r="150" spans="1:12" ht="15" x14ac:dyDescent="0.25">
      <c r="A150" s="50" t="s">
        <v>10</v>
      </c>
      <c r="B150" s="76"/>
      <c r="C150" s="91" t="s">
        <v>1</v>
      </c>
      <c r="D150" s="1" t="s">
        <v>275</v>
      </c>
      <c r="E150" s="76"/>
      <c r="F150" s="76"/>
      <c r="G150" s="76"/>
      <c r="H150" s="76"/>
      <c r="I150" s="76"/>
      <c r="J150" s="76"/>
      <c r="K150" s="76"/>
      <c r="L150" s="76"/>
    </row>
    <row r="151" spans="1:12" ht="15" x14ac:dyDescent="0.25">
      <c r="A151" s="1"/>
      <c r="B151" s="1"/>
      <c r="D151" s="1"/>
    </row>
    <row r="152" spans="1:12" ht="31.5" customHeight="1" x14ac:dyDescent="0.2">
      <c r="A152" s="277" t="s">
        <v>669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</row>
    <row r="153" spans="1:12" ht="15" x14ac:dyDescent="0.25">
      <c r="A153" s="1"/>
      <c r="B153" s="1"/>
    </row>
    <row r="154" spans="1:12" ht="37.5" customHeight="1" thickBot="1" x14ac:dyDescent="0.25">
      <c r="A154" s="10" t="s">
        <v>0</v>
      </c>
      <c r="B154" s="278" t="s">
        <v>91</v>
      </c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</row>
    <row r="155" spans="1:12" ht="15.75" thickTop="1" x14ac:dyDescent="0.25">
      <c r="A155" s="1"/>
      <c r="B155" s="11" t="s">
        <v>3</v>
      </c>
      <c r="C155" s="12" t="s">
        <v>4</v>
      </c>
      <c r="D155" s="13"/>
      <c r="E155" s="13"/>
      <c r="F155" s="13"/>
      <c r="G155" s="13"/>
      <c r="H155" s="14"/>
      <c r="I155" s="15" t="s">
        <v>5</v>
      </c>
      <c r="J155" s="12" t="s">
        <v>17</v>
      </c>
      <c r="K155" s="13"/>
      <c r="L155" s="14"/>
    </row>
    <row r="156" spans="1:12" ht="15" x14ac:dyDescent="0.2">
      <c r="A156" s="50"/>
      <c r="B156" s="143">
        <v>1</v>
      </c>
      <c r="C156" s="129" t="s">
        <v>640</v>
      </c>
      <c r="D156" s="130"/>
      <c r="E156" s="130"/>
      <c r="F156" s="217"/>
      <c r="G156" s="76"/>
      <c r="H156" s="79"/>
      <c r="I156" s="56">
        <v>170000</v>
      </c>
      <c r="J156" s="76" t="s">
        <v>204</v>
      </c>
      <c r="K156" s="76"/>
      <c r="L156" s="79"/>
    </row>
    <row r="157" spans="1:12" ht="15" x14ac:dyDescent="0.2">
      <c r="A157" s="50"/>
      <c r="B157" s="100"/>
      <c r="C157" s="76"/>
      <c r="D157" s="76"/>
      <c r="E157" s="76"/>
      <c r="F157" s="169"/>
      <c r="G157" s="76"/>
      <c r="H157" s="76"/>
      <c r="I157" s="56"/>
      <c r="J157" s="76"/>
      <c r="K157" s="76"/>
      <c r="L157" s="79"/>
    </row>
    <row r="158" spans="1:12" ht="15" x14ac:dyDescent="0.2">
      <c r="A158" s="50"/>
      <c r="B158" s="100"/>
      <c r="C158" s="76"/>
      <c r="D158" s="76"/>
      <c r="E158" s="76"/>
      <c r="F158" s="169"/>
      <c r="G158" s="76"/>
      <c r="H158" s="76"/>
      <c r="I158" s="56"/>
      <c r="J158" s="76"/>
      <c r="K158" s="76"/>
      <c r="L158" s="79"/>
    </row>
    <row r="159" spans="1:12" ht="15" x14ac:dyDescent="0.2">
      <c r="B159" s="96"/>
      <c r="C159" s="124"/>
      <c r="D159" s="124"/>
      <c r="E159" s="127"/>
      <c r="F159" s="125"/>
      <c r="G159" s="124"/>
      <c r="H159" s="124"/>
      <c r="I159" s="23"/>
      <c r="L159" s="17"/>
    </row>
    <row r="160" spans="1:12" ht="15" x14ac:dyDescent="0.25">
      <c r="A160" s="1"/>
      <c r="B160" s="39"/>
      <c r="C160" s="1"/>
      <c r="D160" s="1"/>
      <c r="E160" s="1"/>
      <c r="F160" s="40" t="s">
        <v>5</v>
      </c>
      <c r="G160" s="40"/>
      <c r="H160" s="1"/>
      <c r="I160" s="41">
        <f>I156</f>
        <v>170000</v>
      </c>
      <c r="J160" s="1"/>
      <c r="K160" s="1"/>
      <c r="L160" s="42"/>
    </row>
    <row r="161" spans="1:12" ht="15.75" thickBot="1" x14ac:dyDescent="0.3">
      <c r="A161" s="1"/>
      <c r="B161" s="43"/>
      <c r="C161" s="44"/>
      <c r="D161" s="44"/>
      <c r="E161" s="44"/>
      <c r="F161" s="45"/>
      <c r="G161" s="45"/>
      <c r="H161" s="44"/>
      <c r="I161" s="46"/>
      <c r="J161" s="44"/>
      <c r="K161" s="44"/>
      <c r="L161" s="47"/>
    </row>
    <row r="162" spans="1:12" ht="15.75" thickTop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48" customHeight="1" x14ac:dyDescent="0.2">
      <c r="A163" s="10" t="s">
        <v>2</v>
      </c>
      <c r="B163" s="279" t="s">
        <v>11</v>
      </c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</row>
    <row r="164" spans="1:12" ht="1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21.95" customHeight="1" x14ac:dyDescent="0.2">
      <c r="A165" s="280" t="s">
        <v>12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</row>
    <row r="166" spans="1:12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7.25" customHeight="1" x14ac:dyDescent="0.25">
      <c r="A168" s="1"/>
      <c r="B168" s="1"/>
      <c r="C168" s="1"/>
      <c r="D168" s="1"/>
      <c r="E168" s="1"/>
      <c r="F168" s="1"/>
      <c r="G168" s="1"/>
      <c r="H168" s="4" t="s">
        <v>668</v>
      </c>
    </row>
    <row r="169" spans="1:12" ht="15" x14ac:dyDescent="0.25">
      <c r="A169" s="1"/>
      <c r="B169" s="1" t="s">
        <v>15</v>
      </c>
      <c r="C169" s="1"/>
      <c r="D169" s="1"/>
      <c r="E169" s="1"/>
      <c r="F169" s="1"/>
      <c r="G169" s="1"/>
      <c r="H169" s="4" t="s">
        <v>13</v>
      </c>
    </row>
    <row r="170" spans="1:12" ht="15" x14ac:dyDescent="0.2">
      <c r="A170" s="48"/>
      <c r="B170" s="48" t="s">
        <v>18</v>
      </c>
      <c r="C170" s="48"/>
      <c r="D170" s="48"/>
      <c r="E170" s="48"/>
      <c r="F170" s="48"/>
      <c r="G170" s="48"/>
      <c r="H170" s="99" t="s">
        <v>14</v>
      </c>
      <c r="I170" s="99"/>
      <c r="J170" s="99"/>
      <c r="K170" s="99"/>
      <c r="L170" s="99"/>
    </row>
    <row r="171" spans="1:12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 x14ac:dyDescent="0.25">
      <c r="A173" s="1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"/>
    </row>
    <row r="174" spans="1:12" ht="15" x14ac:dyDescent="0.25">
      <c r="A174" s="1"/>
      <c r="K174" s="103"/>
      <c r="L174" s="1"/>
    </row>
    <row r="175" spans="1:12" ht="15" x14ac:dyDescent="0.25">
      <c r="A175" s="1"/>
      <c r="B175" s="272" t="s">
        <v>644</v>
      </c>
      <c r="H175" s="37" t="str">
        <f>D148</f>
        <v>Ika Kartika, S.T.P</v>
      </c>
      <c r="I175" s="95"/>
      <c r="J175" s="92"/>
      <c r="K175" s="103"/>
      <c r="L175" s="1"/>
    </row>
    <row r="176" spans="1:12" ht="15" x14ac:dyDescent="0.25">
      <c r="A176" s="1"/>
      <c r="B176" s="273" t="s">
        <v>638</v>
      </c>
      <c r="C176" s="57"/>
      <c r="H176" s="269" t="s">
        <v>27</v>
      </c>
      <c r="K176" s="103"/>
    </row>
    <row r="190" ht="25.5" customHeight="1" x14ac:dyDescent="0.2"/>
    <row r="192" ht="12.75" x14ac:dyDescent="0.2"/>
    <row r="194" ht="29.25" customHeight="1" x14ac:dyDescent="0.2"/>
    <row r="195" ht="34.5" customHeight="1" x14ac:dyDescent="0.2"/>
    <row r="196" ht="36" customHeight="1" x14ac:dyDescent="0.2"/>
    <row r="197" ht="32.25" customHeight="1" x14ac:dyDescent="0.2"/>
    <row r="198" ht="39.75" customHeight="1" x14ac:dyDescent="0.2"/>
    <row r="199" ht="48" customHeight="1" x14ac:dyDescent="0.2"/>
    <row r="203" ht="49.5" customHeight="1" x14ac:dyDescent="0.2"/>
    <row r="204" ht="49.5" customHeight="1" x14ac:dyDescent="0.2"/>
    <row r="207" ht="12.75" x14ac:dyDescent="0.2"/>
    <row r="215" ht="12.75" x14ac:dyDescent="0.2"/>
    <row r="216" ht="12.75" x14ac:dyDescent="0.2"/>
    <row r="233" ht="29.25" customHeight="1" x14ac:dyDescent="0.2"/>
    <row r="236" ht="32.25" customHeight="1" x14ac:dyDescent="0.2"/>
    <row r="238" ht="36.75" customHeight="1" x14ac:dyDescent="0.2"/>
    <row r="240" ht="21" customHeight="1" x14ac:dyDescent="0.2"/>
    <row r="242" ht="50.25" customHeight="1" x14ac:dyDescent="0.2"/>
    <row r="245" ht="12.75" x14ac:dyDescent="0.2"/>
    <row r="249" ht="12.75" x14ac:dyDescent="0.2"/>
    <row r="251" ht="12.75" x14ac:dyDescent="0.2"/>
    <row r="252" ht="12.75" x14ac:dyDescent="0.2"/>
    <row r="256" ht="12.75" x14ac:dyDescent="0.2"/>
    <row r="257" ht="12.75" x14ac:dyDescent="0.2"/>
    <row r="258" ht="12.75" x14ac:dyDescent="0.2"/>
    <row r="277" ht="31.5" customHeight="1" x14ac:dyDescent="0.2"/>
    <row r="278" ht="38.25" customHeight="1" x14ac:dyDescent="0.2"/>
    <row r="279" ht="33" customHeight="1" x14ac:dyDescent="0.2"/>
    <row r="280" ht="31.5" customHeight="1" x14ac:dyDescent="0.2"/>
    <row r="286" ht="51" customHeight="1" x14ac:dyDescent="0.2"/>
    <row r="287" ht="12.75" x14ac:dyDescent="0.2"/>
    <row r="288" ht="12.75" x14ac:dyDescent="0.2"/>
    <row r="295" ht="12.75" x14ac:dyDescent="0.2"/>
    <row r="304" ht="12.75" x14ac:dyDescent="0.2"/>
    <row r="305" ht="21.75" hidden="1" customHeight="1" x14ac:dyDescent="0.2"/>
    <row r="321" ht="27.75" customHeight="1" x14ac:dyDescent="0.2"/>
    <row r="323" ht="39" customHeight="1" x14ac:dyDescent="0.2"/>
    <row r="328" ht="33" customHeight="1" x14ac:dyDescent="0.2"/>
    <row r="330" ht="45" customHeight="1" x14ac:dyDescent="0.2"/>
    <row r="337" ht="48" customHeight="1" x14ac:dyDescent="0.2"/>
    <row r="346" ht="12.75" customHeight="1" x14ac:dyDescent="0.2"/>
    <row r="347" ht="21.75" hidden="1" customHeight="1" x14ac:dyDescent="0.2"/>
    <row r="371" ht="29.25" customHeight="1" x14ac:dyDescent="0.2"/>
    <row r="373" ht="39.75" customHeight="1" x14ac:dyDescent="0.2"/>
    <row r="380" ht="45.75" customHeight="1" x14ac:dyDescent="0.2"/>
    <row r="386" ht="12.75" x14ac:dyDescent="0.2"/>
    <row r="389" ht="6" customHeight="1" x14ac:dyDescent="0.2"/>
    <row r="390" ht="21.75" hidden="1" customHeight="1" x14ac:dyDescent="0.2"/>
    <row r="409" ht="12.75" x14ac:dyDescent="0.2"/>
    <row r="412" ht="25.5" customHeight="1" x14ac:dyDescent="0.2"/>
    <row r="414" ht="36" customHeight="1" x14ac:dyDescent="0.2"/>
    <row r="421" ht="51.75" customHeight="1" x14ac:dyDescent="0.2"/>
    <row r="429" ht="5.25" customHeight="1" x14ac:dyDescent="0.2"/>
    <row r="430" ht="21.75" customHeight="1" x14ac:dyDescent="0.2"/>
    <row r="431" ht="21.75" hidden="1" customHeight="1" x14ac:dyDescent="0.2"/>
    <row r="456" ht="30" customHeight="1" x14ac:dyDescent="0.2"/>
    <row r="463" ht="48" customHeight="1" x14ac:dyDescent="0.2"/>
    <row r="472" ht="5.25" customHeight="1" x14ac:dyDescent="0.2"/>
    <row r="473" ht="21.75" hidden="1" customHeight="1" x14ac:dyDescent="0.2"/>
    <row r="496" ht="42" customHeight="1" x14ac:dyDescent="0.2"/>
    <row r="498" ht="29.25" customHeight="1" x14ac:dyDescent="0.2"/>
    <row r="505" ht="45" customHeight="1" x14ac:dyDescent="0.2"/>
    <row r="511" ht="12.75" x14ac:dyDescent="0.2"/>
    <row r="514" ht="6.75" customHeight="1" x14ac:dyDescent="0.2"/>
    <row r="515" ht="21.75" hidden="1" customHeight="1" x14ac:dyDescent="0.2"/>
    <row r="516" ht="3" customHeight="1" x14ac:dyDescent="0.2"/>
    <row r="538" ht="26.25" customHeight="1" x14ac:dyDescent="0.2"/>
    <row r="540" ht="36" customHeight="1" x14ac:dyDescent="0.2"/>
    <row r="547" ht="49.5" customHeight="1" x14ac:dyDescent="0.2"/>
    <row r="556" ht="13.5" customHeight="1" x14ac:dyDescent="0.2"/>
    <row r="557" ht="21.75" hidden="1" customHeight="1" x14ac:dyDescent="0.2"/>
    <row r="580" ht="26.25" customHeight="1" x14ac:dyDescent="0.2"/>
    <row r="582" ht="32.25" customHeight="1" x14ac:dyDescent="0.2"/>
    <row r="589" ht="32.25" customHeight="1" x14ac:dyDescent="0.2"/>
    <row r="598" ht="15.75" customHeight="1" x14ac:dyDescent="0.2"/>
    <row r="599" ht="21.75" hidden="1" customHeight="1" x14ac:dyDescent="0.2"/>
    <row r="620" ht="30" customHeight="1" x14ac:dyDescent="0.2"/>
    <row r="622" ht="33" customHeight="1" x14ac:dyDescent="0.2"/>
    <row r="629" ht="46.5" customHeight="1" x14ac:dyDescent="0.2"/>
    <row r="660" ht="30.75" customHeight="1" x14ac:dyDescent="0.2"/>
    <row r="662" ht="39" customHeight="1" x14ac:dyDescent="0.2"/>
    <row r="669" ht="45.75" customHeight="1" x14ac:dyDescent="0.2"/>
  </sheetData>
  <mergeCells count="20">
    <mergeCell ref="A6:L6"/>
    <mergeCell ref="A15:L15"/>
    <mergeCell ref="B17:L17"/>
    <mergeCell ref="B26:L26"/>
    <mergeCell ref="A28:L28"/>
    <mergeCell ref="A55:L55"/>
    <mergeCell ref="A64:L64"/>
    <mergeCell ref="B66:L66"/>
    <mergeCell ref="B75:L75"/>
    <mergeCell ref="A77:L77"/>
    <mergeCell ref="A100:L100"/>
    <mergeCell ref="A109:L109"/>
    <mergeCell ref="B111:L111"/>
    <mergeCell ref="B120:L120"/>
    <mergeCell ref="A122:L122"/>
    <mergeCell ref="A143:L143"/>
    <mergeCell ref="A152:L152"/>
    <mergeCell ref="B154:L154"/>
    <mergeCell ref="B163:L163"/>
    <mergeCell ref="A165:L165"/>
  </mergeCells>
  <pageMargins left="0.5" right="0.2" top="0.75" bottom="1" header="0.5" footer="0.5"/>
  <pageSetup paperSize="5" scale="8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60"/>
  <sheetViews>
    <sheetView topLeftCell="A635"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2.140625" style="4" customWidth="1"/>
    <col min="4" max="4" width="27.85546875" style="4" customWidth="1"/>
    <col min="5" max="5" width="13.28515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85546875" style="4" customWidth="1"/>
    <col min="10" max="10" width="6.5703125" style="4" customWidth="1"/>
    <col min="11" max="11" width="5.85546875" style="4" customWidth="1"/>
    <col min="12" max="12" width="8.85546875" style="4" customWidth="1"/>
    <col min="13" max="13" width="3.7109375" style="4" customWidth="1"/>
    <col min="14" max="14" width="9.85546875" style="4" customWidth="1"/>
    <col min="15" max="15" width="3.7109375" style="4" customWidth="1"/>
    <col min="16" max="16" width="10" style="4" bestFit="1" customWidth="1"/>
    <col min="17" max="17" width="12" style="4" customWidth="1"/>
    <col min="18" max="18" width="6" style="4" customWidth="1"/>
    <col min="19" max="19" width="2.85546875" style="4" customWidth="1"/>
    <col min="20" max="20" width="3.42578125" style="4" customWidth="1"/>
    <col min="21" max="21" width="13.85546875" style="4" customWidth="1"/>
    <col min="22" max="22" width="9.140625" style="4"/>
    <col min="23" max="23" width="10.28515625" style="4" customWidth="1"/>
    <col min="24" max="24" width="7" style="4" customWidth="1"/>
    <col min="25" max="16384" width="9.140625" style="4"/>
  </cols>
  <sheetData>
    <row r="1" spans="1:12" ht="15" customHeight="1" x14ac:dyDescent="0.2"/>
    <row r="2" spans="1:12" ht="9" customHeight="1" x14ac:dyDescent="0.2"/>
    <row r="3" spans="1:12" ht="15.75" customHeight="1" x14ac:dyDescent="0.25">
      <c r="A3" s="3" t="s">
        <v>22</v>
      </c>
    </row>
    <row r="4" spans="1:12" ht="17.25" customHeight="1" x14ac:dyDescent="0.2">
      <c r="A4" s="122" t="s">
        <v>20</v>
      </c>
    </row>
    <row r="5" spans="1:12" ht="18.75" customHeight="1" x14ac:dyDescent="0.2">
      <c r="A5" s="122" t="s">
        <v>21</v>
      </c>
    </row>
    <row r="6" spans="1:12" ht="6" customHeight="1" x14ac:dyDescent="0.2"/>
    <row r="7" spans="1:12" ht="6.75" customHeight="1" x14ac:dyDescent="0.2"/>
    <row r="8" spans="1:12" ht="12.75" customHeight="1" x14ac:dyDescent="0.2"/>
    <row r="9" spans="1:12" ht="1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1.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3.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" customHeight="1" x14ac:dyDescent="0.25">
      <c r="A12" s="1"/>
      <c r="B12" s="1"/>
    </row>
    <row r="13" spans="1:12" ht="13.5" customHeight="1" x14ac:dyDescent="0.25">
      <c r="A13" s="1" t="s">
        <v>7</v>
      </c>
      <c r="B13" s="1"/>
    </row>
    <row r="14" spans="1:12" s="76" customFormat="1" ht="15" customHeight="1" x14ac:dyDescent="0.25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6.5" customHeight="1" x14ac:dyDescent="0.25">
      <c r="A15" s="1" t="s">
        <v>8</v>
      </c>
      <c r="C15" s="9" t="s">
        <v>1</v>
      </c>
      <c r="D15" s="92" t="s">
        <v>96</v>
      </c>
      <c r="E15" s="76"/>
      <c r="F15" s="76"/>
      <c r="G15" s="76"/>
      <c r="H15" s="76"/>
    </row>
    <row r="16" spans="1:12" ht="15.75" customHeight="1" x14ac:dyDescent="0.25">
      <c r="A16" s="1" t="s">
        <v>9</v>
      </c>
      <c r="C16" s="9" t="s">
        <v>1</v>
      </c>
      <c r="D16" s="57" t="s">
        <v>200</v>
      </c>
      <c r="E16" s="76"/>
      <c r="F16" s="76"/>
      <c r="G16" s="76"/>
      <c r="H16" s="76"/>
    </row>
    <row r="17" spans="1:12" ht="18.75" customHeight="1" x14ac:dyDescent="0.2">
      <c r="A17" s="50" t="s">
        <v>10</v>
      </c>
      <c r="B17" s="76"/>
      <c r="C17" s="91" t="s">
        <v>1</v>
      </c>
      <c r="D17" s="50" t="s">
        <v>203</v>
      </c>
      <c r="E17" s="76"/>
      <c r="F17" s="76"/>
      <c r="G17" s="76"/>
      <c r="H17" s="76"/>
      <c r="I17" s="76"/>
      <c r="J17" s="76"/>
      <c r="K17" s="76"/>
      <c r="L17" s="76"/>
    </row>
    <row r="18" spans="1:12" ht="20.25" customHeight="1" x14ac:dyDescent="0.25">
      <c r="A18" s="1"/>
      <c r="B18" s="1"/>
      <c r="D18" s="1"/>
    </row>
    <row r="19" spans="1:12" s="148" customFormat="1" ht="37.5" customHeight="1" x14ac:dyDescent="0.2">
      <c r="A19" s="277" t="s">
        <v>356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</row>
    <row r="20" spans="1:12" ht="14.25" customHeight="1" x14ac:dyDescent="0.25">
      <c r="A20" s="1"/>
      <c r="B20" s="1"/>
    </row>
    <row r="21" spans="1:12" ht="34.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18.7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36" customHeight="1" x14ac:dyDescent="0.2">
      <c r="A23" s="50"/>
      <c r="B23" s="143">
        <v>1</v>
      </c>
      <c r="C23" s="284" t="s">
        <v>318</v>
      </c>
      <c r="D23" s="285"/>
      <c r="E23" s="285"/>
      <c r="F23" s="285"/>
      <c r="G23" s="76"/>
      <c r="H23" s="79"/>
      <c r="I23" s="56">
        <v>275000</v>
      </c>
      <c r="J23" s="76"/>
      <c r="K23" s="76"/>
      <c r="L23" s="79"/>
    </row>
    <row r="24" spans="1:12" ht="21.75" customHeight="1" x14ac:dyDescent="0.2">
      <c r="B24" s="96"/>
      <c r="C24" s="124"/>
      <c r="D24" s="124"/>
      <c r="E24" s="127"/>
      <c r="F24" s="125"/>
      <c r="G24" s="124"/>
      <c r="H24" s="124"/>
      <c r="I24" s="23"/>
      <c r="L24" s="17"/>
    </row>
    <row r="25" spans="1:12" ht="22.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f>SUM(I23:I23)</f>
        <v>275000</v>
      </c>
      <c r="J25" s="1"/>
      <c r="K25" s="1"/>
      <c r="L25" s="42"/>
    </row>
    <row r="26" spans="1:12" ht="11.2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</row>
    <row r="27" spans="1:12" ht="11.2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7.2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</row>
    <row r="29" spans="1:12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</row>
    <row r="31" spans="1:12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 x14ac:dyDescent="0.25">
      <c r="A33" s="1"/>
      <c r="B33" s="1"/>
      <c r="C33" s="1"/>
      <c r="D33" s="1"/>
      <c r="E33" s="1"/>
      <c r="F33" s="1"/>
      <c r="G33" s="1"/>
      <c r="H33" s="4" t="s">
        <v>199</v>
      </c>
      <c r="J33" s="286" t="s">
        <v>357</v>
      </c>
      <c r="K33" s="286"/>
      <c r="L33" s="286"/>
    </row>
    <row r="34" spans="1:12" ht="15" x14ac:dyDescent="0.25">
      <c r="A34" s="1"/>
      <c r="B34" s="1" t="s">
        <v>15</v>
      </c>
      <c r="C34" s="1"/>
      <c r="D34" s="1"/>
      <c r="E34" s="1"/>
      <c r="F34" s="1"/>
      <c r="G34" s="1"/>
      <c r="H34" s="4" t="s">
        <v>13</v>
      </c>
    </row>
    <row r="35" spans="1:12" ht="11.25" customHeight="1" x14ac:dyDescent="0.25">
      <c r="A35" s="1"/>
      <c r="B35" s="1" t="s">
        <v>18</v>
      </c>
      <c r="C35" s="1"/>
      <c r="D35" s="1"/>
      <c r="E35" s="1"/>
      <c r="F35" s="1"/>
      <c r="G35" s="1"/>
      <c r="H35" s="4" t="s">
        <v>14</v>
      </c>
    </row>
    <row r="36" spans="1:12" ht="8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0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x14ac:dyDescent="0.25">
      <c r="A38" s="1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"/>
    </row>
    <row r="39" spans="1:12" ht="15" x14ac:dyDescent="0.25">
      <c r="A39" s="1"/>
      <c r="K39" s="103"/>
      <c r="L39" s="1"/>
    </row>
    <row r="40" spans="1:12" ht="15" x14ac:dyDescent="0.25">
      <c r="A40" s="1"/>
      <c r="B40" s="95" t="s">
        <v>77</v>
      </c>
      <c r="H40" s="95" t="s">
        <v>96</v>
      </c>
      <c r="I40" s="95"/>
      <c r="J40" s="92"/>
      <c r="K40" s="103"/>
      <c r="L40" s="1"/>
    </row>
    <row r="41" spans="1:12" ht="15" x14ac:dyDescent="0.25">
      <c r="A41" s="1"/>
      <c r="B41" s="99" t="s">
        <v>27</v>
      </c>
      <c r="C41" s="57"/>
      <c r="H41" s="99" t="s">
        <v>100</v>
      </c>
      <c r="K41" s="103"/>
    </row>
    <row r="42" spans="1:12" ht="14.25" customHeight="1" x14ac:dyDescent="0.2"/>
    <row r="43" spans="1:12" ht="14.25" customHeight="1" x14ac:dyDescent="0.2"/>
    <row r="44" spans="1:12" ht="15" customHeight="1" x14ac:dyDescent="0.2"/>
    <row r="45" spans="1:12" ht="15" customHeight="1" x14ac:dyDescent="0.2"/>
    <row r="46" spans="1:12" ht="18.75" customHeight="1" x14ac:dyDescent="0.25">
      <c r="A46" s="3" t="s">
        <v>22</v>
      </c>
    </row>
    <row r="47" spans="1:12" ht="15" customHeight="1" x14ac:dyDescent="0.2">
      <c r="A47" s="122" t="s">
        <v>20</v>
      </c>
    </row>
    <row r="48" spans="1:12" ht="15" customHeight="1" x14ac:dyDescent="0.2">
      <c r="A48" s="122" t="s">
        <v>21</v>
      </c>
    </row>
    <row r="49" spans="1:12" ht="15" customHeight="1" x14ac:dyDescent="0.2"/>
    <row r="50" spans="1:12" ht="18.75" customHeight="1" x14ac:dyDescent="0.2"/>
    <row r="51" spans="1:12" ht="15" customHeight="1" x14ac:dyDescent="0.2"/>
    <row r="52" spans="1:12" ht="15" customHeight="1" x14ac:dyDescent="0.3">
      <c r="A52" s="276" t="s">
        <v>6</v>
      </c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6"/>
    </row>
    <row r="53" spans="1:12" ht="21.75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18.75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12.75" customHeight="1" x14ac:dyDescent="0.25">
      <c r="A55" s="1"/>
      <c r="B55" s="1"/>
    </row>
    <row r="56" spans="1:12" ht="16.5" customHeight="1" x14ac:dyDescent="0.25">
      <c r="A56" s="1" t="s">
        <v>7</v>
      </c>
      <c r="B56" s="1"/>
    </row>
    <row r="57" spans="1:12" ht="18.75" customHeight="1" x14ac:dyDescent="0.25">
      <c r="A57" s="1"/>
      <c r="B57" s="1"/>
    </row>
    <row r="58" spans="1:12" ht="14.25" customHeight="1" x14ac:dyDescent="0.25">
      <c r="A58" s="1" t="s">
        <v>8</v>
      </c>
      <c r="C58" s="9" t="s">
        <v>1</v>
      </c>
      <c r="D58" s="123" t="s">
        <v>78</v>
      </c>
      <c r="E58" s="76"/>
      <c r="F58" s="76"/>
      <c r="G58" s="76"/>
      <c r="H58" s="76"/>
    </row>
    <row r="59" spans="1:12" ht="12.75" customHeight="1" x14ac:dyDescent="0.25">
      <c r="A59" s="1" t="s">
        <v>9</v>
      </c>
      <c r="C59" s="9" t="s">
        <v>1</v>
      </c>
      <c r="D59" s="76" t="s">
        <v>234</v>
      </c>
      <c r="E59" s="76"/>
      <c r="F59" s="76"/>
      <c r="G59" s="76"/>
      <c r="H59" s="76"/>
    </row>
    <row r="60" spans="1:12" ht="15" x14ac:dyDescent="0.2">
      <c r="A60" s="50" t="s">
        <v>10</v>
      </c>
      <c r="B60" s="76"/>
      <c r="C60" s="91" t="s">
        <v>1</v>
      </c>
      <c r="D60" s="50" t="s">
        <v>235</v>
      </c>
      <c r="E60" s="76"/>
      <c r="F60" s="76"/>
      <c r="G60" s="76"/>
      <c r="H60" s="76"/>
      <c r="I60" s="76"/>
      <c r="J60" s="76"/>
      <c r="K60" s="76"/>
      <c r="L60" s="76"/>
    </row>
    <row r="61" spans="1:12" ht="19.5" customHeight="1" x14ac:dyDescent="0.25">
      <c r="A61" s="1"/>
      <c r="B61" s="1"/>
      <c r="D61" s="1"/>
    </row>
    <row r="62" spans="1:12" ht="36" customHeight="1" x14ac:dyDescent="0.2">
      <c r="A62" s="277" t="s">
        <v>356</v>
      </c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</row>
    <row r="63" spans="1:12" ht="18" customHeight="1" x14ac:dyDescent="0.25">
      <c r="A63" s="1"/>
      <c r="B63" s="1"/>
    </row>
    <row r="64" spans="1:12" ht="31.5" customHeight="1" thickBot="1" x14ac:dyDescent="0.25">
      <c r="A64" s="10" t="s">
        <v>0</v>
      </c>
      <c r="B64" s="278" t="s">
        <v>91</v>
      </c>
      <c r="C64" s="278"/>
      <c r="D64" s="278"/>
      <c r="E64" s="278"/>
      <c r="F64" s="278"/>
      <c r="G64" s="278"/>
      <c r="H64" s="278"/>
      <c r="I64" s="278"/>
      <c r="J64" s="278"/>
      <c r="K64" s="278"/>
      <c r="L64" s="278"/>
    </row>
    <row r="65" spans="1:12" ht="27" customHeight="1" thickTop="1" x14ac:dyDescent="0.25">
      <c r="A65" s="1"/>
      <c r="B65" s="11" t="s">
        <v>3</v>
      </c>
      <c r="C65" s="12" t="s">
        <v>4</v>
      </c>
      <c r="D65" s="13"/>
      <c r="E65" s="13"/>
      <c r="F65" s="13"/>
      <c r="G65" s="13"/>
      <c r="H65" s="14"/>
      <c r="I65" s="15" t="s">
        <v>5</v>
      </c>
      <c r="J65" s="12" t="s">
        <v>17</v>
      </c>
      <c r="K65" s="13"/>
      <c r="L65" s="14"/>
    </row>
    <row r="66" spans="1:12" ht="20.25" customHeight="1" x14ac:dyDescent="0.2">
      <c r="A66" s="50"/>
      <c r="B66" s="143">
        <v>1</v>
      </c>
      <c r="C66" s="284" t="s">
        <v>318</v>
      </c>
      <c r="D66" s="285"/>
      <c r="E66" s="285"/>
      <c r="F66" s="285"/>
      <c r="G66" s="76"/>
      <c r="H66" s="79"/>
      <c r="I66" s="56">
        <v>275000</v>
      </c>
      <c r="J66" s="76"/>
      <c r="K66" s="76"/>
      <c r="L66" s="79"/>
    </row>
    <row r="67" spans="1:12" ht="31.5" customHeight="1" x14ac:dyDescent="0.2">
      <c r="B67" s="96"/>
      <c r="C67" s="124"/>
      <c r="D67" s="124"/>
      <c r="E67" s="127"/>
      <c r="F67" s="125"/>
      <c r="G67" s="124"/>
      <c r="H67" s="124"/>
      <c r="I67" s="23"/>
      <c r="L67" s="17"/>
    </row>
    <row r="68" spans="1:12" ht="21" customHeight="1" x14ac:dyDescent="0.25">
      <c r="A68" s="1"/>
      <c r="B68" s="39"/>
      <c r="C68" s="1"/>
      <c r="D68" s="1"/>
      <c r="E68" s="1"/>
      <c r="F68" s="40" t="s">
        <v>5</v>
      </c>
      <c r="G68" s="40"/>
      <c r="H68" s="1"/>
      <c r="I68" s="41">
        <f>SUM(I66:I66)</f>
        <v>275000</v>
      </c>
      <c r="J68" s="1"/>
      <c r="K68" s="1"/>
      <c r="L68" s="42"/>
    </row>
    <row r="69" spans="1:12" ht="16.5" customHeight="1" thickBot="1" x14ac:dyDescent="0.3">
      <c r="A69" s="1"/>
      <c r="B69" s="43"/>
      <c r="C69" s="44"/>
      <c r="D69" s="44"/>
      <c r="E69" s="44"/>
      <c r="F69" s="45"/>
      <c r="G69" s="45"/>
      <c r="H69" s="44"/>
      <c r="I69" s="46"/>
      <c r="J69" s="44"/>
      <c r="K69" s="44"/>
      <c r="L69" s="47"/>
    </row>
    <row r="70" spans="1:12" ht="10.5" customHeight="1" thickTop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48.75" customHeight="1" x14ac:dyDescent="0.2">
      <c r="A71" s="10" t="s">
        <v>2</v>
      </c>
      <c r="B71" s="279" t="s">
        <v>11</v>
      </c>
      <c r="C71" s="279"/>
      <c r="D71" s="279"/>
      <c r="E71" s="279"/>
      <c r="F71" s="279"/>
      <c r="G71" s="279"/>
      <c r="H71" s="279"/>
      <c r="I71" s="279"/>
      <c r="J71" s="279"/>
      <c r="K71" s="279"/>
      <c r="L71" s="279"/>
    </row>
    <row r="72" spans="1:12" ht="20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">
      <c r="A73" s="280" t="s">
        <v>12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</row>
    <row r="74" spans="1:12" ht="1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4" t="s">
        <v>199</v>
      </c>
      <c r="J76" s="286" t="s">
        <v>357</v>
      </c>
      <c r="K76" s="286"/>
      <c r="L76" s="286"/>
    </row>
    <row r="77" spans="1:12" ht="15" customHeight="1" x14ac:dyDescent="0.25">
      <c r="A77" s="1"/>
      <c r="B77" s="1" t="s">
        <v>15</v>
      </c>
      <c r="C77" s="1"/>
      <c r="D77" s="1"/>
      <c r="E77" s="1"/>
      <c r="F77" s="1"/>
      <c r="G77" s="1"/>
      <c r="H77" s="4" t="s">
        <v>13</v>
      </c>
    </row>
    <row r="78" spans="1:12" ht="15" x14ac:dyDescent="0.25">
      <c r="A78" s="1"/>
      <c r="B78" s="1" t="s">
        <v>18</v>
      </c>
      <c r="C78" s="1"/>
      <c r="D78" s="1"/>
      <c r="E78" s="1"/>
      <c r="F78" s="1"/>
      <c r="G78" s="1"/>
      <c r="H78" s="4" t="s">
        <v>14</v>
      </c>
    </row>
    <row r="79" spans="1:12" ht="1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1" customHeight="1" x14ac:dyDescent="0.25">
      <c r="A81" s="1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"/>
    </row>
    <row r="82" spans="1:12" ht="15" x14ac:dyDescent="0.25">
      <c r="A82" s="1"/>
      <c r="K82" s="103"/>
      <c r="L82" s="1"/>
    </row>
    <row r="83" spans="1:12" ht="15" x14ac:dyDescent="0.25">
      <c r="A83" s="1"/>
      <c r="B83" s="95" t="s">
        <v>77</v>
      </c>
      <c r="H83" s="95" t="s">
        <v>78</v>
      </c>
      <c r="I83" s="95"/>
      <c r="J83" s="92"/>
      <c r="K83" s="103"/>
      <c r="L83" s="1"/>
    </row>
    <row r="84" spans="1:12" ht="15" x14ac:dyDescent="0.25">
      <c r="A84" s="1"/>
      <c r="B84" s="99" t="s">
        <v>27</v>
      </c>
      <c r="C84" s="57"/>
      <c r="H84" s="99" t="s">
        <v>79</v>
      </c>
      <c r="K84" s="103"/>
    </row>
    <row r="85" spans="1:12" ht="12.75" x14ac:dyDescent="0.2"/>
    <row r="86" spans="1:12" ht="12.75" x14ac:dyDescent="0.2"/>
    <row r="87" spans="1:12" ht="12.75" x14ac:dyDescent="0.2"/>
    <row r="88" spans="1:12" ht="15.75" x14ac:dyDescent="0.25">
      <c r="A88" s="3" t="s">
        <v>22</v>
      </c>
    </row>
    <row r="89" spans="1:12" ht="15.75" x14ac:dyDescent="0.2">
      <c r="A89" s="122" t="s">
        <v>20</v>
      </c>
    </row>
    <row r="90" spans="1:12" ht="15.75" x14ac:dyDescent="0.2">
      <c r="A90" s="122" t="s">
        <v>21</v>
      </c>
    </row>
    <row r="91" spans="1:12" ht="18" customHeight="1" x14ac:dyDescent="0.2"/>
    <row r="92" spans="1:12" ht="23.25" customHeight="1" x14ac:dyDescent="0.2"/>
    <row r="93" spans="1:12" ht="18.75" customHeight="1" x14ac:dyDescent="0.2"/>
    <row r="94" spans="1:12" ht="14.25" customHeight="1" x14ac:dyDescent="0.3">
      <c r="A94" s="276" t="s">
        <v>6</v>
      </c>
      <c r="B94" s="276"/>
      <c r="C94" s="276"/>
      <c r="D94" s="276"/>
      <c r="E94" s="276"/>
      <c r="F94" s="276"/>
      <c r="G94" s="276"/>
      <c r="H94" s="276"/>
      <c r="I94" s="276"/>
      <c r="J94" s="276"/>
      <c r="K94" s="276"/>
      <c r="L94" s="276"/>
    </row>
    <row r="95" spans="1:12" ht="21" customHeight="1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</row>
    <row r="96" spans="1:12" ht="15" customHeight="1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  <row r="97" spans="1:12" ht="8.25" customHeight="1" x14ac:dyDescent="0.25">
      <c r="A97" s="1"/>
      <c r="B97" s="1"/>
    </row>
    <row r="98" spans="1:12" ht="19.5" customHeight="1" x14ac:dyDescent="0.25">
      <c r="A98" s="1" t="s">
        <v>7</v>
      </c>
      <c r="B98" s="1"/>
    </row>
    <row r="99" spans="1:12" ht="10.5" customHeight="1" x14ac:dyDescent="0.25">
      <c r="A99" s="1"/>
      <c r="B99" s="1"/>
    </row>
    <row r="100" spans="1:12" ht="20.25" customHeight="1" x14ac:dyDescent="0.25">
      <c r="A100" s="1" t="s">
        <v>8</v>
      </c>
      <c r="C100" s="9" t="s">
        <v>1</v>
      </c>
      <c r="D100" s="92" t="s">
        <v>77</v>
      </c>
      <c r="E100" s="76"/>
      <c r="F100" s="76"/>
      <c r="G100" s="76"/>
      <c r="H100" s="76"/>
    </row>
    <row r="101" spans="1:12" ht="15" customHeight="1" x14ac:dyDescent="0.25">
      <c r="A101" s="1" t="s">
        <v>9</v>
      </c>
      <c r="C101" s="9" t="s">
        <v>1</v>
      </c>
      <c r="D101" s="57" t="s">
        <v>201</v>
      </c>
      <c r="E101" s="76"/>
      <c r="F101" s="76"/>
      <c r="G101" s="76"/>
      <c r="H101" s="76"/>
    </row>
    <row r="102" spans="1:12" ht="13.5" customHeight="1" x14ac:dyDescent="0.2">
      <c r="A102" s="50" t="s">
        <v>10</v>
      </c>
      <c r="B102" s="76"/>
      <c r="C102" s="91" t="s">
        <v>1</v>
      </c>
      <c r="D102" s="50" t="s">
        <v>265</v>
      </c>
      <c r="E102" s="76"/>
      <c r="F102" s="76"/>
      <c r="G102" s="76"/>
      <c r="H102" s="76"/>
      <c r="I102" s="76"/>
      <c r="J102" s="76"/>
      <c r="K102" s="76"/>
      <c r="L102" s="76"/>
    </row>
    <row r="103" spans="1:12" ht="16.5" customHeight="1" x14ac:dyDescent="0.25">
      <c r="A103" s="1"/>
      <c r="B103" s="1"/>
      <c r="D103" s="1"/>
    </row>
    <row r="104" spans="1:12" ht="36" customHeight="1" x14ac:dyDescent="0.2">
      <c r="A104" s="277" t="s">
        <v>356</v>
      </c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</row>
    <row r="105" spans="1:12" ht="18" customHeight="1" x14ac:dyDescent="0.25">
      <c r="A105" s="1"/>
      <c r="B105" s="1"/>
    </row>
    <row r="106" spans="1:12" ht="31.5" customHeight="1" thickBot="1" x14ac:dyDescent="0.25">
      <c r="A106" s="10" t="s">
        <v>0</v>
      </c>
      <c r="B106" s="278" t="s">
        <v>91</v>
      </c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</row>
    <row r="107" spans="1:12" ht="27" customHeight="1" thickTop="1" x14ac:dyDescent="0.25">
      <c r="A107" s="1"/>
      <c r="B107" s="11" t="s">
        <v>3</v>
      </c>
      <c r="C107" s="12" t="s">
        <v>4</v>
      </c>
      <c r="D107" s="13"/>
      <c r="E107" s="13"/>
      <c r="F107" s="13"/>
      <c r="G107" s="13"/>
      <c r="H107" s="14"/>
      <c r="I107" s="15" t="s">
        <v>5</v>
      </c>
      <c r="J107" s="12" t="s">
        <v>17</v>
      </c>
      <c r="K107" s="13"/>
      <c r="L107" s="14"/>
    </row>
    <row r="108" spans="1:12" ht="20.25" customHeight="1" x14ac:dyDescent="0.2">
      <c r="A108" s="50"/>
      <c r="B108" s="143">
        <v>1</v>
      </c>
      <c r="C108" s="284" t="s">
        <v>318</v>
      </c>
      <c r="D108" s="285"/>
      <c r="E108" s="285"/>
      <c r="F108" s="285"/>
      <c r="G108" s="76"/>
      <c r="H108" s="79"/>
      <c r="I108" s="56">
        <v>275000</v>
      </c>
      <c r="J108" s="76"/>
      <c r="K108" s="76"/>
      <c r="L108" s="79"/>
    </row>
    <row r="109" spans="1:12" ht="31.5" customHeight="1" x14ac:dyDescent="0.2">
      <c r="B109" s="96"/>
      <c r="C109" s="124"/>
      <c r="D109" s="124"/>
      <c r="E109" s="127"/>
      <c r="F109" s="125"/>
      <c r="G109" s="124"/>
      <c r="H109" s="124"/>
      <c r="I109" s="23"/>
      <c r="L109" s="17"/>
    </row>
    <row r="110" spans="1:12" ht="21" customHeight="1" x14ac:dyDescent="0.25">
      <c r="A110" s="1"/>
      <c r="B110" s="39"/>
      <c r="C110" s="1"/>
      <c r="D110" s="1"/>
      <c r="E110" s="1"/>
      <c r="F110" s="40" t="s">
        <v>5</v>
      </c>
      <c r="G110" s="40"/>
      <c r="H110" s="1"/>
      <c r="I110" s="41">
        <f>SUM(I108:I108)</f>
        <v>275000</v>
      </c>
      <c r="J110" s="1"/>
      <c r="K110" s="1"/>
      <c r="L110" s="42"/>
    </row>
    <row r="111" spans="1:12" ht="16.5" customHeight="1" thickBot="1" x14ac:dyDescent="0.3">
      <c r="A111" s="1"/>
      <c r="B111" s="43"/>
      <c r="C111" s="44"/>
      <c r="D111" s="44"/>
      <c r="E111" s="44"/>
      <c r="F111" s="45"/>
      <c r="G111" s="45"/>
      <c r="H111" s="44"/>
      <c r="I111" s="46"/>
      <c r="J111" s="44"/>
      <c r="K111" s="44"/>
      <c r="L111" s="47"/>
    </row>
    <row r="112" spans="1:12" ht="10.5" customHeight="1" thickTop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48.75" customHeight="1" x14ac:dyDescent="0.2">
      <c r="A113" s="10" t="s">
        <v>2</v>
      </c>
      <c r="B113" s="279" t="s">
        <v>11</v>
      </c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</row>
    <row r="114" spans="1:12" ht="20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">
      <c r="A115" s="280" t="s">
        <v>12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</row>
    <row r="116" spans="1:12" ht="1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4" t="s">
        <v>199</v>
      </c>
      <c r="J118" s="286" t="s">
        <v>357</v>
      </c>
      <c r="K118" s="286"/>
      <c r="L118" s="286"/>
    </row>
    <row r="119" spans="1:12" ht="13.5" customHeight="1" x14ac:dyDescent="0.25">
      <c r="A119" s="1"/>
      <c r="B119" s="1" t="s">
        <v>15</v>
      </c>
      <c r="C119" s="1"/>
      <c r="D119" s="1"/>
      <c r="E119" s="1"/>
      <c r="F119" s="1"/>
      <c r="G119" s="1"/>
      <c r="H119" s="4" t="s">
        <v>13</v>
      </c>
    </row>
    <row r="120" spans="1:12" ht="11.25" customHeight="1" x14ac:dyDescent="0.25">
      <c r="A120" s="1"/>
      <c r="B120" s="1" t="s">
        <v>18</v>
      </c>
      <c r="C120" s="1"/>
      <c r="D120" s="1"/>
      <c r="E120" s="1"/>
      <c r="F120" s="1"/>
      <c r="G120" s="1"/>
      <c r="H120" s="4" t="s">
        <v>14</v>
      </c>
    </row>
    <row r="121" spans="1:12" ht="15" hidden="1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5">
      <c r="A123" s="1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"/>
    </row>
    <row r="124" spans="1:12" ht="15" x14ac:dyDescent="0.25">
      <c r="A124" s="1"/>
      <c r="K124" s="103"/>
      <c r="L124" s="1"/>
    </row>
    <row r="125" spans="1:12" ht="33" customHeight="1" x14ac:dyDescent="0.25">
      <c r="A125" s="1"/>
      <c r="B125" s="95" t="s">
        <v>77</v>
      </c>
      <c r="H125" s="95" t="s">
        <v>77</v>
      </c>
      <c r="I125" s="95"/>
      <c r="J125" s="92"/>
      <c r="K125" s="103"/>
      <c r="L125" s="1"/>
    </row>
    <row r="126" spans="1:12" ht="16.5" customHeight="1" x14ac:dyDescent="0.25">
      <c r="A126" s="1"/>
      <c r="B126" s="99" t="s">
        <v>27</v>
      </c>
      <c r="C126" s="57"/>
      <c r="H126" s="99" t="s">
        <v>27</v>
      </c>
      <c r="K126" s="103"/>
    </row>
    <row r="127" spans="1:12" ht="7.5" customHeight="1" x14ac:dyDescent="0.2"/>
    <row r="128" spans="1:12" ht="12.75" x14ac:dyDescent="0.2"/>
    <row r="129" spans="1:12" ht="15" customHeight="1" x14ac:dyDescent="0.2"/>
    <row r="130" spans="1:12" ht="14.25" customHeight="1" x14ac:dyDescent="0.2"/>
    <row r="131" spans="1:12" ht="12.75" x14ac:dyDescent="0.2"/>
    <row r="132" spans="1:12" ht="12.75" x14ac:dyDescent="0.2"/>
    <row r="133" spans="1:12" ht="14.25" customHeight="1" x14ac:dyDescent="0.25">
      <c r="A133" s="3" t="s">
        <v>22</v>
      </c>
    </row>
    <row r="134" spans="1:12" ht="19.5" customHeight="1" x14ac:dyDescent="0.2">
      <c r="A134" s="122" t="s">
        <v>20</v>
      </c>
    </row>
    <row r="135" spans="1:12" ht="16.5" customHeight="1" x14ac:dyDescent="0.2">
      <c r="A135" s="122" t="s">
        <v>21</v>
      </c>
    </row>
    <row r="136" spans="1:12" ht="21" customHeight="1" x14ac:dyDescent="0.2"/>
    <row r="137" spans="1:12" ht="15.75" customHeight="1" x14ac:dyDescent="0.2"/>
    <row r="138" spans="1:12" ht="3.75" customHeight="1" x14ac:dyDescent="0.2"/>
    <row r="139" spans="1:12" ht="18.75" customHeight="1" x14ac:dyDescent="0.3">
      <c r="A139" s="276" t="s">
        <v>6</v>
      </c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</row>
    <row r="140" spans="1:12" s="76" customFormat="1" ht="15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1:12" ht="17.2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15" x14ac:dyDescent="0.25">
      <c r="A142" s="1"/>
      <c r="B142" s="1"/>
    </row>
    <row r="143" spans="1:12" ht="18.75" customHeight="1" x14ac:dyDescent="0.25">
      <c r="A143" s="1" t="s">
        <v>7</v>
      </c>
      <c r="B143" s="1"/>
    </row>
    <row r="144" spans="1:12" ht="15" x14ac:dyDescent="0.25">
      <c r="A144" s="1"/>
      <c r="B144" s="1"/>
    </row>
    <row r="145" spans="1:12" ht="13.5" customHeight="1" x14ac:dyDescent="0.25">
      <c r="A145" s="1" t="s">
        <v>8</v>
      </c>
      <c r="C145" s="9" t="s">
        <v>1</v>
      </c>
      <c r="D145" s="126" t="s">
        <v>64</v>
      </c>
      <c r="E145" s="76"/>
      <c r="F145" s="76"/>
      <c r="G145" s="76"/>
      <c r="H145" s="76"/>
    </row>
    <row r="146" spans="1:12" ht="16.5" customHeight="1" x14ac:dyDescent="0.25">
      <c r="A146" s="1" t="s">
        <v>9</v>
      </c>
      <c r="C146" s="9" t="s">
        <v>1</v>
      </c>
      <c r="D146" s="119" t="s">
        <v>236</v>
      </c>
      <c r="E146" s="76"/>
      <c r="F146" s="76"/>
      <c r="G146" s="76"/>
      <c r="H146" s="76"/>
    </row>
    <row r="147" spans="1:12" ht="12" customHeight="1" x14ac:dyDescent="0.2">
      <c r="A147" s="50" t="s">
        <v>10</v>
      </c>
      <c r="B147" s="76"/>
      <c r="C147" s="91" t="s">
        <v>1</v>
      </c>
      <c r="D147" s="124" t="s">
        <v>235</v>
      </c>
      <c r="E147" s="76"/>
      <c r="F147" s="76"/>
      <c r="G147" s="76"/>
      <c r="H147" s="76"/>
      <c r="I147" s="76"/>
      <c r="J147" s="76"/>
      <c r="K147" s="76"/>
      <c r="L147" s="76"/>
    </row>
    <row r="148" spans="1:12" ht="20.25" customHeight="1" x14ac:dyDescent="0.25">
      <c r="A148" s="1"/>
      <c r="B148" s="1"/>
      <c r="D148" s="1"/>
    </row>
    <row r="149" spans="1:12" ht="35.25" customHeight="1" x14ac:dyDescent="0.2">
      <c r="A149" s="277" t="s">
        <v>356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</row>
    <row r="150" spans="1:12" ht="13.5" customHeight="1" x14ac:dyDescent="0.25">
      <c r="A150" s="1"/>
      <c r="B150" s="1"/>
    </row>
    <row r="151" spans="1:12" ht="32.25" customHeight="1" thickBot="1" x14ac:dyDescent="0.25">
      <c r="A151" s="10" t="s">
        <v>0</v>
      </c>
      <c r="B151" s="278" t="s">
        <v>91</v>
      </c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</row>
    <row r="152" spans="1:12" ht="22.5" customHeight="1" thickTop="1" x14ac:dyDescent="0.25">
      <c r="A152" s="1"/>
      <c r="B152" s="11" t="s">
        <v>3</v>
      </c>
      <c r="C152" s="12" t="s">
        <v>4</v>
      </c>
      <c r="D152" s="13"/>
      <c r="E152" s="13"/>
      <c r="F152" s="13"/>
      <c r="G152" s="13"/>
      <c r="H152" s="14"/>
      <c r="I152" s="15" t="s">
        <v>5</v>
      </c>
      <c r="J152" s="12" t="s">
        <v>17</v>
      </c>
      <c r="K152" s="13"/>
      <c r="L152" s="14"/>
    </row>
    <row r="153" spans="1:12" ht="23.25" customHeight="1" x14ac:dyDescent="0.2">
      <c r="A153" s="50"/>
      <c r="B153" s="143">
        <v>1</v>
      </c>
      <c r="C153" s="284" t="s">
        <v>318</v>
      </c>
      <c r="D153" s="285"/>
      <c r="E153" s="285"/>
      <c r="F153" s="285"/>
      <c r="G153" s="76"/>
      <c r="H153" s="79"/>
      <c r="I153" s="56">
        <v>275000</v>
      </c>
      <c r="J153" s="76"/>
      <c r="K153" s="76"/>
      <c r="L153" s="79"/>
    </row>
    <row r="154" spans="1:12" ht="36.75" customHeight="1" x14ac:dyDescent="0.2">
      <c r="B154" s="96"/>
      <c r="C154" s="124"/>
      <c r="D154" s="124"/>
      <c r="E154" s="127"/>
      <c r="F154" s="125"/>
      <c r="G154" s="124"/>
      <c r="H154" s="124"/>
      <c r="I154" s="23"/>
      <c r="L154" s="17"/>
    </row>
    <row r="155" spans="1:12" ht="24" customHeight="1" x14ac:dyDescent="0.25">
      <c r="A155" s="1"/>
      <c r="B155" s="39"/>
      <c r="C155" s="1"/>
      <c r="D155" s="1"/>
      <c r="E155" s="1"/>
      <c r="F155" s="40" t="s">
        <v>5</v>
      </c>
      <c r="G155" s="40"/>
      <c r="H155" s="1"/>
      <c r="I155" s="41">
        <f>SUM(I153:I153)</f>
        <v>275000</v>
      </c>
      <c r="J155" s="1"/>
      <c r="K155" s="1"/>
      <c r="L155" s="42"/>
    </row>
    <row r="156" spans="1:12" ht="17.25" customHeight="1" thickBot="1" x14ac:dyDescent="0.3">
      <c r="A156" s="1"/>
      <c r="B156" s="43"/>
      <c r="C156" s="44"/>
      <c r="D156" s="44"/>
      <c r="E156" s="44"/>
      <c r="F156" s="45"/>
      <c r="G156" s="45"/>
      <c r="H156" s="44"/>
      <c r="I156" s="46"/>
      <c r="J156" s="44"/>
      <c r="K156" s="44"/>
      <c r="L156" s="47"/>
    </row>
    <row r="157" spans="1:12" ht="18" customHeight="1" thickTop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47.25" customHeight="1" x14ac:dyDescent="0.2">
      <c r="A158" s="10" t="s">
        <v>2</v>
      </c>
      <c r="B158" s="279" t="s">
        <v>11</v>
      </c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</row>
    <row r="159" spans="1:12" ht="23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">
      <c r="A160" s="280" t="s">
        <v>12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</row>
    <row r="161" spans="1:12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5">
      <c r="A163" s="1"/>
      <c r="B163" s="1"/>
      <c r="C163" s="1"/>
      <c r="D163" s="1"/>
      <c r="E163" s="1"/>
      <c r="F163" s="1"/>
      <c r="G163" s="1"/>
      <c r="H163" s="4" t="s">
        <v>199</v>
      </c>
      <c r="J163" s="286" t="s">
        <v>357</v>
      </c>
      <c r="K163" s="286"/>
      <c r="L163" s="286"/>
    </row>
    <row r="164" spans="1:12" ht="15.75" customHeight="1" x14ac:dyDescent="0.25">
      <c r="A164" s="1"/>
      <c r="B164" s="1" t="s">
        <v>15</v>
      </c>
      <c r="C164" s="1"/>
      <c r="D164" s="1"/>
      <c r="E164" s="1"/>
      <c r="F164" s="1"/>
      <c r="G164" s="1"/>
      <c r="H164" s="4" t="s">
        <v>13</v>
      </c>
    </row>
    <row r="165" spans="1:12" s="76" customFormat="1" ht="15" customHeight="1" x14ac:dyDescent="0.25">
      <c r="A165" s="1"/>
      <c r="B165" s="1" t="s">
        <v>18</v>
      </c>
      <c r="C165" s="1"/>
      <c r="D165" s="1"/>
      <c r="E165" s="1"/>
      <c r="F165" s="1"/>
      <c r="G165" s="1"/>
      <c r="H165" s="4" t="s">
        <v>14</v>
      </c>
      <c r="I165" s="4"/>
      <c r="J165" s="4"/>
      <c r="K165" s="4"/>
      <c r="L165" s="4"/>
    </row>
    <row r="166" spans="1:12" ht="1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" x14ac:dyDescent="0.25">
      <c r="A168" s="1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"/>
    </row>
    <row r="169" spans="1:12" ht="2.25" customHeight="1" x14ac:dyDescent="0.25">
      <c r="A169" s="1"/>
      <c r="K169" s="103"/>
      <c r="L169" s="1"/>
    </row>
    <row r="170" spans="1:12" ht="16.5" customHeight="1" x14ac:dyDescent="0.25">
      <c r="A170" s="1"/>
      <c r="B170" s="95" t="s">
        <v>77</v>
      </c>
      <c r="H170" s="95" t="s">
        <v>64</v>
      </c>
      <c r="I170" s="95"/>
      <c r="J170" s="92"/>
      <c r="K170" s="103"/>
      <c r="L170" s="1"/>
    </row>
    <row r="171" spans="1:12" ht="15.75" customHeight="1" x14ac:dyDescent="0.25">
      <c r="A171" s="1"/>
      <c r="B171" s="99" t="s">
        <v>27</v>
      </c>
      <c r="C171" s="57"/>
      <c r="H171" s="99" t="s">
        <v>46</v>
      </c>
      <c r="K171" s="103"/>
    </row>
    <row r="172" spans="1:12" ht="14.25" customHeight="1" x14ac:dyDescent="0.2"/>
    <row r="173" spans="1:12" ht="12.75" x14ac:dyDescent="0.2"/>
    <row r="174" spans="1:12" ht="15" customHeight="1" x14ac:dyDescent="0.2"/>
    <row r="175" spans="1:12" ht="19.5" customHeight="1" x14ac:dyDescent="0.2"/>
    <row r="176" spans="1:12" ht="15.75" customHeight="1" x14ac:dyDescent="0.25">
      <c r="A176" s="3" t="s">
        <v>22</v>
      </c>
    </row>
    <row r="177" spans="1:12" ht="18" customHeight="1" x14ac:dyDescent="0.2">
      <c r="A177" s="122" t="s">
        <v>20</v>
      </c>
    </row>
    <row r="178" spans="1:12" ht="19.5" customHeight="1" x14ac:dyDescent="0.2">
      <c r="A178" s="122" t="s">
        <v>21</v>
      </c>
    </row>
    <row r="179" spans="1:12" ht="16.5" customHeight="1" x14ac:dyDescent="0.2"/>
    <row r="180" spans="1:12" ht="22.5" customHeight="1" x14ac:dyDescent="0.2"/>
    <row r="181" spans="1:12" ht="14.25" customHeight="1" x14ac:dyDescent="0.2"/>
    <row r="182" spans="1:12" ht="18.75" customHeight="1" x14ac:dyDescent="0.3">
      <c r="A182" s="276" t="s">
        <v>6</v>
      </c>
      <c r="B182" s="276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</row>
    <row r="183" spans="1:12" ht="18.75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</row>
    <row r="184" spans="1:12" s="76" customFormat="1" ht="17.25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</row>
    <row r="185" spans="1:12" ht="26.25" customHeight="1" x14ac:dyDescent="0.25">
      <c r="A185" s="1"/>
      <c r="B185" s="1"/>
    </row>
    <row r="186" spans="1:12" ht="17.25" customHeight="1" x14ac:dyDescent="0.25">
      <c r="A186" s="1" t="s">
        <v>7</v>
      </c>
      <c r="B186" s="1"/>
    </row>
    <row r="187" spans="1:12" ht="22.5" customHeight="1" x14ac:dyDescent="0.25">
      <c r="A187" s="1"/>
      <c r="B187" s="1"/>
    </row>
    <row r="188" spans="1:12" ht="17.25" customHeight="1" x14ac:dyDescent="0.25">
      <c r="A188" s="1" t="s">
        <v>8</v>
      </c>
      <c r="C188" s="9" t="s">
        <v>1</v>
      </c>
      <c r="D188" s="40" t="s">
        <v>38</v>
      </c>
      <c r="E188" s="76"/>
      <c r="F188" s="76"/>
      <c r="G188" s="76"/>
      <c r="H188" s="76"/>
    </row>
    <row r="189" spans="1:12" ht="17.25" customHeight="1" x14ac:dyDescent="0.25">
      <c r="A189" s="1" t="s">
        <v>9</v>
      </c>
      <c r="C189" s="9" t="s">
        <v>1</v>
      </c>
      <c r="D189" s="7" t="s">
        <v>358</v>
      </c>
      <c r="E189" s="76"/>
      <c r="F189" s="76"/>
      <c r="G189" s="76"/>
      <c r="H189" s="76"/>
    </row>
    <row r="190" spans="1:12" ht="24" customHeight="1" x14ac:dyDescent="0.2">
      <c r="A190" s="50" t="s">
        <v>10</v>
      </c>
      <c r="B190" s="76"/>
      <c r="C190" s="91" t="s">
        <v>1</v>
      </c>
      <c r="D190" s="124" t="s">
        <v>359</v>
      </c>
      <c r="E190" s="76"/>
      <c r="F190" s="76"/>
      <c r="G190" s="76"/>
      <c r="H190" s="76"/>
      <c r="I190" s="76"/>
      <c r="J190" s="76"/>
      <c r="K190" s="76"/>
      <c r="L190" s="76"/>
    </row>
    <row r="191" spans="1:12" ht="15" x14ac:dyDescent="0.25">
      <c r="A191" s="1"/>
      <c r="B191" s="1"/>
      <c r="D191" s="1"/>
    </row>
    <row r="192" spans="1:12" ht="27.75" customHeight="1" x14ac:dyDescent="0.2">
      <c r="A192" s="277" t="s">
        <v>356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</row>
    <row r="193" spans="1:12" ht="15.75" customHeight="1" x14ac:dyDescent="0.25">
      <c r="A193" s="1"/>
      <c r="B193" s="1"/>
    </row>
    <row r="194" spans="1:12" ht="38.25" customHeight="1" thickBot="1" x14ac:dyDescent="0.25">
      <c r="A194" s="10" t="s">
        <v>0</v>
      </c>
      <c r="B194" s="278" t="s">
        <v>91</v>
      </c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</row>
    <row r="195" spans="1:12" ht="18" customHeight="1" thickTop="1" x14ac:dyDescent="0.25">
      <c r="A195" s="1"/>
      <c r="B195" s="11" t="s">
        <v>3</v>
      </c>
      <c r="C195" s="12" t="s">
        <v>4</v>
      </c>
      <c r="D195" s="13"/>
      <c r="E195" s="13"/>
      <c r="F195" s="13"/>
      <c r="G195" s="13"/>
      <c r="H195" s="14"/>
      <c r="I195" s="15" t="s">
        <v>5</v>
      </c>
      <c r="J195" s="12" t="s">
        <v>17</v>
      </c>
      <c r="K195" s="13"/>
      <c r="L195" s="14"/>
    </row>
    <row r="196" spans="1:12" ht="21" customHeight="1" x14ac:dyDescent="0.2">
      <c r="A196" s="50"/>
      <c r="B196" s="143">
        <v>1</v>
      </c>
      <c r="C196" s="284" t="s">
        <v>318</v>
      </c>
      <c r="D196" s="285"/>
      <c r="E196" s="285"/>
      <c r="F196" s="285"/>
      <c r="G196" s="76"/>
      <c r="H196" s="79"/>
      <c r="I196" s="56">
        <v>275000</v>
      </c>
      <c r="J196" s="76"/>
      <c r="K196" s="76"/>
      <c r="L196" s="79"/>
    </row>
    <row r="197" spans="1:12" ht="34.5" customHeight="1" x14ac:dyDescent="0.2">
      <c r="B197" s="96"/>
      <c r="C197" s="124"/>
      <c r="D197" s="124"/>
      <c r="E197" s="127"/>
      <c r="F197" s="125"/>
      <c r="G197" s="124"/>
      <c r="H197" s="124"/>
      <c r="I197" s="23"/>
      <c r="L197" s="17"/>
    </row>
    <row r="198" spans="1:12" ht="20.25" customHeight="1" x14ac:dyDescent="0.25">
      <c r="A198" s="1"/>
      <c r="B198" s="39"/>
      <c r="C198" s="1"/>
      <c r="D198" s="1"/>
      <c r="E198" s="1"/>
      <c r="F198" s="40" t="s">
        <v>5</v>
      </c>
      <c r="G198" s="40"/>
      <c r="H198" s="1"/>
      <c r="I198" s="41">
        <f>SUM(I196:I196)</f>
        <v>275000</v>
      </c>
      <c r="J198" s="1"/>
      <c r="K198" s="1"/>
      <c r="L198" s="42"/>
    </row>
    <row r="199" spans="1:12" ht="20.25" customHeight="1" thickBot="1" x14ac:dyDescent="0.3">
      <c r="A199" s="1"/>
      <c r="B199" s="43"/>
      <c r="C199" s="44"/>
      <c r="D199" s="44"/>
      <c r="E199" s="44"/>
      <c r="F199" s="45"/>
      <c r="G199" s="45"/>
      <c r="H199" s="44"/>
      <c r="I199" s="46"/>
      <c r="J199" s="44"/>
      <c r="K199" s="44"/>
      <c r="L199" s="47"/>
    </row>
    <row r="200" spans="1:12" ht="12" customHeight="1" thickTop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49.5" customHeight="1" x14ac:dyDescent="0.2">
      <c r="A201" s="10" t="s">
        <v>2</v>
      </c>
      <c r="B201" s="279" t="s">
        <v>11</v>
      </c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</row>
    <row r="202" spans="1:1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26.25" customHeight="1" x14ac:dyDescent="0.2">
      <c r="A203" s="280" t="s">
        <v>12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</row>
    <row r="204" spans="1:12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6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5">
      <c r="A206" s="1"/>
      <c r="B206" s="1"/>
      <c r="C206" s="1"/>
      <c r="D206" s="1"/>
      <c r="E206" s="1"/>
      <c r="F206" s="1"/>
      <c r="G206" s="1"/>
      <c r="H206" s="4" t="s">
        <v>199</v>
      </c>
      <c r="J206" s="286" t="s">
        <v>357</v>
      </c>
      <c r="K206" s="286"/>
      <c r="L206" s="286"/>
    </row>
    <row r="207" spans="1:12" ht="14.25" customHeight="1" x14ac:dyDescent="0.25">
      <c r="A207" s="1"/>
      <c r="B207" s="1" t="s">
        <v>15</v>
      </c>
      <c r="C207" s="1"/>
      <c r="D207" s="1"/>
      <c r="E207" s="1"/>
      <c r="F207" s="1"/>
      <c r="G207" s="1"/>
      <c r="H207" s="4" t="s">
        <v>13</v>
      </c>
    </row>
    <row r="208" spans="1:12" ht="17.25" customHeight="1" x14ac:dyDescent="0.25">
      <c r="A208" s="1"/>
      <c r="B208" s="1" t="s">
        <v>18</v>
      </c>
      <c r="C208" s="1"/>
      <c r="D208" s="1"/>
      <c r="E208" s="1"/>
      <c r="F208" s="1"/>
      <c r="G208" s="1"/>
      <c r="H208" s="4" t="s">
        <v>14</v>
      </c>
    </row>
    <row r="209" spans="1:12" ht="1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5">
      <c r="A211" s="1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"/>
    </row>
    <row r="212" spans="1:12" ht="15" customHeight="1" x14ac:dyDescent="0.25">
      <c r="A212" s="1"/>
      <c r="K212" s="103"/>
      <c r="L212" s="1"/>
    </row>
    <row r="213" spans="1:12" ht="12" customHeight="1" x14ac:dyDescent="0.25">
      <c r="A213" s="1"/>
      <c r="B213" s="95" t="s">
        <v>77</v>
      </c>
      <c r="H213" s="37" t="s">
        <v>38</v>
      </c>
      <c r="I213" s="95"/>
      <c r="J213" s="92"/>
      <c r="K213" s="103"/>
      <c r="L213" s="1"/>
    </row>
    <row r="214" spans="1:12" ht="14.25" customHeight="1" x14ac:dyDescent="0.25">
      <c r="A214" s="1"/>
      <c r="B214" s="99" t="s">
        <v>27</v>
      </c>
      <c r="C214" s="57"/>
      <c r="H214" s="1" t="s">
        <v>39</v>
      </c>
      <c r="K214" s="103"/>
    </row>
    <row r="215" spans="1:12" ht="12.75" x14ac:dyDescent="0.2"/>
    <row r="216" spans="1:12" ht="18" customHeight="1" x14ac:dyDescent="0.2"/>
    <row r="217" spans="1:12" ht="0.75" customHeight="1" x14ac:dyDescent="0.2"/>
    <row r="218" spans="1:12" ht="19.5" customHeight="1" x14ac:dyDescent="0.25">
      <c r="A218" s="3" t="s">
        <v>22</v>
      </c>
    </row>
    <row r="219" spans="1:12" ht="15.75" customHeight="1" x14ac:dyDescent="0.2">
      <c r="A219" s="122" t="s">
        <v>20</v>
      </c>
    </row>
    <row r="220" spans="1:12" ht="15.75" customHeight="1" x14ac:dyDescent="0.2">
      <c r="A220" s="122" t="s">
        <v>21</v>
      </c>
    </row>
    <row r="221" spans="1:12" ht="19.5" customHeight="1" x14ac:dyDescent="0.2"/>
    <row r="222" spans="1:12" ht="15.75" customHeight="1" x14ac:dyDescent="0.2"/>
    <row r="223" spans="1:12" s="119" customFormat="1" ht="18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8.75" x14ac:dyDescent="0.3">
      <c r="A224" s="276" t="s">
        <v>6</v>
      </c>
      <c r="B224" s="276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</row>
    <row r="225" spans="1:12" ht="12.75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</row>
    <row r="226" spans="1:12" s="99" customFormat="1" ht="19.5" customHeigh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</row>
    <row r="227" spans="1:12" ht="19.5" customHeight="1" x14ac:dyDescent="0.25">
      <c r="A227" s="1"/>
      <c r="B227" s="1"/>
    </row>
    <row r="228" spans="1:12" ht="16.5" customHeight="1" x14ac:dyDescent="0.25">
      <c r="A228" s="1" t="s">
        <v>7</v>
      </c>
      <c r="B228" s="1"/>
    </row>
    <row r="229" spans="1:12" ht="10.5" customHeight="1" x14ac:dyDescent="0.25">
      <c r="A229" s="1"/>
      <c r="B229" s="1"/>
    </row>
    <row r="230" spans="1:12" ht="21" customHeight="1" x14ac:dyDescent="0.25">
      <c r="A230" s="1" t="s">
        <v>8</v>
      </c>
      <c r="C230" s="9" t="s">
        <v>1</v>
      </c>
      <c r="D230" s="92" t="s">
        <v>96</v>
      </c>
      <c r="E230" s="76"/>
      <c r="F230" s="76"/>
      <c r="G230" s="76"/>
      <c r="H230" s="76"/>
    </row>
    <row r="231" spans="1:12" ht="18" customHeight="1" x14ac:dyDescent="0.25">
      <c r="A231" s="1" t="s">
        <v>9</v>
      </c>
      <c r="C231" s="9" t="s">
        <v>1</v>
      </c>
      <c r="D231" s="57" t="s">
        <v>200</v>
      </c>
      <c r="E231" s="76"/>
      <c r="F231" s="76"/>
      <c r="G231" s="76"/>
      <c r="H231" s="76"/>
    </row>
    <row r="232" spans="1:12" s="76" customFormat="1" ht="21" customHeight="1" x14ac:dyDescent="0.2">
      <c r="A232" s="50" t="s">
        <v>10</v>
      </c>
      <c r="C232" s="91" t="s">
        <v>1</v>
      </c>
      <c r="D232" s="50" t="s">
        <v>203</v>
      </c>
    </row>
    <row r="233" spans="1:12" ht="19.5" customHeight="1" x14ac:dyDescent="0.25">
      <c r="A233" s="1"/>
      <c r="B233" s="1"/>
      <c r="D233" s="1"/>
    </row>
    <row r="234" spans="1:12" ht="26.25" customHeight="1" x14ac:dyDescent="0.2">
      <c r="A234" s="277" t="s">
        <v>360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</row>
    <row r="235" spans="1:12" ht="9.75" customHeight="1" x14ac:dyDescent="0.25">
      <c r="A235" s="1"/>
      <c r="B235" s="1"/>
    </row>
    <row r="236" spans="1:12" ht="34.5" customHeight="1" thickBot="1" x14ac:dyDescent="0.25">
      <c r="A236" s="10" t="s">
        <v>0</v>
      </c>
      <c r="B236" s="278" t="s">
        <v>91</v>
      </c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</row>
    <row r="237" spans="1:12" ht="19.5" customHeight="1" thickTop="1" x14ac:dyDescent="0.25">
      <c r="A237" s="1"/>
      <c r="B237" s="11" t="s">
        <v>3</v>
      </c>
      <c r="C237" s="12" t="s">
        <v>4</v>
      </c>
      <c r="D237" s="13"/>
      <c r="E237" s="13"/>
      <c r="F237" s="13"/>
      <c r="G237" s="13"/>
      <c r="H237" s="14"/>
      <c r="I237" s="15" t="s">
        <v>5</v>
      </c>
      <c r="J237" s="12" t="s">
        <v>17</v>
      </c>
      <c r="K237" s="13"/>
      <c r="L237" s="14"/>
    </row>
    <row r="238" spans="1:12" ht="30" customHeight="1" x14ac:dyDescent="0.2">
      <c r="A238" s="50"/>
      <c r="B238" s="143">
        <v>1</v>
      </c>
      <c r="C238" s="284" t="s">
        <v>303</v>
      </c>
      <c r="D238" s="285"/>
      <c r="E238" s="285"/>
      <c r="F238" s="285"/>
      <c r="G238" s="76"/>
      <c r="H238" s="79"/>
      <c r="I238" s="56">
        <v>250000</v>
      </c>
      <c r="J238" s="76"/>
      <c r="K238" s="76"/>
      <c r="L238" s="79"/>
    </row>
    <row r="239" spans="1:12" ht="27.75" customHeight="1" x14ac:dyDescent="0.2">
      <c r="B239" s="96"/>
      <c r="C239" s="124"/>
      <c r="D239" s="124"/>
      <c r="E239" s="127"/>
      <c r="F239" s="125"/>
      <c r="G239" s="124"/>
      <c r="H239" s="124"/>
      <c r="I239" s="23"/>
      <c r="L239" s="17"/>
    </row>
    <row r="240" spans="1:12" ht="16.5" customHeight="1" x14ac:dyDescent="0.25">
      <c r="A240" s="1"/>
      <c r="B240" s="39"/>
      <c r="C240" s="1"/>
      <c r="D240" s="1"/>
      <c r="E240" s="1"/>
      <c r="F240" s="40" t="s">
        <v>5</v>
      </c>
      <c r="G240" s="40"/>
      <c r="H240" s="1"/>
      <c r="I240" s="41">
        <f>SUM(I238:I238)</f>
        <v>250000</v>
      </c>
      <c r="J240" s="1"/>
      <c r="K240" s="1"/>
      <c r="L240" s="42"/>
    </row>
    <row r="241" spans="1:12" ht="13.5" customHeight="1" thickBot="1" x14ac:dyDescent="0.3">
      <c r="A241" s="1"/>
      <c r="B241" s="43"/>
      <c r="C241" s="44"/>
      <c r="D241" s="44"/>
      <c r="E241" s="44"/>
      <c r="F241" s="45"/>
      <c r="G241" s="45"/>
      <c r="H241" s="44"/>
      <c r="I241" s="46"/>
      <c r="J241" s="44"/>
      <c r="K241" s="44"/>
      <c r="L241" s="47"/>
    </row>
    <row r="242" spans="1:12" ht="19.5" customHeight="1" thickTop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46.5" customHeight="1" x14ac:dyDescent="0.2">
      <c r="A243" s="10" t="s">
        <v>2</v>
      </c>
      <c r="B243" s="279" t="s">
        <v>11</v>
      </c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</row>
    <row r="244" spans="1:12" ht="21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22.5" customHeight="1" x14ac:dyDescent="0.2">
      <c r="A245" s="280" t="s">
        <v>12</v>
      </c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</row>
    <row r="246" spans="1:12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2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2" customHeight="1" x14ac:dyDescent="0.25">
      <c r="A248" s="1"/>
      <c r="B248" s="1"/>
      <c r="C248" s="1"/>
      <c r="D248" s="1"/>
      <c r="E248" s="1"/>
      <c r="F248" s="1"/>
      <c r="G248" s="1"/>
      <c r="H248" s="4" t="s">
        <v>199</v>
      </c>
      <c r="J248" s="286" t="s">
        <v>357</v>
      </c>
      <c r="K248" s="286"/>
      <c r="L248" s="286"/>
    </row>
    <row r="249" spans="1:12" ht="15" customHeight="1" x14ac:dyDescent="0.25">
      <c r="A249" s="1"/>
      <c r="B249" s="1" t="s">
        <v>15</v>
      </c>
      <c r="C249" s="1"/>
      <c r="D249" s="1"/>
      <c r="E249" s="1"/>
      <c r="F249" s="1"/>
      <c r="G249" s="1"/>
      <c r="H249" s="4" t="s">
        <v>13</v>
      </c>
    </row>
    <row r="250" spans="1:12" ht="15" customHeight="1" x14ac:dyDescent="0.25">
      <c r="A250" s="1"/>
      <c r="B250" s="1" t="s">
        <v>18</v>
      </c>
      <c r="C250" s="1"/>
      <c r="D250" s="1"/>
      <c r="E250" s="1"/>
      <c r="F250" s="1"/>
      <c r="G250" s="1"/>
      <c r="H250" s="4" t="s">
        <v>14</v>
      </c>
    </row>
    <row r="251" spans="1:1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5">
      <c r="A253" s="1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"/>
    </row>
    <row r="254" spans="1:12" ht="14.25" customHeight="1" x14ac:dyDescent="0.25">
      <c r="A254" s="1"/>
      <c r="K254" s="103"/>
      <c r="L254" s="1"/>
    </row>
    <row r="255" spans="1:12" ht="19.5" customHeight="1" x14ac:dyDescent="0.25">
      <c r="A255" s="1"/>
      <c r="B255" s="95" t="s">
        <v>77</v>
      </c>
      <c r="H255" s="95" t="s">
        <v>96</v>
      </c>
      <c r="I255" s="95"/>
      <c r="J255" s="92"/>
      <c r="K255" s="103"/>
      <c r="L255" s="1"/>
    </row>
    <row r="256" spans="1:12" ht="18.75" customHeight="1" x14ac:dyDescent="0.25">
      <c r="A256" s="1"/>
      <c r="B256" s="99" t="s">
        <v>27</v>
      </c>
      <c r="C256" s="57"/>
      <c r="H256" s="99" t="s">
        <v>100</v>
      </c>
      <c r="K256" s="103"/>
    </row>
    <row r="257" spans="1:12" ht="19.5" customHeight="1" x14ac:dyDescent="0.2"/>
    <row r="258" spans="1:12" ht="1.5" customHeight="1" x14ac:dyDescent="0.2"/>
    <row r="259" spans="1:12" ht="18" customHeight="1" x14ac:dyDescent="0.2"/>
    <row r="260" spans="1:12" ht="15" customHeight="1" x14ac:dyDescent="0.2"/>
    <row r="261" spans="1:12" ht="15" customHeight="1" x14ac:dyDescent="0.25">
      <c r="A261" s="3" t="s">
        <v>22</v>
      </c>
    </row>
    <row r="262" spans="1:12" ht="15" customHeight="1" x14ac:dyDescent="0.2">
      <c r="A262" s="122" t="s">
        <v>20</v>
      </c>
    </row>
    <row r="263" spans="1:12" ht="15.75" customHeight="1" x14ac:dyDescent="0.2">
      <c r="A263" s="122" t="s">
        <v>21</v>
      </c>
    </row>
    <row r="264" spans="1:12" ht="12.75" customHeight="1" x14ac:dyDescent="0.2"/>
    <row r="265" spans="1:12" ht="13.5" customHeight="1" x14ac:dyDescent="0.2"/>
    <row r="266" spans="1:12" ht="15.75" customHeight="1" x14ac:dyDescent="0.2"/>
    <row r="267" spans="1:12" ht="15" customHeight="1" x14ac:dyDescent="0.3">
      <c r="A267" s="276" t="s">
        <v>6</v>
      </c>
      <c r="B267" s="276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</row>
    <row r="268" spans="1:12" s="99" customFormat="1" ht="20.25" customHeight="1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</row>
    <row r="269" spans="1:12" ht="24" customHeigh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</row>
    <row r="270" spans="1:12" ht="24" hidden="1" customHeight="1" x14ac:dyDescent="0.25">
      <c r="A270" s="1"/>
      <c r="B270" s="1"/>
    </row>
    <row r="271" spans="1:12" ht="19.5" customHeight="1" x14ac:dyDescent="0.25">
      <c r="A271" s="1" t="s">
        <v>7</v>
      </c>
      <c r="B271" s="1"/>
    </row>
    <row r="272" spans="1:12" ht="12" customHeight="1" x14ac:dyDescent="0.25">
      <c r="A272" s="1"/>
      <c r="B272" s="1"/>
    </row>
    <row r="273" spans="1:12" ht="12" customHeight="1" x14ac:dyDescent="0.25">
      <c r="A273" s="1" t="s">
        <v>8</v>
      </c>
      <c r="C273" s="9" t="s">
        <v>1</v>
      </c>
      <c r="D273" s="92" t="s">
        <v>205</v>
      </c>
      <c r="E273" s="76"/>
      <c r="F273" s="76"/>
      <c r="G273" s="76"/>
      <c r="H273" s="76"/>
    </row>
    <row r="274" spans="1:12" ht="18" customHeight="1" x14ac:dyDescent="0.25">
      <c r="A274" s="1" t="s">
        <v>9</v>
      </c>
      <c r="C274" s="9" t="s">
        <v>1</v>
      </c>
      <c r="D274" s="57" t="s">
        <v>74</v>
      </c>
      <c r="E274" s="76"/>
      <c r="F274" s="76"/>
      <c r="G274" s="76"/>
      <c r="H274" s="76"/>
    </row>
    <row r="275" spans="1:12" ht="18.75" customHeight="1" x14ac:dyDescent="0.2">
      <c r="A275" s="50" t="s">
        <v>10</v>
      </c>
      <c r="B275" s="76"/>
      <c r="C275" s="91" t="s">
        <v>1</v>
      </c>
      <c r="D275" s="50" t="s">
        <v>243</v>
      </c>
      <c r="E275" s="76"/>
      <c r="F275" s="76"/>
      <c r="G275" s="76"/>
      <c r="H275" s="76"/>
      <c r="I275" s="76"/>
      <c r="J275" s="76"/>
      <c r="K275" s="76"/>
      <c r="L275" s="76"/>
    </row>
    <row r="276" spans="1:12" ht="18" customHeight="1" x14ac:dyDescent="0.25">
      <c r="A276" s="1"/>
      <c r="B276" s="1"/>
      <c r="D276" s="1"/>
    </row>
    <row r="277" spans="1:12" ht="32.25" customHeight="1" x14ac:dyDescent="0.2">
      <c r="A277" s="277" t="s">
        <v>360</v>
      </c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</row>
    <row r="278" spans="1:12" ht="6.75" customHeight="1" x14ac:dyDescent="0.25">
      <c r="A278" s="1"/>
      <c r="B278" s="1"/>
    </row>
    <row r="279" spans="1:12" ht="33.75" customHeight="1" thickBot="1" x14ac:dyDescent="0.25">
      <c r="A279" s="10" t="s">
        <v>0</v>
      </c>
      <c r="B279" s="278" t="s">
        <v>91</v>
      </c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</row>
    <row r="280" spans="1:12" ht="14.25" customHeight="1" thickTop="1" x14ac:dyDescent="0.25">
      <c r="A280" s="1"/>
      <c r="B280" s="11" t="s">
        <v>3</v>
      </c>
      <c r="C280" s="12" t="s">
        <v>4</v>
      </c>
      <c r="D280" s="13"/>
      <c r="E280" s="13"/>
      <c r="F280" s="13"/>
      <c r="G280" s="13"/>
      <c r="H280" s="14"/>
      <c r="I280" s="15" t="s">
        <v>5</v>
      </c>
      <c r="J280" s="12" t="s">
        <v>17</v>
      </c>
      <c r="K280" s="13"/>
      <c r="L280" s="14"/>
    </row>
    <row r="281" spans="1:12" ht="18" customHeight="1" x14ac:dyDescent="0.2">
      <c r="A281" s="50"/>
      <c r="B281" s="143">
        <v>1</v>
      </c>
      <c r="C281" s="284" t="s">
        <v>303</v>
      </c>
      <c r="D281" s="285"/>
      <c r="E281" s="285"/>
      <c r="F281" s="285"/>
      <c r="G281" s="76"/>
      <c r="H281" s="79"/>
      <c r="I281" s="56">
        <v>250000</v>
      </c>
      <c r="J281" s="76"/>
      <c r="K281" s="76"/>
      <c r="L281" s="79"/>
    </row>
    <row r="282" spans="1:12" ht="26.25" customHeight="1" x14ac:dyDescent="0.2">
      <c r="B282" s="96"/>
      <c r="C282" s="124"/>
      <c r="D282" s="124"/>
      <c r="E282" s="127"/>
      <c r="F282" s="125"/>
      <c r="G282" s="124"/>
      <c r="H282" s="124"/>
      <c r="I282" s="23"/>
      <c r="L282" s="17"/>
    </row>
    <row r="283" spans="1:12" ht="17.25" customHeight="1" x14ac:dyDescent="0.25">
      <c r="A283" s="1"/>
      <c r="B283" s="39"/>
      <c r="C283" s="1"/>
      <c r="D283" s="1"/>
      <c r="E283" s="1"/>
      <c r="F283" s="40" t="s">
        <v>5</v>
      </c>
      <c r="G283" s="40"/>
      <c r="H283" s="1"/>
      <c r="I283" s="41">
        <f>SUM(I281:I281)</f>
        <v>250000</v>
      </c>
      <c r="J283" s="1"/>
      <c r="K283" s="1"/>
      <c r="L283" s="42"/>
    </row>
    <row r="284" spans="1:12" ht="7.5" customHeight="1" thickBot="1" x14ac:dyDescent="0.3">
      <c r="A284" s="1"/>
      <c r="B284" s="43"/>
      <c r="C284" s="44"/>
      <c r="D284" s="44"/>
      <c r="E284" s="44"/>
      <c r="F284" s="45"/>
      <c r="G284" s="45"/>
      <c r="H284" s="44"/>
      <c r="I284" s="46"/>
      <c r="J284" s="44"/>
      <c r="K284" s="44"/>
      <c r="L284" s="47"/>
    </row>
    <row r="285" spans="1:12" ht="12.75" customHeight="1" thickTop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47.25" customHeight="1" x14ac:dyDescent="0.2">
      <c r="A286" s="10" t="s">
        <v>2</v>
      </c>
      <c r="B286" s="279" t="s">
        <v>11</v>
      </c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</row>
    <row r="287" spans="1:12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21.75" customHeight="1" x14ac:dyDescent="0.2">
      <c r="A288" s="280" t="s">
        <v>12</v>
      </c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</row>
    <row r="289" spans="1:12" s="99" customFormat="1" ht="20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21.75" hidden="1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" x14ac:dyDescent="0.25">
      <c r="A291" s="1"/>
      <c r="B291" s="1"/>
      <c r="C291" s="1"/>
      <c r="D291" s="1"/>
      <c r="E291" s="1"/>
      <c r="F291" s="1"/>
      <c r="G291" s="1"/>
      <c r="H291" s="4" t="s">
        <v>199</v>
      </c>
      <c r="J291" s="286" t="s">
        <v>357</v>
      </c>
      <c r="K291" s="286"/>
      <c r="L291" s="286"/>
    </row>
    <row r="292" spans="1:12" ht="11.25" customHeight="1" x14ac:dyDescent="0.25">
      <c r="A292" s="1"/>
      <c r="B292" s="1" t="s">
        <v>15</v>
      </c>
      <c r="C292" s="1"/>
      <c r="D292" s="1"/>
      <c r="E292" s="1"/>
      <c r="F292" s="1"/>
      <c r="G292" s="1"/>
      <c r="H292" s="4" t="s">
        <v>13</v>
      </c>
    </row>
    <row r="293" spans="1:12" ht="12.75" customHeight="1" x14ac:dyDescent="0.25">
      <c r="A293" s="1"/>
      <c r="B293" s="1" t="s">
        <v>18</v>
      </c>
      <c r="C293" s="1"/>
      <c r="D293" s="1"/>
      <c r="E293" s="1"/>
      <c r="F293" s="1"/>
      <c r="G293" s="1"/>
      <c r="H293" s="4" t="s">
        <v>14</v>
      </c>
    </row>
    <row r="294" spans="1:12" ht="20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21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5">
      <c r="A296" s="1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"/>
    </row>
    <row r="297" spans="1:12" ht="15" x14ac:dyDescent="0.25">
      <c r="A297" s="1"/>
      <c r="K297" s="103"/>
      <c r="L297" s="1"/>
    </row>
    <row r="298" spans="1:12" ht="14.25" customHeight="1" x14ac:dyDescent="0.25">
      <c r="A298" s="1"/>
      <c r="B298" s="95" t="s">
        <v>77</v>
      </c>
      <c r="H298" s="95" t="str">
        <f>D273</f>
        <v>Meditha Arumsari, S.TP</v>
      </c>
      <c r="I298" s="95"/>
      <c r="J298" s="92"/>
      <c r="K298" s="103"/>
      <c r="L298" s="1"/>
    </row>
    <row r="299" spans="1:12" ht="18" customHeight="1" x14ac:dyDescent="0.25">
      <c r="A299" s="1"/>
      <c r="B299" s="99" t="s">
        <v>27</v>
      </c>
      <c r="C299" s="57"/>
      <c r="H299" s="99"/>
      <c r="K299" s="103"/>
    </row>
    <row r="300" spans="1:12" ht="17.25" customHeight="1" x14ac:dyDescent="0.2"/>
    <row r="301" spans="1:12" ht="17.25" customHeight="1" x14ac:dyDescent="0.2"/>
    <row r="302" spans="1:12" ht="15.75" hidden="1" customHeight="1" x14ac:dyDescent="0.2"/>
    <row r="303" spans="1:12" ht="19.5" customHeight="1" x14ac:dyDescent="0.25">
      <c r="A303" s="3" t="s">
        <v>22</v>
      </c>
    </row>
    <row r="304" spans="1:12" ht="15.75" x14ac:dyDescent="0.2">
      <c r="A304" s="122" t="s">
        <v>20</v>
      </c>
    </row>
    <row r="305" spans="1:12" ht="16.5" customHeight="1" x14ac:dyDescent="0.2">
      <c r="A305" s="122" t="s">
        <v>21</v>
      </c>
    </row>
    <row r="306" spans="1:12" ht="15.75" customHeight="1" x14ac:dyDescent="0.2"/>
    <row r="307" spans="1:12" ht="15.75" customHeight="1" x14ac:dyDescent="0.2"/>
    <row r="308" spans="1:12" ht="19.5" customHeight="1" x14ac:dyDescent="0.2"/>
    <row r="309" spans="1:12" ht="21.75" customHeight="1" x14ac:dyDescent="0.3">
      <c r="A309" s="276" t="s">
        <v>6</v>
      </c>
      <c r="B309" s="276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</row>
    <row r="310" spans="1:12" ht="18.75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</row>
    <row r="311" spans="1:12" ht="16.5" customHeight="1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</row>
    <row r="312" spans="1:12" ht="23.25" customHeight="1" x14ac:dyDescent="0.25">
      <c r="A312" s="1"/>
      <c r="B312" s="1"/>
    </row>
    <row r="313" spans="1:12" ht="11.25" customHeight="1" x14ac:dyDescent="0.25">
      <c r="A313" s="1" t="s">
        <v>7</v>
      </c>
      <c r="B313" s="1"/>
    </row>
    <row r="314" spans="1:12" ht="12.75" customHeight="1" x14ac:dyDescent="0.25">
      <c r="A314" s="1"/>
      <c r="B314" s="1"/>
    </row>
    <row r="315" spans="1:12" ht="18" customHeight="1" x14ac:dyDescent="0.25">
      <c r="A315" s="1" t="s">
        <v>8</v>
      </c>
      <c r="C315" s="9" t="s">
        <v>1</v>
      </c>
      <c r="D315" s="92" t="s">
        <v>96</v>
      </c>
      <c r="E315" s="76"/>
      <c r="F315" s="76"/>
      <c r="G315" s="76"/>
      <c r="H315" s="76"/>
    </row>
    <row r="316" spans="1:12" ht="15" customHeight="1" x14ac:dyDescent="0.25">
      <c r="A316" s="1" t="s">
        <v>9</v>
      </c>
      <c r="C316" s="9" t="s">
        <v>1</v>
      </c>
      <c r="D316" s="57" t="s">
        <v>200</v>
      </c>
      <c r="E316" s="76"/>
      <c r="F316" s="76"/>
      <c r="G316" s="76"/>
      <c r="H316" s="76"/>
    </row>
    <row r="317" spans="1:12" ht="15" customHeight="1" x14ac:dyDescent="0.2">
      <c r="A317" s="50" t="s">
        <v>10</v>
      </c>
      <c r="B317" s="76"/>
      <c r="C317" s="91" t="s">
        <v>1</v>
      </c>
      <c r="D317" s="50" t="s">
        <v>203</v>
      </c>
      <c r="E317" s="76"/>
      <c r="F317" s="76"/>
      <c r="G317" s="76"/>
      <c r="H317" s="76"/>
      <c r="I317" s="76"/>
      <c r="J317" s="76"/>
      <c r="K317" s="76"/>
      <c r="L317" s="76"/>
    </row>
    <row r="318" spans="1:12" ht="16.5" customHeight="1" x14ac:dyDescent="0.25">
      <c r="A318" s="1"/>
      <c r="B318" s="1"/>
      <c r="D318" s="1"/>
    </row>
    <row r="319" spans="1:12" ht="28.5" customHeight="1" x14ac:dyDescent="0.2">
      <c r="A319" s="277" t="s">
        <v>361</v>
      </c>
      <c r="B319" s="277"/>
      <c r="C319" s="277"/>
      <c r="D319" s="277"/>
      <c r="E319" s="277"/>
      <c r="F319" s="277"/>
      <c r="G319" s="277"/>
      <c r="H319" s="277"/>
      <c r="I319" s="277"/>
      <c r="J319" s="277"/>
      <c r="K319" s="277"/>
      <c r="L319" s="277"/>
    </row>
    <row r="320" spans="1:12" ht="10.5" customHeight="1" x14ac:dyDescent="0.25">
      <c r="A320" s="1"/>
      <c r="B320" s="1"/>
    </row>
    <row r="321" spans="1:12" ht="31.5" customHeight="1" thickBot="1" x14ac:dyDescent="0.25">
      <c r="A321" s="10" t="s">
        <v>0</v>
      </c>
      <c r="B321" s="278" t="s">
        <v>91</v>
      </c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</row>
    <row r="322" spans="1:12" ht="24" customHeight="1" thickTop="1" x14ac:dyDescent="0.25">
      <c r="A322" s="1"/>
      <c r="B322" s="11" t="s">
        <v>3</v>
      </c>
      <c r="C322" s="12" t="s">
        <v>4</v>
      </c>
      <c r="D322" s="13"/>
      <c r="E322" s="13"/>
      <c r="F322" s="13"/>
      <c r="G322" s="13"/>
      <c r="H322" s="14"/>
      <c r="I322" s="15" t="s">
        <v>5</v>
      </c>
      <c r="J322" s="12" t="s">
        <v>17</v>
      </c>
      <c r="K322" s="13"/>
      <c r="L322" s="14"/>
    </row>
    <row r="323" spans="1:12" ht="29.25" customHeight="1" x14ac:dyDescent="0.2">
      <c r="A323" s="50"/>
      <c r="B323" s="143">
        <v>1</v>
      </c>
      <c r="C323" s="284" t="s">
        <v>324</v>
      </c>
      <c r="D323" s="285"/>
      <c r="E323" s="285"/>
      <c r="F323" s="285"/>
      <c r="G323" s="76"/>
      <c r="H323" s="79"/>
      <c r="I323" s="56">
        <v>275000</v>
      </c>
      <c r="J323" s="76"/>
      <c r="K323" s="76"/>
      <c r="L323" s="79"/>
    </row>
    <row r="324" spans="1:12" ht="23.25" customHeight="1" x14ac:dyDescent="0.2">
      <c r="B324" s="96"/>
      <c r="C324" s="124"/>
      <c r="D324" s="124"/>
      <c r="E324" s="127"/>
      <c r="F324" s="125"/>
      <c r="G324" s="124"/>
      <c r="H324" s="124"/>
      <c r="I324" s="23"/>
      <c r="L324" s="17"/>
    </row>
    <row r="325" spans="1:12" ht="17.25" customHeight="1" x14ac:dyDescent="0.25">
      <c r="A325" s="1"/>
      <c r="B325" s="39"/>
      <c r="C325" s="1"/>
      <c r="D325" s="1"/>
      <c r="E325" s="1"/>
      <c r="F325" s="40" t="s">
        <v>5</v>
      </c>
      <c r="G325" s="40"/>
      <c r="H325" s="1"/>
      <c r="I325" s="41">
        <f>SUM(I323:I323)</f>
        <v>275000</v>
      </c>
      <c r="J325" s="1"/>
      <c r="K325" s="1"/>
      <c r="L325" s="42"/>
    </row>
    <row r="326" spans="1:12" ht="5.25" customHeight="1" thickBot="1" x14ac:dyDescent="0.3">
      <c r="A326" s="1"/>
      <c r="B326" s="43"/>
      <c r="C326" s="44"/>
      <c r="D326" s="44"/>
      <c r="E326" s="44"/>
      <c r="F326" s="45"/>
      <c r="G326" s="45"/>
      <c r="H326" s="44"/>
      <c r="I326" s="46"/>
      <c r="J326" s="44"/>
      <c r="K326" s="44"/>
      <c r="L326" s="47"/>
    </row>
    <row r="327" spans="1:12" ht="17.25" customHeight="1" thickTop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52.5" customHeight="1" x14ac:dyDescent="0.2">
      <c r="A328" s="10" t="s">
        <v>2</v>
      </c>
      <c r="B328" s="279" t="s">
        <v>11</v>
      </c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</row>
    <row r="329" spans="1:12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20.25" customHeight="1" x14ac:dyDescent="0.2">
      <c r="A330" s="280" t="s">
        <v>12</v>
      </c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</row>
    <row r="331" spans="1:12" s="99" customFormat="1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7.25" customHeight="1" x14ac:dyDescent="0.25">
      <c r="A333" s="1"/>
      <c r="B333" s="1"/>
      <c r="C333" s="1"/>
      <c r="D333" s="1"/>
      <c r="E333" s="1"/>
      <c r="F333" s="1"/>
      <c r="G333" s="1"/>
      <c r="H333" s="4" t="s">
        <v>199</v>
      </c>
      <c r="J333" s="286" t="s">
        <v>357</v>
      </c>
      <c r="K333" s="286"/>
      <c r="L333" s="286"/>
    </row>
    <row r="334" spans="1:12" ht="13.5" customHeight="1" x14ac:dyDescent="0.25">
      <c r="A334" s="1"/>
      <c r="B334" s="1" t="s">
        <v>15</v>
      </c>
      <c r="C334" s="1"/>
      <c r="D334" s="1"/>
      <c r="E334" s="1"/>
      <c r="F334" s="1"/>
      <c r="G334" s="1"/>
      <c r="H334" s="4" t="s">
        <v>13</v>
      </c>
    </row>
    <row r="335" spans="1:12" ht="12" customHeight="1" x14ac:dyDescent="0.25">
      <c r="A335" s="1"/>
      <c r="B335" s="1" t="s">
        <v>18</v>
      </c>
      <c r="C335" s="1"/>
      <c r="D335" s="1"/>
      <c r="E335" s="1"/>
      <c r="F335" s="1"/>
      <c r="G335" s="1"/>
      <c r="H335" s="4" t="s">
        <v>14</v>
      </c>
    </row>
    <row r="336" spans="1:12" ht="11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" customHeight="1" x14ac:dyDescent="0.25">
      <c r="A338" s="1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"/>
    </row>
    <row r="339" spans="1:12" ht="15" customHeight="1" x14ac:dyDescent="0.25">
      <c r="A339" s="1"/>
      <c r="K339" s="103"/>
      <c r="L339" s="1"/>
    </row>
    <row r="340" spans="1:12" ht="15" customHeight="1" x14ac:dyDescent="0.25">
      <c r="A340" s="1"/>
      <c r="B340" s="95" t="s">
        <v>77</v>
      </c>
      <c r="H340" s="95" t="s">
        <v>96</v>
      </c>
      <c r="I340" s="95"/>
      <c r="J340" s="92"/>
      <c r="K340" s="103"/>
      <c r="L340" s="1"/>
    </row>
    <row r="341" spans="1:12" ht="15" x14ac:dyDescent="0.25">
      <c r="A341" s="1"/>
      <c r="B341" s="99" t="s">
        <v>27</v>
      </c>
      <c r="C341" s="57"/>
      <c r="H341" s="99" t="s">
        <v>100</v>
      </c>
      <c r="K341" s="103"/>
    </row>
    <row r="342" spans="1:12" ht="13.5" customHeight="1" x14ac:dyDescent="0.2"/>
    <row r="343" spans="1:12" ht="21" customHeight="1" x14ac:dyDescent="0.2"/>
    <row r="344" spans="1:12" ht="20.25" customHeight="1" x14ac:dyDescent="0.25">
      <c r="A344" s="3" t="s">
        <v>22</v>
      </c>
    </row>
    <row r="345" spans="1:12" ht="16.5" customHeight="1" x14ac:dyDescent="0.2">
      <c r="A345" s="122" t="s">
        <v>20</v>
      </c>
    </row>
    <row r="346" spans="1:12" ht="15.75" customHeight="1" x14ac:dyDescent="0.2">
      <c r="A346" s="122" t="s">
        <v>21</v>
      </c>
    </row>
    <row r="347" spans="1:12" ht="21" customHeight="1" x14ac:dyDescent="0.2"/>
    <row r="348" spans="1:12" ht="15" customHeight="1" x14ac:dyDescent="0.2"/>
    <row r="349" spans="1:12" ht="18" customHeight="1" x14ac:dyDescent="0.2"/>
    <row r="350" spans="1:12" ht="27.75" customHeight="1" x14ac:dyDescent="0.3">
      <c r="A350" s="276" t="s">
        <v>6</v>
      </c>
      <c r="B350" s="276"/>
      <c r="C350" s="276"/>
      <c r="D350" s="276"/>
      <c r="E350" s="276"/>
      <c r="F350" s="276"/>
      <c r="G350" s="276"/>
      <c r="H350" s="276"/>
      <c r="I350" s="276"/>
      <c r="J350" s="276"/>
      <c r="K350" s="276"/>
      <c r="L350" s="276"/>
    </row>
    <row r="351" spans="1:12" ht="18.75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2" ht="15" customHeight="1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</row>
    <row r="353" spans="1:12" ht="17.25" customHeight="1" x14ac:dyDescent="0.25">
      <c r="A353" s="1"/>
      <c r="B353" s="1"/>
    </row>
    <row r="354" spans="1:12" ht="15" customHeight="1" x14ac:dyDescent="0.25">
      <c r="A354" s="1" t="s">
        <v>7</v>
      </c>
      <c r="B354" s="1"/>
    </row>
    <row r="355" spans="1:12" ht="15" customHeight="1" x14ac:dyDescent="0.25">
      <c r="A355" s="1"/>
      <c r="B355" s="1"/>
    </row>
    <row r="356" spans="1:12" ht="18" customHeight="1" x14ac:dyDescent="0.25">
      <c r="A356" s="1" t="s">
        <v>8</v>
      </c>
      <c r="C356" s="9" t="s">
        <v>1</v>
      </c>
      <c r="D356" s="92" t="s">
        <v>77</v>
      </c>
      <c r="E356" s="76"/>
      <c r="F356" s="76"/>
      <c r="G356" s="76"/>
      <c r="H356" s="76"/>
    </row>
    <row r="357" spans="1:12" ht="16.5" customHeight="1" x14ac:dyDescent="0.25">
      <c r="A357" s="1" t="s">
        <v>9</v>
      </c>
      <c r="C357" s="9" t="s">
        <v>1</v>
      </c>
      <c r="D357" s="57" t="s">
        <v>201</v>
      </c>
      <c r="E357" s="76"/>
      <c r="F357" s="76"/>
      <c r="G357" s="76"/>
      <c r="H357" s="76"/>
    </row>
    <row r="358" spans="1:12" ht="15" customHeight="1" x14ac:dyDescent="0.2">
      <c r="A358" s="50" t="s">
        <v>10</v>
      </c>
      <c r="B358" s="76"/>
      <c r="C358" s="91" t="s">
        <v>1</v>
      </c>
      <c r="D358" s="50" t="s">
        <v>265</v>
      </c>
      <c r="E358" s="76"/>
      <c r="F358" s="76"/>
      <c r="G358" s="76"/>
      <c r="H358" s="76"/>
      <c r="I358" s="76"/>
      <c r="J358" s="76"/>
      <c r="K358" s="76"/>
      <c r="L358" s="76"/>
    </row>
    <row r="359" spans="1:12" ht="12" customHeight="1" x14ac:dyDescent="0.25">
      <c r="A359" s="1"/>
      <c r="B359" s="1"/>
      <c r="D359" s="1"/>
    </row>
    <row r="360" spans="1:12" ht="31.5" customHeight="1" x14ac:dyDescent="0.2">
      <c r="A360" s="277" t="s">
        <v>361</v>
      </c>
      <c r="B360" s="277"/>
      <c r="C360" s="277"/>
      <c r="D360" s="277"/>
      <c r="E360" s="277"/>
      <c r="F360" s="277"/>
      <c r="G360" s="277"/>
      <c r="H360" s="277"/>
      <c r="I360" s="277"/>
      <c r="J360" s="277"/>
      <c r="K360" s="277"/>
      <c r="L360" s="277"/>
    </row>
    <row r="361" spans="1:12" ht="12.75" customHeight="1" x14ac:dyDescent="0.25">
      <c r="A361" s="1"/>
      <c r="B361" s="1"/>
    </row>
    <row r="362" spans="1:12" ht="34.5" customHeight="1" thickBot="1" x14ac:dyDescent="0.25">
      <c r="A362" s="10" t="s">
        <v>0</v>
      </c>
      <c r="B362" s="278" t="s">
        <v>91</v>
      </c>
      <c r="C362" s="278"/>
      <c r="D362" s="278"/>
      <c r="E362" s="278"/>
      <c r="F362" s="278"/>
      <c r="G362" s="278"/>
      <c r="H362" s="278"/>
      <c r="I362" s="278"/>
      <c r="J362" s="278"/>
      <c r="K362" s="278"/>
      <c r="L362" s="278"/>
    </row>
    <row r="363" spans="1:12" ht="21.75" customHeight="1" thickTop="1" x14ac:dyDescent="0.25">
      <c r="A363" s="1"/>
      <c r="B363" s="11" t="s">
        <v>3</v>
      </c>
      <c r="C363" s="12" t="s">
        <v>4</v>
      </c>
      <c r="D363" s="13"/>
      <c r="E363" s="13"/>
      <c r="F363" s="13"/>
      <c r="G363" s="13"/>
      <c r="H363" s="14"/>
      <c r="I363" s="15" t="s">
        <v>5</v>
      </c>
      <c r="J363" s="12" t="s">
        <v>17</v>
      </c>
      <c r="K363" s="13"/>
      <c r="L363" s="14"/>
    </row>
    <row r="364" spans="1:12" ht="27" customHeight="1" x14ac:dyDescent="0.2">
      <c r="A364" s="50"/>
      <c r="B364" s="143">
        <v>1</v>
      </c>
      <c r="C364" s="284" t="s">
        <v>324</v>
      </c>
      <c r="D364" s="285"/>
      <c r="E364" s="285"/>
      <c r="F364" s="285"/>
      <c r="G364" s="76"/>
      <c r="H364" s="79"/>
      <c r="I364" s="56">
        <v>275000</v>
      </c>
      <c r="J364" s="76"/>
      <c r="K364" s="76"/>
      <c r="L364" s="79"/>
    </row>
    <row r="365" spans="1:12" ht="21.75" customHeight="1" x14ac:dyDescent="0.2">
      <c r="B365" s="96"/>
      <c r="C365" s="124"/>
      <c r="D365" s="124"/>
      <c r="E365" s="127"/>
      <c r="F365" s="125"/>
      <c r="G365" s="124"/>
      <c r="H365" s="124"/>
      <c r="I365" s="23"/>
      <c r="L365" s="17"/>
    </row>
    <row r="366" spans="1:12" ht="18" customHeight="1" x14ac:dyDescent="0.25">
      <c r="A366" s="1"/>
      <c r="B366" s="39"/>
      <c r="C366" s="1"/>
      <c r="D366" s="1"/>
      <c r="E366" s="1"/>
      <c r="F366" s="40" t="s">
        <v>5</v>
      </c>
      <c r="G366" s="40"/>
      <c r="H366" s="1"/>
      <c r="I366" s="41">
        <f>SUM(I364:I364)</f>
        <v>275000</v>
      </c>
      <c r="J366" s="1"/>
      <c r="K366" s="1"/>
      <c r="L366" s="42"/>
    </row>
    <row r="367" spans="1:12" ht="6" customHeight="1" thickBot="1" x14ac:dyDescent="0.3">
      <c r="A367" s="1"/>
      <c r="B367" s="43"/>
      <c r="C367" s="44"/>
      <c r="D367" s="44"/>
      <c r="E367" s="44"/>
      <c r="F367" s="45"/>
      <c r="G367" s="45"/>
      <c r="H367" s="44"/>
      <c r="I367" s="46"/>
      <c r="J367" s="44"/>
      <c r="K367" s="44"/>
      <c r="L367" s="47"/>
    </row>
    <row r="368" spans="1:12" ht="19.5" customHeight="1" thickTop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48" customHeight="1" x14ac:dyDescent="0.2">
      <c r="A369" s="10" t="s">
        <v>2</v>
      </c>
      <c r="B369" s="279" t="s">
        <v>11</v>
      </c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</row>
    <row r="370" spans="1:1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9.5" customHeight="1" x14ac:dyDescent="0.2">
      <c r="A371" s="280" t="s">
        <v>12</v>
      </c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</row>
    <row r="372" spans="1:12" ht="1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3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customHeight="1" x14ac:dyDescent="0.25">
      <c r="A374" s="1"/>
      <c r="B374" s="1"/>
      <c r="C374" s="1"/>
      <c r="D374" s="1"/>
      <c r="E374" s="1"/>
      <c r="F374" s="1"/>
      <c r="G374" s="1"/>
      <c r="H374" s="4" t="s">
        <v>199</v>
      </c>
      <c r="J374" s="286" t="s">
        <v>357</v>
      </c>
      <c r="K374" s="286"/>
      <c r="L374" s="286"/>
    </row>
    <row r="375" spans="1:12" ht="17.25" customHeight="1" x14ac:dyDescent="0.25">
      <c r="A375" s="1"/>
      <c r="B375" s="1" t="s">
        <v>15</v>
      </c>
      <c r="C375" s="1"/>
      <c r="D375" s="1"/>
      <c r="E375" s="1"/>
      <c r="F375" s="1"/>
      <c r="G375" s="1"/>
      <c r="H375" s="4" t="s">
        <v>13</v>
      </c>
    </row>
    <row r="376" spans="1:12" ht="15" customHeight="1" x14ac:dyDescent="0.25">
      <c r="A376" s="1"/>
      <c r="B376" s="1" t="s">
        <v>18</v>
      </c>
      <c r="C376" s="1"/>
      <c r="D376" s="1"/>
      <c r="E376" s="1"/>
      <c r="F376" s="1"/>
      <c r="G376" s="1"/>
      <c r="H376" s="4" t="s">
        <v>14</v>
      </c>
    </row>
    <row r="377" spans="1:12" ht="27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" customHeight="1" x14ac:dyDescent="0.25">
      <c r="A379" s="1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"/>
    </row>
    <row r="380" spans="1:12" ht="15" x14ac:dyDescent="0.25">
      <c r="A380" s="1"/>
      <c r="K380" s="103"/>
      <c r="L380" s="1"/>
    </row>
    <row r="381" spans="1:12" ht="15.75" customHeight="1" x14ac:dyDescent="0.25">
      <c r="A381" s="1"/>
      <c r="B381" s="95" t="s">
        <v>77</v>
      </c>
      <c r="H381" s="95" t="s">
        <v>77</v>
      </c>
      <c r="I381" s="95"/>
      <c r="J381" s="92"/>
      <c r="K381" s="103"/>
      <c r="L381" s="1"/>
    </row>
    <row r="382" spans="1:12" ht="15" customHeight="1" x14ac:dyDescent="0.25">
      <c r="A382" s="1"/>
      <c r="B382" s="99" t="s">
        <v>27</v>
      </c>
      <c r="C382" s="57"/>
      <c r="H382" s="99" t="s">
        <v>27</v>
      </c>
      <c r="K382" s="103"/>
    </row>
    <row r="383" spans="1:12" ht="13.5" customHeight="1" x14ac:dyDescent="0.2"/>
    <row r="384" spans="1:12" ht="12.75" x14ac:dyDescent="0.2"/>
    <row r="385" spans="1:1" ht="33.75" customHeight="1" x14ac:dyDescent="0.2"/>
    <row r="386" spans="1:1" ht="15.75" customHeight="1" x14ac:dyDescent="0.2"/>
    <row r="387" spans="1:1" ht="20.25" hidden="1" customHeight="1" x14ac:dyDescent="0.2"/>
    <row r="388" spans="1:1" ht="39.75" hidden="1" customHeight="1" x14ac:dyDescent="0.2"/>
    <row r="389" spans="1:1" ht="15.75" customHeight="1" x14ac:dyDescent="0.2"/>
    <row r="390" spans="1:1" ht="21" customHeight="1" x14ac:dyDescent="0.2"/>
    <row r="391" spans="1:1" ht="21.75" customHeight="1" x14ac:dyDescent="0.2"/>
    <row r="392" spans="1:1" ht="23.25" customHeight="1" x14ac:dyDescent="0.2"/>
    <row r="393" spans="1:1" ht="15.75" customHeight="1" x14ac:dyDescent="0.2"/>
    <row r="394" spans="1:1" ht="14.25" customHeight="1" x14ac:dyDescent="0.2"/>
    <row r="395" spans="1:1" ht="15.75" customHeight="1" x14ac:dyDescent="0.2"/>
    <row r="396" spans="1:1" ht="19.5" customHeight="1" x14ac:dyDescent="0.25">
      <c r="A396" s="3" t="s">
        <v>22</v>
      </c>
    </row>
    <row r="397" spans="1:1" ht="15.75" x14ac:dyDescent="0.2">
      <c r="A397" s="122" t="s">
        <v>20</v>
      </c>
    </row>
    <row r="398" spans="1:1" ht="15.75" x14ac:dyDescent="0.2">
      <c r="A398" s="122" t="s">
        <v>21</v>
      </c>
    </row>
    <row r="399" spans="1:1" ht="15" customHeight="1" x14ac:dyDescent="0.2"/>
    <row r="400" spans="1:1" ht="12.75" x14ac:dyDescent="0.2"/>
    <row r="401" spans="1:12" ht="16.5" customHeight="1" x14ac:dyDescent="0.2"/>
    <row r="402" spans="1:12" ht="2.25" customHeight="1" x14ac:dyDescent="0.3">
      <c r="A402" s="276" t="s">
        <v>6</v>
      </c>
      <c r="B402" s="276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</row>
    <row r="403" spans="1:12" ht="20.25" customHeight="1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2" ht="13.5" hidden="1" customHeight="1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</row>
    <row r="405" spans="1:12" ht="14.25" hidden="1" customHeight="1" x14ac:dyDescent="0.25">
      <c r="A405" s="1"/>
      <c r="B405" s="1"/>
    </row>
    <row r="406" spans="1:12" ht="17.25" customHeight="1" x14ac:dyDescent="0.25">
      <c r="A406" s="1" t="s">
        <v>7</v>
      </c>
      <c r="B406" s="1"/>
    </row>
    <row r="407" spans="1:12" ht="15" x14ac:dyDescent="0.25">
      <c r="A407" s="1"/>
      <c r="B407" s="1"/>
    </row>
    <row r="408" spans="1:12" ht="18" customHeight="1" x14ac:dyDescent="0.25">
      <c r="A408" s="1" t="s">
        <v>8</v>
      </c>
      <c r="C408" s="9" t="s">
        <v>1</v>
      </c>
      <c r="D408" s="92" t="s">
        <v>205</v>
      </c>
      <c r="E408" s="76"/>
      <c r="F408" s="76"/>
      <c r="G408" s="76"/>
      <c r="H408" s="76"/>
    </row>
    <row r="409" spans="1:12" ht="13.5" customHeight="1" x14ac:dyDescent="0.25">
      <c r="A409" s="1" t="s">
        <v>9</v>
      </c>
      <c r="C409" s="9" t="s">
        <v>1</v>
      </c>
      <c r="D409" s="57" t="s">
        <v>74</v>
      </c>
      <c r="E409" s="76"/>
      <c r="F409" s="76"/>
      <c r="G409" s="76"/>
      <c r="H409" s="76"/>
    </row>
    <row r="410" spans="1:12" ht="19.5" customHeight="1" x14ac:dyDescent="0.2">
      <c r="A410" s="50" t="s">
        <v>10</v>
      </c>
      <c r="B410" s="76"/>
      <c r="C410" s="91" t="s">
        <v>1</v>
      </c>
      <c r="D410" s="50" t="s">
        <v>243</v>
      </c>
      <c r="E410" s="76"/>
      <c r="F410" s="76"/>
      <c r="G410" s="76"/>
      <c r="H410" s="76"/>
      <c r="I410" s="76"/>
      <c r="J410" s="76"/>
      <c r="K410" s="76"/>
      <c r="L410" s="76"/>
    </row>
    <row r="411" spans="1:12" ht="13.5" customHeight="1" x14ac:dyDescent="0.25">
      <c r="A411" s="1"/>
      <c r="B411" s="1"/>
      <c r="D411" s="1"/>
    </row>
    <row r="412" spans="1:12" ht="32.25" customHeight="1" x14ac:dyDescent="0.2">
      <c r="A412" s="277" t="s">
        <v>362</v>
      </c>
      <c r="B412" s="277"/>
      <c r="C412" s="277"/>
      <c r="D412" s="277"/>
      <c r="E412" s="277"/>
      <c r="F412" s="277"/>
      <c r="G412" s="277"/>
      <c r="H412" s="277"/>
      <c r="I412" s="277"/>
      <c r="J412" s="277"/>
      <c r="K412" s="277"/>
      <c r="L412" s="277"/>
    </row>
    <row r="413" spans="1:12" ht="7.5" customHeight="1" x14ac:dyDescent="0.25">
      <c r="A413" s="1"/>
      <c r="B413" s="1"/>
    </row>
    <row r="414" spans="1:12" ht="33" customHeight="1" thickBot="1" x14ac:dyDescent="0.25">
      <c r="A414" s="10" t="s">
        <v>0</v>
      </c>
      <c r="B414" s="278" t="s">
        <v>91</v>
      </c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</row>
    <row r="415" spans="1:12" ht="15" customHeight="1" thickTop="1" x14ac:dyDescent="0.25">
      <c r="A415" s="1"/>
      <c r="B415" s="11" t="s">
        <v>3</v>
      </c>
      <c r="C415" s="12" t="s">
        <v>4</v>
      </c>
      <c r="D415" s="13"/>
      <c r="E415" s="13"/>
      <c r="F415" s="13"/>
      <c r="G415" s="13"/>
      <c r="H415" s="14"/>
      <c r="I415" s="15" t="s">
        <v>5</v>
      </c>
      <c r="J415" s="12" t="s">
        <v>17</v>
      </c>
      <c r="K415" s="13"/>
      <c r="L415" s="14"/>
    </row>
    <row r="416" spans="1:12" ht="18" customHeight="1" x14ac:dyDescent="0.2">
      <c r="A416" s="50"/>
      <c r="B416" s="143">
        <v>1</v>
      </c>
      <c r="C416" s="284" t="s">
        <v>303</v>
      </c>
      <c r="D416" s="285"/>
      <c r="E416" s="285"/>
      <c r="F416" s="285"/>
      <c r="G416" s="76"/>
      <c r="H416" s="79"/>
      <c r="I416" s="56">
        <v>250000</v>
      </c>
      <c r="J416" s="76"/>
      <c r="K416" s="76"/>
      <c r="L416" s="79"/>
    </row>
    <row r="417" spans="1:12" ht="42" customHeight="1" x14ac:dyDescent="0.2">
      <c r="B417" s="96"/>
      <c r="C417" s="124"/>
      <c r="D417" s="124"/>
      <c r="E417" s="127"/>
      <c r="F417" s="125"/>
      <c r="G417" s="124"/>
      <c r="H417" s="124"/>
      <c r="I417" s="23"/>
      <c r="L417" s="17"/>
    </row>
    <row r="418" spans="1:12" ht="21.75" customHeight="1" x14ac:dyDescent="0.25">
      <c r="A418" s="1"/>
      <c r="B418" s="39"/>
      <c r="C418" s="1"/>
      <c r="D418" s="1"/>
      <c r="E418" s="1"/>
      <c r="F418" s="40" t="s">
        <v>5</v>
      </c>
      <c r="G418" s="40"/>
      <c r="H418" s="1"/>
      <c r="I418" s="41">
        <f>SUM(I416:I416)</f>
        <v>250000</v>
      </c>
      <c r="J418" s="1"/>
      <c r="K418" s="1"/>
      <c r="L418" s="42"/>
    </row>
    <row r="419" spans="1:12" ht="11.25" customHeight="1" thickBot="1" x14ac:dyDescent="0.3">
      <c r="A419" s="1"/>
      <c r="B419" s="43"/>
      <c r="C419" s="44"/>
      <c r="D419" s="44"/>
      <c r="E419" s="44"/>
      <c r="F419" s="45"/>
      <c r="G419" s="45"/>
      <c r="H419" s="44"/>
      <c r="I419" s="46"/>
      <c r="J419" s="44"/>
      <c r="K419" s="44"/>
      <c r="L419" s="47"/>
    </row>
    <row r="420" spans="1:12" ht="12.75" customHeight="1" thickTop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51.75" customHeight="1" x14ac:dyDescent="0.2">
      <c r="A421" s="10" t="s">
        <v>2</v>
      </c>
      <c r="B421" s="279" t="s">
        <v>11</v>
      </c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</row>
    <row r="422" spans="1:12" ht="16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" x14ac:dyDescent="0.2">
      <c r="A423" s="280" t="s">
        <v>12</v>
      </c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</row>
    <row r="424" spans="1:12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2.75" customHeight="1" x14ac:dyDescent="0.25">
      <c r="A426" s="1"/>
      <c r="B426" s="1"/>
      <c r="C426" s="1"/>
      <c r="D426" s="1"/>
      <c r="E426" s="1"/>
      <c r="F426" s="1"/>
      <c r="G426" s="1"/>
      <c r="H426" s="4" t="s">
        <v>199</v>
      </c>
      <c r="J426" s="286" t="s">
        <v>357</v>
      </c>
      <c r="K426" s="286"/>
      <c r="L426" s="286"/>
    </row>
    <row r="427" spans="1:12" ht="15" x14ac:dyDescent="0.25">
      <c r="A427" s="1"/>
      <c r="B427" s="1" t="s">
        <v>15</v>
      </c>
      <c r="C427" s="1"/>
      <c r="D427" s="1"/>
      <c r="E427" s="1"/>
      <c r="F427" s="1"/>
      <c r="G427" s="1"/>
      <c r="H427" s="4" t="s">
        <v>13</v>
      </c>
    </row>
    <row r="428" spans="1:12" ht="11.25" customHeight="1" x14ac:dyDescent="0.25">
      <c r="A428" s="1"/>
      <c r="B428" s="1" t="s">
        <v>18</v>
      </c>
      <c r="C428" s="1"/>
      <c r="D428" s="1"/>
      <c r="E428" s="1"/>
      <c r="F428" s="1"/>
      <c r="G428" s="1"/>
      <c r="H428" s="4" t="s">
        <v>14</v>
      </c>
    </row>
    <row r="429" spans="1:12" ht="5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3.5" hidden="1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22.5" customHeight="1" x14ac:dyDescent="0.25">
      <c r="A431" s="1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"/>
    </row>
    <row r="432" spans="1:12" ht="27.75" customHeight="1" x14ac:dyDescent="0.25">
      <c r="A432" s="1"/>
      <c r="K432" s="103"/>
      <c r="L432" s="1"/>
    </row>
    <row r="433" spans="1:12" ht="11.25" customHeight="1" x14ac:dyDescent="0.25">
      <c r="A433" s="1"/>
      <c r="B433" s="95" t="s">
        <v>77</v>
      </c>
      <c r="H433" s="95" t="str">
        <f>D408</f>
        <v>Meditha Arumsari, S.TP</v>
      </c>
      <c r="I433" s="95"/>
      <c r="J433" s="92"/>
      <c r="K433" s="103"/>
      <c r="L433" s="1"/>
    </row>
    <row r="434" spans="1:12" ht="36.75" customHeight="1" x14ac:dyDescent="0.25">
      <c r="A434" s="1"/>
      <c r="B434" s="99" t="s">
        <v>27</v>
      </c>
      <c r="C434" s="57"/>
      <c r="H434" s="99"/>
      <c r="K434" s="103"/>
    </row>
    <row r="435" spans="1:12" ht="21.75" customHeight="1" x14ac:dyDescent="0.2"/>
    <row r="436" spans="1:12" ht="18" customHeight="1" x14ac:dyDescent="0.2"/>
    <row r="437" spans="1:12" ht="23.25" customHeight="1" x14ac:dyDescent="0.2"/>
    <row r="438" spans="1:12" ht="24" customHeight="1" x14ac:dyDescent="0.2"/>
    <row r="439" spans="1:12" ht="15.75" customHeight="1" x14ac:dyDescent="0.2"/>
    <row r="440" spans="1:12" ht="18.75" customHeight="1" x14ac:dyDescent="0.2"/>
    <row r="441" spans="1:12" ht="33" customHeight="1" x14ac:dyDescent="0.25">
      <c r="A441" s="3" t="s">
        <v>22</v>
      </c>
    </row>
    <row r="442" spans="1:12" ht="15.75" x14ac:dyDescent="0.2">
      <c r="A442" s="122" t="s">
        <v>20</v>
      </c>
    </row>
    <row r="443" spans="1:12" ht="15.75" x14ac:dyDescent="0.2">
      <c r="A443" s="122" t="s">
        <v>21</v>
      </c>
    </row>
    <row r="444" spans="1:12" ht="12.75" x14ac:dyDescent="0.2"/>
    <row r="445" spans="1:12" ht="12.75" x14ac:dyDescent="0.2"/>
    <row r="446" spans="1:12" ht="12.75" x14ac:dyDescent="0.2"/>
    <row r="447" spans="1:12" ht="18.75" x14ac:dyDescent="0.3">
      <c r="A447" s="276" t="s">
        <v>6</v>
      </c>
      <c r="B447" s="276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</row>
    <row r="448" spans="1:12" ht="15.75" customHeight="1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</row>
    <row r="449" spans="1:12" ht="11.25" customHeight="1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 ht="13.5" customHeight="1" x14ac:dyDescent="0.25">
      <c r="A450" s="1"/>
      <c r="B450" s="1"/>
    </row>
    <row r="451" spans="1:12" ht="15" customHeight="1" x14ac:dyDescent="0.25">
      <c r="A451" s="1" t="s">
        <v>7</v>
      </c>
      <c r="B451" s="1"/>
    </row>
    <row r="452" spans="1:12" ht="21" customHeight="1" x14ac:dyDescent="0.25">
      <c r="A452" s="1"/>
      <c r="B452" s="1"/>
    </row>
    <row r="453" spans="1:12" ht="14.25" customHeight="1" x14ac:dyDescent="0.25">
      <c r="A453" s="1" t="s">
        <v>8</v>
      </c>
      <c r="C453" s="9" t="s">
        <v>1</v>
      </c>
      <c r="D453" s="126" t="s">
        <v>64</v>
      </c>
      <c r="E453" s="76"/>
      <c r="F453" s="76"/>
      <c r="G453" s="76"/>
      <c r="H453" s="76"/>
    </row>
    <row r="454" spans="1:12" ht="13.5" customHeight="1" x14ac:dyDescent="0.25">
      <c r="A454" s="1" t="s">
        <v>9</v>
      </c>
      <c r="C454" s="9" t="s">
        <v>1</v>
      </c>
      <c r="D454" s="119" t="s">
        <v>236</v>
      </c>
      <c r="E454" s="76"/>
      <c r="F454" s="76"/>
      <c r="G454" s="76"/>
      <c r="H454" s="76"/>
    </row>
    <row r="455" spans="1:12" ht="19.5" customHeight="1" x14ac:dyDescent="0.2">
      <c r="A455" s="50" t="s">
        <v>10</v>
      </c>
      <c r="B455" s="76"/>
      <c r="C455" s="91" t="s">
        <v>1</v>
      </c>
      <c r="D455" s="124" t="s">
        <v>235</v>
      </c>
      <c r="E455" s="76"/>
      <c r="F455" s="76"/>
      <c r="G455" s="76"/>
      <c r="H455" s="76"/>
      <c r="I455" s="76"/>
      <c r="J455" s="76"/>
      <c r="K455" s="76"/>
      <c r="L455" s="76"/>
    </row>
    <row r="456" spans="1:12" ht="16.5" customHeight="1" x14ac:dyDescent="0.25">
      <c r="A456" s="1"/>
      <c r="B456" s="1"/>
      <c r="D456" s="1"/>
    </row>
    <row r="457" spans="1:12" ht="29.25" customHeight="1" x14ac:dyDescent="0.2">
      <c r="A457" s="277" t="s">
        <v>362</v>
      </c>
      <c r="B457" s="277"/>
      <c r="C457" s="277"/>
      <c r="D457" s="277"/>
      <c r="E457" s="277"/>
      <c r="F457" s="277"/>
      <c r="G457" s="277"/>
      <c r="H457" s="277"/>
      <c r="I457" s="277"/>
      <c r="J457" s="277"/>
      <c r="K457" s="277"/>
      <c r="L457" s="277"/>
    </row>
    <row r="458" spans="1:12" ht="19.5" customHeight="1" x14ac:dyDescent="0.25">
      <c r="A458" s="1"/>
      <c r="B458" s="1"/>
    </row>
    <row r="459" spans="1:12" ht="36" customHeight="1" thickBot="1" x14ac:dyDescent="0.25">
      <c r="A459" s="10" t="s">
        <v>0</v>
      </c>
      <c r="B459" s="278" t="s">
        <v>91</v>
      </c>
      <c r="C459" s="278"/>
      <c r="D459" s="278"/>
      <c r="E459" s="278"/>
      <c r="F459" s="278"/>
      <c r="G459" s="278"/>
      <c r="H459" s="278"/>
      <c r="I459" s="278"/>
      <c r="J459" s="278"/>
      <c r="K459" s="278"/>
      <c r="L459" s="278"/>
    </row>
    <row r="460" spans="1:12" ht="15" customHeight="1" thickTop="1" x14ac:dyDescent="0.25">
      <c r="A460" s="1"/>
      <c r="B460" s="11" t="s">
        <v>3</v>
      </c>
      <c r="C460" s="12" t="s">
        <v>4</v>
      </c>
      <c r="D460" s="13"/>
      <c r="E460" s="13"/>
      <c r="F460" s="13"/>
      <c r="G460" s="13"/>
      <c r="H460" s="14"/>
      <c r="I460" s="15" t="s">
        <v>5</v>
      </c>
      <c r="J460" s="12" t="s">
        <v>17</v>
      </c>
      <c r="K460" s="13"/>
      <c r="L460" s="14"/>
    </row>
    <row r="461" spans="1:12" ht="18" customHeight="1" x14ac:dyDescent="0.2">
      <c r="A461" s="50"/>
      <c r="B461" s="143">
        <v>1</v>
      </c>
      <c r="C461" s="284" t="s">
        <v>303</v>
      </c>
      <c r="D461" s="285"/>
      <c r="E461" s="285"/>
      <c r="F461" s="285"/>
      <c r="G461" s="76"/>
      <c r="H461" s="79"/>
      <c r="I461" s="56">
        <v>250000</v>
      </c>
      <c r="J461" s="76"/>
      <c r="K461" s="76"/>
      <c r="L461" s="79"/>
    </row>
    <row r="462" spans="1:12" ht="14.25" customHeight="1" x14ac:dyDescent="0.2">
      <c r="B462" s="96"/>
      <c r="C462" s="124"/>
      <c r="D462" s="124"/>
      <c r="E462" s="127"/>
      <c r="F462" s="125"/>
      <c r="G462" s="124"/>
      <c r="H462" s="124"/>
      <c r="I462" s="23"/>
      <c r="L462" s="17"/>
    </row>
    <row r="463" spans="1:12" ht="20.25" customHeight="1" x14ac:dyDescent="0.25">
      <c r="A463" s="1"/>
      <c r="B463" s="39"/>
      <c r="C463" s="1"/>
      <c r="D463" s="1"/>
      <c r="E463" s="1"/>
      <c r="F463" s="40" t="s">
        <v>5</v>
      </c>
      <c r="G463" s="40"/>
      <c r="H463" s="1"/>
      <c r="I463" s="41">
        <f>SUM(I461:I461)</f>
        <v>250000</v>
      </c>
      <c r="J463" s="1"/>
      <c r="K463" s="1"/>
      <c r="L463" s="42"/>
    </row>
    <row r="464" spans="1:12" ht="43.5" customHeight="1" thickBot="1" x14ac:dyDescent="0.3">
      <c r="A464" s="1"/>
      <c r="B464" s="43"/>
      <c r="C464" s="44"/>
      <c r="D464" s="44"/>
      <c r="E464" s="44"/>
      <c r="F464" s="45"/>
      <c r="G464" s="45"/>
      <c r="H464" s="44"/>
      <c r="I464" s="46"/>
      <c r="J464" s="44"/>
      <c r="K464" s="44"/>
      <c r="L464" s="47"/>
    </row>
    <row r="465" spans="1:12" ht="12" customHeight="1" thickTop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51.75" customHeight="1" x14ac:dyDescent="0.2">
      <c r="A466" s="10" t="s">
        <v>2</v>
      </c>
      <c r="B466" s="279" t="s">
        <v>11</v>
      </c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</row>
    <row r="467" spans="1:12" ht="18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4.25" customHeight="1" x14ac:dyDescent="0.2">
      <c r="A468" s="280" t="s">
        <v>12</v>
      </c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</row>
    <row r="469" spans="1:12" ht="1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3.5" customHeight="1" x14ac:dyDescent="0.25">
      <c r="A471" s="1"/>
      <c r="B471" s="1"/>
      <c r="C471" s="1"/>
      <c r="D471" s="1"/>
      <c r="E471" s="1"/>
      <c r="F471" s="1"/>
      <c r="G471" s="1"/>
      <c r="H471" s="4" t="s">
        <v>199</v>
      </c>
      <c r="J471" s="286" t="s">
        <v>357</v>
      </c>
      <c r="K471" s="286"/>
      <c r="L471" s="286"/>
    </row>
    <row r="472" spans="1:12" ht="11.25" customHeight="1" x14ac:dyDescent="0.25">
      <c r="A472" s="1"/>
      <c r="B472" s="1" t="s">
        <v>15</v>
      </c>
      <c r="C472" s="1"/>
      <c r="D472" s="1"/>
      <c r="E472" s="1"/>
      <c r="F472" s="1"/>
      <c r="G472" s="1"/>
      <c r="H472" s="4" t="s">
        <v>13</v>
      </c>
    </row>
    <row r="473" spans="1:12" ht="14.25" customHeight="1" x14ac:dyDescent="0.25">
      <c r="A473" s="1"/>
      <c r="B473" s="1" t="s">
        <v>18</v>
      </c>
      <c r="C473" s="1"/>
      <c r="D473" s="1"/>
      <c r="E473" s="1"/>
      <c r="F473" s="1"/>
      <c r="G473" s="1"/>
      <c r="H473" s="4" t="s">
        <v>14</v>
      </c>
    </row>
    <row r="474" spans="1:12" ht="15" hidden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33" hidden="1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8.75" customHeight="1" x14ac:dyDescent="0.25">
      <c r="A476" s="1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"/>
    </row>
    <row r="477" spans="1:12" ht="19.5" customHeight="1" x14ac:dyDescent="0.25">
      <c r="A477" s="1"/>
      <c r="K477" s="103"/>
      <c r="L477" s="1"/>
    </row>
    <row r="478" spans="1:12" ht="33" customHeight="1" x14ac:dyDescent="0.25">
      <c r="A478" s="1"/>
      <c r="B478" s="95" t="s">
        <v>77</v>
      </c>
      <c r="H478" s="95" t="str">
        <f>D453</f>
        <v>Ika Kartika, A.Md.</v>
      </c>
      <c r="I478" s="95"/>
      <c r="J478" s="92"/>
      <c r="K478" s="103"/>
      <c r="L478" s="1"/>
    </row>
    <row r="479" spans="1:12" ht="15" customHeight="1" x14ac:dyDescent="0.25">
      <c r="A479" s="1"/>
      <c r="B479" s="99" t="s">
        <v>27</v>
      </c>
      <c r="C479" s="57"/>
      <c r="H479" s="146" t="s">
        <v>46</v>
      </c>
      <c r="K479" s="103"/>
    </row>
    <row r="480" spans="1:12" ht="5.25" customHeight="1" x14ac:dyDescent="0.2"/>
    <row r="481" spans="1:12" ht="7.5" hidden="1" customHeight="1" x14ac:dyDescent="0.2"/>
    <row r="482" spans="1:12" ht="47.25" hidden="1" customHeight="1" x14ac:dyDescent="0.2"/>
    <row r="483" spans="1:12" ht="13.5" customHeight="1" x14ac:dyDescent="0.2"/>
    <row r="484" spans="1:12" ht="15" customHeight="1" x14ac:dyDescent="0.2"/>
    <row r="485" spans="1:12" ht="17.25" customHeight="1" x14ac:dyDescent="0.2"/>
    <row r="486" spans="1:12" ht="18.75" customHeight="1" x14ac:dyDescent="0.25">
      <c r="A486" s="3" t="s">
        <v>22</v>
      </c>
    </row>
    <row r="487" spans="1:12" ht="16.5" customHeight="1" x14ac:dyDescent="0.2">
      <c r="A487" s="122" t="s">
        <v>20</v>
      </c>
    </row>
    <row r="488" spans="1:12" ht="21" customHeight="1" x14ac:dyDescent="0.2">
      <c r="A488" s="122" t="s">
        <v>21</v>
      </c>
    </row>
    <row r="489" spans="1:12" ht="15" customHeight="1" x14ac:dyDescent="0.2"/>
    <row r="490" spans="1:12" ht="12.75" x14ac:dyDescent="0.2"/>
    <row r="491" spans="1:12" ht="12.75" x14ac:dyDescent="0.2"/>
    <row r="492" spans="1:12" ht="18" customHeight="1" x14ac:dyDescent="0.3">
      <c r="A492" s="276" t="s">
        <v>6</v>
      </c>
      <c r="B492" s="276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</row>
    <row r="493" spans="1:12" ht="9.75" customHeight="1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</row>
    <row r="494" spans="1:12" ht="11.25" customHeight="1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</row>
    <row r="495" spans="1:12" ht="9.75" customHeight="1" x14ac:dyDescent="0.25">
      <c r="A495" s="1"/>
      <c r="B495" s="1"/>
    </row>
    <row r="496" spans="1:12" ht="15" customHeight="1" x14ac:dyDescent="0.25">
      <c r="A496" s="1" t="s">
        <v>7</v>
      </c>
      <c r="B496" s="1"/>
    </row>
    <row r="497" spans="1:12" ht="15.75" customHeight="1" x14ac:dyDescent="0.25">
      <c r="A497" s="1"/>
      <c r="B497" s="1"/>
    </row>
    <row r="498" spans="1:12" ht="18.75" customHeight="1" x14ac:dyDescent="0.25">
      <c r="A498" s="1" t="s">
        <v>8</v>
      </c>
      <c r="C498" s="9" t="s">
        <v>1</v>
      </c>
      <c r="D498" s="40" t="s">
        <v>36</v>
      </c>
      <c r="E498" s="76"/>
      <c r="F498" s="76"/>
      <c r="G498" s="76"/>
      <c r="H498" s="76"/>
    </row>
    <row r="499" spans="1:12" ht="15" customHeight="1" x14ac:dyDescent="0.25">
      <c r="A499" s="1" t="s">
        <v>9</v>
      </c>
      <c r="C499" s="9" t="s">
        <v>1</v>
      </c>
      <c r="D499" s="7" t="s">
        <v>363</v>
      </c>
      <c r="E499" s="76"/>
      <c r="F499" s="76"/>
      <c r="G499" s="76"/>
      <c r="H499" s="76"/>
    </row>
    <row r="500" spans="1:12" ht="21.75" customHeight="1" x14ac:dyDescent="0.2">
      <c r="A500" s="50" t="s">
        <v>10</v>
      </c>
      <c r="B500" s="76"/>
      <c r="C500" s="91" t="s">
        <v>1</v>
      </c>
      <c r="D500" s="124" t="s">
        <v>235</v>
      </c>
      <c r="E500" s="76"/>
      <c r="F500" s="76"/>
      <c r="G500" s="76"/>
      <c r="H500" s="76"/>
      <c r="I500" s="76"/>
      <c r="J500" s="76"/>
      <c r="K500" s="76"/>
      <c r="L500" s="76"/>
    </row>
    <row r="501" spans="1:12" ht="15" x14ac:dyDescent="0.25">
      <c r="A501" s="1"/>
      <c r="B501" s="1"/>
      <c r="D501" s="1"/>
    </row>
    <row r="502" spans="1:12" ht="32.25" customHeight="1" x14ac:dyDescent="0.2">
      <c r="A502" s="277" t="s">
        <v>362</v>
      </c>
      <c r="B502" s="277"/>
      <c r="C502" s="277"/>
      <c r="D502" s="277"/>
      <c r="E502" s="277"/>
      <c r="F502" s="277"/>
      <c r="G502" s="277"/>
      <c r="H502" s="277"/>
      <c r="I502" s="277"/>
      <c r="J502" s="277"/>
      <c r="K502" s="277"/>
      <c r="L502" s="277"/>
    </row>
    <row r="503" spans="1:12" ht="18" customHeight="1" x14ac:dyDescent="0.25">
      <c r="A503" s="1"/>
      <c r="B503" s="1"/>
    </row>
    <row r="504" spans="1:12" ht="30" customHeight="1" thickBot="1" x14ac:dyDescent="0.25">
      <c r="A504" s="10" t="s">
        <v>0</v>
      </c>
      <c r="B504" s="278" t="s">
        <v>91</v>
      </c>
      <c r="C504" s="278"/>
      <c r="D504" s="278"/>
      <c r="E504" s="278"/>
      <c r="F504" s="278"/>
      <c r="G504" s="278"/>
      <c r="H504" s="278"/>
      <c r="I504" s="278"/>
      <c r="J504" s="278"/>
      <c r="K504" s="278"/>
      <c r="L504" s="278"/>
    </row>
    <row r="505" spans="1:12" ht="18.75" customHeight="1" thickTop="1" x14ac:dyDescent="0.25">
      <c r="A505" s="1"/>
      <c r="B505" s="11" t="s">
        <v>3</v>
      </c>
      <c r="C505" s="12" t="s">
        <v>4</v>
      </c>
      <c r="D505" s="13"/>
      <c r="E505" s="13"/>
      <c r="F505" s="13"/>
      <c r="G505" s="13"/>
      <c r="H505" s="14"/>
      <c r="I505" s="15" t="s">
        <v>5</v>
      </c>
      <c r="J505" s="12" t="s">
        <v>17</v>
      </c>
      <c r="K505" s="13"/>
      <c r="L505" s="14"/>
    </row>
    <row r="506" spans="1:12" ht="21" customHeight="1" x14ac:dyDescent="0.2">
      <c r="A506" s="50"/>
      <c r="B506" s="143">
        <v>1</v>
      </c>
      <c r="C506" s="284" t="s">
        <v>303</v>
      </c>
      <c r="D506" s="285"/>
      <c r="E506" s="285"/>
      <c r="F506" s="285"/>
      <c r="G506" s="76"/>
      <c r="H506" s="79"/>
      <c r="I506" s="56">
        <v>250000</v>
      </c>
      <c r="J506" s="76"/>
      <c r="K506" s="76"/>
      <c r="L506" s="79"/>
    </row>
    <row r="507" spans="1:12" ht="20.25" customHeight="1" x14ac:dyDescent="0.2">
      <c r="B507" s="96"/>
      <c r="C507" s="124"/>
      <c r="D507" s="124"/>
      <c r="E507" s="127"/>
      <c r="F507" s="125"/>
      <c r="G507" s="124"/>
      <c r="H507" s="124"/>
      <c r="I507" s="23"/>
      <c r="L507" s="17"/>
    </row>
    <row r="508" spans="1:12" ht="22.5" customHeight="1" x14ac:dyDescent="0.25">
      <c r="A508" s="1"/>
      <c r="B508" s="39"/>
      <c r="C508" s="1"/>
      <c r="D508" s="1"/>
      <c r="E508" s="1"/>
      <c r="F508" s="40" t="s">
        <v>5</v>
      </c>
      <c r="G508" s="40"/>
      <c r="H508" s="1"/>
      <c r="I508" s="41">
        <f>SUM(I506:I506)</f>
        <v>250000</v>
      </c>
      <c r="J508" s="1"/>
      <c r="K508" s="1"/>
      <c r="L508" s="42"/>
    </row>
    <row r="509" spans="1:12" ht="13.5" customHeight="1" thickBot="1" x14ac:dyDescent="0.3">
      <c r="A509" s="1"/>
      <c r="B509" s="43"/>
      <c r="C509" s="44"/>
      <c r="D509" s="44"/>
      <c r="E509" s="44"/>
      <c r="F509" s="45"/>
      <c r="G509" s="45"/>
      <c r="H509" s="44"/>
      <c r="I509" s="46"/>
      <c r="J509" s="44"/>
      <c r="K509" s="44"/>
      <c r="L509" s="47"/>
    </row>
    <row r="510" spans="1:12" ht="14.25" customHeight="1" thickTop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46.5" customHeight="1" x14ac:dyDescent="0.2">
      <c r="A511" s="10" t="s">
        <v>2</v>
      </c>
      <c r="B511" s="279" t="s">
        <v>11</v>
      </c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</row>
    <row r="512" spans="1:1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4.25" customHeight="1" x14ac:dyDescent="0.2">
      <c r="A513" s="280" t="s">
        <v>12</v>
      </c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</row>
    <row r="514" spans="1:12" ht="8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6.5" customHeight="1" x14ac:dyDescent="0.25">
      <c r="A516" s="1"/>
      <c r="B516" s="1"/>
      <c r="C516" s="1"/>
      <c r="D516" s="1"/>
      <c r="E516" s="1"/>
      <c r="F516" s="1"/>
      <c r="G516" s="1"/>
      <c r="H516" s="4" t="s">
        <v>199</v>
      </c>
      <c r="J516" s="286" t="s">
        <v>357</v>
      </c>
      <c r="K516" s="286"/>
      <c r="L516" s="286"/>
    </row>
    <row r="517" spans="1:12" ht="15" x14ac:dyDescent="0.25">
      <c r="A517" s="1"/>
      <c r="B517" s="1" t="s">
        <v>15</v>
      </c>
      <c r="C517" s="1"/>
      <c r="D517" s="1"/>
      <c r="E517" s="1"/>
      <c r="F517" s="1"/>
      <c r="G517" s="1"/>
      <c r="H517" s="4" t="s">
        <v>13</v>
      </c>
    </row>
    <row r="518" spans="1:12" ht="15" x14ac:dyDescent="0.25">
      <c r="A518" s="1"/>
      <c r="B518" s="1" t="s">
        <v>18</v>
      </c>
      <c r="C518" s="1"/>
      <c r="D518" s="1"/>
      <c r="E518" s="1"/>
      <c r="F518" s="1"/>
      <c r="G518" s="1"/>
      <c r="H518" s="4" t="s">
        <v>14</v>
      </c>
    </row>
    <row r="519" spans="1:12" ht="8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" hidden="1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1.25" customHeight="1" x14ac:dyDescent="0.25">
      <c r="A521" s="1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"/>
    </row>
    <row r="522" spans="1:12" ht="15" hidden="1" customHeight="1" x14ac:dyDescent="0.25">
      <c r="A522" s="1"/>
      <c r="K522" s="103"/>
      <c r="L522" s="1"/>
    </row>
    <row r="523" spans="1:12" ht="45.75" customHeight="1" x14ac:dyDescent="0.25">
      <c r="A523" s="1"/>
      <c r="B523" s="95" t="s">
        <v>77</v>
      </c>
      <c r="H523" s="95" t="str">
        <f>D498</f>
        <v>Indita Tiara Puspa, A.Md</v>
      </c>
      <c r="I523" s="95"/>
      <c r="J523" s="92"/>
      <c r="K523" s="103"/>
      <c r="L523" s="1"/>
    </row>
    <row r="524" spans="1:12" ht="21.75" customHeight="1" x14ac:dyDescent="0.25">
      <c r="A524" s="1"/>
      <c r="B524" s="99" t="s">
        <v>27</v>
      </c>
      <c r="C524" s="57"/>
      <c r="H524" s="146" t="s">
        <v>31</v>
      </c>
      <c r="K524" s="103"/>
    </row>
    <row r="525" spans="1:12" ht="14.25" customHeight="1" x14ac:dyDescent="0.2"/>
    <row r="526" spans="1:12" ht="15.75" customHeight="1" x14ac:dyDescent="0.2"/>
    <row r="527" spans="1:12" ht="12" customHeight="1" x14ac:dyDescent="0.2"/>
    <row r="528" spans="1:12" ht="14.25" customHeight="1" x14ac:dyDescent="0.2"/>
    <row r="529" spans="1:12" ht="13.5" customHeight="1" x14ac:dyDescent="0.25">
      <c r="A529" s="3" t="s">
        <v>22</v>
      </c>
    </row>
    <row r="530" spans="1:12" ht="12.75" customHeight="1" x14ac:dyDescent="0.2">
      <c r="A530" s="122" t="s">
        <v>20</v>
      </c>
    </row>
    <row r="531" spans="1:12" ht="16.5" customHeight="1" x14ac:dyDescent="0.2">
      <c r="A531" s="122" t="s">
        <v>21</v>
      </c>
    </row>
    <row r="532" spans="1:12" ht="15" customHeight="1" x14ac:dyDescent="0.2"/>
    <row r="533" spans="1:12" ht="10.5" customHeight="1" x14ac:dyDescent="0.2"/>
    <row r="534" spans="1:12" ht="12" customHeight="1" x14ac:dyDescent="0.2"/>
    <row r="535" spans="1:12" ht="15.75" customHeight="1" x14ac:dyDescent="0.3">
      <c r="A535" s="276" t="s">
        <v>6</v>
      </c>
      <c r="B535" s="276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</row>
    <row r="536" spans="1:12" ht="15.75" customHeight="1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</row>
    <row r="537" spans="1:12" ht="2.25" customHeight="1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</row>
    <row r="538" spans="1:12" ht="15" x14ac:dyDescent="0.25">
      <c r="A538" s="1"/>
      <c r="B538" s="1"/>
    </row>
    <row r="539" spans="1:12" ht="15" customHeight="1" x14ac:dyDescent="0.25">
      <c r="A539" s="1" t="s">
        <v>7</v>
      </c>
      <c r="B539" s="1"/>
    </row>
    <row r="540" spans="1:12" ht="17.25" customHeight="1" x14ac:dyDescent="0.25">
      <c r="A540" s="1"/>
      <c r="B540" s="1"/>
    </row>
    <row r="541" spans="1:12" ht="15" customHeight="1" x14ac:dyDescent="0.25">
      <c r="A541" s="1" t="s">
        <v>8</v>
      </c>
      <c r="C541" s="9" t="s">
        <v>1</v>
      </c>
      <c r="D541" s="40" t="s">
        <v>364</v>
      </c>
      <c r="E541" s="76"/>
      <c r="F541" s="76"/>
      <c r="G541" s="76"/>
      <c r="H541" s="76"/>
    </row>
    <row r="542" spans="1:12" ht="16.5" customHeight="1" x14ac:dyDescent="0.25">
      <c r="A542" s="1" t="s">
        <v>9</v>
      </c>
      <c r="C542" s="9" t="s">
        <v>1</v>
      </c>
      <c r="D542" s="7" t="s">
        <v>365</v>
      </c>
      <c r="E542" s="76"/>
      <c r="F542" s="76"/>
      <c r="G542" s="76"/>
      <c r="H542" s="76"/>
    </row>
    <row r="543" spans="1:12" ht="16.5" customHeight="1" x14ac:dyDescent="0.2">
      <c r="A543" s="50" t="s">
        <v>10</v>
      </c>
      <c r="B543" s="76"/>
      <c r="C543" s="91" t="s">
        <v>1</v>
      </c>
      <c r="D543" s="124" t="s">
        <v>366</v>
      </c>
      <c r="E543" s="76"/>
      <c r="F543" s="76"/>
      <c r="G543" s="76"/>
      <c r="H543" s="76"/>
      <c r="I543" s="76"/>
      <c r="J543" s="76"/>
      <c r="K543" s="76"/>
      <c r="L543" s="76"/>
    </row>
    <row r="544" spans="1:12" ht="19.5" customHeight="1" x14ac:dyDescent="0.25">
      <c r="A544" s="1"/>
      <c r="B544" s="1"/>
      <c r="D544" s="1"/>
    </row>
    <row r="545" spans="1:12" ht="29.25" customHeight="1" x14ac:dyDescent="0.2">
      <c r="A545" s="277" t="s">
        <v>369</v>
      </c>
      <c r="B545" s="277"/>
      <c r="C545" s="277"/>
      <c r="D545" s="277"/>
      <c r="E545" s="277"/>
      <c r="F545" s="277"/>
      <c r="G545" s="277"/>
      <c r="H545" s="277"/>
      <c r="I545" s="277"/>
      <c r="J545" s="277"/>
      <c r="K545" s="277"/>
      <c r="L545" s="277"/>
    </row>
    <row r="546" spans="1:12" ht="15.75" customHeight="1" x14ac:dyDescent="0.25">
      <c r="A546" s="1"/>
      <c r="B546" s="1"/>
    </row>
    <row r="547" spans="1:12" ht="39.75" customHeight="1" thickBot="1" x14ac:dyDescent="0.25">
      <c r="A547" s="10" t="s">
        <v>0</v>
      </c>
      <c r="B547" s="278" t="s">
        <v>91</v>
      </c>
      <c r="C547" s="278"/>
      <c r="D547" s="278"/>
      <c r="E547" s="278"/>
      <c r="F547" s="278"/>
      <c r="G547" s="278"/>
      <c r="H547" s="278"/>
      <c r="I547" s="278"/>
      <c r="J547" s="278"/>
      <c r="K547" s="278"/>
      <c r="L547" s="278"/>
    </row>
    <row r="548" spans="1:12" ht="15" customHeight="1" thickTop="1" x14ac:dyDescent="0.25">
      <c r="A548" s="1"/>
      <c r="B548" s="11" t="s">
        <v>3</v>
      </c>
      <c r="C548" s="12" t="s">
        <v>4</v>
      </c>
      <c r="D548" s="13"/>
      <c r="E548" s="13"/>
      <c r="F548" s="13"/>
      <c r="G548" s="13"/>
      <c r="H548" s="14"/>
      <c r="I548" s="15" t="s">
        <v>5</v>
      </c>
      <c r="J548" s="12" t="s">
        <v>17</v>
      </c>
      <c r="K548" s="13"/>
      <c r="L548" s="14"/>
    </row>
    <row r="549" spans="1:12" s="76" customFormat="1" ht="18" customHeight="1" x14ac:dyDescent="0.2">
      <c r="A549" s="50"/>
      <c r="B549" s="143">
        <v>1</v>
      </c>
      <c r="C549" s="284" t="s">
        <v>303</v>
      </c>
      <c r="D549" s="285"/>
      <c r="E549" s="285"/>
      <c r="F549" s="285"/>
      <c r="H549" s="79"/>
      <c r="I549" s="56">
        <v>250000</v>
      </c>
      <c r="L549" s="79"/>
    </row>
    <row r="550" spans="1:12" s="76" customFormat="1" ht="30" customHeight="1" x14ac:dyDescent="0.2">
      <c r="A550" s="4"/>
      <c r="B550" s="142">
        <v>2</v>
      </c>
      <c r="C550" s="140" t="s">
        <v>238</v>
      </c>
      <c r="E550" s="150">
        <v>622000</v>
      </c>
      <c r="F550" s="316" t="s">
        <v>239</v>
      </c>
      <c r="G550" s="314"/>
      <c r="H550" s="315"/>
      <c r="I550" s="80">
        <f>E550*30/100*1</f>
        <v>186600</v>
      </c>
      <c r="J550" s="76" t="s">
        <v>240</v>
      </c>
      <c r="L550" s="79"/>
    </row>
    <row r="551" spans="1:12" s="76" customFormat="1" ht="19.5" customHeight="1" x14ac:dyDescent="0.25">
      <c r="A551" s="1"/>
      <c r="B551" s="39"/>
      <c r="C551" s="1"/>
      <c r="D551" s="1"/>
      <c r="E551" s="1"/>
      <c r="F551" s="40" t="s">
        <v>5</v>
      </c>
      <c r="G551" s="40"/>
      <c r="H551" s="1"/>
      <c r="I551" s="41">
        <f>I549+I550</f>
        <v>436600</v>
      </c>
      <c r="J551" s="1"/>
      <c r="K551" s="1"/>
      <c r="L551" s="42"/>
    </row>
    <row r="552" spans="1:12" ht="10.5" customHeight="1" thickBot="1" x14ac:dyDescent="0.3">
      <c r="A552" s="1"/>
      <c r="B552" s="43"/>
      <c r="C552" s="44"/>
      <c r="D552" s="44"/>
      <c r="E552" s="44"/>
      <c r="F552" s="45"/>
      <c r="G552" s="45"/>
      <c r="H552" s="44"/>
      <c r="I552" s="46"/>
      <c r="J552" s="44"/>
      <c r="K552" s="44"/>
      <c r="L552" s="47"/>
    </row>
    <row r="553" spans="1:12" ht="19.5" customHeight="1" thickTop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46.5" customHeight="1" x14ac:dyDescent="0.2">
      <c r="A554" s="10" t="s">
        <v>2</v>
      </c>
      <c r="B554" s="279" t="s">
        <v>11</v>
      </c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</row>
    <row r="555" spans="1:12" ht="1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" customHeight="1" x14ac:dyDescent="0.2">
      <c r="A556" s="280" t="s">
        <v>12</v>
      </c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</row>
    <row r="557" spans="1:12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1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6.5" customHeight="1" x14ac:dyDescent="0.25">
      <c r="A559" s="1"/>
      <c r="B559" s="1"/>
      <c r="C559" s="1"/>
      <c r="D559" s="1"/>
      <c r="E559" s="1"/>
      <c r="F559" s="1"/>
      <c r="G559" s="1"/>
      <c r="H559" s="4" t="s">
        <v>199</v>
      </c>
      <c r="J559" s="286" t="s">
        <v>357</v>
      </c>
      <c r="K559" s="286"/>
      <c r="L559" s="286"/>
    </row>
    <row r="560" spans="1:12" ht="13.5" customHeight="1" x14ac:dyDescent="0.25">
      <c r="A560" s="1"/>
      <c r="B560" s="1" t="s">
        <v>15</v>
      </c>
      <c r="C560" s="1"/>
      <c r="D560" s="1"/>
      <c r="E560" s="1"/>
      <c r="F560" s="1"/>
      <c r="G560" s="1"/>
      <c r="H560" s="4" t="s">
        <v>13</v>
      </c>
    </row>
    <row r="561" spans="1:12" ht="14.25" customHeight="1" x14ac:dyDescent="0.25">
      <c r="A561" s="1"/>
      <c r="B561" s="1" t="s">
        <v>18</v>
      </c>
      <c r="C561" s="1"/>
      <c r="D561" s="1"/>
      <c r="E561" s="1"/>
      <c r="F561" s="1"/>
      <c r="G561" s="1"/>
      <c r="H561" s="4" t="s">
        <v>14</v>
      </c>
    </row>
    <row r="562" spans="1:12" ht="18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3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8.25" customHeight="1" x14ac:dyDescent="0.25">
      <c r="A564" s="1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"/>
    </row>
    <row r="565" spans="1:12" ht="18" customHeight="1" x14ac:dyDescent="0.25">
      <c r="A565" s="1"/>
      <c r="K565" s="103"/>
      <c r="L565" s="1"/>
    </row>
    <row r="566" spans="1:12" ht="12" customHeight="1" x14ac:dyDescent="0.25">
      <c r="A566" s="1"/>
      <c r="B566" s="95" t="s">
        <v>77</v>
      </c>
      <c r="H566" s="37" t="s">
        <v>364</v>
      </c>
      <c r="I566" s="95"/>
      <c r="J566" s="92"/>
      <c r="K566" s="103"/>
      <c r="L566" s="1"/>
    </row>
    <row r="567" spans="1:12" ht="15.75" customHeight="1" x14ac:dyDescent="0.25">
      <c r="A567" s="1"/>
      <c r="B567" s="99" t="s">
        <v>27</v>
      </c>
      <c r="C567" s="57"/>
      <c r="H567" s="1" t="s">
        <v>105</v>
      </c>
      <c r="K567" s="103"/>
    </row>
    <row r="568" spans="1:12" ht="15.75" customHeight="1" x14ac:dyDescent="0.2"/>
    <row r="569" spans="1:12" ht="17.25" customHeight="1" x14ac:dyDescent="0.2"/>
    <row r="570" spans="1:12" ht="5.25" customHeight="1" x14ac:dyDescent="0.2"/>
    <row r="571" spans="1:12" ht="16.5" hidden="1" customHeight="1" x14ac:dyDescent="0.2"/>
    <row r="572" spans="1:12" ht="12.75" x14ac:dyDescent="0.2"/>
    <row r="573" spans="1:12" ht="15" customHeight="1" x14ac:dyDescent="0.2"/>
    <row r="574" spans="1:12" ht="12.75" x14ac:dyDescent="0.2"/>
    <row r="575" spans="1:12" ht="15.75" customHeight="1" x14ac:dyDescent="0.2"/>
    <row r="576" spans="1:12" ht="18" hidden="1" customHeight="1" x14ac:dyDescent="0.2"/>
    <row r="577" spans="1:12" ht="15.75" customHeight="1" x14ac:dyDescent="0.2"/>
    <row r="578" spans="1:12" ht="17.25" customHeight="1" x14ac:dyDescent="0.2"/>
    <row r="579" spans="1:12" ht="3.75" customHeight="1" x14ac:dyDescent="0.2"/>
    <row r="580" spans="1:12" ht="20.25" customHeight="1" x14ac:dyDescent="0.25">
      <c r="A580" s="3" t="s">
        <v>22</v>
      </c>
    </row>
    <row r="581" spans="1:12" ht="13.5" customHeight="1" x14ac:dyDescent="0.2">
      <c r="A581" s="122" t="s">
        <v>20</v>
      </c>
    </row>
    <row r="582" spans="1:12" ht="19.5" customHeight="1" x14ac:dyDescent="0.2">
      <c r="A582" s="122" t="s">
        <v>21</v>
      </c>
    </row>
    <row r="583" spans="1:12" ht="9" customHeight="1" x14ac:dyDescent="0.2"/>
    <row r="584" spans="1:12" ht="17.25" customHeight="1" x14ac:dyDescent="0.2"/>
    <row r="585" spans="1:12" ht="17.25" customHeight="1" x14ac:dyDescent="0.2"/>
    <row r="586" spans="1:12" ht="19.5" customHeight="1" x14ac:dyDescent="0.3">
      <c r="A586" s="276" t="s">
        <v>6</v>
      </c>
      <c r="B586" s="276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</row>
    <row r="587" spans="1:12" ht="19.5" customHeight="1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</row>
    <row r="588" spans="1:12" ht="3.75" customHeight="1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</row>
    <row r="589" spans="1:12" ht="34.5" hidden="1" customHeight="1" x14ac:dyDescent="0.25">
      <c r="A589" s="1"/>
      <c r="B589" s="1"/>
    </row>
    <row r="590" spans="1:12" ht="21" customHeight="1" x14ac:dyDescent="0.25">
      <c r="A590" s="1" t="s">
        <v>7</v>
      </c>
      <c r="B590" s="1"/>
    </row>
    <row r="591" spans="1:12" ht="15" customHeight="1" x14ac:dyDescent="0.25">
      <c r="A591" s="1"/>
      <c r="B591" s="1"/>
    </row>
    <row r="592" spans="1:12" ht="15.75" customHeight="1" x14ac:dyDescent="0.25">
      <c r="A592" s="1" t="s">
        <v>8</v>
      </c>
      <c r="C592" s="9" t="s">
        <v>1</v>
      </c>
      <c r="D592" s="126" t="s">
        <v>64</v>
      </c>
      <c r="E592" s="76"/>
      <c r="F592" s="76"/>
      <c r="G592" s="76"/>
      <c r="H592" s="76"/>
    </row>
    <row r="593" spans="1:13" ht="17.25" customHeight="1" x14ac:dyDescent="0.25">
      <c r="A593" s="1" t="s">
        <v>9</v>
      </c>
      <c r="C593" s="9" t="s">
        <v>1</v>
      </c>
      <c r="D593" s="119" t="s">
        <v>236</v>
      </c>
      <c r="E593" s="76"/>
      <c r="F593" s="76"/>
      <c r="G593" s="76"/>
      <c r="H593" s="76"/>
    </row>
    <row r="594" spans="1:13" ht="12.75" customHeight="1" x14ac:dyDescent="0.2">
      <c r="A594" s="50" t="s">
        <v>10</v>
      </c>
      <c r="B594" s="76"/>
      <c r="C594" s="91" t="s">
        <v>1</v>
      </c>
      <c r="D594" s="124" t="s">
        <v>235</v>
      </c>
      <c r="E594" s="76"/>
      <c r="F594" s="76"/>
      <c r="G594" s="76"/>
      <c r="H594" s="76"/>
      <c r="I594" s="76"/>
      <c r="J594" s="76"/>
      <c r="K594" s="76"/>
      <c r="L594" s="76"/>
    </row>
    <row r="595" spans="1:13" ht="13.5" customHeight="1" x14ac:dyDescent="0.25">
      <c r="A595" s="1"/>
      <c r="B595" s="1"/>
      <c r="D595" s="1"/>
    </row>
    <row r="596" spans="1:13" ht="32.25" customHeight="1" x14ac:dyDescent="0.2">
      <c r="A596" s="277" t="s">
        <v>367</v>
      </c>
      <c r="B596" s="277"/>
      <c r="C596" s="277"/>
      <c r="D596" s="277"/>
      <c r="E596" s="277"/>
      <c r="F596" s="277"/>
      <c r="G596" s="277"/>
      <c r="H596" s="277"/>
      <c r="I596" s="277"/>
      <c r="J596" s="277"/>
      <c r="K596" s="277"/>
      <c r="L596" s="277"/>
    </row>
    <row r="597" spans="1:13" ht="15" x14ac:dyDescent="0.25">
      <c r="A597" s="1"/>
      <c r="B597" s="1"/>
    </row>
    <row r="598" spans="1:13" ht="33" customHeight="1" thickBot="1" x14ac:dyDescent="0.25">
      <c r="A598" s="10" t="s">
        <v>0</v>
      </c>
      <c r="B598" s="278" t="s">
        <v>91</v>
      </c>
      <c r="C598" s="278"/>
      <c r="D598" s="278"/>
      <c r="E598" s="278"/>
      <c r="F598" s="278"/>
      <c r="G598" s="278"/>
      <c r="H598" s="278"/>
      <c r="I598" s="278"/>
      <c r="J598" s="278"/>
      <c r="K598" s="278"/>
      <c r="L598" s="278"/>
    </row>
    <row r="599" spans="1:13" ht="15.75" thickTop="1" x14ac:dyDescent="0.25">
      <c r="A599" s="1"/>
      <c r="B599" s="11" t="s">
        <v>3</v>
      </c>
      <c r="C599" s="12" t="s">
        <v>4</v>
      </c>
      <c r="D599" s="13"/>
      <c r="E599" s="13"/>
      <c r="F599" s="13"/>
      <c r="G599" s="13"/>
      <c r="H599" s="14"/>
      <c r="I599" s="15" t="s">
        <v>5</v>
      </c>
      <c r="J599" s="12" t="s">
        <v>17</v>
      </c>
      <c r="K599" s="13"/>
      <c r="L599" s="14"/>
    </row>
    <row r="600" spans="1:13" ht="15" x14ac:dyDescent="0.2">
      <c r="A600" s="50"/>
      <c r="B600" s="143">
        <v>1</v>
      </c>
      <c r="C600" s="284" t="s">
        <v>303</v>
      </c>
      <c r="D600" s="285"/>
      <c r="E600" s="285"/>
      <c r="F600" s="285"/>
      <c r="G600" s="76"/>
      <c r="H600" s="79"/>
      <c r="I600" s="56">
        <v>250000</v>
      </c>
      <c r="J600" s="76"/>
      <c r="K600" s="76"/>
      <c r="L600" s="79"/>
    </row>
    <row r="601" spans="1:13" ht="29.25" customHeight="1" x14ac:dyDescent="0.2">
      <c r="B601" s="96"/>
      <c r="C601" s="124"/>
      <c r="D601" s="124"/>
      <c r="E601" s="127"/>
      <c r="F601" s="125"/>
      <c r="G601" s="124"/>
      <c r="H601" s="124"/>
      <c r="I601" s="23"/>
      <c r="L601" s="17"/>
    </row>
    <row r="602" spans="1:13" ht="13.5" customHeight="1" x14ac:dyDescent="0.25">
      <c r="A602" s="1"/>
      <c r="B602" s="39"/>
      <c r="C602" s="1"/>
      <c r="D602" s="1"/>
      <c r="E602" s="1"/>
      <c r="F602" s="40" t="s">
        <v>5</v>
      </c>
      <c r="G602" s="40"/>
      <c r="H602" s="1"/>
      <c r="I602" s="41">
        <f>SUM(I600:I600)</f>
        <v>250000</v>
      </c>
      <c r="J602" s="1"/>
      <c r="K602" s="1"/>
      <c r="L602" s="42"/>
    </row>
    <row r="603" spans="1:13" ht="9" customHeight="1" thickBot="1" x14ac:dyDescent="0.3">
      <c r="A603" s="1"/>
      <c r="B603" s="43"/>
      <c r="C603" s="44"/>
      <c r="D603" s="44"/>
      <c r="E603" s="44"/>
      <c r="F603" s="45"/>
      <c r="G603" s="45"/>
      <c r="H603" s="44"/>
      <c r="I603" s="46"/>
      <c r="J603" s="44"/>
      <c r="K603" s="44"/>
      <c r="L603" s="47"/>
    </row>
    <row r="604" spans="1:13" ht="13.5" customHeight="1" thickTop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3" ht="49.5" customHeight="1" x14ac:dyDescent="0.2">
      <c r="A605" s="10" t="s">
        <v>2</v>
      </c>
      <c r="B605" s="279" t="s">
        <v>11</v>
      </c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</row>
    <row r="606" spans="1:13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59"/>
    </row>
    <row r="607" spans="1:13" ht="12.75" customHeight="1" x14ac:dyDescent="0.2">
      <c r="A607" s="280" t="s">
        <v>12</v>
      </c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</row>
    <row r="608" spans="1:13" ht="20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" x14ac:dyDescent="0.25">
      <c r="A610" s="1"/>
      <c r="B610" s="1"/>
      <c r="C610" s="1"/>
      <c r="D610" s="1"/>
      <c r="E610" s="1"/>
      <c r="F610" s="1"/>
      <c r="G610" s="1"/>
      <c r="H610" s="4" t="s">
        <v>199</v>
      </c>
      <c r="J610" s="286" t="s">
        <v>357</v>
      </c>
      <c r="K610" s="286"/>
      <c r="L610" s="286"/>
    </row>
    <row r="611" spans="1:12" ht="15" customHeight="1" x14ac:dyDescent="0.25">
      <c r="A611" s="1"/>
      <c r="B611" s="1" t="s">
        <v>15</v>
      </c>
      <c r="C611" s="1"/>
      <c r="D611" s="1"/>
      <c r="E611" s="1"/>
      <c r="F611" s="1"/>
      <c r="G611" s="1"/>
      <c r="H611" s="4" t="s">
        <v>13</v>
      </c>
    </row>
    <row r="612" spans="1:12" ht="13.5" customHeight="1" x14ac:dyDescent="0.25">
      <c r="A612" s="1"/>
      <c r="B612" s="1" t="s">
        <v>18</v>
      </c>
      <c r="C612" s="1"/>
      <c r="D612" s="1"/>
      <c r="E612" s="1"/>
      <c r="F612" s="1"/>
      <c r="G612" s="1"/>
      <c r="H612" s="4" t="s">
        <v>14</v>
      </c>
    </row>
    <row r="613" spans="1:12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27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6" customHeight="1" x14ac:dyDescent="0.25">
      <c r="A615" s="1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"/>
    </row>
    <row r="616" spans="1:12" ht="11.25" customHeight="1" x14ac:dyDescent="0.25">
      <c r="A616" s="1"/>
      <c r="K616" s="103"/>
      <c r="L616" s="1"/>
    </row>
    <row r="617" spans="1:12" ht="11.25" customHeight="1" x14ac:dyDescent="0.25">
      <c r="A617" s="1"/>
      <c r="B617" s="95" t="s">
        <v>77</v>
      </c>
      <c r="H617" s="95" t="str">
        <f>D592</f>
        <v>Ika Kartika, A.Md.</v>
      </c>
      <c r="I617" s="95"/>
      <c r="J617" s="92"/>
      <c r="K617" s="103"/>
      <c r="L617" s="1"/>
    </row>
    <row r="618" spans="1:12" ht="15" x14ac:dyDescent="0.25">
      <c r="A618" s="1"/>
      <c r="B618" s="99" t="s">
        <v>27</v>
      </c>
      <c r="C618" s="57"/>
      <c r="H618" s="146" t="s">
        <v>46</v>
      </c>
      <c r="K618" s="103"/>
    </row>
    <row r="619" spans="1:12" ht="12.75" x14ac:dyDescent="0.2"/>
    <row r="620" spans="1:12" ht="20.25" customHeight="1" x14ac:dyDescent="0.2"/>
    <row r="621" spans="1:12" ht="21" hidden="1" customHeight="1" x14ac:dyDescent="0.2"/>
    <row r="622" spans="1:12" ht="30" customHeight="1" x14ac:dyDescent="0.2"/>
    <row r="623" spans="1:12" ht="21.75" customHeight="1" x14ac:dyDescent="0.2"/>
    <row r="624" spans="1:12" ht="12.75" x14ac:dyDescent="0.2"/>
    <row r="625" spans="1:12" ht="12.75" customHeight="1" x14ac:dyDescent="0.2"/>
    <row r="626" spans="1:12" ht="13.5" customHeight="1" x14ac:dyDescent="0.2"/>
    <row r="627" spans="1:12" ht="12.75" x14ac:dyDescent="0.2"/>
    <row r="628" spans="1:12" ht="18.75" customHeight="1" x14ac:dyDescent="0.2"/>
    <row r="629" spans="1:12" ht="22.5" customHeight="1" x14ac:dyDescent="0.25">
      <c r="A629" s="3" t="s">
        <v>22</v>
      </c>
    </row>
    <row r="630" spans="1:12" ht="15.75" customHeight="1" x14ac:dyDescent="0.2">
      <c r="A630" s="122" t="s">
        <v>20</v>
      </c>
    </row>
    <row r="631" spans="1:12" ht="14.25" customHeight="1" x14ac:dyDescent="0.2">
      <c r="A631" s="122" t="s">
        <v>21</v>
      </c>
    </row>
    <row r="632" spans="1:12" ht="20.25" customHeight="1" x14ac:dyDescent="0.2"/>
    <row r="633" spans="1:12" ht="9" customHeight="1" x14ac:dyDescent="0.2"/>
    <row r="634" spans="1:12" ht="16.5" customHeight="1" x14ac:dyDescent="0.2"/>
    <row r="635" spans="1:12" ht="15.75" customHeight="1" x14ac:dyDescent="0.3">
      <c r="A635" s="276" t="s">
        <v>6</v>
      </c>
      <c r="B635" s="276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</row>
    <row r="636" spans="1:12" ht="19.5" customHeight="1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</row>
    <row r="637" spans="1:12" ht="4.5" customHeight="1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</row>
    <row r="638" spans="1:12" ht="21" customHeight="1" x14ac:dyDescent="0.25">
      <c r="A638" s="1"/>
      <c r="B638" s="1"/>
    </row>
    <row r="639" spans="1:12" ht="14.25" customHeight="1" x14ac:dyDescent="0.25">
      <c r="A639" s="1" t="s">
        <v>7</v>
      </c>
      <c r="B639" s="1"/>
    </row>
    <row r="640" spans="1:12" ht="19.5" customHeight="1" x14ac:dyDescent="0.25">
      <c r="A640" s="1"/>
      <c r="B640" s="1"/>
    </row>
    <row r="641" spans="1:12" ht="16.5" customHeight="1" x14ac:dyDescent="0.25">
      <c r="A641" s="1" t="s">
        <v>8</v>
      </c>
      <c r="C641" s="9" t="s">
        <v>1</v>
      </c>
      <c r="D641" s="123" t="s">
        <v>78</v>
      </c>
      <c r="E641" s="76"/>
      <c r="F641" s="76"/>
      <c r="G641" s="76"/>
      <c r="H641" s="76"/>
    </row>
    <row r="642" spans="1:12" ht="18.75" customHeight="1" x14ac:dyDescent="0.25">
      <c r="A642" s="1" t="s">
        <v>9</v>
      </c>
      <c r="C642" s="9" t="s">
        <v>1</v>
      </c>
      <c r="D642" s="76" t="s">
        <v>234</v>
      </c>
      <c r="E642" s="76"/>
      <c r="F642" s="76"/>
      <c r="G642" s="76"/>
      <c r="H642" s="76"/>
    </row>
    <row r="643" spans="1:12" ht="27" customHeight="1" x14ac:dyDescent="0.2">
      <c r="A643" s="50" t="s">
        <v>10</v>
      </c>
      <c r="B643" s="76"/>
      <c r="C643" s="91" t="s">
        <v>1</v>
      </c>
      <c r="D643" s="50" t="s">
        <v>235</v>
      </c>
      <c r="E643" s="76"/>
      <c r="F643" s="76"/>
      <c r="G643" s="76"/>
      <c r="H643" s="76"/>
      <c r="I643" s="76"/>
      <c r="J643" s="76"/>
      <c r="K643" s="76"/>
      <c r="L643" s="76"/>
    </row>
    <row r="644" spans="1:12" ht="15" customHeight="1" x14ac:dyDescent="0.25">
      <c r="A644" s="1"/>
      <c r="B644" s="1"/>
      <c r="D644" s="1"/>
    </row>
    <row r="645" spans="1:12" ht="36" customHeight="1" x14ac:dyDescent="0.2">
      <c r="A645" s="277" t="s">
        <v>367</v>
      </c>
      <c r="B645" s="277"/>
      <c r="C645" s="277"/>
      <c r="D645" s="277"/>
      <c r="E645" s="277"/>
      <c r="F645" s="277"/>
      <c r="G645" s="277"/>
      <c r="H645" s="277"/>
      <c r="I645" s="277"/>
      <c r="J645" s="277"/>
      <c r="K645" s="277"/>
      <c r="L645" s="277"/>
    </row>
    <row r="646" spans="1:12" ht="18.75" customHeight="1" x14ac:dyDescent="0.25">
      <c r="A646" s="1"/>
      <c r="B646" s="1"/>
    </row>
    <row r="647" spans="1:12" ht="33" customHeight="1" thickBot="1" x14ac:dyDescent="0.25">
      <c r="A647" s="10" t="s">
        <v>0</v>
      </c>
      <c r="B647" s="278" t="s">
        <v>91</v>
      </c>
      <c r="C647" s="278"/>
      <c r="D647" s="278"/>
      <c r="E647" s="278"/>
      <c r="F647" s="278"/>
      <c r="G647" s="278"/>
      <c r="H647" s="278"/>
      <c r="I647" s="278"/>
      <c r="J647" s="278"/>
      <c r="K647" s="278"/>
      <c r="L647" s="278"/>
    </row>
    <row r="648" spans="1:12" ht="27.75" customHeight="1" thickTop="1" x14ac:dyDescent="0.25">
      <c r="A648" s="1"/>
      <c r="B648" s="11" t="s">
        <v>3</v>
      </c>
      <c r="C648" s="12" t="s">
        <v>4</v>
      </c>
      <c r="D648" s="13"/>
      <c r="E648" s="13"/>
      <c r="F648" s="13"/>
      <c r="G648" s="13"/>
      <c r="H648" s="14"/>
      <c r="I648" s="15" t="s">
        <v>5</v>
      </c>
      <c r="J648" s="12" t="s">
        <v>17</v>
      </c>
      <c r="K648" s="13"/>
      <c r="L648" s="14"/>
    </row>
    <row r="649" spans="1:12" ht="15" customHeight="1" x14ac:dyDescent="0.2">
      <c r="A649" s="50"/>
      <c r="B649" s="143">
        <v>1</v>
      </c>
      <c r="C649" s="284" t="s">
        <v>303</v>
      </c>
      <c r="D649" s="285"/>
      <c r="E649" s="285"/>
      <c r="F649" s="285"/>
      <c r="G649" s="76"/>
      <c r="H649" s="79"/>
      <c r="I649" s="56">
        <v>250000</v>
      </c>
      <c r="J649" s="76"/>
      <c r="K649" s="76"/>
      <c r="L649" s="79"/>
    </row>
    <row r="650" spans="1:12" ht="25.5" customHeight="1" x14ac:dyDescent="0.2">
      <c r="B650" s="96"/>
      <c r="C650" s="124"/>
      <c r="D650" s="124"/>
      <c r="E650" s="127"/>
      <c r="F650" s="125"/>
      <c r="G650" s="124"/>
      <c r="H650" s="124"/>
      <c r="I650" s="23"/>
      <c r="L650" s="17"/>
    </row>
    <row r="651" spans="1:12" ht="24.75" customHeight="1" x14ac:dyDescent="0.25">
      <c r="A651" s="1"/>
      <c r="B651" s="39"/>
      <c r="C651" s="1"/>
      <c r="D651" s="1"/>
      <c r="E651" s="1"/>
      <c r="F651" s="40" t="s">
        <v>5</v>
      </c>
      <c r="G651" s="40"/>
      <c r="H651" s="1"/>
      <c r="I651" s="41">
        <f>SUM(I649:I649)</f>
        <v>250000</v>
      </c>
      <c r="J651" s="1"/>
      <c r="K651" s="1"/>
      <c r="L651" s="42"/>
    </row>
    <row r="652" spans="1:12" ht="12" customHeight="1" thickBot="1" x14ac:dyDescent="0.3">
      <c r="A652" s="1"/>
      <c r="B652" s="43"/>
      <c r="C652" s="44"/>
      <c r="D652" s="44"/>
      <c r="E652" s="44"/>
      <c r="F652" s="45"/>
      <c r="G652" s="45"/>
      <c r="H652" s="44"/>
      <c r="I652" s="46"/>
      <c r="J652" s="44"/>
      <c r="K652" s="44"/>
      <c r="L652" s="47"/>
    </row>
    <row r="653" spans="1:12" ht="14.25" customHeight="1" thickTop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51" customHeight="1" x14ac:dyDescent="0.2">
      <c r="A654" s="10" t="s">
        <v>2</v>
      </c>
      <c r="B654" s="279" t="s">
        <v>11</v>
      </c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</row>
    <row r="655" spans="1:12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2">
      <c r="A656" s="280" t="s">
        <v>12</v>
      </c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</row>
    <row r="657" spans="1:12" ht="8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4.25" customHeight="1" x14ac:dyDescent="0.25">
      <c r="A659" s="1"/>
      <c r="B659" s="1"/>
      <c r="C659" s="1"/>
      <c r="D659" s="1"/>
      <c r="E659" s="1"/>
      <c r="F659" s="1"/>
      <c r="G659" s="1"/>
      <c r="H659" s="4" t="s">
        <v>199</v>
      </c>
      <c r="J659" s="286" t="s">
        <v>357</v>
      </c>
      <c r="K659" s="286"/>
      <c r="L659" s="286"/>
    </row>
    <row r="660" spans="1:12" ht="13.5" customHeight="1" x14ac:dyDescent="0.25">
      <c r="A660" s="1"/>
      <c r="B660" s="1" t="s">
        <v>15</v>
      </c>
      <c r="C660" s="1"/>
      <c r="D660" s="1"/>
      <c r="E660" s="1"/>
      <c r="F660" s="1"/>
      <c r="G660" s="1"/>
      <c r="H660" s="4" t="s">
        <v>13</v>
      </c>
    </row>
    <row r="661" spans="1:12" ht="12.75" customHeight="1" x14ac:dyDescent="0.25">
      <c r="A661" s="1"/>
      <c r="B661" s="1" t="s">
        <v>18</v>
      </c>
      <c r="C661" s="1"/>
      <c r="D661" s="1"/>
      <c r="E661" s="1"/>
      <c r="F661" s="1"/>
      <c r="G661" s="1"/>
      <c r="H661" s="4" t="s">
        <v>14</v>
      </c>
    </row>
    <row r="662" spans="1:12" ht="18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21.75" hidden="1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25">
      <c r="A664" s="1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"/>
    </row>
    <row r="665" spans="1:12" ht="20.25" customHeight="1" x14ac:dyDescent="0.25">
      <c r="A665" s="1"/>
      <c r="K665" s="103"/>
      <c r="L665" s="1"/>
    </row>
    <row r="666" spans="1:12" ht="12.75" customHeight="1" x14ac:dyDescent="0.25">
      <c r="A666" s="1"/>
      <c r="B666" s="95" t="s">
        <v>77</v>
      </c>
      <c r="H666" s="95" t="s">
        <v>78</v>
      </c>
      <c r="I666" s="95"/>
      <c r="J666" s="92"/>
      <c r="K666" s="103"/>
      <c r="L666" s="1"/>
    </row>
    <row r="667" spans="1:12" ht="11.25" customHeight="1" x14ac:dyDescent="0.25">
      <c r="A667" s="1"/>
      <c r="B667" s="99" t="s">
        <v>27</v>
      </c>
      <c r="C667" s="57"/>
      <c r="H667" s="99" t="s">
        <v>79</v>
      </c>
      <c r="K667" s="103"/>
    </row>
    <row r="668" spans="1:12" ht="16.5" customHeight="1" x14ac:dyDescent="0.2"/>
    <row r="669" spans="1:12" ht="11.25" customHeight="1" x14ac:dyDescent="0.2"/>
    <row r="670" spans="1:12" ht="19.5" customHeight="1" x14ac:dyDescent="0.2"/>
    <row r="671" spans="1:12" ht="15.75" customHeight="1" x14ac:dyDescent="0.2"/>
    <row r="672" spans="1:12" ht="24.75" customHeight="1" x14ac:dyDescent="0.2"/>
    <row r="673" spans="1:12" ht="15.75" customHeight="1" x14ac:dyDescent="0.25">
      <c r="A673" s="3" t="s">
        <v>22</v>
      </c>
    </row>
    <row r="674" spans="1:12" ht="21" customHeight="1" x14ac:dyDescent="0.2">
      <c r="A674" s="122" t="s">
        <v>20</v>
      </c>
    </row>
    <row r="675" spans="1:12" ht="12.75" customHeight="1" x14ac:dyDescent="0.2">
      <c r="A675" s="122" t="s">
        <v>21</v>
      </c>
    </row>
    <row r="676" spans="1:12" ht="15.75" customHeight="1" x14ac:dyDescent="0.2"/>
    <row r="677" spans="1:12" ht="16.5" customHeight="1" x14ac:dyDescent="0.2"/>
    <row r="678" spans="1:12" ht="14.25" customHeight="1" x14ac:dyDescent="0.2"/>
    <row r="679" spans="1:12" ht="14.25" customHeight="1" x14ac:dyDescent="0.3">
      <c r="A679" s="276" t="s">
        <v>6</v>
      </c>
      <c r="B679" s="276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</row>
    <row r="680" spans="1:12" ht="15.75" customHeight="1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</row>
    <row r="681" spans="1:12" ht="15" customHeight="1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</row>
    <row r="682" spans="1:12" ht="3.75" customHeight="1" x14ac:dyDescent="0.25">
      <c r="A682" s="1"/>
      <c r="B682" s="1"/>
    </row>
    <row r="683" spans="1:12" ht="15.75" customHeight="1" x14ac:dyDescent="0.25">
      <c r="A683" s="1" t="s">
        <v>7</v>
      </c>
      <c r="B683" s="1"/>
    </row>
    <row r="684" spans="1:12" ht="9" customHeight="1" x14ac:dyDescent="0.25">
      <c r="A684" s="1"/>
      <c r="B684" s="1"/>
    </row>
    <row r="685" spans="1:12" ht="16.5" customHeight="1" x14ac:dyDescent="0.25">
      <c r="A685" s="1" t="s">
        <v>8</v>
      </c>
      <c r="C685" s="9" t="s">
        <v>1</v>
      </c>
      <c r="D685" s="40" t="s">
        <v>83</v>
      </c>
      <c r="E685" s="76"/>
      <c r="F685" s="76"/>
      <c r="G685" s="76"/>
      <c r="H685" s="76"/>
    </row>
    <row r="686" spans="1:12" ht="16.5" customHeight="1" x14ac:dyDescent="0.25">
      <c r="A686" s="1" t="s">
        <v>9</v>
      </c>
      <c r="C686" s="9" t="s">
        <v>1</v>
      </c>
      <c r="D686" s="7" t="s">
        <v>368</v>
      </c>
      <c r="E686" s="76"/>
      <c r="F686" s="76"/>
      <c r="G686" s="76"/>
      <c r="H686" s="76"/>
    </row>
    <row r="687" spans="1:12" ht="20.25" customHeight="1" x14ac:dyDescent="0.2">
      <c r="A687" s="50" t="s">
        <v>10</v>
      </c>
      <c r="B687" s="76"/>
      <c r="C687" s="91" t="s">
        <v>1</v>
      </c>
      <c r="D687" s="50" t="s">
        <v>203</v>
      </c>
      <c r="E687" s="76"/>
      <c r="F687" s="76"/>
      <c r="G687" s="76"/>
      <c r="H687" s="76"/>
      <c r="I687" s="76"/>
      <c r="J687" s="76"/>
      <c r="K687" s="76"/>
      <c r="L687" s="76"/>
    </row>
    <row r="688" spans="1:12" ht="10.5" customHeight="1" x14ac:dyDescent="0.25">
      <c r="A688" s="1"/>
      <c r="B688" s="1"/>
      <c r="D688" s="1"/>
    </row>
    <row r="689" spans="1:12" ht="31.5" customHeight="1" x14ac:dyDescent="0.2">
      <c r="A689" s="277" t="s">
        <v>367</v>
      </c>
      <c r="B689" s="277"/>
      <c r="C689" s="277"/>
      <c r="D689" s="277"/>
      <c r="E689" s="277"/>
      <c r="F689" s="277"/>
      <c r="G689" s="277"/>
      <c r="H689" s="277"/>
      <c r="I689" s="277"/>
      <c r="J689" s="277"/>
      <c r="K689" s="277"/>
      <c r="L689" s="277"/>
    </row>
    <row r="690" spans="1:12" ht="14.25" customHeight="1" x14ac:dyDescent="0.25">
      <c r="A690" s="1"/>
      <c r="B690" s="1"/>
    </row>
    <row r="691" spans="1:12" ht="36" customHeight="1" thickBot="1" x14ac:dyDescent="0.25">
      <c r="A691" s="10" t="s">
        <v>0</v>
      </c>
      <c r="B691" s="278" t="s">
        <v>91</v>
      </c>
      <c r="C691" s="278"/>
      <c r="D691" s="278"/>
      <c r="E691" s="278"/>
      <c r="F691" s="278"/>
      <c r="G691" s="278"/>
      <c r="H691" s="278"/>
      <c r="I691" s="278"/>
      <c r="J691" s="278"/>
      <c r="K691" s="278"/>
      <c r="L691" s="278"/>
    </row>
    <row r="692" spans="1:12" ht="18.75" customHeight="1" thickTop="1" x14ac:dyDescent="0.25">
      <c r="A692" s="1"/>
      <c r="B692" s="11" t="s">
        <v>3</v>
      </c>
      <c r="C692" s="12" t="s">
        <v>4</v>
      </c>
      <c r="D692" s="13"/>
      <c r="E692" s="13"/>
      <c r="F692" s="13"/>
      <c r="G692" s="13"/>
      <c r="H692" s="14"/>
      <c r="I692" s="15" t="s">
        <v>5</v>
      </c>
      <c r="J692" s="12" t="s">
        <v>17</v>
      </c>
      <c r="K692" s="13"/>
      <c r="L692" s="14"/>
    </row>
    <row r="693" spans="1:12" ht="36.75" customHeight="1" x14ac:dyDescent="0.2">
      <c r="A693" s="50"/>
      <c r="B693" s="143">
        <v>1</v>
      </c>
      <c r="C693" s="284" t="s">
        <v>303</v>
      </c>
      <c r="D693" s="285"/>
      <c r="E693" s="285"/>
      <c r="F693" s="285"/>
      <c r="G693" s="76"/>
      <c r="H693" s="79"/>
      <c r="I693" s="56">
        <v>250000</v>
      </c>
      <c r="J693" s="76"/>
      <c r="K693" s="76"/>
      <c r="L693" s="79"/>
    </row>
    <row r="694" spans="1:12" ht="15.75" customHeight="1" x14ac:dyDescent="0.2">
      <c r="B694" s="96"/>
      <c r="C694" s="124"/>
      <c r="D694" s="124"/>
      <c r="E694" s="127"/>
      <c r="F694" s="125"/>
      <c r="G694" s="124"/>
      <c r="H694" s="124"/>
      <c r="I694" s="23"/>
      <c r="L694" s="17"/>
    </row>
    <row r="695" spans="1:12" ht="15.75" customHeight="1" x14ac:dyDescent="0.25">
      <c r="A695" s="1"/>
      <c r="B695" s="39"/>
      <c r="C695" s="1"/>
      <c r="D695" s="1"/>
      <c r="E695" s="1"/>
      <c r="F695" s="40" t="s">
        <v>5</v>
      </c>
      <c r="G695" s="40"/>
      <c r="H695" s="1"/>
      <c r="I695" s="41">
        <f>SUM(I693:I693)</f>
        <v>250000</v>
      </c>
      <c r="J695" s="1"/>
      <c r="K695" s="1"/>
      <c r="L695" s="42"/>
    </row>
    <row r="696" spans="1:12" ht="11.25" customHeight="1" thickBot="1" x14ac:dyDescent="0.3">
      <c r="A696" s="1"/>
      <c r="B696" s="43"/>
      <c r="C696" s="44"/>
      <c r="D696" s="44"/>
      <c r="E696" s="44"/>
      <c r="F696" s="45"/>
      <c r="G696" s="45"/>
      <c r="H696" s="44"/>
      <c r="I696" s="46"/>
      <c r="J696" s="44"/>
      <c r="K696" s="44"/>
      <c r="L696" s="47"/>
    </row>
    <row r="697" spans="1:12" ht="14.25" customHeight="1" thickTop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49.5" customHeight="1" x14ac:dyDescent="0.2">
      <c r="A698" s="10" t="s">
        <v>2</v>
      </c>
      <c r="B698" s="279" t="s">
        <v>11</v>
      </c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</row>
    <row r="699" spans="1:12" ht="18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6.5" customHeight="1" x14ac:dyDescent="0.2">
      <c r="A700" s="280" t="s">
        <v>12</v>
      </c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</row>
    <row r="701" spans="1:12" ht="16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" customHeight="1" x14ac:dyDescent="0.25">
      <c r="A703" s="1"/>
      <c r="B703" s="1"/>
      <c r="C703" s="1"/>
      <c r="D703" s="1"/>
      <c r="E703" s="1"/>
      <c r="F703" s="1"/>
      <c r="G703" s="1"/>
      <c r="H703" s="4" t="s">
        <v>199</v>
      </c>
      <c r="J703" s="286" t="s">
        <v>357</v>
      </c>
      <c r="K703" s="286"/>
      <c r="L703" s="286"/>
    </row>
    <row r="704" spans="1:12" ht="15" x14ac:dyDescent="0.25">
      <c r="A704" s="1"/>
      <c r="B704" s="1" t="s">
        <v>15</v>
      </c>
      <c r="C704" s="1"/>
      <c r="D704" s="1"/>
      <c r="E704" s="1"/>
      <c r="F704" s="1"/>
      <c r="G704" s="1"/>
      <c r="H704" s="4" t="s">
        <v>13</v>
      </c>
    </row>
    <row r="705" spans="1:12" ht="12" customHeight="1" x14ac:dyDescent="0.25">
      <c r="A705" s="1"/>
      <c r="B705" s="1" t="s">
        <v>18</v>
      </c>
      <c r="C705" s="1"/>
      <c r="D705" s="1"/>
      <c r="E705" s="1"/>
      <c r="F705" s="1"/>
      <c r="G705" s="1"/>
      <c r="H705" s="4" t="s">
        <v>14</v>
      </c>
    </row>
    <row r="706" spans="1:12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20.25" customHeight="1" x14ac:dyDescent="0.25">
      <c r="A708" s="1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"/>
    </row>
    <row r="709" spans="1:12" ht="13.5" customHeight="1" x14ac:dyDescent="0.25">
      <c r="A709" s="1"/>
      <c r="K709" s="103"/>
      <c r="L709" s="1"/>
    </row>
    <row r="710" spans="1:12" ht="19.5" customHeight="1" x14ac:dyDescent="0.25">
      <c r="A710" s="1"/>
      <c r="B710" s="95" t="s">
        <v>77</v>
      </c>
      <c r="H710" s="95" t="s">
        <v>83</v>
      </c>
      <c r="I710" s="95"/>
      <c r="J710" s="92"/>
      <c r="K710" s="103"/>
      <c r="L710" s="1"/>
    </row>
    <row r="711" spans="1:12" ht="17.25" customHeight="1" x14ac:dyDescent="0.25">
      <c r="A711" s="1"/>
      <c r="B711" s="99" t="s">
        <v>27</v>
      </c>
      <c r="C711" s="57"/>
      <c r="H711" s="4" t="s">
        <v>99</v>
      </c>
      <c r="K711" s="103"/>
    </row>
    <row r="712" spans="1:12" ht="12.75" x14ac:dyDescent="0.2"/>
    <row r="713" spans="1:12" ht="21.75" customHeight="1" x14ac:dyDescent="0.2"/>
    <row r="714" spans="1:12" ht="6" customHeight="1" x14ac:dyDescent="0.2"/>
    <row r="715" spans="1:12" ht="18" hidden="1" customHeight="1" x14ac:dyDescent="0.2"/>
    <row r="716" spans="1:12" ht="23.25" customHeight="1" x14ac:dyDescent="0.25">
      <c r="A716" s="3" t="s">
        <v>22</v>
      </c>
    </row>
    <row r="717" spans="1:12" ht="18" customHeight="1" x14ac:dyDescent="0.2">
      <c r="A717" s="122" t="s">
        <v>20</v>
      </c>
    </row>
    <row r="718" spans="1:12" ht="18" customHeight="1" x14ac:dyDescent="0.2">
      <c r="A718" s="122" t="s">
        <v>21</v>
      </c>
    </row>
    <row r="719" spans="1:12" ht="17.25" customHeight="1" x14ac:dyDescent="0.2"/>
    <row r="720" spans="1:12" ht="17.25" customHeight="1" x14ac:dyDescent="0.2"/>
    <row r="721" spans="1:12" ht="12.75" x14ac:dyDescent="0.2"/>
    <row r="722" spans="1:12" ht="28.5" customHeight="1" x14ac:dyDescent="0.3">
      <c r="A722" s="276" t="s">
        <v>6</v>
      </c>
      <c r="B722" s="276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</row>
    <row r="723" spans="1:12" ht="17.25" customHeight="1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</row>
    <row r="724" spans="1:12" ht="8.25" customHeight="1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</row>
    <row r="725" spans="1:12" ht="24" customHeight="1" x14ac:dyDescent="0.25">
      <c r="A725" s="1"/>
      <c r="B725" s="1"/>
    </row>
    <row r="726" spans="1:12" ht="17.25" customHeight="1" x14ac:dyDescent="0.25">
      <c r="A726" s="1" t="s">
        <v>7</v>
      </c>
      <c r="B726" s="1"/>
    </row>
    <row r="727" spans="1:12" ht="28.5" customHeight="1" x14ac:dyDescent="0.25">
      <c r="A727" s="1"/>
      <c r="B727" s="1"/>
    </row>
    <row r="728" spans="1:12" ht="19.5" customHeight="1" x14ac:dyDescent="0.25">
      <c r="A728" s="1" t="s">
        <v>8</v>
      </c>
      <c r="C728" s="9" t="s">
        <v>1</v>
      </c>
      <c r="D728" s="123" t="s">
        <v>78</v>
      </c>
      <c r="E728" s="76"/>
      <c r="F728" s="76"/>
      <c r="G728" s="76"/>
      <c r="H728" s="76"/>
    </row>
    <row r="729" spans="1:12" ht="17.25" customHeight="1" x14ac:dyDescent="0.25">
      <c r="A729" s="1" t="s">
        <v>9</v>
      </c>
      <c r="C729" s="9" t="s">
        <v>1</v>
      </c>
      <c r="D729" s="76" t="s">
        <v>234</v>
      </c>
      <c r="E729" s="76"/>
      <c r="F729" s="76"/>
      <c r="G729" s="76"/>
      <c r="H729" s="76"/>
    </row>
    <row r="730" spans="1:12" ht="26.25" customHeight="1" x14ac:dyDescent="0.2">
      <c r="A730" s="50" t="s">
        <v>10</v>
      </c>
      <c r="B730" s="76"/>
      <c r="C730" s="91" t="s">
        <v>1</v>
      </c>
      <c r="D730" s="50" t="s">
        <v>235</v>
      </c>
      <c r="E730" s="76"/>
      <c r="F730" s="76"/>
      <c r="G730" s="76"/>
      <c r="H730" s="76"/>
      <c r="I730" s="76"/>
      <c r="J730" s="76"/>
      <c r="K730" s="76"/>
      <c r="L730" s="76"/>
    </row>
    <row r="731" spans="1:12" ht="21.75" customHeight="1" x14ac:dyDescent="0.25">
      <c r="A731" s="1"/>
      <c r="B731" s="1"/>
      <c r="D731" s="1"/>
    </row>
    <row r="732" spans="1:12" ht="44.25" customHeight="1" x14ac:dyDescent="0.2">
      <c r="A732" s="277" t="s">
        <v>369</v>
      </c>
      <c r="B732" s="277"/>
      <c r="C732" s="277"/>
      <c r="D732" s="277"/>
      <c r="E732" s="277"/>
      <c r="F732" s="277"/>
      <c r="G732" s="277"/>
      <c r="H732" s="277"/>
      <c r="I732" s="277"/>
      <c r="J732" s="277"/>
      <c r="K732" s="277"/>
      <c r="L732" s="277"/>
    </row>
    <row r="733" spans="1:12" ht="9.75" customHeight="1" x14ac:dyDescent="0.25">
      <c r="A733" s="1"/>
      <c r="B733" s="1"/>
    </row>
    <row r="734" spans="1:12" ht="31.5" customHeight="1" thickBot="1" x14ac:dyDescent="0.25">
      <c r="A734" s="10" t="s">
        <v>0</v>
      </c>
      <c r="B734" s="278" t="s">
        <v>91</v>
      </c>
      <c r="C734" s="278"/>
      <c r="D734" s="278"/>
      <c r="E734" s="278"/>
      <c r="F734" s="278"/>
      <c r="G734" s="278"/>
      <c r="H734" s="278"/>
      <c r="I734" s="278"/>
      <c r="J734" s="278"/>
      <c r="K734" s="278"/>
      <c r="L734" s="278"/>
    </row>
    <row r="735" spans="1:12" ht="21" customHeight="1" thickTop="1" x14ac:dyDescent="0.25">
      <c r="A735" s="1"/>
      <c r="B735" s="11" t="s">
        <v>3</v>
      </c>
      <c r="C735" s="12" t="s">
        <v>4</v>
      </c>
      <c r="D735" s="13"/>
      <c r="E735" s="13"/>
      <c r="F735" s="13"/>
      <c r="G735" s="13"/>
      <c r="H735" s="14"/>
      <c r="I735" s="15" t="s">
        <v>5</v>
      </c>
      <c r="J735" s="12" t="s">
        <v>17</v>
      </c>
      <c r="K735" s="13"/>
      <c r="L735" s="14"/>
    </row>
    <row r="736" spans="1:12" ht="20.25" customHeight="1" x14ac:dyDescent="0.2">
      <c r="A736" s="50"/>
      <c r="B736" s="143">
        <v>1</v>
      </c>
      <c r="C736" s="284" t="s">
        <v>303</v>
      </c>
      <c r="D736" s="285"/>
      <c r="E736" s="285"/>
      <c r="F736" s="285"/>
      <c r="G736" s="76"/>
      <c r="H736" s="79"/>
      <c r="I736" s="56">
        <v>250000</v>
      </c>
      <c r="J736" s="76"/>
      <c r="K736" s="76"/>
      <c r="L736" s="79"/>
    </row>
    <row r="737" spans="1:12" ht="24" customHeight="1" x14ac:dyDescent="0.2">
      <c r="B737" s="142">
        <v>2</v>
      </c>
      <c r="C737" s="140" t="s">
        <v>238</v>
      </c>
      <c r="D737" s="76"/>
      <c r="E737" s="150">
        <v>622000</v>
      </c>
      <c r="F737" s="316" t="s">
        <v>239</v>
      </c>
      <c r="G737" s="314"/>
      <c r="H737" s="315"/>
      <c r="I737" s="80">
        <f>E737*30/100*1</f>
        <v>186600</v>
      </c>
      <c r="J737" s="76" t="s">
        <v>240</v>
      </c>
      <c r="K737" s="76"/>
      <c r="L737" s="79"/>
    </row>
    <row r="738" spans="1:12" ht="18.75" customHeight="1" x14ac:dyDescent="0.25">
      <c r="A738" s="1"/>
      <c r="B738" s="39"/>
      <c r="C738" s="1"/>
      <c r="D738" s="1"/>
      <c r="E738" s="1"/>
      <c r="F738" s="40" t="s">
        <v>5</v>
      </c>
      <c r="G738" s="40"/>
      <c r="H738" s="1"/>
      <c r="I738" s="41">
        <f>I736+I737</f>
        <v>436600</v>
      </c>
      <c r="J738" s="1"/>
      <c r="K738" s="1"/>
      <c r="L738" s="42"/>
    </row>
    <row r="739" spans="1:12" ht="15" customHeight="1" thickBot="1" x14ac:dyDescent="0.3">
      <c r="A739" s="1"/>
      <c r="B739" s="43"/>
      <c r="C739" s="44"/>
      <c r="D739" s="44"/>
      <c r="E739" s="44"/>
      <c r="F739" s="45"/>
      <c r="G739" s="45"/>
      <c r="H739" s="44"/>
      <c r="I739" s="46"/>
      <c r="J739" s="44"/>
      <c r="K739" s="44"/>
      <c r="L739" s="47"/>
    </row>
    <row r="740" spans="1:12" ht="14.25" customHeight="1" thickTop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45.75" customHeight="1" x14ac:dyDescent="0.2">
      <c r="A741" s="10" t="s">
        <v>2</v>
      </c>
      <c r="B741" s="279" t="s">
        <v>11</v>
      </c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</row>
    <row r="742" spans="1:12" s="99" customFormat="1" ht="18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23.25" customHeight="1" x14ac:dyDescent="0.2">
      <c r="A743" s="280" t="s">
        <v>12</v>
      </c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</row>
    <row r="744" spans="1:12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8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7.25" customHeight="1" x14ac:dyDescent="0.25">
      <c r="A746" s="1"/>
      <c r="B746" s="1"/>
      <c r="C746" s="1"/>
      <c r="D746" s="1"/>
      <c r="E746" s="1"/>
      <c r="F746" s="1"/>
      <c r="G746" s="1"/>
      <c r="H746" s="4" t="s">
        <v>199</v>
      </c>
      <c r="J746" s="286" t="s">
        <v>357</v>
      </c>
      <c r="K746" s="286"/>
      <c r="L746" s="286"/>
    </row>
    <row r="747" spans="1:12" ht="15" customHeight="1" x14ac:dyDescent="0.25">
      <c r="A747" s="1"/>
      <c r="B747" s="1" t="s">
        <v>15</v>
      </c>
      <c r="C747" s="1"/>
      <c r="D747" s="1"/>
      <c r="E747" s="1"/>
      <c r="F747" s="1"/>
      <c r="G747" s="1"/>
      <c r="H747" s="4" t="s">
        <v>13</v>
      </c>
    </row>
    <row r="748" spans="1:12" ht="12" customHeight="1" x14ac:dyDescent="0.25">
      <c r="A748" s="1"/>
      <c r="B748" s="1" t="s">
        <v>18</v>
      </c>
      <c r="C748" s="1"/>
      <c r="D748" s="1"/>
      <c r="E748" s="1"/>
      <c r="F748" s="1"/>
      <c r="G748" s="1"/>
      <c r="H748" s="4" t="s">
        <v>14</v>
      </c>
    </row>
    <row r="749" spans="1:12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20.25" customHeight="1" x14ac:dyDescent="0.25">
      <c r="A751" s="1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"/>
    </row>
    <row r="752" spans="1:12" ht="15" x14ac:dyDescent="0.25">
      <c r="A752" s="1"/>
      <c r="K752" s="103"/>
      <c r="L752" s="1"/>
    </row>
    <row r="753" spans="1:12" ht="15" x14ac:dyDescent="0.25">
      <c r="A753" s="1"/>
      <c r="B753" s="95" t="s">
        <v>77</v>
      </c>
      <c r="H753" s="95" t="s">
        <v>78</v>
      </c>
      <c r="I753" s="95"/>
      <c r="J753" s="92"/>
      <c r="K753" s="103"/>
      <c r="L753" s="1"/>
    </row>
    <row r="754" spans="1:12" ht="15" x14ac:dyDescent="0.25">
      <c r="A754" s="1"/>
      <c r="B754" s="99" t="s">
        <v>27</v>
      </c>
      <c r="C754" s="57"/>
      <c r="H754" s="99" t="s">
        <v>79</v>
      </c>
      <c r="K754" s="103"/>
    </row>
    <row r="755" spans="1:12" ht="12.75" x14ac:dyDescent="0.2"/>
    <row r="756" spans="1:12" ht="9" customHeight="1" x14ac:dyDescent="0.2"/>
    <row r="757" spans="1:12" ht="12.75" hidden="1" x14ac:dyDescent="0.2"/>
    <row r="758" spans="1:12" ht="38.25" customHeight="1" x14ac:dyDescent="0.2"/>
    <row r="759" spans="1:12" ht="14.25" customHeight="1" x14ac:dyDescent="0.2"/>
    <row r="760" spans="1:12" ht="24.75" hidden="1" customHeight="1" x14ac:dyDescent="0.2"/>
    <row r="761" spans="1:12" ht="24.75" customHeight="1" x14ac:dyDescent="0.2"/>
    <row r="762" spans="1:12" ht="16.5" customHeight="1" x14ac:dyDescent="0.2"/>
    <row r="763" spans="1:12" ht="18.75" customHeight="1" x14ac:dyDescent="0.25">
      <c r="A763" s="3" t="s">
        <v>22</v>
      </c>
    </row>
    <row r="764" spans="1:12" ht="17.25" customHeight="1" x14ac:dyDescent="0.2">
      <c r="A764" s="122" t="s">
        <v>20</v>
      </c>
    </row>
    <row r="765" spans="1:12" ht="15.75" x14ac:dyDescent="0.2">
      <c r="A765" s="122" t="s">
        <v>21</v>
      </c>
    </row>
    <row r="766" spans="1:12" ht="15" customHeight="1" x14ac:dyDescent="0.2"/>
    <row r="767" spans="1:12" ht="20.25" customHeight="1" x14ac:dyDescent="0.2"/>
    <row r="768" spans="1:12" ht="17.25" customHeight="1" x14ac:dyDescent="0.2"/>
    <row r="769" spans="1:12" ht="17.25" customHeight="1" x14ac:dyDescent="0.3">
      <c r="A769" s="276" t="s">
        <v>6</v>
      </c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</row>
    <row r="770" spans="1:12" ht="14.25" customHeight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</row>
    <row r="771" spans="1:12" ht="26.25" customHeigh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</row>
    <row r="772" spans="1:12" ht="22.5" customHeight="1" x14ac:dyDescent="0.25">
      <c r="A772" s="1"/>
      <c r="B772" s="1"/>
    </row>
    <row r="773" spans="1:12" ht="14.25" customHeight="1" x14ac:dyDescent="0.25">
      <c r="A773" s="1" t="s">
        <v>7</v>
      </c>
      <c r="B773" s="1"/>
    </row>
    <row r="774" spans="1:12" ht="15" x14ac:dyDescent="0.25">
      <c r="A774" s="1"/>
      <c r="B774" s="1"/>
    </row>
    <row r="775" spans="1:12" ht="14.25" customHeight="1" x14ac:dyDescent="0.25">
      <c r="A775" s="1" t="s">
        <v>8</v>
      </c>
      <c r="C775" s="9" t="s">
        <v>1</v>
      </c>
      <c r="D775" s="126" t="s">
        <v>64</v>
      </c>
      <c r="E775" s="76"/>
      <c r="F775" s="76"/>
      <c r="G775" s="76"/>
      <c r="H775" s="76"/>
    </row>
    <row r="776" spans="1:12" ht="15" x14ac:dyDescent="0.25">
      <c r="A776" s="1" t="s">
        <v>9</v>
      </c>
      <c r="C776" s="9" t="s">
        <v>1</v>
      </c>
      <c r="D776" s="119" t="s">
        <v>236</v>
      </c>
      <c r="E776" s="76"/>
      <c r="F776" s="76"/>
      <c r="G776" s="76"/>
      <c r="H776" s="76"/>
    </row>
    <row r="777" spans="1:12" ht="23.25" customHeight="1" x14ac:dyDescent="0.2">
      <c r="A777" s="50" t="s">
        <v>10</v>
      </c>
      <c r="B777" s="76"/>
      <c r="C777" s="91" t="s">
        <v>1</v>
      </c>
      <c r="D777" s="124" t="s">
        <v>235</v>
      </c>
      <c r="E777" s="76"/>
      <c r="F777" s="76"/>
      <c r="G777" s="76"/>
      <c r="H777" s="76"/>
      <c r="I777" s="76"/>
      <c r="J777" s="76"/>
      <c r="K777" s="76"/>
      <c r="L777" s="76"/>
    </row>
    <row r="778" spans="1:12" ht="11.25" customHeight="1" x14ac:dyDescent="0.25">
      <c r="A778" s="1"/>
      <c r="B778" s="1"/>
      <c r="D778" s="1"/>
    </row>
    <row r="779" spans="1:12" ht="30" customHeight="1" x14ac:dyDescent="0.2">
      <c r="A779" s="277" t="s">
        <v>369</v>
      </c>
      <c r="B779" s="277"/>
      <c r="C779" s="277"/>
      <c r="D779" s="277"/>
      <c r="E779" s="277"/>
      <c r="F779" s="277"/>
      <c r="G779" s="277"/>
      <c r="H779" s="277"/>
      <c r="I779" s="277"/>
      <c r="J779" s="277"/>
      <c r="K779" s="277"/>
      <c r="L779" s="277"/>
    </row>
    <row r="780" spans="1:12" ht="17.25" customHeight="1" x14ac:dyDescent="0.25">
      <c r="A780" s="1"/>
      <c r="B780" s="1"/>
    </row>
    <row r="781" spans="1:12" ht="33.75" customHeight="1" thickBot="1" x14ac:dyDescent="0.25">
      <c r="A781" s="10" t="s">
        <v>0</v>
      </c>
      <c r="B781" s="278" t="s">
        <v>91</v>
      </c>
      <c r="C781" s="278"/>
      <c r="D781" s="278"/>
      <c r="E781" s="278"/>
      <c r="F781" s="278"/>
      <c r="G781" s="278"/>
      <c r="H781" s="278"/>
      <c r="I781" s="278"/>
      <c r="J781" s="278"/>
      <c r="K781" s="278"/>
      <c r="L781" s="278"/>
    </row>
    <row r="782" spans="1:12" ht="12" customHeight="1" thickTop="1" x14ac:dyDescent="0.25">
      <c r="A782" s="1"/>
      <c r="B782" s="11" t="s">
        <v>3</v>
      </c>
      <c r="C782" s="12" t="s">
        <v>4</v>
      </c>
      <c r="D782" s="13"/>
      <c r="E782" s="13"/>
      <c r="F782" s="13"/>
      <c r="G782" s="13"/>
      <c r="H782" s="14"/>
      <c r="I782" s="15" t="s">
        <v>5</v>
      </c>
      <c r="J782" s="12" t="s">
        <v>17</v>
      </c>
      <c r="K782" s="13"/>
      <c r="L782" s="14"/>
    </row>
    <row r="783" spans="1:12" ht="30.75" customHeight="1" x14ac:dyDescent="0.2">
      <c r="A783" s="50"/>
      <c r="B783" s="143">
        <v>1</v>
      </c>
      <c r="C783" s="284" t="s">
        <v>303</v>
      </c>
      <c r="D783" s="285"/>
      <c r="E783" s="285"/>
      <c r="F783" s="285"/>
      <c r="G783" s="76"/>
      <c r="H783" s="79"/>
      <c r="I783" s="56">
        <v>250000</v>
      </c>
      <c r="J783" s="76"/>
      <c r="K783" s="76"/>
      <c r="L783" s="79"/>
    </row>
    <row r="784" spans="1:12" ht="34.5" customHeight="1" x14ac:dyDescent="0.2">
      <c r="B784" s="142">
        <v>2</v>
      </c>
      <c r="C784" s="140" t="s">
        <v>238</v>
      </c>
      <c r="D784" s="76"/>
      <c r="E784" s="150">
        <v>622000</v>
      </c>
      <c r="F784" s="316" t="s">
        <v>239</v>
      </c>
      <c r="G784" s="314"/>
      <c r="H784" s="315"/>
      <c r="I784" s="80">
        <f>E784*30/100*1</f>
        <v>186600</v>
      </c>
      <c r="J784" s="76" t="s">
        <v>240</v>
      </c>
      <c r="K784" s="76"/>
      <c r="L784" s="79"/>
    </row>
    <row r="785" spans="1:12" ht="15" x14ac:dyDescent="0.25">
      <c r="A785" s="1"/>
      <c r="B785" s="39"/>
      <c r="C785" s="1"/>
      <c r="D785" s="1"/>
      <c r="E785" s="1"/>
      <c r="F785" s="40" t="s">
        <v>5</v>
      </c>
      <c r="G785" s="40"/>
      <c r="H785" s="1"/>
      <c r="I785" s="41">
        <f>I783+I784</f>
        <v>436600</v>
      </c>
      <c r="J785" s="1"/>
      <c r="K785" s="1"/>
      <c r="L785" s="42"/>
    </row>
    <row r="786" spans="1:12" ht="5.25" customHeight="1" thickBot="1" x14ac:dyDescent="0.3">
      <c r="A786" s="1"/>
      <c r="B786" s="43"/>
      <c r="C786" s="44"/>
      <c r="D786" s="44"/>
      <c r="E786" s="44"/>
      <c r="F786" s="45"/>
      <c r="G786" s="45"/>
      <c r="H786" s="44"/>
      <c r="I786" s="46"/>
      <c r="J786" s="44"/>
      <c r="K786" s="44"/>
      <c r="L786" s="47"/>
    </row>
    <row r="787" spans="1:12" ht="20.25" customHeight="1" thickTop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50.25" customHeight="1" x14ac:dyDescent="0.2">
      <c r="A788" s="10" t="s">
        <v>2</v>
      </c>
      <c r="B788" s="279" t="s">
        <v>11</v>
      </c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</row>
    <row r="789" spans="1:12" ht="17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4.25" customHeight="1" x14ac:dyDescent="0.2">
      <c r="A790" s="280" t="s">
        <v>12</v>
      </c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</row>
    <row r="791" spans="1:12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" x14ac:dyDescent="0.25">
      <c r="A793" s="1"/>
      <c r="B793" s="1"/>
      <c r="C793" s="1"/>
      <c r="D793" s="1"/>
      <c r="E793" s="1"/>
      <c r="F793" s="1"/>
      <c r="G793" s="1"/>
      <c r="H793" s="4" t="s">
        <v>199</v>
      </c>
      <c r="J793" s="286" t="s">
        <v>357</v>
      </c>
      <c r="K793" s="286"/>
      <c r="L793" s="286"/>
    </row>
    <row r="794" spans="1:12" ht="12.75" customHeight="1" x14ac:dyDescent="0.25">
      <c r="A794" s="1"/>
      <c r="B794" s="1" t="s">
        <v>15</v>
      </c>
      <c r="C794" s="1"/>
      <c r="D794" s="1"/>
      <c r="E794" s="1"/>
      <c r="F794" s="1"/>
      <c r="G794" s="1"/>
      <c r="H794" s="4" t="s">
        <v>13</v>
      </c>
    </row>
    <row r="795" spans="1:12" ht="15" x14ac:dyDescent="0.25">
      <c r="A795" s="1"/>
      <c r="B795" s="1" t="s">
        <v>18</v>
      </c>
      <c r="C795" s="1"/>
      <c r="D795" s="1"/>
      <c r="E795" s="1"/>
      <c r="F795" s="1"/>
      <c r="G795" s="1"/>
      <c r="H795" s="4" t="s">
        <v>14</v>
      </c>
    </row>
    <row r="796" spans="1:12" ht="21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6.5" hidden="1" customHeight="1" x14ac:dyDescent="0.25">
      <c r="A798" s="1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"/>
    </row>
    <row r="799" spans="1:12" ht="27.75" customHeight="1" x14ac:dyDescent="0.25">
      <c r="A799" s="1"/>
      <c r="K799" s="103"/>
      <c r="L799" s="1"/>
    </row>
    <row r="800" spans="1:12" ht="15" x14ac:dyDescent="0.25">
      <c r="A800" s="1"/>
      <c r="B800" s="95" t="s">
        <v>77</v>
      </c>
      <c r="H800" s="95" t="s">
        <v>64</v>
      </c>
      <c r="I800" s="95"/>
      <c r="J800" s="92"/>
      <c r="K800" s="103"/>
      <c r="L800" s="1"/>
    </row>
    <row r="801" spans="1:12" ht="22.5" customHeight="1" x14ac:dyDescent="0.25">
      <c r="A801" s="1"/>
      <c r="B801" s="99" t="s">
        <v>27</v>
      </c>
      <c r="C801" s="57"/>
      <c r="H801" s="99" t="s">
        <v>46</v>
      </c>
      <c r="K801" s="103"/>
    </row>
    <row r="802" spans="1:12" ht="19.5" customHeight="1" x14ac:dyDescent="0.2"/>
    <row r="803" spans="1:12" ht="18.75" customHeight="1" x14ac:dyDescent="0.25">
      <c r="A803" s="3" t="s">
        <v>22</v>
      </c>
    </row>
    <row r="804" spans="1:12" ht="14.25" customHeight="1" x14ac:dyDescent="0.2">
      <c r="A804" s="122" t="s">
        <v>20</v>
      </c>
    </row>
    <row r="805" spans="1:12" ht="12.75" customHeight="1" x14ac:dyDescent="0.2">
      <c r="A805" s="122" t="s">
        <v>21</v>
      </c>
    </row>
    <row r="806" spans="1:12" ht="20.25" customHeight="1" x14ac:dyDescent="0.2"/>
    <row r="807" spans="1:12" ht="5.25" customHeight="1" x14ac:dyDescent="0.2"/>
    <row r="808" spans="1:12" ht="12.75" x14ac:dyDescent="0.2"/>
    <row r="809" spans="1:12" ht="15" customHeight="1" x14ac:dyDescent="0.3">
      <c r="A809" s="276" t="s">
        <v>6</v>
      </c>
      <c r="B809" s="276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</row>
    <row r="810" spans="1:12" ht="11.25" customHeight="1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</row>
    <row r="811" spans="1:12" ht="13.5" hidden="1" customHeight="1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</row>
    <row r="812" spans="1:12" ht="19.5" customHeight="1" x14ac:dyDescent="0.25">
      <c r="A812" s="1"/>
      <c r="B812" s="1"/>
    </row>
    <row r="813" spans="1:12" ht="11.25" customHeight="1" x14ac:dyDescent="0.25">
      <c r="A813" s="1" t="s">
        <v>7</v>
      </c>
      <c r="B813" s="1"/>
    </row>
    <row r="814" spans="1:12" ht="11.25" customHeight="1" x14ac:dyDescent="0.25">
      <c r="A814" s="1"/>
      <c r="B814" s="1"/>
    </row>
    <row r="815" spans="1:12" s="76" customFormat="1" ht="13.5" customHeight="1" x14ac:dyDescent="0.25">
      <c r="A815" s="1" t="s">
        <v>8</v>
      </c>
      <c r="B815" s="4"/>
      <c r="C815" s="9" t="s">
        <v>1</v>
      </c>
      <c r="D815" s="92" t="s">
        <v>77</v>
      </c>
      <c r="I815" s="4"/>
      <c r="J815" s="4"/>
      <c r="K815" s="4"/>
      <c r="L815" s="4"/>
    </row>
    <row r="816" spans="1:12" s="76" customFormat="1" ht="21" customHeight="1" x14ac:dyDescent="0.25">
      <c r="A816" s="1" t="s">
        <v>9</v>
      </c>
      <c r="B816" s="4"/>
      <c r="C816" s="9" t="s">
        <v>1</v>
      </c>
      <c r="D816" s="57" t="s">
        <v>201</v>
      </c>
      <c r="I816" s="4"/>
      <c r="J816" s="4"/>
      <c r="K816" s="4"/>
      <c r="L816" s="4"/>
    </row>
    <row r="817" spans="1:12" ht="21" customHeight="1" x14ac:dyDescent="0.2">
      <c r="A817" s="50" t="s">
        <v>10</v>
      </c>
      <c r="B817" s="76"/>
      <c r="C817" s="91" t="s">
        <v>1</v>
      </c>
      <c r="D817" s="50" t="s">
        <v>265</v>
      </c>
      <c r="E817" s="76"/>
      <c r="F817" s="76"/>
      <c r="G817" s="76"/>
      <c r="H817" s="76"/>
      <c r="I817" s="76"/>
      <c r="J817" s="76"/>
      <c r="K817" s="76"/>
      <c r="L817" s="76"/>
    </row>
    <row r="818" spans="1:12" ht="18" customHeight="1" x14ac:dyDescent="0.25">
      <c r="A818" s="1"/>
      <c r="B818" s="1"/>
      <c r="D818" s="1"/>
    </row>
    <row r="819" spans="1:12" ht="36.75" customHeight="1" x14ac:dyDescent="0.2">
      <c r="A819" s="277" t="s">
        <v>369</v>
      </c>
      <c r="B819" s="277"/>
      <c r="C819" s="277"/>
      <c r="D819" s="277"/>
      <c r="E819" s="277"/>
      <c r="F819" s="277"/>
      <c r="G819" s="277"/>
      <c r="H819" s="277"/>
      <c r="I819" s="277"/>
      <c r="J819" s="277"/>
      <c r="K819" s="277"/>
      <c r="L819" s="277"/>
    </row>
    <row r="820" spans="1:12" ht="14.25" customHeight="1" x14ac:dyDescent="0.25">
      <c r="A820" s="1"/>
      <c r="B820" s="1"/>
    </row>
    <row r="821" spans="1:12" ht="39" customHeight="1" thickBot="1" x14ac:dyDescent="0.25">
      <c r="A821" s="10" t="s">
        <v>0</v>
      </c>
      <c r="B821" s="278" t="s">
        <v>91</v>
      </c>
      <c r="C821" s="278"/>
      <c r="D821" s="278"/>
      <c r="E821" s="278"/>
      <c r="F821" s="278"/>
      <c r="G821" s="278"/>
      <c r="H821" s="278"/>
      <c r="I821" s="278"/>
      <c r="J821" s="278"/>
      <c r="K821" s="278"/>
      <c r="L821" s="278"/>
    </row>
    <row r="822" spans="1:12" ht="24" customHeight="1" thickTop="1" x14ac:dyDescent="0.25">
      <c r="A822" s="1"/>
      <c r="B822" s="11" t="s">
        <v>3</v>
      </c>
      <c r="C822" s="12" t="s">
        <v>4</v>
      </c>
      <c r="D822" s="13"/>
      <c r="E822" s="13"/>
      <c r="F822" s="13"/>
      <c r="G822" s="13"/>
      <c r="H822" s="14"/>
      <c r="I822" s="15" t="s">
        <v>5</v>
      </c>
      <c r="J822" s="12" t="s">
        <v>17</v>
      </c>
      <c r="K822" s="13"/>
      <c r="L822" s="14"/>
    </row>
    <row r="823" spans="1:12" ht="14.25" customHeight="1" x14ac:dyDescent="0.2">
      <c r="A823" s="50"/>
      <c r="B823" s="143">
        <v>1</v>
      </c>
      <c r="C823" s="284" t="s">
        <v>303</v>
      </c>
      <c r="D823" s="285"/>
      <c r="E823" s="285"/>
      <c r="F823" s="285"/>
      <c r="G823" s="76"/>
      <c r="H823" s="79"/>
      <c r="I823" s="56">
        <v>250000</v>
      </c>
      <c r="J823" s="76"/>
      <c r="K823" s="76"/>
      <c r="L823" s="79"/>
    </row>
    <row r="824" spans="1:12" ht="26.25" customHeight="1" x14ac:dyDescent="0.2">
      <c r="B824" s="96"/>
      <c r="C824" s="124"/>
      <c r="D824" s="124"/>
      <c r="E824" s="127"/>
      <c r="F824" s="125"/>
      <c r="G824" s="124"/>
      <c r="H824" s="124"/>
      <c r="I824" s="23"/>
      <c r="L824" s="17"/>
    </row>
    <row r="825" spans="1:12" ht="12.75" customHeight="1" x14ac:dyDescent="0.25">
      <c r="A825" s="1"/>
      <c r="B825" s="39"/>
      <c r="C825" s="1"/>
      <c r="D825" s="1"/>
      <c r="E825" s="1"/>
      <c r="F825" s="40" t="s">
        <v>5</v>
      </c>
      <c r="G825" s="40"/>
      <c r="H825" s="1"/>
      <c r="I825" s="41">
        <f>SUM(I823:I823)</f>
        <v>250000</v>
      </c>
      <c r="J825" s="1"/>
      <c r="K825" s="1"/>
      <c r="L825" s="42"/>
    </row>
    <row r="826" spans="1:12" ht="17.25" customHeight="1" thickBot="1" x14ac:dyDescent="0.3">
      <c r="A826" s="1"/>
      <c r="B826" s="43"/>
      <c r="C826" s="44"/>
      <c r="D826" s="44"/>
      <c r="E826" s="44"/>
      <c r="F826" s="45"/>
      <c r="G826" s="45"/>
      <c r="H826" s="44"/>
      <c r="I826" s="46"/>
      <c r="J826" s="44"/>
      <c r="K826" s="44"/>
      <c r="L826" s="47"/>
    </row>
    <row r="827" spans="1:12" ht="15.75" customHeight="1" thickTop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48" customHeight="1" x14ac:dyDescent="0.2">
      <c r="A828" s="10" t="s">
        <v>2</v>
      </c>
      <c r="B828" s="279" t="s">
        <v>11</v>
      </c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</row>
    <row r="829" spans="1:12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" customHeight="1" x14ac:dyDescent="0.2">
      <c r="A830" s="280" t="s">
        <v>12</v>
      </c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</row>
    <row r="831" spans="1:12" ht="18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" x14ac:dyDescent="0.25">
      <c r="A833" s="1"/>
      <c r="B833" s="1"/>
      <c r="C833" s="1"/>
      <c r="D833" s="1"/>
      <c r="E833" s="1"/>
      <c r="F833" s="1"/>
      <c r="G833" s="1"/>
      <c r="H833" s="4" t="s">
        <v>199</v>
      </c>
      <c r="J833" s="286" t="s">
        <v>357</v>
      </c>
      <c r="K833" s="286"/>
      <c r="L833" s="286"/>
    </row>
    <row r="834" spans="1:12" ht="18.75" customHeight="1" x14ac:dyDescent="0.25">
      <c r="A834" s="1"/>
      <c r="B834" s="1" t="s">
        <v>15</v>
      </c>
      <c r="C834" s="1"/>
      <c r="D834" s="1"/>
      <c r="E834" s="1"/>
      <c r="F834" s="1"/>
      <c r="G834" s="1"/>
      <c r="H834" s="4" t="s">
        <v>13</v>
      </c>
    </row>
    <row r="835" spans="1:12" ht="14.25" customHeight="1" x14ac:dyDescent="0.25">
      <c r="A835" s="1"/>
      <c r="B835" s="1" t="s">
        <v>18</v>
      </c>
      <c r="C835" s="1"/>
      <c r="D835" s="1"/>
      <c r="E835" s="1"/>
      <c r="F835" s="1"/>
      <c r="G835" s="1"/>
      <c r="H835" s="4" t="s">
        <v>14</v>
      </c>
    </row>
    <row r="836" spans="1:12" ht="18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" hidden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20.25" customHeight="1" x14ac:dyDescent="0.25">
      <c r="A838" s="1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"/>
    </row>
    <row r="839" spans="1:12" ht="13.5" customHeight="1" x14ac:dyDescent="0.25">
      <c r="A839" s="1"/>
      <c r="K839" s="103"/>
      <c r="L839" s="1"/>
    </row>
    <row r="840" spans="1:12" ht="15" x14ac:dyDescent="0.25">
      <c r="A840" s="1"/>
      <c r="B840" s="95" t="s">
        <v>77</v>
      </c>
      <c r="H840" s="95" t="s">
        <v>77</v>
      </c>
      <c r="I840" s="95"/>
      <c r="J840" s="92"/>
      <c r="K840" s="103"/>
      <c r="L840" s="1"/>
    </row>
    <row r="841" spans="1:12" ht="18.75" customHeight="1" x14ac:dyDescent="0.25">
      <c r="A841" s="1"/>
      <c r="B841" s="99" t="s">
        <v>27</v>
      </c>
      <c r="C841" s="57"/>
      <c r="H841" s="99" t="s">
        <v>27</v>
      </c>
      <c r="K841" s="103"/>
    </row>
    <row r="842" spans="1:12" ht="9.75" customHeight="1" x14ac:dyDescent="0.2"/>
    <row r="843" spans="1:12" ht="23.25" hidden="1" customHeight="1" x14ac:dyDescent="0.2"/>
    <row r="844" spans="1:12" ht="12.75" x14ac:dyDescent="0.2"/>
    <row r="845" spans="1:12" ht="15.75" customHeight="1" x14ac:dyDescent="0.25">
      <c r="A845" s="3" t="s">
        <v>22</v>
      </c>
    </row>
    <row r="846" spans="1:12" ht="21" customHeight="1" x14ac:dyDescent="0.2">
      <c r="A846" s="122" t="s">
        <v>20</v>
      </c>
    </row>
    <row r="847" spans="1:12" ht="18" customHeight="1" x14ac:dyDescent="0.2">
      <c r="A847" s="122" t="s">
        <v>21</v>
      </c>
    </row>
    <row r="848" spans="1:12" ht="18" customHeight="1" x14ac:dyDescent="0.2"/>
    <row r="849" spans="1:12" ht="12.75" x14ac:dyDescent="0.2"/>
    <row r="850" spans="1:12" ht="12.75" customHeight="1" x14ac:dyDescent="0.2"/>
    <row r="851" spans="1:12" ht="21" customHeight="1" x14ac:dyDescent="0.3">
      <c r="A851" s="276" t="s">
        <v>6</v>
      </c>
      <c r="B851" s="276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</row>
    <row r="852" spans="1:12" ht="15.75" customHeight="1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</row>
    <row r="853" spans="1:12" ht="17.25" customHeight="1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</row>
    <row r="854" spans="1:12" ht="13.5" customHeight="1" x14ac:dyDescent="0.25">
      <c r="A854" s="1"/>
      <c r="B854" s="1"/>
    </row>
    <row r="855" spans="1:12" ht="19.5" customHeight="1" x14ac:dyDescent="0.25">
      <c r="A855" s="1" t="s">
        <v>7</v>
      </c>
      <c r="B855" s="1"/>
    </row>
    <row r="856" spans="1:12" ht="9.75" customHeight="1" x14ac:dyDescent="0.25">
      <c r="A856" s="1"/>
      <c r="B856" s="1"/>
    </row>
    <row r="857" spans="1:12" ht="21.75" customHeight="1" x14ac:dyDescent="0.25">
      <c r="A857" s="1" t="s">
        <v>8</v>
      </c>
      <c r="C857" s="9" t="s">
        <v>1</v>
      </c>
      <c r="D857" s="92" t="s">
        <v>96</v>
      </c>
      <c r="E857" s="76"/>
      <c r="F857" s="76"/>
      <c r="G857" s="76"/>
      <c r="H857" s="76"/>
    </row>
    <row r="858" spans="1:12" ht="17.25" customHeight="1" x14ac:dyDescent="0.25">
      <c r="A858" s="1" t="s">
        <v>9</v>
      </c>
      <c r="C858" s="9" t="s">
        <v>1</v>
      </c>
      <c r="D858" s="57" t="s">
        <v>200</v>
      </c>
      <c r="E858" s="76"/>
      <c r="F858" s="76"/>
      <c r="G858" s="76"/>
      <c r="H858" s="76"/>
    </row>
    <row r="859" spans="1:12" ht="18" customHeight="1" x14ac:dyDescent="0.2">
      <c r="A859" s="50" t="s">
        <v>10</v>
      </c>
      <c r="B859" s="76"/>
      <c r="C859" s="91" t="s">
        <v>1</v>
      </c>
      <c r="D859" s="50" t="s">
        <v>203</v>
      </c>
      <c r="E859" s="76"/>
      <c r="F859" s="76"/>
      <c r="G859" s="76"/>
      <c r="H859" s="76"/>
      <c r="I859" s="76"/>
      <c r="J859" s="76"/>
      <c r="K859" s="76"/>
      <c r="L859" s="76"/>
    </row>
    <row r="860" spans="1:12" ht="9.75" customHeight="1" x14ac:dyDescent="0.25">
      <c r="A860" s="1"/>
      <c r="B860" s="1"/>
      <c r="D860" s="1"/>
    </row>
    <row r="861" spans="1:12" ht="41.25" customHeight="1" x14ac:dyDescent="0.2">
      <c r="A861" s="277" t="s">
        <v>369</v>
      </c>
      <c r="B861" s="277"/>
      <c r="C861" s="277"/>
      <c r="D861" s="277"/>
      <c r="E861" s="277"/>
      <c r="F861" s="277"/>
      <c r="G861" s="277"/>
      <c r="H861" s="277"/>
      <c r="I861" s="277"/>
      <c r="J861" s="277"/>
      <c r="K861" s="277"/>
      <c r="L861" s="277"/>
    </row>
    <row r="862" spans="1:12" ht="1.5" customHeight="1" x14ac:dyDescent="0.25">
      <c r="A862" s="1"/>
      <c r="B862" s="1"/>
    </row>
    <row r="863" spans="1:12" ht="39" customHeight="1" thickBot="1" x14ac:dyDescent="0.25">
      <c r="A863" s="10" t="s">
        <v>0</v>
      </c>
      <c r="B863" s="278" t="s">
        <v>91</v>
      </c>
      <c r="C863" s="278"/>
      <c r="D863" s="278"/>
      <c r="E863" s="278"/>
      <c r="F863" s="278"/>
      <c r="G863" s="278"/>
      <c r="H863" s="278"/>
      <c r="I863" s="278"/>
      <c r="J863" s="278"/>
      <c r="K863" s="278"/>
      <c r="L863" s="278"/>
    </row>
    <row r="864" spans="1:12" ht="21.75" customHeight="1" thickTop="1" x14ac:dyDescent="0.25">
      <c r="A864" s="1"/>
      <c r="B864" s="11" t="s">
        <v>3</v>
      </c>
      <c r="C864" s="12" t="s">
        <v>4</v>
      </c>
      <c r="D864" s="13"/>
      <c r="E864" s="13"/>
      <c r="F864" s="13"/>
      <c r="G864" s="13"/>
      <c r="H864" s="14"/>
      <c r="I864" s="15" t="s">
        <v>5</v>
      </c>
      <c r="J864" s="12" t="s">
        <v>17</v>
      </c>
      <c r="K864" s="13"/>
      <c r="L864" s="14"/>
    </row>
    <row r="865" spans="1:12" ht="21.75" customHeight="1" x14ac:dyDescent="0.2">
      <c r="A865" s="50"/>
      <c r="B865" s="143">
        <v>1</v>
      </c>
      <c r="C865" s="284" t="s">
        <v>303</v>
      </c>
      <c r="D865" s="285"/>
      <c r="E865" s="285"/>
      <c r="F865" s="285"/>
      <c r="G865" s="76"/>
      <c r="H865" s="79"/>
      <c r="I865" s="56">
        <v>250000</v>
      </c>
      <c r="J865" s="76"/>
      <c r="K865" s="76"/>
      <c r="L865" s="79"/>
    </row>
    <row r="866" spans="1:12" ht="15" customHeight="1" x14ac:dyDescent="0.2">
      <c r="B866" s="96"/>
      <c r="C866" s="124"/>
      <c r="D866" s="124"/>
      <c r="E866" s="127"/>
      <c r="F866" s="125"/>
      <c r="G866" s="124"/>
      <c r="H866" s="124"/>
      <c r="I866" s="23"/>
      <c r="L866" s="17"/>
    </row>
    <row r="867" spans="1:12" ht="19.5" customHeight="1" x14ac:dyDescent="0.25">
      <c r="A867" s="1"/>
      <c r="B867" s="39"/>
      <c r="C867" s="1"/>
      <c r="D867" s="1"/>
      <c r="E867" s="1"/>
      <c r="F867" s="40" t="s">
        <v>5</v>
      </c>
      <c r="G867" s="40"/>
      <c r="H867" s="1"/>
      <c r="I867" s="41">
        <f>SUM(I865:I865)</f>
        <v>250000</v>
      </c>
      <c r="J867" s="1"/>
      <c r="K867" s="1"/>
      <c r="L867" s="42"/>
    </row>
    <row r="868" spans="1:12" ht="19.5" customHeight="1" thickBot="1" x14ac:dyDescent="0.3">
      <c r="A868" s="1"/>
      <c r="B868" s="43"/>
      <c r="C868" s="44"/>
      <c r="D868" s="44"/>
      <c r="E868" s="44"/>
      <c r="F868" s="45"/>
      <c r="G868" s="45"/>
      <c r="H868" s="44"/>
      <c r="I868" s="46"/>
      <c r="J868" s="44"/>
      <c r="K868" s="44"/>
      <c r="L868" s="47"/>
    </row>
    <row r="869" spans="1:12" ht="15.75" customHeight="1" thickTop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44.25" customHeight="1" x14ac:dyDescent="0.2">
      <c r="A870" s="10" t="s">
        <v>2</v>
      </c>
      <c r="B870" s="279" t="s">
        <v>11</v>
      </c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</row>
    <row r="871" spans="1:12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31.5" customHeight="1" x14ac:dyDescent="0.2">
      <c r="A872" s="280" t="s">
        <v>12</v>
      </c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</row>
    <row r="873" spans="1:12" ht="15" hidden="1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" hidden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" hidden="1" customHeight="1" x14ac:dyDescent="0.25">
      <c r="A875" s="1"/>
      <c r="B875" s="1"/>
      <c r="C875" s="1"/>
      <c r="D875" s="1"/>
      <c r="E875" s="1"/>
      <c r="F875" s="1"/>
      <c r="G875" s="1"/>
      <c r="H875" s="4" t="s">
        <v>199</v>
      </c>
      <c r="J875" s="286" t="s">
        <v>357</v>
      </c>
      <c r="K875" s="286"/>
      <c r="L875" s="286"/>
    </row>
    <row r="876" spans="1:12" ht="22.5" customHeight="1" x14ac:dyDescent="0.25">
      <c r="A876" s="1"/>
      <c r="B876" s="1" t="s">
        <v>15</v>
      </c>
      <c r="C876" s="1"/>
      <c r="D876" s="1"/>
      <c r="E876" s="1"/>
      <c r="F876" s="1"/>
      <c r="G876" s="1"/>
      <c r="H876" s="4" t="s">
        <v>13</v>
      </c>
    </row>
    <row r="877" spans="1:12" ht="16.5" customHeight="1" x14ac:dyDescent="0.25">
      <c r="A877" s="1"/>
      <c r="B877" s="1" t="s">
        <v>18</v>
      </c>
      <c r="C877" s="1"/>
      <c r="D877" s="1"/>
      <c r="E877" s="1"/>
      <c r="F877" s="1"/>
      <c r="G877" s="1"/>
      <c r="H877" s="4" t="s">
        <v>14</v>
      </c>
    </row>
    <row r="878" spans="1:12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21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2.75" customHeight="1" x14ac:dyDescent="0.25">
      <c r="A880" s="1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"/>
    </row>
    <row r="881" spans="1:12" ht="3" customHeight="1" x14ac:dyDescent="0.25">
      <c r="A881" s="1"/>
      <c r="K881" s="103"/>
      <c r="L881" s="1"/>
    </row>
    <row r="882" spans="1:12" ht="15" customHeight="1" x14ac:dyDescent="0.25">
      <c r="A882" s="1"/>
      <c r="B882" s="95" t="s">
        <v>77</v>
      </c>
      <c r="H882" s="95" t="s">
        <v>96</v>
      </c>
      <c r="I882" s="95"/>
      <c r="J882" s="92"/>
      <c r="K882" s="103"/>
      <c r="L882" s="1"/>
    </row>
    <row r="883" spans="1:12" ht="15" x14ac:dyDescent="0.25">
      <c r="A883" s="1"/>
      <c r="B883" s="99" t="s">
        <v>27</v>
      </c>
      <c r="C883" s="57"/>
      <c r="H883" s="99" t="s">
        <v>100</v>
      </c>
      <c r="K883" s="103"/>
    </row>
    <row r="884" spans="1:12" ht="16.5" customHeight="1" x14ac:dyDescent="0.2"/>
    <row r="885" spans="1:12" ht="15" customHeight="1" x14ac:dyDescent="0.2"/>
    <row r="886" spans="1:12" ht="15.75" customHeight="1" x14ac:dyDescent="0.2"/>
    <row r="887" spans="1:12" ht="15.75" customHeight="1" x14ac:dyDescent="0.2"/>
    <row r="888" spans="1:12" ht="9.75" customHeight="1" x14ac:dyDescent="0.2"/>
    <row r="889" spans="1:12" ht="18.75" hidden="1" customHeight="1" x14ac:dyDescent="0.2"/>
    <row r="890" spans="1:12" ht="20.25" customHeight="1" x14ac:dyDescent="0.25">
      <c r="A890" s="3" t="s">
        <v>22</v>
      </c>
    </row>
    <row r="891" spans="1:12" ht="15" customHeight="1" x14ac:dyDescent="0.2">
      <c r="A891" s="122" t="s">
        <v>20</v>
      </c>
    </row>
    <row r="892" spans="1:12" ht="15.75" x14ac:dyDescent="0.2">
      <c r="A892" s="122" t="s">
        <v>21</v>
      </c>
    </row>
    <row r="893" spans="1:12" ht="12.75" x14ac:dyDescent="0.2"/>
    <row r="894" spans="1:12" ht="12.75" x14ac:dyDescent="0.2"/>
    <row r="895" spans="1:12" ht="12.75" x14ac:dyDescent="0.2"/>
    <row r="896" spans="1:12" ht="28.5" customHeight="1" x14ac:dyDescent="0.3">
      <c r="A896" s="276" t="s">
        <v>6</v>
      </c>
      <c r="B896" s="276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</row>
    <row r="897" spans="1:12" ht="18.75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</row>
    <row r="898" spans="1:12" ht="18.75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</row>
    <row r="899" spans="1:12" ht="15" x14ac:dyDescent="0.25">
      <c r="A899" s="1"/>
      <c r="B899" s="1"/>
    </row>
    <row r="900" spans="1:12" ht="25.5" customHeight="1" x14ac:dyDescent="0.25">
      <c r="A900" s="1" t="s">
        <v>7</v>
      </c>
      <c r="B900" s="1"/>
    </row>
    <row r="901" spans="1:12" ht="15" x14ac:dyDescent="0.25">
      <c r="A901" s="1"/>
      <c r="B901" s="1"/>
    </row>
    <row r="902" spans="1:12" ht="18" customHeight="1" x14ac:dyDescent="0.25">
      <c r="A902" s="1" t="s">
        <v>8</v>
      </c>
      <c r="C902" s="9" t="s">
        <v>1</v>
      </c>
      <c r="D902" s="92" t="s">
        <v>77</v>
      </c>
      <c r="E902" s="76"/>
      <c r="F902" s="76"/>
      <c r="G902" s="76"/>
      <c r="H902" s="76"/>
    </row>
    <row r="903" spans="1:12" ht="13.5" customHeight="1" x14ac:dyDescent="0.25">
      <c r="A903" s="1" t="s">
        <v>9</v>
      </c>
      <c r="C903" s="9" t="s">
        <v>1</v>
      </c>
      <c r="D903" s="57" t="s">
        <v>201</v>
      </c>
      <c r="E903" s="76"/>
      <c r="F903" s="76"/>
      <c r="G903" s="76"/>
      <c r="H903" s="76"/>
    </row>
    <row r="904" spans="1:12" ht="20.25" customHeight="1" x14ac:dyDescent="0.2">
      <c r="A904" s="50" t="s">
        <v>10</v>
      </c>
      <c r="B904" s="76"/>
      <c r="C904" s="91" t="s">
        <v>1</v>
      </c>
      <c r="D904" s="50" t="s">
        <v>265</v>
      </c>
      <c r="E904" s="76"/>
      <c r="F904" s="76"/>
      <c r="G904" s="76"/>
      <c r="H904" s="76"/>
      <c r="I904" s="76"/>
      <c r="J904" s="76"/>
      <c r="K904" s="76"/>
      <c r="L904" s="76"/>
    </row>
    <row r="905" spans="1:12" ht="20.25" customHeight="1" x14ac:dyDescent="0.25">
      <c r="A905" s="1"/>
      <c r="B905" s="1"/>
      <c r="D905" s="1"/>
    </row>
    <row r="906" spans="1:12" ht="32.25" customHeight="1" x14ac:dyDescent="0.2">
      <c r="A906" s="277" t="s">
        <v>371</v>
      </c>
      <c r="B906" s="277"/>
      <c r="C906" s="277"/>
      <c r="D906" s="277"/>
      <c r="E906" s="277"/>
      <c r="F906" s="277"/>
      <c r="G906" s="277"/>
      <c r="H906" s="277"/>
      <c r="I906" s="277"/>
      <c r="J906" s="277"/>
      <c r="K906" s="277"/>
      <c r="L906" s="277"/>
    </row>
    <row r="907" spans="1:12" ht="12" customHeight="1" x14ac:dyDescent="0.25">
      <c r="A907" s="1"/>
      <c r="B907" s="1"/>
    </row>
    <row r="908" spans="1:12" ht="30" customHeight="1" thickBot="1" x14ac:dyDescent="0.25">
      <c r="A908" s="10" t="s">
        <v>0</v>
      </c>
      <c r="B908" s="278" t="s">
        <v>91</v>
      </c>
      <c r="C908" s="278"/>
      <c r="D908" s="278"/>
      <c r="E908" s="278"/>
      <c r="F908" s="278"/>
      <c r="G908" s="278"/>
      <c r="H908" s="278"/>
      <c r="I908" s="278"/>
      <c r="J908" s="278"/>
      <c r="K908" s="278"/>
      <c r="L908" s="278"/>
    </row>
    <row r="909" spans="1:12" ht="23.25" customHeight="1" thickTop="1" x14ac:dyDescent="0.25">
      <c r="A909" s="1"/>
      <c r="B909" s="11" t="s">
        <v>3</v>
      </c>
      <c r="C909" s="12" t="s">
        <v>4</v>
      </c>
      <c r="D909" s="13"/>
      <c r="E909" s="13"/>
      <c r="F909" s="13"/>
      <c r="G909" s="13"/>
      <c r="H909" s="14"/>
      <c r="I909" s="15" t="s">
        <v>5</v>
      </c>
      <c r="J909" s="12" t="s">
        <v>17</v>
      </c>
      <c r="K909" s="13"/>
      <c r="L909" s="14"/>
    </row>
    <row r="910" spans="1:12" ht="33.75" customHeight="1" x14ac:dyDescent="0.2">
      <c r="A910" s="50"/>
      <c r="B910" s="143">
        <v>1</v>
      </c>
      <c r="C910" s="284" t="s">
        <v>370</v>
      </c>
      <c r="D910" s="285"/>
      <c r="E910" s="285"/>
      <c r="F910" s="285"/>
      <c r="G910" s="76"/>
      <c r="H910" s="79"/>
      <c r="I910" s="56">
        <v>150000</v>
      </c>
      <c r="J910" s="76"/>
      <c r="K910" s="76"/>
      <c r="L910" s="79"/>
    </row>
    <row r="911" spans="1:12" ht="21" customHeight="1" x14ac:dyDescent="0.2">
      <c r="B911" s="96"/>
      <c r="C911" s="124"/>
      <c r="D911" s="124"/>
      <c r="E911" s="127"/>
      <c r="F911" s="125"/>
      <c r="G911" s="124"/>
      <c r="H911" s="124"/>
      <c r="I911" s="23"/>
      <c r="L911" s="17"/>
    </row>
    <row r="912" spans="1:12" ht="15.75" customHeight="1" x14ac:dyDescent="0.25">
      <c r="A912" s="1"/>
      <c r="B912" s="39"/>
      <c r="C912" s="1"/>
      <c r="D912" s="1"/>
      <c r="E912" s="1"/>
      <c r="F912" s="40" t="s">
        <v>5</v>
      </c>
      <c r="G912" s="40"/>
      <c r="H912" s="1"/>
      <c r="I912" s="41">
        <f>SUM(I910:I910)</f>
        <v>150000</v>
      </c>
      <c r="J912" s="1"/>
      <c r="K912" s="1"/>
      <c r="L912" s="42"/>
    </row>
    <row r="913" spans="1:12" ht="11.25" customHeight="1" thickBot="1" x14ac:dyDescent="0.3">
      <c r="A913" s="1"/>
      <c r="B913" s="43"/>
      <c r="C913" s="44"/>
      <c r="D913" s="44"/>
      <c r="E913" s="44"/>
      <c r="F913" s="45"/>
      <c r="G913" s="45"/>
      <c r="H913" s="44"/>
      <c r="I913" s="46"/>
      <c r="J913" s="44"/>
      <c r="K913" s="44"/>
      <c r="L913" s="47"/>
    </row>
    <row r="914" spans="1:12" ht="12" customHeight="1" thickTop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46.5" customHeight="1" x14ac:dyDescent="0.2">
      <c r="A915" s="10" t="s">
        <v>2</v>
      </c>
      <c r="B915" s="279" t="s">
        <v>11</v>
      </c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</row>
    <row r="916" spans="1:12" ht="11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7.25" customHeight="1" x14ac:dyDescent="0.2">
      <c r="A917" s="280" t="s">
        <v>12</v>
      </c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</row>
    <row r="918" spans="1:1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25">
      <c r="A920" s="1"/>
      <c r="B920" s="1"/>
      <c r="C920" s="1"/>
      <c r="D920" s="1"/>
      <c r="E920" s="1"/>
      <c r="F920" s="1"/>
      <c r="G920" s="1"/>
      <c r="H920" s="4" t="s">
        <v>199</v>
      </c>
      <c r="J920" s="286" t="s">
        <v>357</v>
      </c>
      <c r="K920" s="286"/>
      <c r="L920" s="286"/>
    </row>
    <row r="921" spans="1:12" ht="13.5" customHeight="1" x14ac:dyDescent="0.25">
      <c r="A921" s="1"/>
      <c r="B921" s="1" t="s">
        <v>15</v>
      </c>
      <c r="C921" s="1"/>
      <c r="D921" s="1"/>
      <c r="E921" s="1"/>
      <c r="F921" s="1"/>
      <c r="G921" s="1"/>
      <c r="H921" s="4" t="s">
        <v>13</v>
      </c>
    </row>
    <row r="922" spans="1:12" ht="23.25" customHeight="1" x14ac:dyDescent="0.25">
      <c r="A922" s="1"/>
      <c r="B922" s="1" t="s">
        <v>18</v>
      </c>
      <c r="C922" s="1"/>
      <c r="D922" s="1"/>
      <c r="E922" s="1"/>
      <c r="F922" s="1"/>
      <c r="G922" s="1"/>
      <c r="H922" s="4" t="s">
        <v>14</v>
      </c>
    </row>
    <row r="923" spans="1:12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7.5" customHeight="1" x14ac:dyDescent="0.25">
      <c r="A925" s="1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"/>
    </row>
    <row r="926" spans="1:12" ht="20.25" customHeight="1" x14ac:dyDescent="0.25">
      <c r="A926" s="1"/>
      <c r="K926" s="103"/>
      <c r="L926" s="1"/>
    </row>
    <row r="927" spans="1:12" ht="14.25" customHeight="1" x14ac:dyDescent="0.25">
      <c r="A927" s="1"/>
      <c r="B927" s="95" t="s">
        <v>77</v>
      </c>
      <c r="H927" s="95" t="s">
        <v>77</v>
      </c>
      <c r="I927" s="95"/>
      <c r="J927" s="92"/>
      <c r="K927" s="103"/>
      <c r="L927" s="1"/>
    </row>
    <row r="928" spans="1:12" ht="21" customHeight="1" x14ac:dyDescent="0.25">
      <c r="A928" s="1"/>
      <c r="B928" s="99" t="s">
        <v>27</v>
      </c>
      <c r="C928" s="57"/>
      <c r="H928" s="99" t="s">
        <v>27</v>
      </c>
      <c r="K928" s="103"/>
    </row>
    <row r="929" spans="1:12" ht="27.75" customHeight="1" x14ac:dyDescent="0.2"/>
    <row r="930" spans="1:12" ht="18" customHeight="1" x14ac:dyDescent="0.2"/>
    <row r="931" spans="1:12" ht="16.5" customHeight="1" x14ac:dyDescent="0.25">
      <c r="A931" s="3" t="s">
        <v>22</v>
      </c>
    </row>
    <row r="932" spans="1:12" ht="15.75" x14ac:dyDescent="0.2">
      <c r="A932" s="122" t="s">
        <v>20</v>
      </c>
    </row>
    <row r="933" spans="1:12" ht="15.75" x14ac:dyDescent="0.2">
      <c r="A933" s="122" t="s">
        <v>21</v>
      </c>
    </row>
    <row r="934" spans="1:12" ht="12.75" x14ac:dyDescent="0.2"/>
    <row r="935" spans="1:12" ht="12.75" x14ac:dyDescent="0.2"/>
    <row r="936" spans="1:12" ht="12.75" x14ac:dyDescent="0.2"/>
    <row r="937" spans="1:12" ht="15.75" customHeight="1" x14ac:dyDescent="0.3">
      <c r="A937" s="276" t="s">
        <v>6</v>
      </c>
      <c r="B937" s="276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</row>
    <row r="938" spans="1:12" ht="18" hidden="1" customHeight="1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</row>
    <row r="939" spans="1:12" ht="18" customHeight="1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</row>
    <row r="940" spans="1:12" ht="20.25" customHeight="1" x14ac:dyDescent="0.25">
      <c r="A940" s="1"/>
      <c r="B940" s="1"/>
    </row>
    <row r="941" spans="1:12" ht="20.25" customHeight="1" x14ac:dyDescent="0.25">
      <c r="A941" s="1" t="s">
        <v>7</v>
      </c>
      <c r="B941" s="1"/>
    </row>
    <row r="942" spans="1:12" ht="15" x14ac:dyDescent="0.25">
      <c r="A942" s="1"/>
      <c r="B942" s="1"/>
    </row>
    <row r="943" spans="1:12" ht="23.25" customHeight="1" x14ac:dyDescent="0.25">
      <c r="A943" s="1" t="s">
        <v>8</v>
      </c>
      <c r="C943" s="9" t="s">
        <v>1</v>
      </c>
      <c r="D943" s="92" t="s">
        <v>96</v>
      </c>
      <c r="E943" s="76"/>
      <c r="F943" s="76"/>
      <c r="G943" s="76"/>
      <c r="H943" s="76"/>
    </row>
    <row r="944" spans="1:12" ht="15" x14ac:dyDescent="0.25">
      <c r="A944" s="1" t="s">
        <v>9</v>
      </c>
      <c r="C944" s="9" t="s">
        <v>1</v>
      </c>
      <c r="D944" s="57" t="s">
        <v>200</v>
      </c>
      <c r="E944" s="76"/>
      <c r="F944" s="76"/>
      <c r="G944" s="76"/>
      <c r="H944" s="76"/>
    </row>
    <row r="945" spans="1:12" ht="18" customHeight="1" x14ac:dyDescent="0.2">
      <c r="A945" s="50" t="s">
        <v>10</v>
      </c>
      <c r="B945" s="76"/>
      <c r="C945" s="91" t="s">
        <v>1</v>
      </c>
      <c r="D945" s="50" t="s">
        <v>203</v>
      </c>
      <c r="E945" s="76"/>
      <c r="F945" s="76"/>
      <c r="G945" s="76"/>
      <c r="H945" s="76"/>
      <c r="I945" s="76"/>
      <c r="J945" s="76"/>
      <c r="K945" s="76"/>
      <c r="L945" s="76"/>
    </row>
    <row r="946" spans="1:12" ht="15" x14ac:dyDescent="0.25">
      <c r="A946" s="1"/>
      <c r="B946" s="1"/>
      <c r="D946" s="1"/>
    </row>
    <row r="947" spans="1:12" ht="28.5" customHeight="1" x14ac:dyDescent="0.2">
      <c r="A947" s="277" t="s">
        <v>371</v>
      </c>
      <c r="B947" s="277"/>
      <c r="C947" s="277"/>
      <c r="D947" s="277"/>
      <c r="E947" s="277"/>
      <c r="F947" s="277"/>
      <c r="G947" s="277"/>
      <c r="H947" s="277"/>
      <c r="I947" s="277"/>
      <c r="J947" s="277"/>
      <c r="K947" s="277"/>
      <c r="L947" s="277"/>
    </row>
    <row r="948" spans="1:12" ht="11.25" customHeight="1" x14ac:dyDescent="0.25">
      <c r="A948" s="1"/>
      <c r="B948" s="1"/>
    </row>
    <row r="949" spans="1:12" ht="38.25" customHeight="1" thickBot="1" x14ac:dyDescent="0.25">
      <c r="A949" s="10" t="s">
        <v>0</v>
      </c>
      <c r="B949" s="278" t="s">
        <v>91</v>
      </c>
      <c r="C949" s="278"/>
      <c r="D949" s="278"/>
      <c r="E949" s="278"/>
      <c r="F949" s="278"/>
      <c r="G949" s="278"/>
      <c r="H949" s="278"/>
      <c r="I949" s="278"/>
      <c r="J949" s="278"/>
      <c r="K949" s="278"/>
      <c r="L949" s="278"/>
    </row>
    <row r="950" spans="1:12" ht="15.75" thickTop="1" x14ac:dyDescent="0.25">
      <c r="A950" s="1"/>
      <c r="B950" s="11" t="s">
        <v>3</v>
      </c>
      <c r="C950" s="12" t="s">
        <v>4</v>
      </c>
      <c r="D950" s="13"/>
      <c r="E950" s="13"/>
      <c r="F950" s="13"/>
      <c r="G950" s="13"/>
      <c r="H950" s="14"/>
      <c r="I950" s="15" t="s">
        <v>5</v>
      </c>
      <c r="J950" s="12" t="s">
        <v>17</v>
      </c>
      <c r="K950" s="13"/>
      <c r="L950" s="14"/>
    </row>
    <row r="951" spans="1:12" ht="16.5" customHeight="1" x14ac:dyDescent="0.2">
      <c r="A951" s="50"/>
      <c r="B951" s="143">
        <v>1</v>
      </c>
      <c r="C951" s="284" t="s">
        <v>370</v>
      </c>
      <c r="D951" s="285"/>
      <c r="E951" s="285"/>
      <c r="F951" s="285"/>
      <c r="G951" s="76"/>
      <c r="H951" s="79"/>
      <c r="I951" s="56">
        <v>150000</v>
      </c>
      <c r="J951" s="76"/>
      <c r="K951" s="76"/>
      <c r="L951" s="79"/>
    </row>
    <row r="952" spans="1:12" ht="46.5" customHeight="1" x14ac:dyDescent="0.2">
      <c r="B952" s="96"/>
      <c r="C952" s="124"/>
      <c r="D952" s="124"/>
      <c r="E952" s="127"/>
      <c r="F952" s="125"/>
      <c r="G952" s="124"/>
      <c r="H952" s="124"/>
      <c r="I952" s="23"/>
      <c r="L952" s="17"/>
    </row>
    <row r="953" spans="1:12" ht="18.75" customHeight="1" x14ac:dyDescent="0.25">
      <c r="A953" s="1"/>
      <c r="B953" s="39"/>
      <c r="C953" s="1"/>
      <c r="D953" s="1"/>
      <c r="E953" s="1"/>
      <c r="F953" s="40" t="s">
        <v>5</v>
      </c>
      <c r="G953" s="40"/>
      <c r="H953" s="1"/>
      <c r="I953" s="41">
        <f>SUM(I951:I951)</f>
        <v>150000</v>
      </c>
      <c r="J953" s="1"/>
      <c r="K953" s="1"/>
      <c r="L953" s="42"/>
    </row>
    <row r="954" spans="1:12" ht="19.5" customHeight="1" thickBot="1" x14ac:dyDescent="0.3">
      <c r="A954" s="1"/>
      <c r="B954" s="43"/>
      <c r="C954" s="44"/>
      <c r="D954" s="44"/>
      <c r="E954" s="44"/>
      <c r="F954" s="45"/>
      <c r="G954" s="45"/>
      <c r="H954" s="44"/>
      <c r="I954" s="46"/>
      <c r="J954" s="44"/>
      <c r="K954" s="44"/>
      <c r="L954" s="47"/>
    </row>
    <row r="955" spans="1:12" ht="4.5" customHeight="1" thickTop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57.75" customHeight="1" x14ac:dyDescent="0.2">
      <c r="A956" s="10" t="s">
        <v>2</v>
      </c>
      <c r="B956" s="279" t="s">
        <v>11</v>
      </c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</row>
    <row r="957" spans="1:12" ht="10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 x14ac:dyDescent="0.2">
      <c r="A958" s="280" t="s">
        <v>12</v>
      </c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</row>
    <row r="959" spans="1:12" ht="16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" customHeight="1" x14ac:dyDescent="0.25">
      <c r="A961" s="1"/>
      <c r="B961" s="1"/>
      <c r="C961" s="1"/>
      <c r="D961" s="1"/>
      <c r="E961" s="1"/>
      <c r="F961" s="1"/>
      <c r="G961" s="1"/>
      <c r="H961" s="4" t="s">
        <v>199</v>
      </c>
      <c r="J961" s="286" t="s">
        <v>357</v>
      </c>
      <c r="K961" s="286"/>
      <c r="L961" s="286"/>
    </row>
    <row r="962" spans="1:12" ht="24" customHeight="1" x14ac:dyDescent="0.25">
      <c r="A962" s="1"/>
      <c r="B962" s="1" t="s">
        <v>15</v>
      </c>
      <c r="C962" s="1"/>
      <c r="D962" s="1"/>
      <c r="E962" s="1"/>
      <c r="F962" s="1"/>
      <c r="G962" s="1"/>
      <c r="H962" s="4" t="s">
        <v>13</v>
      </c>
    </row>
    <row r="963" spans="1:12" ht="15" customHeight="1" x14ac:dyDescent="0.25">
      <c r="A963" s="1"/>
      <c r="B963" s="1" t="s">
        <v>18</v>
      </c>
      <c r="C963" s="1"/>
      <c r="D963" s="1"/>
      <c r="E963" s="1"/>
      <c r="F963" s="1"/>
      <c r="G963" s="1"/>
      <c r="H963" s="4" t="s">
        <v>14</v>
      </c>
    </row>
    <row r="964" spans="1:12" ht="16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24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" customHeight="1" x14ac:dyDescent="0.25">
      <c r="A966" s="1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"/>
    </row>
    <row r="967" spans="1:12" ht="10.5" customHeight="1" x14ac:dyDescent="0.25">
      <c r="A967" s="1"/>
      <c r="K967" s="103"/>
      <c r="L967" s="1"/>
    </row>
    <row r="968" spans="1:12" ht="17.25" customHeight="1" x14ac:dyDescent="0.25">
      <c r="A968" s="1"/>
      <c r="B968" s="95" t="s">
        <v>77</v>
      </c>
      <c r="H968" s="95" t="s">
        <v>96</v>
      </c>
      <c r="I968" s="95"/>
      <c r="J968" s="92"/>
      <c r="K968" s="103"/>
      <c r="L968" s="1"/>
    </row>
    <row r="969" spans="1:12" ht="12" customHeight="1" x14ac:dyDescent="0.25">
      <c r="A969" s="1"/>
      <c r="B969" s="99" t="s">
        <v>27</v>
      </c>
      <c r="C969" s="57"/>
      <c r="H969" s="99" t="s">
        <v>100</v>
      </c>
      <c r="K969" s="103"/>
    </row>
    <row r="970" spans="1:12" ht="23.25" customHeight="1" x14ac:dyDescent="0.2"/>
    <row r="971" spans="1:12" s="99" customFormat="1" ht="21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30.75" customHeight="1" x14ac:dyDescent="0.2"/>
    <row r="973" spans="1:12" ht="12.75" x14ac:dyDescent="0.2"/>
    <row r="974" spans="1:12" ht="5.25" customHeight="1" x14ac:dyDescent="0.2"/>
    <row r="975" spans="1:12" ht="12.75" x14ac:dyDescent="0.2"/>
    <row r="976" spans="1:12" ht="45.75" customHeight="1" x14ac:dyDescent="0.2"/>
    <row r="977" spans="1:12" ht="12.75" x14ac:dyDescent="0.2"/>
    <row r="978" spans="1:12" ht="15" customHeight="1" x14ac:dyDescent="0.2"/>
    <row r="979" spans="1:12" ht="10.5" customHeight="1" x14ac:dyDescent="0.2"/>
    <row r="980" spans="1:12" ht="16.5" customHeight="1" x14ac:dyDescent="0.2"/>
    <row r="981" spans="1:12" ht="12.75" x14ac:dyDescent="0.2"/>
    <row r="982" spans="1:12" ht="12.75" x14ac:dyDescent="0.2"/>
    <row r="983" spans="1:12" ht="12.75" x14ac:dyDescent="0.2"/>
    <row r="984" spans="1:12" ht="12.75" x14ac:dyDescent="0.2"/>
    <row r="985" spans="1:12" ht="15.75" x14ac:dyDescent="0.25">
      <c r="A985" s="3" t="s">
        <v>22</v>
      </c>
    </row>
    <row r="986" spans="1:12" ht="15.75" customHeight="1" x14ac:dyDescent="0.2">
      <c r="A986" s="122" t="s">
        <v>20</v>
      </c>
    </row>
    <row r="987" spans="1:12" ht="17.25" customHeight="1" x14ac:dyDescent="0.2">
      <c r="A987" s="122" t="s">
        <v>21</v>
      </c>
    </row>
    <row r="988" spans="1:12" ht="20.25" customHeight="1" x14ac:dyDescent="0.2"/>
    <row r="989" spans="1:12" ht="18.75" customHeight="1" x14ac:dyDescent="0.2"/>
    <row r="990" spans="1:12" ht="12.75" x14ac:dyDescent="0.2"/>
    <row r="991" spans="1:12" ht="28.5" customHeight="1" x14ac:dyDescent="0.3">
      <c r="A991" s="276" t="s">
        <v>6</v>
      </c>
      <c r="B991" s="276"/>
      <c r="C991" s="276"/>
      <c r="D991" s="276"/>
      <c r="E991" s="276"/>
      <c r="F991" s="276"/>
      <c r="G991" s="276"/>
      <c r="H991" s="276"/>
      <c r="I991" s="276"/>
      <c r="J991" s="276"/>
      <c r="K991" s="276"/>
      <c r="L991" s="276"/>
    </row>
    <row r="992" spans="1:12" ht="19.5" customHeight="1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</row>
    <row r="993" spans="1:12" ht="14.25" customHeight="1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</row>
    <row r="994" spans="1:12" ht="9.75" customHeight="1" x14ac:dyDescent="0.25">
      <c r="A994" s="1"/>
      <c r="B994" s="1"/>
    </row>
    <row r="995" spans="1:12" ht="21" customHeight="1" x14ac:dyDescent="0.25">
      <c r="A995" s="1" t="s">
        <v>7</v>
      </c>
      <c r="B995" s="1"/>
    </row>
    <row r="996" spans="1:12" ht="21" customHeight="1" x14ac:dyDescent="0.25">
      <c r="A996" s="1"/>
      <c r="B996" s="1"/>
    </row>
    <row r="997" spans="1:12" ht="29.25" customHeight="1" x14ac:dyDescent="0.25">
      <c r="A997" s="1" t="s">
        <v>8</v>
      </c>
      <c r="C997" s="9" t="s">
        <v>1</v>
      </c>
      <c r="D997" s="40" t="s">
        <v>92</v>
      </c>
      <c r="E997" s="76"/>
      <c r="F997" s="76"/>
      <c r="G997" s="76"/>
      <c r="H997" s="76"/>
    </row>
    <row r="998" spans="1:12" ht="15" x14ac:dyDescent="0.25">
      <c r="A998" s="1" t="s">
        <v>9</v>
      </c>
      <c r="C998" s="9" t="s">
        <v>1</v>
      </c>
      <c r="D998" s="7" t="s">
        <v>263</v>
      </c>
      <c r="E998" s="76"/>
      <c r="F998" s="76"/>
      <c r="G998" s="76"/>
      <c r="H998" s="76"/>
    </row>
    <row r="999" spans="1:12" ht="13.5" customHeight="1" x14ac:dyDescent="0.25">
      <c r="A999" s="50" t="s">
        <v>10</v>
      </c>
      <c r="B999" s="76"/>
      <c r="C999" s="91" t="s">
        <v>1</v>
      </c>
      <c r="D999" s="1" t="s">
        <v>264</v>
      </c>
      <c r="E999" s="76"/>
      <c r="F999" s="76"/>
      <c r="G999" s="76"/>
      <c r="H999" s="76"/>
      <c r="I999" s="76"/>
      <c r="J999" s="76"/>
      <c r="K999" s="76"/>
      <c r="L999" s="76"/>
    </row>
    <row r="1000" spans="1:12" ht="15.75" customHeight="1" x14ac:dyDescent="0.25">
      <c r="A1000" s="1"/>
      <c r="B1000" s="1"/>
      <c r="D1000" s="1"/>
    </row>
    <row r="1001" spans="1:12" ht="30" customHeight="1" x14ac:dyDescent="0.2">
      <c r="A1001" s="277" t="s">
        <v>371</v>
      </c>
      <c r="B1001" s="277"/>
      <c r="C1001" s="277"/>
      <c r="D1001" s="277"/>
      <c r="E1001" s="277"/>
      <c r="F1001" s="277"/>
      <c r="G1001" s="277"/>
      <c r="H1001" s="277"/>
      <c r="I1001" s="277"/>
      <c r="J1001" s="277"/>
      <c r="K1001" s="277"/>
      <c r="L1001" s="277"/>
    </row>
    <row r="1002" spans="1:12" ht="10.5" customHeight="1" x14ac:dyDescent="0.25">
      <c r="A1002" s="1"/>
      <c r="B1002" s="1"/>
    </row>
    <row r="1003" spans="1:12" ht="38.25" customHeight="1" thickBot="1" x14ac:dyDescent="0.25">
      <c r="A1003" s="10" t="s">
        <v>0</v>
      </c>
      <c r="B1003" s="278" t="s">
        <v>91</v>
      </c>
      <c r="C1003" s="278"/>
      <c r="D1003" s="278"/>
      <c r="E1003" s="278"/>
      <c r="F1003" s="278"/>
      <c r="G1003" s="278"/>
      <c r="H1003" s="278"/>
      <c r="I1003" s="278"/>
      <c r="J1003" s="278"/>
      <c r="K1003" s="278"/>
      <c r="L1003" s="278"/>
    </row>
    <row r="1004" spans="1:12" ht="25.5" customHeight="1" thickTop="1" x14ac:dyDescent="0.25">
      <c r="A1004" s="1"/>
      <c r="B1004" s="11" t="s">
        <v>3</v>
      </c>
      <c r="C1004" s="12" t="s">
        <v>4</v>
      </c>
      <c r="D1004" s="13"/>
      <c r="E1004" s="13"/>
      <c r="F1004" s="13"/>
      <c r="G1004" s="13"/>
      <c r="H1004" s="14"/>
      <c r="I1004" s="15" t="s">
        <v>5</v>
      </c>
      <c r="J1004" s="12" t="s">
        <v>17</v>
      </c>
      <c r="K1004" s="13"/>
      <c r="L1004" s="14"/>
    </row>
    <row r="1005" spans="1:12" ht="24.75" customHeight="1" x14ac:dyDescent="0.2">
      <c r="A1005" s="50"/>
      <c r="B1005" s="143">
        <v>1</v>
      </c>
      <c r="C1005" s="284" t="s">
        <v>370</v>
      </c>
      <c r="D1005" s="285"/>
      <c r="E1005" s="285"/>
      <c r="F1005" s="285"/>
      <c r="G1005" s="76"/>
      <c r="H1005" s="79"/>
      <c r="I1005" s="56">
        <v>150000</v>
      </c>
      <c r="J1005" s="76"/>
      <c r="K1005" s="76"/>
      <c r="L1005" s="79"/>
    </row>
    <row r="1006" spans="1:12" ht="18" customHeight="1" x14ac:dyDescent="0.2">
      <c r="B1006" s="96"/>
      <c r="C1006" s="124"/>
      <c r="D1006" s="124"/>
      <c r="E1006" s="127"/>
      <c r="F1006" s="125"/>
      <c r="G1006" s="124"/>
      <c r="H1006" s="124"/>
      <c r="I1006" s="23"/>
      <c r="L1006" s="17"/>
    </row>
    <row r="1007" spans="1:12" ht="15" x14ac:dyDescent="0.25">
      <c r="A1007" s="1"/>
      <c r="B1007" s="39"/>
      <c r="C1007" s="1"/>
      <c r="D1007" s="1"/>
      <c r="E1007" s="1"/>
      <c r="F1007" s="40" t="s">
        <v>5</v>
      </c>
      <c r="G1007" s="40"/>
      <c r="H1007" s="1"/>
      <c r="I1007" s="41">
        <f>SUM(I1005:I1005)</f>
        <v>150000</v>
      </c>
      <c r="J1007" s="1"/>
      <c r="K1007" s="1"/>
      <c r="L1007" s="42"/>
    </row>
    <row r="1008" spans="1:12" ht="15.75" customHeight="1" thickBot="1" x14ac:dyDescent="0.3">
      <c r="A1008" s="1"/>
      <c r="B1008" s="43"/>
      <c r="C1008" s="44"/>
      <c r="D1008" s="44"/>
      <c r="E1008" s="44"/>
      <c r="F1008" s="45"/>
      <c r="G1008" s="45"/>
      <c r="H1008" s="44"/>
      <c r="I1008" s="46"/>
      <c r="J1008" s="44"/>
      <c r="K1008" s="44"/>
      <c r="L1008" s="47"/>
    </row>
    <row r="1009" spans="1:12" ht="20.25" customHeight="1" thickTop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ht="51.75" customHeight="1" x14ac:dyDescent="0.2">
      <c r="A1010" s="10" t="s">
        <v>2</v>
      </c>
      <c r="B1010" s="279" t="s">
        <v>11</v>
      </c>
      <c r="C1010" s="279"/>
      <c r="D1010" s="279"/>
      <c r="E1010" s="279"/>
      <c r="F1010" s="279"/>
      <c r="G1010" s="279"/>
      <c r="H1010" s="279"/>
      <c r="I1010" s="279"/>
      <c r="J1010" s="279"/>
      <c r="K1010" s="279"/>
      <c r="L1010" s="279"/>
    </row>
    <row r="1011" spans="1:12" ht="10.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ht="15" customHeight="1" x14ac:dyDescent="0.2">
      <c r="A1012" s="280" t="s">
        <v>12</v>
      </c>
      <c r="B1012" s="280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</row>
    <row r="1013" spans="1:12" ht="17.2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ht="1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ht="18.75" customHeight="1" x14ac:dyDescent="0.25">
      <c r="A1015" s="1"/>
      <c r="B1015" s="1"/>
      <c r="C1015" s="1"/>
      <c r="D1015" s="1"/>
      <c r="E1015" s="1"/>
      <c r="F1015" s="1"/>
      <c r="G1015" s="1"/>
      <c r="H1015" s="4" t="s">
        <v>199</v>
      </c>
      <c r="J1015" s="286" t="s">
        <v>357</v>
      </c>
      <c r="K1015" s="286"/>
      <c r="L1015" s="286"/>
    </row>
    <row r="1016" spans="1:12" ht="19.5" customHeight="1" x14ac:dyDescent="0.25">
      <c r="A1016" s="1"/>
      <c r="B1016" s="1" t="s">
        <v>15</v>
      </c>
      <c r="C1016" s="1"/>
      <c r="D1016" s="1"/>
      <c r="E1016" s="1"/>
      <c r="F1016" s="1"/>
      <c r="G1016" s="1"/>
      <c r="H1016" s="4" t="s">
        <v>13</v>
      </c>
    </row>
    <row r="1017" spans="1:12" ht="15" customHeight="1" x14ac:dyDescent="0.25">
      <c r="A1017" s="1"/>
      <c r="B1017" s="1" t="s">
        <v>18</v>
      </c>
      <c r="C1017" s="1"/>
      <c r="D1017" s="1"/>
      <c r="E1017" s="1"/>
      <c r="F1017" s="1"/>
      <c r="G1017" s="1"/>
      <c r="H1017" s="4" t="s">
        <v>14</v>
      </c>
    </row>
    <row r="1018" spans="1:12" ht="21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ht="17.2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ht="9.75" customHeight="1" x14ac:dyDescent="0.25">
      <c r="A1020" s="1"/>
      <c r="B1020" s="103"/>
      <c r="C1020" s="103"/>
      <c r="D1020" s="103"/>
      <c r="E1020" s="103"/>
      <c r="F1020" s="103"/>
      <c r="G1020" s="103"/>
      <c r="H1020" s="103"/>
      <c r="I1020" s="103"/>
      <c r="J1020" s="103"/>
      <c r="K1020" s="103"/>
      <c r="L1020" s="1"/>
    </row>
    <row r="1021" spans="1:12" ht="29.25" hidden="1" customHeight="1" x14ac:dyDescent="0.25">
      <c r="A1021" s="1"/>
      <c r="K1021" s="103"/>
      <c r="L1021" s="1"/>
    </row>
    <row r="1022" spans="1:12" ht="15" x14ac:dyDescent="0.25">
      <c r="A1022" s="1"/>
      <c r="B1022" s="95" t="s">
        <v>77</v>
      </c>
      <c r="H1022" s="95" t="s">
        <v>92</v>
      </c>
      <c r="I1022" s="95"/>
      <c r="J1022" s="92"/>
      <c r="K1022" s="103"/>
      <c r="L1022" s="1"/>
    </row>
    <row r="1023" spans="1:12" ht="15" customHeight="1" x14ac:dyDescent="0.25">
      <c r="A1023" s="1"/>
      <c r="B1023" s="99" t="s">
        <v>27</v>
      </c>
      <c r="C1023" s="57"/>
      <c r="H1023" s="99" t="s">
        <v>93</v>
      </c>
      <c r="K1023" s="103"/>
    </row>
    <row r="1024" spans="1:12" ht="18" customHeight="1" x14ac:dyDescent="0.2"/>
    <row r="1025" spans="1:12" ht="12.75" x14ac:dyDescent="0.2"/>
    <row r="1026" spans="1:12" ht="12.75" x14ac:dyDescent="0.2"/>
    <row r="1027" spans="1:12" ht="12.75" x14ac:dyDescent="0.2"/>
    <row r="1028" spans="1:12" ht="15.75" customHeight="1" x14ac:dyDescent="0.25">
      <c r="A1028" s="3" t="s">
        <v>22</v>
      </c>
    </row>
    <row r="1029" spans="1:12" ht="18" customHeight="1" x14ac:dyDescent="0.2">
      <c r="A1029" s="122" t="s">
        <v>20</v>
      </c>
    </row>
    <row r="1030" spans="1:12" ht="23.25" customHeight="1" x14ac:dyDescent="0.2">
      <c r="A1030" s="122" t="s">
        <v>21</v>
      </c>
    </row>
    <row r="1031" spans="1:12" ht="12.75" x14ac:dyDescent="0.2"/>
    <row r="1032" spans="1:12" ht="24" customHeight="1" x14ac:dyDescent="0.2"/>
    <row r="1033" spans="1:12" ht="12.75" x14ac:dyDescent="0.2"/>
    <row r="1034" spans="1:12" ht="30" customHeight="1" x14ac:dyDescent="0.3">
      <c r="A1034" s="276" t="s">
        <v>6</v>
      </c>
      <c r="B1034" s="276"/>
      <c r="C1034" s="276"/>
      <c r="D1034" s="276"/>
      <c r="E1034" s="276"/>
      <c r="F1034" s="276"/>
      <c r="G1034" s="276"/>
      <c r="H1034" s="276"/>
      <c r="I1034" s="276"/>
      <c r="J1034" s="276"/>
      <c r="K1034" s="276"/>
      <c r="L1034" s="276"/>
    </row>
    <row r="1035" spans="1:12" ht="14.25" customHeight="1" x14ac:dyDescent="0.3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</row>
    <row r="1036" spans="1:12" ht="15.75" customHeight="1" x14ac:dyDescent="0.3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</row>
    <row r="1037" spans="1:12" ht="15" customHeight="1" x14ac:dyDescent="0.25">
      <c r="A1037" s="1"/>
      <c r="B1037" s="1"/>
    </row>
    <row r="1038" spans="1:12" ht="18" customHeight="1" x14ac:dyDescent="0.25">
      <c r="A1038" s="1" t="s">
        <v>7</v>
      </c>
      <c r="B1038" s="1"/>
    </row>
    <row r="1039" spans="1:12" ht="14.25" customHeight="1" x14ac:dyDescent="0.25">
      <c r="A1039" s="1"/>
      <c r="B1039" s="1"/>
    </row>
    <row r="1040" spans="1:12" ht="18.75" customHeight="1" x14ac:dyDescent="0.25">
      <c r="A1040" s="1" t="s">
        <v>8</v>
      </c>
      <c r="C1040" s="9" t="s">
        <v>1</v>
      </c>
      <c r="D1040" s="92" t="s">
        <v>77</v>
      </c>
      <c r="E1040" s="76"/>
      <c r="F1040" s="76"/>
      <c r="G1040" s="76"/>
      <c r="H1040" s="76"/>
    </row>
    <row r="1041" spans="1:12" ht="21.75" customHeight="1" x14ac:dyDescent="0.25">
      <c r="A1041" s="1" t="s">
        <v>9</v>
      </c>
      <c r="C1041" s="9" t="s">
        <v>1</v>
      </c>
      <c r="D1041" s="57" t="s">
        <v>201</v>
      </c>
      <c r="E1041" s="76"/>
      <c r="F1041" s="76"/>
      <c r="G1041" s="76"/>
      <c r="H1041" s="76"/>
    </row>
    <row r="1042" spans="1:12" ht="15" x14ac:dyDescent="0.2">
      <c r="A1042" s="50" t="s">
        <v>10</v>
      </c>
      <c r="B1042" s="76"/>
      <c r="C1042" s="91" t="s">
        <v>1</v>
      </c>
      <c r="D1042" s="50" t="s">
        <v>265</v>
      </c>
      <c r="E1042" s="76"/>
      <c r="F1042" s="76"/>
      <c r="G1042" s="76"/>
      <c r="H1042" s="76"/>
      <c r="I1042" s="76"/>
      <c r="J1042" s="76"/>
      <c r="K1042" s="76"/>
      <c r="L1042" s="76"/>
    </row>
    <row r="1043" spans="1:12" ht="15" x14ac:dyDescent="0.25">
      <c r="A1043" s="1"/>
      <c r="B1043" s="1"/>
      <c r="D1043" s="1"/>
    </row>
    <row r="1044" spans="1:12" ht="39.75" customHeight="1" x14ac:dyDescent="0.2">
      <c r="A1044" s="277" t="s">
        <v>373</v>
      </c>
      <c r="B1044" s="277"/>
      <c r="C1044" s="277"/>
      <c r="D1044" s="277"/>
      <c r="E1044" s="277"/>
      <c r="F1044" s="277"/>
      <c r="G1044" s="277"/>
      <c r="H1044" s="277"/>
      <c r="I1044" s="277"/>
      <c r="J1044" s="277"/>
      <c r="K1044" s="277"/>
      <c r="L1044" s="277"/>
    </row>
    <row r="1045" spans="1:12" ht="15" x14ac:dyDescent="0.25">
      <c r="A1045" s="1"/>
      <c r="B1045" s="1"/>
    </row>
    <row r="1046" spans="1:12" ht="39.75" customHeight="1" thickBot="1" x14ac:dyDescent="0.25">
      <c r="A1046" s="10" t="s">
        <v>0</v>
      </c>
      <c r="B1046" s="278" t="s">
        <v>91</v>
      </c>
      <c r="C1046" s="278"/>
      <c r="D1046" s="278"/>
      <c r="E1046" s="278"/>
      <c r="F1046" s="278"/>
      <c r="G1046" s="278"/>
      <c r="H1046" s="278"/>
      <c r="I1046" s="278"/>
      <c r="J1046" s="278"/>
      <c r="K1046" s="278"/>
      <c r="L1046" s="278"/>
    </row>
    <row r="1047" spans="1:12" ht="16.5" customHeight="1" thickTop="1" x14ac:dyDescent="0.25">
      <c r="A1047" s="1"/>
      <c r="B1047" s="11" t="s">
        <v>3</v>
      </c>
      <c r="C1047" s="12" t="s">
        <v>4</v>
      </c>
      <c r="D1047" s="13"/>
      <c r="E1047" s="13"/>
      <c r="F1047" s="13"/>
      <c r="G1047" s="13"/>
      <c r="H1047" s="14"/>
      <c r="I1047" s="15" t="s">
        <v>5</v>
      </c>
      <c r="J1047" s="12" t="s">
        <v>17</v>
      </c>
      <c r="K1047" s="13"/>
      <c r="L1047" s="14"/>
    </row>
    <row r="1048" spans="1:12" ht="29.25" customHeight="1" x14ac:dyDescent="0.2">
      <c r="A1048" s="50"/>
      <c r="B1048" s="143">
        <v>1</v>
      </c>
      <c r="C1048" s="284" t="s">
        <v>372</v>
      </c>
      <c r="D1048" s="285"/>
      <c r="E1048" s="285"/>
      <c r="F1048" s="285"/>
      <c r="G1048" s="76"/>
      <c r="H1048" s="79"/>
      <c r="I1048" s="56">
        <v>275000</v>
      </c>
      <c r="J1048" s="76"/>
      <c r="K1048" s="76"/>
      <c r="L1048" s="79"/>
    </row>
    <row r="1049" spans="1:12" ht="15" customHeight="1" x14ac:dyDescent="0.2">
      <c r="B1049" s="96"/>
      <c r="C1049" s="124"/>
      <c r="D1049" s="124"/>
      <c r="E1049" s="127"/>
      <c r="F1049" s="125"/>
      <c r="G1049" s="124"/>
      <c r="H1049" s="124"/>
      <c r="I1049" s="23"/>
      <c r="L1049" s="17"/>
    </row>
    <row r="1050" spans="1:12" ht="17.25" customHeight="1" x14ac:dyDescent="0.25">
      <c r="A1050" s="1"/>
      <c r="B1050" s="39"/>
      <c r="C1050" s="1"/>
      <c r="D1050" s="1"/>
      <c r="E1050" s="1"/>
      <c r="F1050" s="40" t="s">
        <v>5</v>
      </c>
      <c r="G1050" s="40"/>
      <c r="H1050" s="1"/>
      <c r="I1050" s="41">
        <f>SUM(I1048:I1048)</f>
        <v>275000</v>
      </c>
      <c r="J1050" s="1"/>
      <c r="K1050" s="1"/>
      <c r="L1050" s="42"/>
    </row>
    <row r="1051" spans="1:12" ht="17.25" customHeight="1" thickBot="1" x14ac:dyDescent="0.3">
      <c r="A1051" s="1"/>
      <c r="B1051" s="43"/>
      <c r="C1051" s="44"/>
      <c r="D1051" s="44"/>
      <c r="E1051" s="44"/>
      <c r="F1051" s="45"/>
      <c r="G1051" s="45"/>
      <c r="H1051" s="44"/>
      <c r="I1051" s="46"/>
      <c r="J1051" s="44"/>
      <c r="K1051" s="44"/>
      <c r="L1051" s="47"/>
    </row>
    <row r="1052" spans="1:12" ht="15.75" customHeight="1" thickTop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ht="45" customHeight="1" x14ac:dyDescent="0.2">
      <c r="A1053" s="10" t="s">
        <v>2</v>
      </c>
      <c r="B1053" s="279" t="s">
        <v>11</v>
      </c>
      <c r="C1053" s="279"/>
      <c r="D1053" s="279"/>
      <c r="E1053" s="279"/>
      <c r="F1053" s="279"/>
      <c r="G1053" s="279"/>
      <c r="H1053" s="279"/>
      <c r="I1053" s="279"/>
      <c r="J1053" s="279"/>
      <c r="K1053" s="279"/>
      <c r="L1053" s="279"/>
    </row>
    <row r="1054" spans="1:12" ht="15.75" customHeight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ht="9.75" customHeight="1" x14ac:dyDescent="0.2">
      <c r="A1055" s="280" t="s">
        <v>12</v>
      </c>
      <c r="B1055" s="280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</row>
    <row r="1056" spans="1:12" ht="1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ht="18.75" customHeight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ht="13.5" customHeight="1" x14ac:dyDescent="0.25">
      <c r="A1058" s="1"/>
      <c r="B1058" s="1"/>
      <c r="C1058" s="1"/>
      <c r="D1058" s="1"/>
      <c r="E1058" s="1"/>
      <c r="F1058" s="1"/>
      <c r="G1058" s="1"/>
      <c r="H1058" s="4" t="s">
        <v>199</v>
      </c>
      <c r="J1058" s="286" t="s">
        <v>357</v>
      </c>
      <c r="K1058" s="286"/>
      <c r="L1058" s="286"/>
    </row>
    <row r="1059" spans="1:12" s="120" customFormat="1" ht="12.75" customHeight="1" x14ac:dyDescent="0.25">
      <c r="A1059" s="1"/>
      <c r="B1059" s="1" t="s">
        <v>15</v>
      </c>
      <c r="C1059" s="1"/>
      <c r="D1059" s="1"/>
      <c r="E1059" s="1"/>
      <c r="F1059" s="1"/>
      <c r="G1059" s="1"/>
      <c r="H1059" s="4" t="s">
        <v>13</v>
      </c>
      <c r="I1059" s="4"/>
      <c r="J1059" s="4"/>
      <c r="K1059" s="4"/>
      <c r="L1059" s="4"/>
    </row>
    <row r="1060" spans="1:12" ht="13.5" customHeight="1" x14ac:dyDescent="0.25">
      <c r="A1060" s="1"/>
      <c r="B1060" s="1" t="s">
        <v>18</v>
      </c>
      <c r="C1060" s="1"/>
      <c r="D1060" s="1"/>
      <c r="E1060" s="1"/>
      <c r="F1060" s="1"/>
      <c r="G1060" s="1"/>
      <c r="H1060" s="4" t="s">
        <v>14</v>
      </c>
    </row>
    <row r="1061" spans="1:12" ht="1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ht="1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ht="18" customHeight="1" x14ac:dyDescent="0.25">
      <c r="A1063" s="1"/>
      <c r="B1063" s="103"/>
      <c r="C1063" s="103"/>
      <c r="D1063" s="103"/>
      <c r="E1063" s="103"/>
      <c r="F1063" s="103"/>
      <c r="G1063" s="103"/>
      <c r="H1063" s="103"/>
      <c r="I1063" s="103"/>
      <c r="J1063" s="103"/>
      <c r="K1063" s="103"/>
      <c r="L1063" s="1"/>
    </row>
    <row r="1064" spans="1:12" ht="6.75" customHeight="1" x14ac:dyDescent="0.25">
      <c r="A1064" s="1"/>
      <c r="K1064" s="103"/>
      <c r="L1064" s="1"/>
    </row>
    <row r="1065" spans="1:12" ht="23.25" customHeight="1" x14ac:dyDescent="0.25">
      <c r="A1065" s="1"/>
      <c r="B1065" s="95" t="s">
        <v>77</v>
      </c>
      <c r="H1065" s="95" t="s">
        <v>77</v>
      </c>
      <c r="I1065" s="95"/>
      <c r="J1065" s="92"/>
      <c r="K1065" s="103"/>
      <c r="L1065" s="1"/>
    </row>
    <row r="1066" spans="1:12" ht="18.75" customHeight="1" x14ac:dyDescent="0.25">
      <c r="A1066" s="1"/>
      <c r="B1066" s="99" t="s">
        <v>27</v>
      </c>
      <c r="C1066" s="57"/>
      <c r="H1066" s="99" t="s">
        <v>27</v>
      </c>
      <c r="K1066" s="103"/>
    </row>
    <row r="1067" spans="1:12" ht="6.75" customHeight="1" x14ac:dyDescent="0.2"/>
    <row r="1068" spans="1:12" ht="17.25" customHeight="1" x14ac:dyDescent="0.2"/>
    <row r="1069" spans="1:12" ht="12.75" customHeight="1" x14ac:dyDescent="0.2"/>
    <row r="1070" spans="1:12" ht="20.25" customHeight="1" x14ac:dyDescent="0.25">
      <c r="A1070" s="3" t="s">
        <v>22</v>
      </c>
    </row>
    <row r="1071" spans="1:12" ht="18.75" customHeight="1" x14ac:dyDescent="0.2">
      <c r="A1071" s="122" t="s">
        <v>20</v>
      </c>
    </row>
    <row r="1072" spans="1:12" ht="15.75" x14ac:dyDescent="0.2">
      <c r="A1072" s="122" t="s">
        <v>21</v>
      </c>
    </row>
    <row r="1073" spans="1:12" ht="34.5" customHeight="1" x14ac:dyDescent="0.2"/>
    <row r="1074" spans="1:12" ht="12.75" x14ac:dyDescent="0.2"/>
    <row r="1075" spans="1:12" ht="33" customHeight="1" x14ac:dyDescent="0.2"/>
    <row r="1076" spans="1:12" ht="24" customHeight="1" x14ac:dyDescent="0.3">
      <c r="A1076" s="276" t="s">
        <v>6</v>
      </c>
      <c r="B1076" s="276"/>
      <c r="C1076" s="276"/>
      <c r="D1076" s="276"/>
      <c r="E1076" s="276"/>
      <c r="F1076" s="276"/>
      <c r="G1076" s="276"/>
      <c r="H1076" s="276"/>
      <c r="I1076" s="276"/>
      <c r="J1076" s="276"/>
      <c r="K1076" s="276"/>
      <c r="L1076" s="276"/>
    </row>
    <row r="1077" spans="1:12" ht="14.25" customHeight="1" x14ac:dyDescent="0.3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</row>
    <row r="1078" spans="1:12" ht="16.5" customHeight="1" x14ac:dyDescent="0.3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</row>
    <row r="1079" spans="1:12" ht="21" hidden="1" customHeight="1" x14ac:dyDescent="0.25">
      <c r="A1079" s="1"/>
      <c r="B1079" s="1"/>
    </row>
    <row r="1080" spans="1:12" ht="20.25" customHeight="1" x14ac:dyDescent="0.25">
      <c r="A1080" s="1" t="s">
        <v>7</v>
      </c>
      <c r="B1080" s="1"/>
    </row>
    <row r="1081" spans="1:12" ht="15" x14ac:dyDescent="0.25">
      <c r="A1081" s="1"/>
      <c r="B1081" s="1"/>
    </row>
    <row r="1082" spans="1:12" ht="15" x14ac:dyDescent="0.25">
      <c r="A1082" s="1" t="s">
        <v>8</v>
      </c>
      <c r="C1082" s="9" t="s">
        <v>1</v>
      </c>
      <c r="D1082" s="126" t="s">
        <v>64</v>
      </c>
      <c r="E1082" s="76"/>
      <c r="F1082" s="76"/>
      <c r="G1082" s="76"/>
      <c r="H1082" s="76"/>
    </row>
    <row r="1083" spans="1:12" ht="15" customHeight="1" x14ac:dyDescent="0.25">
      <c r="A1083" s="1" t="s">
        <v>9</v>
      </c>
      <c r="C1083" s="9" t="s">
        <v>1</v>
      </c>
      <c r="D1083" s="119" t="s">
        <v>236</v>
      </c>
      <c r="E1083" s="76"/>
      <c r="F1083" s="76"/>
      <c r="G1083" s="76"/>
      <c r="H1083" s="76"/>
    </row>
    <row r="1084" spans="1:12" ht="17.25" customHeight="1" x14ac:dyDescent="0.2">
      <c r="A1084" s="50" t="s">
        <v>10</v>
      </c>
      <c r="B1084" s="76"/>
      <c r="C1084" s="91" t="s">
        <v>1</v>
      </c>
      <c r="D1084" s="124" t="s">
        <v>235</v>
      </c>
      <c r="E1084" s="76"/>
      <c r="F1084" s="76"/>
      <c r="G1084" s="76"/>
      <c r="H1084" s="76"/>
      <c r="I1084" s="76"/>
      <c r="J1084" s="76"/>
      <c r="K1084" s="76"/>
      <c r="L1084" s="76"/>
    </row>
    <row r="1085" spans="1:12" ht="19.5" customHeight="1" x14ac:dyDescent="0.25">
      <c r="A1085" s="1"/>
      <c r="B1085" s="1"/>
      <c r="D1085" s="1"/>
    </row>
    <row r="1086" spans="1:12" ht="38.25" customHeight="1" x14ac:dyDescent="0.2">
      <c r="A1086" s="277" t="s">
        <v>373</v>
      </c>
      <c r="B1086" s="277"/>
      <c r="C1086" s="277"/>
      <c r="D1086" s="277"/>
      <c r="E1086" s="277"/>
      <c r="F1086" s="277"/>
      <c r="G1086" s="277"/>
      <c r="H1086" s="277"/>
      <c r="I1086" s="277"/>
      <c r="J1086" s="277"/>
      <c r="K1086" s="277"/>
      <c r="L1086" s="277"/>
    </row>
    <row r="1087" spans="1:12" ht="21" customHeight="1" x14ac:dyDescent="0.25">
      <c r="A1087" s="1"/>
      <c r="B1087" s="1"/>
    </row>
    <row r="1088" spans="1:12" ht="31.5" customHeight="1" thickBot="1" x14ac:dyDescent="0.25">
      <c r="A1088" s="10" t="s">
        <v>0</v>
      </c>
      <c r="B1088" s="278" t="s">
        <v>91</v>
      </c>
      <c r="C1088" s="278"/>
      <c r="D1088" s="278"/>
      <c r="E1088" s="278"/>
      <c r="F1088" s="278"/>
      <c r="G1088" s="278"/>
      <c r="H1088" s="278"/>
      <c r="I1088" s="278"/>
      <c r="J1088" s="278"/>
      <c r="K1088" s="278"/>
      <c r="L1088" s="278"/>
    </row>
    <row r="1089" spans="1:12" ht="22.5" customHeight="1" thickTop="1" x14ac:dyDescent="0.25">
      <c r="A1089" s="1"/>
      <c r="B1089" s="11" t="s">
        <v>3</v>
      </c>
      <c r="C1089" s="12" t="s">
        <v>4</v>
      </c>
      <c r="D1089" s="13"/>
      <c r="E1089" s="13"/>
      <c r="F1089" s="13"/>
      <c r="G1089" s="13"/>
      <c r="H1089" s="14"/>
      <c r="I1089" s="15" t="s">
        <v>5</v>
      </c>
      <c r="J1089" s="12" t="s">
        <v>17</v>
      </c>
      <c r="K1089" s="13"/>
      <c r="L1089" s="14"/>
    </row>
    <row r="1090" spans="1:12" ht="14.25" customHeight="1" x14ac:dyDescent="0.2">
      <c r="A1090" s="50"/>
      <c r="B1090" s="143">
        <v>1</v>
      </c>
      <c r="C1090" s="284" t="s">
        <v>372</v>
      </c>
      <c r="D1090" s="285"/>
      <c r="E1090" s="285"/>
      <c r="F1090" s="285"/>
      <c r="G1090" s="76"/>
      <c r="H1090" s="79"/>
      <c r="I1090" s="56">
        <v>275000</v>
      </c>
      <c r="J1090" s="76"/>
      <c r="K1090" s="76"/>
      <c r="L1090" s="79"/>
    </row>
    <row r="1091" spans="1:12" ht="15.75" customHeight="1" x14ac:dyDescent="0.2">
      <c r="B1091" s="96"/>
      <c r="C1091" s="124"/>
      <c r="D1091" s="124"/>
      <c r="E1091" s="127"/>
      <c r="F1091" s="125"/>
      <c r="G1091" s="124"/>
      <c r="H1091" s="124"/>
      <c r="I1091" s="23"/>
      <c r="L1091" s="17"/>
    </row>
    <row r="1092" spans="1:12" ht="26.25" customHeight="1" x14ac:dyDescent="0.25">
      <c r="A1092" s="1"/>
      <c r="B1092" s="39"/>
      <c r="C1092" s="1"/>
      <c r="D1092" s="1"/>
      <c r="E1092" s="1"/>
      <c r="F1092" s="40" t="s">
        <v>5</v>
      </c>
      <c r="G1092" s="40"/>
      <c r="H1092" s="1"/>
      <c r="I1092" s="41">
        <f>SUM(I1090:I1090)</f>
        <v>275000</v>
      </c>
      <c r="J1092" s="1"/>
      <c r="K1092" s="1"/>
      <c r="L1092" s="42"/>
    </row>
    <row r="1093" spans="1:12" ht="21.75" customHeight="1" thickBot="1" x14ac:dyDescent="0.3">
      <c r="A1093" s="1"/>
      <c r="B1093" s="43"/>
      <c r="C1093" s="44"/>
      <c r="D1093" s="44"/>
      <c r="E1093" s="44"/>
      <c r="F1093" s="45"/>
      <c r="G1093" s="45"/>
      <c r="H1093" s="44"/>
      <c r="I1093" s="46"/>
      <c r="J1093" s="44"/>
      <c r="K1093" s="44"/>
      <c r="L1093" s="47"/>
    </row>
    <row r="1094" spans="1:12" ht="15.75" thickTop="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ht="45.75" customHeight="1" x14ac:dyDescent="0.2">
      <c r="A1095" s="10" t="s">
        <v>2</v>
      </c>
      <c r="B1095" s="279" t="s">
        <v>11</v>
      </c>
      <c r="C1095" s="279"/>
      <c r="D1095" s="279"/>
      <c r="E1095" s="279"/>
      <c r="F1095" s="279"/>
      <c r="G1095" s="279"/>
      <c r="H1095" s="279"/>
      <c r="I1095" s="279"/>
      <c r="J1095" s="279"/>
      <c r="K1095" s="279"/>
      <c r="L1095" s="279"/>
    </row>
    <row r="1096" spans="1:12" ht="1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ht="21" customHeight="1" x14ac:dyDescent="0.2">
      <c r="A1097" s="280" t="s">
        <v>12</v>
      </c>
      <c r="B1097" s="280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</row>
    <row r="1098" spans="1:12" ht="1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ht="15" customHeight="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ht="18" customHeight="1" x14ac:dyDescent="0.25">
      <c r="A1100" s="1"/>
      <c r="B1100" s="1"/>
      <c r="C1100" s="1"/>
      <c r="D1100" s="1"/>
      <c r="E1100" s="1"/>
      <c r="F1100" s="1"/>
      <c r="G1100" s="1"/>
      <c r="H1100" s="4" t="s">
        <v>199</v>
      </c>
      <c r="J1100" s="286" t="s">
        <v>357</v>
      </c>
      <c r="K1100" s="286"/>
      <c r="L1100" s="286"/>
    </row>
    <row r="1101" spans="1:12" ht="12.75" customHeight="1" x14ac:dyDescent="0.25">
      <c r="A1101" s="1"/>
      <c r="B1101" s="1" t="s">
        <v>15</v>
      </c>
      <c r="C1101" s="1"/>
      <c r="D1101" s="1"/>
      <c r="E1101" s="1"/>
      <c r="F1101" s="1"/>
      <c r="G1101" s="1"/>
      <c r="H1101" s="4" t="s">
        <v>13</v>
      </c>
    </row>
    <row r="1102" spans="1:12" ht="12.75" customHeight="1" x14ac:dyDescent="0.25">
      <c r="A1102" s="1"/>
      <c r="B1102" s="1" t="s">
        <v>18</v>
      </c>
      <c r="C1102" s="1"/>
      <c r="D1102" s="1"/>
      <c r="E1102" s="1"/>
      <c r="F1102" s="1"/>
      <c r="G1102" s="1"/>
      <c r="H1102" s="4" t="s">
        <v>14</v>
      </c>
    </row>
    <row r="1103" spans="1:12" ht="33.75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ht="19.5" customHeight="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ht="1.5" customHeight="1" x14ac:dyDescent="0.25">
      <c r="A1105" s="1"/>
      <c r="B1105" s="103"/>
      <c r="C1105" s="103"/>
      <c r="D1105" s="103"/>
      <c r="E1105" s="103"/>
      <c r="F1105" s="103"/>
      <c r="G1105" s="103"/>
      <c r="H1105" s="103"/>
      <c r="I1105" s="103"/>
      <c r="J1105" s="103"/>
      <c r="K1105" s="103"/>
      <c r="L1105" s="1"/>
    </row>
    <row r="1106" spans="1:12" ht="15" x14ac:dyDescent="0.25">
      <c r="A1106" s="1"/>
      <c r="K1106" s="103"/>
      <c r="L1106" s="1"/>
    </row>
    <row r="1107" spans="1:12" ht="20.25" customHeight="1" x14ac:dyDescent="0.25">
      <c r="A1107" s="1"/>
      <c r="B1107" s="95" t="s">
        <v>77</v>
      </c>
      <c r="H1107" s="95" t="s">
        <v>64</v>
      </c>
      <c r="I1107" s="95"/>
      <c r="J1107" s="92"/>
      <c r="K1107" s="103"/>
      <c r="L1107" s="1"/>
    </row>
    <row r="1108" spans="1:12" ht="15.75" customHeight="1" x14ac:dyDescent="0.25">
      <c r="A1108" s="1"/>
      <c r="B1108" s="99" t="s">
        <v>27</v>
      </c>
      <c r="C1108" s="57"/>
      <c r="H1108" s="99" t="s">
        <v>46</v>
      </c>
      <c r="K1108" s="103"/>
    </row>
    <row r="1109" spans="1:12" ht="15.75" customHeight="1" x14ac:dyDescent="0.2"/>
    <row r="1110" spans="1:12" ht="11.25" customHeight="1" x14ac:dyDescent="0.2"/>
    <row r="1111" spans="1:12" ht="10.5" customHeight="1" x14ac:dyDescent="0.2"/>
    <row r="1112" spans="1:12" ht="11.25" customHeight="1" x14ac:dyDescent="0.2"/>
    <row r="1113" spans="1:12" ht="16.5" customHeight="1" x14ac:dyDescent="0.25">
      <c r="A1113" s="3" t="s">
        <v>22</v>
      </c>
    </row>
    <row r="1114" spans="1:12" ht="18" customHeight="1" x14ac:dyDescent="0.2">
      <c r="A1114" s="122" t="s">
        <v>20</v>
      </c>
    </row>
    <row r="1115" spans="1:12" ht="15" customHeight="1" x14ac:dyDescent="0.2">
      <c r="A1115" s="122" t="s">
        <v>21</v>
      </c>
    </row>
    <row r="1116" spans="1:12" ht="15" customHeight="1" x14ac:dyDescent="0.2"/>
    <row r="1117" spans="1:12" ht="12.75" x14ac:dyDescent="0.2"/>
    <row r="1118" spans="1:12" ht="18" customHeight="1" x14ac:dyDescent="0.2"/>
    <row r="1119" spans="1:12" ht="20.25" customHeight="1" x14ac:dyDescent="0.3">
      <c r="A1119" s="276" t="s">
        <v>6</v>
      </c>
      <c r="B1119" s="276"/>
      <c r="C1119" s="276"/>
      <c r="D1119" s="276"/>
      <c r="E1119" s="276"/>
      <c r="F1119" s="276"/>
      <c r="G1119" s="276"/>
      <c r="H1119" s="276"/>
      <c r="I1119" s="276"/>
      <c r="J1119" s="276"/>
      <c r="K1119" s="276"/>
      <c r="L1119" s="276"/>
    </row>
    <row r="1120" spans="1:12" ht="12.75" customHeight="1" x14ac:dyDescent="0.3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</row>
    <row r="1121" spans="1:12" ht="15.75" customHeight="1" x14ac:dyDescent="0.3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</row>
    <row r="1122" spans="1:12" ht="21" hidden="1" customHeight="1" x14ac:dyDescent="0.25">
      <c r="A1122" s="1"/>
      <c r="B1122" s="1"/>
    </row>
    <row r="1123" spans="1:12" ht="24" customHeight="1" x14ac:dyDescent="0.25">
      <c r="A1123" s="1" t="s">
        <v>7</v>
      </c>
      <c r="B1123" s="1"/>
    </row>
    <row r="1124" spans="1:12" ht="11.25" customHeight="1" x14ac:dyDescent="0.25">
      <c r="A1124" s="1"/>
      <c r="B1124" s="1"/>
    </row>
    <row r="1125" spans="1:12" ht="20.25" customHeight="1" x14ac:dyDescent="0.25">
      <c r="A1125" s="1" t="s">
        <v>8</v>
      </c>
      <c r="C1125" s="9" t="s">
        <v>1</v>
      </c>
      <c r="D1125" s="126" t="s">
        <v>64</v>
      </c>
      <c r="E1125" s="76"/>
      <c r="F1125" s="76"/>
      <c r="G1125" s="76"/>
      <c r="H1125" s="76"/>
    </row>
    <row r="1126" spans="1:12" ht="15" customHeight="1" x14ac:dyDescent="0.25">
      <c r="A1126" s="1" t="s">
        <v>9</v>
      </c>
      <c r="C1126" s="9" t="s">
        <v>1</v>
      </c>
      <c r="D1126" s="119" t="s">
        <v>236</v>
      </c>
      <c r="E1126" s="76"/>
      <c r="F1126" s="76"/>
      <c r="G1126" s="76"/>
      <c r="H1126" s="76"/>
    </row>
    <row r="1127" spans="1:12" ht="10.5" customHeight="1" x14ac:dyDescent="0.2">
      <c r="A1127" s="50" t="s">
        <v>10</v>
      </c>
      <c r="B1127" s="76"/>
      <c r="C1127" s="91" t="s">
        <v>1</v>
      </c>
      <c r="D1127" s="124" t="s">
        <v>235</v>
      </c>
      <c r="E1127" s="76"/>
      <c r="F1127" s="76"/>
      <c r="G1127" s="76"/>
      <c r="H1127" s="76"/>
      <c r="I1127" s="76"/>
      <c r="J1127" s="76"/>
      <c r="K1127" s="76"/>
      <c r="L1127" s="76"/>
    </row>
    <row r="1128" spans="1:12" ht="15" customHeight="1" x14ac:dyDescent="0.25">
      <c r="A1128" s="1"/>
      <c r="B1128" s="1"/>
      <c r="D1128" s="1"/>
    </row>
    <row r="1129" spans="1:12" ht="44.25" customHeight="1" x14ac:dyDescent="0.2">
      <c r="A1129" s="277" t="s">
        <v>375</v>
      </c>
      <c r="B1129" s="277"/>
      <c r="C1129" s="277"/>
      <c r="D1129" s="277"/>
      <c r="E1129" s="277"/>
      <c r="F1129" s="277"/>
      <c r="G1129" s="277"/>
      <c r="H1129" s="277"/>
      <c r="I1129" s="277"/>
      <c r="J1129" s="277"/>
      <c r="K1129" s="277"/>
      <c r="L1129" s="277"/>
    </row>
    <row r="1130" spans="1:12" ht="11.25" customHeight="1" x14ac:dyDescent="0.25">
      <c r="A1130" s="1"/>
      <c r="B1130" s="1"/>
    </row>
    <row r="1131" spans="1:12" ht="39.75" customHeight="1" thickBot="1" x14ac:dyDescent="0.25">
      <c r="A1131" s="10" t="s">
        <v>0</v>
      </c>
      <c r="B1131" s="278" t="s">
        <v>91</v>
      </c>
      <c r="C1131" s="278"/>
      <c r="D1131" s="278"/>
      <c r="E1131" s="278"/>
      <c r="F1131" s="278"/>
      <c r="G1131" s="278"/>
      <c r="H1131" s="278"/>
      <c r="I1131" s="278"/>
      <c r="J1131" s="278"/>
      <c r="K1131" s="278"/>
      <c r="L1131" s="278"/>
    </row>
    <row r="1132" spans="1:12" ht="15.75" customHeight="1" thickTop="1" x14ac:dyDescent="0.25">
      <c r="A1132" s="1"/>
      <c r="B1132" s="11" t="s">
        <v>3</v>
      </c>
      <c r="C1132" s="12" t="s">
        <v>4</v>
      </c>
      <c r="D1132" s="13"/>
      <c r="E1132" s="13"/>
      <c r="F1132" s="13"/>
      <c r="G1132" s="13"/>
      <c r="H1132" s="14"/>
      <c r="I1132" s="15" t="s">
        <v>5</v>
      </c>
      <c r="J1132" s="12" t="s">
        <v>17</v>
      </c>
      <c r="K1132" s="13"/>
      <c r="L1132" s="14"/>
    </row>
    <row r="1133" spans="1:12" ht="22.5" customHeight="1" x14ac:dyDescent="0.2">
      <c r="A1133" s="50"/>
      <c r="B1133" s="143">
        <v>1</v>
      </c>
      <c r="C1133" s="284" t="s">
        <v>374</v>
      </c>
      <c r="D1133" s="285"/>
      <c r="E1133" s="285"/>
      <c r="F1133" s="285"/>
      <c r="G1133" s="76"/>
      <c r="H1133" s="79"/>
      <c r="I1133" s="56">
        <v>250000</v>
      </c>
      <c r="J1133" s="76"/>
      <c r="K1133" s="76"/>
      <c r="L1133" s="79"/>
    </row>
    <row r="1134" spans="1:12" ht="26.25" customHeight="1" x14ac:dyDescent="0.2">
      <c r="B1134" s="96"/>
      <c r="C1134" s="124"/>
      <c r="D1134" s="124"/>
      <c r="E1134" s="127"/>
      <c r="F1134" s="125"/>
      <c r="G1134" s="124"/>
      <c r="H1134" s="124"/>
      <c r="I1134" s="23"/>
      <c r="L1134" s="17"/>
    </row>
    <row r="1135" spans="1:12" ht="13.5" customHeight="1" x14ac:dyDescent="0.25">
      <c r="A1135" s="1"/>
      <c r="B1135" s="39"/>
      <c r="C1135" s="1"/>
      <c r="D1135" s="1"/>
      <c r="E1135" s="1"/>
      <c r="F1135" s="40" t="s">
        <v>5</v>
      </c>
      <c r="G1135" s="40"/>
      <c r="H1135" s="1"/>
      <c r="I1135" s="41">
        <v>250000</v>
      </c>
      <c r="J1135" s="1"/>
      <c r="K1135" s="1"/>
      <c r="L1135" s="42"/>
    </row>
    <row r="1136" spans="1:12" ht="15.75" thickBot="1" x14ac:dyDescent="0.3">
      <c r="A1136" s="1"/>
      <c r="B1136" s="43"/>
      <c r="C1136" s="44"/>
      <c r="D1136" s="44"/>
      <c r="E1136" s="44"/>
      <c r="F1136" s="45"/>
      <c r="G1136" s="45"/>
      <c r="H1136" s="44"/>
      <c r="I1136" s="46"/>
      <c r="J1136" s="44"/>
      <c r="K1136" s="44"/>
      <c r="L1136" s="47"/>
    </row>
    <row r="1137" spans="1:12" ht="18.75" customHeight="1" thickTop="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 ht="48" customHeight="1" x14ac:dyDescent="0.2">
      <c r="A1138" s="10" t="s">
        <v>2</v>
      </c>
      <c r="B1138" s="279" t="s">
        <v>11</v>
      </c>
      <c r="C1138" s="279"/>
      <c r="D1138" s="279"/>
      <c r="E1138" s="279"/>
      <c r="F1138" s="279"/>
      <c r="G1138" s="279"/>
      <c r="H1138" s="279"/>
      <c r="I1138" s="279"/>
      <c r="J1138" s="279"/>
      <c r="K1138" s="279"/>
      <c r="L1138" s="279"/>
    </row>
    <row r="1139" spans="1:12" ht="20.25" customHeight="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 ht="26.25" customHeight="1" x14ac:dyDescent="0.2">
      <c r="A1140" s="280" t="s">
        <v>12</v>
      </c>
      <c r="B1140" s="280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</row>
    <row r="1141" spans="1:12" ht="29.25" customHeight="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 ht="18.75" hidden="1" customHeight="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 ht="18.75" customHeight="1" x14ac:dyDescent="0.25">
      <c r="A1143" s="1"/>
      <c r="B1143" s="1"/>
      <c r="C1143" s="1"/>
      <c r="D1143" s="1"/>
      <c r="E1143" s="1"/>
      <c r="F1143" s="1"/>
      <c r="G1143" s="1"/>
      <c r="H1143" s="4" t="s">
        <v>199</v>
      </c>
      <c r="J1143" s="286" t="s">
        <v>357</v>
      </c>
      <c r="K1143" s="286"/>
      <c r="L1143" s="286"/>
    </row>
    <row r="1144" spans="1:12" ht="12" customHeight="1" x14ac:dyDescent="0.25">
      <c r="A1144" s="1"/>
      <c r="B1144" s="1" t="s">
        <v>15</v>
      </c>
      <c r="C1144" s="1"/>
      <c r="D1144" s="1"/>
      <c r="E1144" s="1"/>
      <c r="F1144" s="1"/>
      <c r="G1144" s="1"/>
      <c r="H1144" s="4" t="s">
        <v>13</v>
      </c>
    </row>
    <row r="1145" spans="1:12" ht="12" customHeight="1" x14ac:dyDescent="0.25">
      <c r="A1145" s="1"/>
      <c r="B1145" s="1" t="s">
        <v>18</v>
      </c>
      <c r="C1145" s="1"/>
      <c r="D1145" s="1"/>
      <c r="E1145" s="1"/>
      <c r="F1145" s="1"/>
      <c r="G1145" s="1"/>
      <c r="H1145" s="4" t="s">
        <v>14</v>
      </c>
    </row>
    <row r="1146" spans="1:12" ht="18" customHeight="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 ht="12.75" customHeight="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 ht="18.75" customHeight="1" x14ac:dyDescent="0.25">
      <c r="A1148" s="1"/>
      <c r="B1148" s="103"/>
      <c r="C1148" s="103"/>
      <c r="D1148" s="103"/>
      <c r="E1148" s="103"/>
      <c r="F1148" s="103"/>
      <c r="G1148" s="103"/>
      <c r="H1148" s="103"/>
      <c r="I1148" s="103"/>
      <c r="J1148" s="103"/>
      <c r="K1148" s="103"/>
      <c r="L1148" s="1"/>
    </row>
    <row r="1149" spans="1:12" ht="15" x14ac:dyDescent="0.25">
      <c r="A1149" s="1"/>
      <c r="K1149" s="103"/>
      <c r="L1149" s="1"/>
    </row>
    <row r="1150" spans="1:12" ht="18" customHeight="1" x14ac:dyDescent="0.25">
      <c r="A1150" s="1"/>
      <c r="B1150" s="95" t="s">
        <v>77</v>
      </c>
      <c r="H1150" s="95" t="s">
        <v>64</v>
      </c>
      <c r="I1150" s="95"/>
      <c r="J1150" s="92"/>
      <c r="K1150" s="103"/>
      <c r="L1150" s="1"/>
    </row>
    <row r="1151" spans="1:12" ht="13.5" customHeight="1" x14ac:dyDescent="0.25">
      <c r="A1151" s="1"/>
      <c r="B1151" s="99" t="s">
        <v>27</v>
      </c>
      <c r="C1151" s="57"/>
      <c r="H1151" s="99" t="s">
        <v>46</v>
      </c>
      <c r="K1151" s="103"/>
    </row>
    <row r="1152" spans="1:12" ht="22.5" customHeight="1" x14ac:dyDescent="0.2"/>
    <row r="1153" spans="1:1" ht="19.5" customHeight="1" x14ac:dyDescent="0.2"/>
    <row r="1154" spans="1:1" ht="3.75" customHeight="1" x14ac:dyDescent="0.2"/>
    <row r="1155" spans="1:1" ht="19.5" customHeight="1" x14ac:dyDescent="0.2"/>
    <row r="1156" spans="1:1" ht="15" customHeight="1" x14ac:dyDescent="0.2"/>
    <row r="1157" spans="1:1" ht="13.5" customHeight="1" x14ac:dyDescent="0.2"/>
    <row r="1158" spans="1:1" ht="19.5" customHeight="1" x14ac:dyDescent="0.2"/>
    <row r="1159" spans="1:1" ht="11.25" customHeight="1" x14ac:dyDescent="0.2"/>
    <row r="1160" spans="1:1" ht="12.75" x14ac:dyDescent="0.2"/>
    <row r="1161" spans="1:1" ht="15" customHeight="1" x14ac:dyDescent="0.2"/>
    <row r="1162" spans="1:1" ht="29.25" customHeight="1" x14ac:dyDescent="0.2"/>
    <row r="1163" spans="1:1" ht="16.5" customHeight="1" x14ac:dyDescent="0.2"/>
    <row r="1164" spans="1:1" ht="39" customHeight="1" x14ac:dyDescent="0.2"/>
    <row r="1165" spans="1:1" ht="20.25" customHeight="1" x14ac:dyDescent="0.2"/>
    <row r="1166" spans="1:1" ht="24" customHeight="1" x14ac:dyDescent="0.2"/>
    <row r="1167" spans="1:1" ht="18.75" customHeight="1" x14ac:dyDescent="0.2"/>
    <row r="1168" spans="1:1" ht="15.75" customHeight="1" x14ac:dyDescent="0.25">
      <c r="A1168" s="3" t="s">
        <v>22</v>
      </c>
    </row>
    <row r="1169" spans="1:12" ht="15.75" x14ac:dyDescent="0.2">
      <c r="A1169" s="122" t="s">
        <v>20</v>
      </c>
    </row>
    <row r="1170" spans="1:12" ht="21.75" customHeight="1" x14ac:dyDescent="0.2">
      <c r="A1170" s="122" t="s">
        <v>21</v>
      </c>
    </row>
    <row r="1171" spans="1:12" ht="12.75" x14ac:dyDescent="0.2"/>
    <row r="1172" spans="1:12" ht="20.25" customHeight="1" x14ac:dyDescent="0.2"/>
    <row r="1173" spans="1:12" ht="12.75" x14ac:dyDescent="0.2"/>
    <row r="1174" spans="1:12" ht="18.75" x14ac:dyDescent="0.3">
      <c r="A1174" s="276" t="s">
        <v>6</v>
      </c>
      <c r="B1174" s="276"/>
      <c r="C1174" s="276"/>
      <c r="D1174" s="276"/>
      <c r="E1174" s="276"/>
      <c r="F1174" s="276"/>
      <c r="G1174" s="276"/>
      <c r="H1174" s="276"/>
      <c r="I1174" s="276"/>
      <c r="J1174" s="276"/>
      <c r="K1174" s="276"/>
      <c r="L1174" s="276"/>
    </row>
    <row r="1175" spans="1:12" ht="10.5" customHeight="1" x14ac:dyDescent="0.3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</row>
    <row r="1176" spans="1:12" ht="18.75" hidden="1" customHeight="1" x14ac:dyDescent="0.3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</row>
    <row r="1177" spans="1:12" ht="6" customHeight="1" x14ac:dyDescent="0.25">
      <c r="A1177" s="1"/>
      <c r="B1177" s="1"/>
    </row>
    <row r="1178" spans="1:12" ht="15" customHeight="1" x14ac:dyDescent="0.25">
      <c r="A1178" s="1" t="s">
        <v>7</v>
      </c>
      <c r="B1178" s="1"/>
    </row>
    <row r="1179" spans="1:12" ht="15" x14ac:dyDescent="0.25">
      <c r="A1179" s="1"/>
      <c r="B1179" s="1"/>
    </row>
    <row r="1180" spans="1:12" ht="15" x14ac:dyDescent="0.25">
      <c r="A1180" s="1" t="s">
        <v>8</v>
      </c>
      <c r="C1180" s="9" t="s">
        <v>1</v>
      </c>
      <c r="D1180" s="40" t="s">
        <v>83</v>
      </c>
      <c r="E1180" s="76"/>
      <c r="F1180" s="76"/>
      <c r="G1180" s="76"/>
      <c r="H1180" s="76"/>
    </row>
    <row r="1181" spans="1:12" ht="15" x14ac:dyDescent="0.25">
      <c r="A1181" s="1" t="s">
        <v>9</v>
      </c>
      <c r="C1181" s="9" t="s">
        <v>1</v>
      </c>
      <c r="D1181" s="7" t="s">
        <v>368</v>
      </c>
      <c r="E1181" s="76"/>
      <c r="F1181" s="76"/>
      <c r="G1181" s="76"/>
      <c r="H1181" s="76"/>
    </row>
    <row r="1182" spans="1:12" ht="17.25" customHeight="1" x14ac:dyDescent="0.2">
      <c r="A1182" s="50" t="s">
        <v>10</v>
      </c>
      <c r="B1182" s="76"/>
      <c r="C1182" s="91" t="s">
        <v>1</v>
      </c>
      <c r="D1182" s="124" t="s">
        <v>203</v>
      </c>
      <c r="E1182" s="76"/>
      <c r="F1182" s="76"/>
      <c r="G1182" s="76"/>
      <c r="H1182" s="76"/>
      <c r="I1182" s="76"/>
      <c r="J1182" s="76"/>
      <c r="K1182" s="76"/>
      <c r="L1182" s="76"/>
    </row>
    <row r="1183" spans="1:12" ht="15" x14ac:dyDescent="0.25">
      <c r="A1183" s="1"/>
      <c r="B1183" s="1"/>
      <c r="D1183" s="1"/>
    </row>
    <row r="1184" spans="1:12" ht="33" customHeight="1" x14ac:dyDescent="0.2">
      <c r="A1184" s="277" t="s">
        <v>375</v>
      </c>
      <c r="B1184" s="277"/>
      <c r="C1184" s="277"/>
      <c r="D1184" s="277"/>
      <c r="E1184" s="277"/>
      <c r="F1184" s="277"/>
      <c r="G1184" s="277"/>
      <c r="H1184" s="277"/>
      <c r="I1184" s="277"/>
      <c r="J1184" s="277"/>
      <c r="K1184" s="277"/>
      <c r="L1184" s="277"/>
    </row>
    <row r="1185" spans="1:12" ht="11.25" customHeight="1" x14ac:dyDescent="0.25">
      <c r="A1185" s="1"/>
      <c r="B1185" s="1"/>
    </row>
    <row r="1186" spans="1:12" ht="33.75" customHeight="1" thickBot="1" x14ac:dyDescent="0.25">
      <c r="A1186" s="10" t="s">
        <v>0</v>
      </c>
      <c r="B1186" s="278" t="s">
        <v>91</v>
      </c>
      <c r="C1186" s="278"/>
      <c r="D1186" s="278"/>
      <c r="E1186" s="278"/>
      <c r="F1186" s="278"/>
      <c r="G1186" s="278"/>
      <c r="H1186" s="278"/>
      <c r="I1186" s="278"/>
      <c r="J1186" s="278"/>
      <c r="K1186" s="278"/>
      <c r="L1186" s="278"/>
    </row>
    <row r="1187" spans="1:12" ht="21" customHeight="1" thickTop="1" x14ac:dyDescent="0.25">
      <c r="A1187" s="1"/>
      <c r="B1187" s="11" t="s">
        <v>3</v>
      </c>
      <c r="C1187" s="12" t="s">
        <v>4</v>
      </c>
      <c r="D1187" s="13"/>
      <c r="E1187" s="13"/>
      <c r="F1187" s="13"/>
      <c r="G1187" s="13"/>
      <c r="H1187" s="14"/>
      <c r="I1187" s="15" t="s">
        <v>5</v>
      </c>
      <c r="J1187" s="12" t="s">
        <v>17</v>
      </c>
      <c r="K1187" s="13"/>
      <c r="L1187" s="14"/>
    </row>
    <row r="1188" spans="1:12" ht="33.75" customHeight="1" x14ac:dyDescent="0.2">
      <c r="A1188" s="50"/>
      <c r="B1188" s="143">
        <v>1</v>
      </c>
      <c r="C1188" s="284" t="s">
        <v>374</v>
      </c>
      <c r="D1188" s="285"/>
      <c r="E1188" s="285"/>
      <c r="F1188" s="285"/>
      <c r="G1188" s="76"/>
      <c r="H1188" s="79"/>
      <c r="I1188" s="56">
        <v>250000</v>
      </c>
      <c r="J1188" s="76"/>
      <c r="K1188" s="76"/>
      <c r="L1188" s="79"/>
    </row>
    <row r="1189" spans="1:12" ht="20.25" customHeight="1" x14ac:dyDescent="0.2">
      <c r="B1189" s="96"/>
      <c r="C1189" s="124"/>
      <c r="D1189" s="124"/>
      <c r="E1189" s="127"/>
      <c r="F1189" s="125"/>
      <c r="G1189" s="124"/>
      <c r="H1189" s="124"/>
      <c r="I1189" s="23"/>
      <c r="L1189" s="17"/>
    </row>
    <row r="1190" spans="1:12" ht="17.25" customHeight="1" x14ac:dyDescent="0.25">
      <c r="A1190" s="1"/>
      <c r="B1190" s="39"/>
      <c r="C1190" s="1"/>
      <c r="D1190" s="1"/>
      <c r="E1190" s="1"/>
      <c r="F1190" s="40" t="s">
        <v>5</v>
      </c>
      <c r="G1190" s="40"/>
      <c r="H1190" s="1"/>
      <c r="I1190" s="41">
        <v>250000</v>
      </c>
      <c r="J1190" s="1"/>
      <c r="K1190" s="1"/>
      <c r="L1190" s="42"/>
    </row>
    <row r="1191" spans="1:12" ht="15" customHeight="1" thickBot="1" x14ac:dyDescent="0.3">
      <c r="A1191" s="1"/>
      <c r="B1191" s="43"/>
      <c r="C1191" s="44"/>
      <c r="D1191" s="44"/>
      <c r="E1191" s="44"/>
      <c r="F1191" s="45"/>
      <c r="G1191" s="45"/>
      <c r="H1191" s="44"/>
      <c r="I1191" s="46"/>
      <c r="J1191" s="44"/>
      <c r="K1191" s="44"/>
      <c r="L1191" s="47"/>
    </row>
    <row r="1192" spans="1:12" ht="10.5" customHeight="1" thickTop="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 ht="49.5" customHeight="1" x14ac:dyDescent="0.2">
      <c r="A1193" s="10" t="s">
        <v>2</v>
      </c>
      <c r="B1193" s="279" t="s">
        <v>11</v>
      </c>
      <c r="C1193" s="279"/>
      <c r="D1193" s="279"/>
      <c r="E1193" s="279"/>
      <c r="F1193" s="279"/>
      <c r="G1193" s="279"/>
      <c r="H1193" s="279"/>
      <c r="I1193" s="279"/>
      <c r="J1193" s="279"/>
      <c r="K1193" s="279"/>
      <c r="L1193" s="279"/>
    </row>
    <row r="1194" spans="1:12" ht="13.5" customHeight="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 ht="33" customHeight="1" x14ac:dyDescent="0.2">
      <c r="A1195" s="280" t="s">
        <v>12</v>
      </c>
      <c r="B1195" s="280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</row>
    <row r="1196" spans="1:12" ht="24.75" customHeight="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 ht="6" customHeight="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 ht="18" customHeight="1" x14ac:dyDescent="0.25">
      <c r="A1198" s="1"/>
      <c r="B1198" s="1"/>
      <c r="C1198" s="1"/>
      <c r="D1198" s="1"/>
      <c r="E1198" s="1"/>
      <c r="F1198" s="1"/>
      <c r="G1198" s="1"/>
      <c r="H1198" s="4" t="s">
        <v>199</v>
      </c>
      <c r="J1198" s="286" t="s">
        <v>357</v>
      </c>
      <c r="K1198" s="286"/>
      <c r="L1198" s="286"/>
    </row>
    <row r="1199" spans="1:12" ht="15" x14ac:dyDescent="0.25">
      <c r="A1199" s="1"/>
      <c r="B1199" s="1" t="s">
        <v>15</v>
      </c>
      <c r="C1199" s="1"/>
      <c r="D1199" s="1"/>
      <c r="E1199" s="1"/>
      <c r="F1199" s="1"/>
      <c r="G1199" s="1"/>
      <c r="H1199" s="4" t="s">
        <v>13</v>
      </c>
    </row>
    <row r="1200" spans="1:12" s="99" customFormat="1" ht="15.75" customHeight="1" x14ac:dyDescent="0.25">
      <c r="A1200" s="1"/>
      <c r="B1200" s="1" t="s">
        <v>18</v>
      </c>
      <c r="C1200" s="1"/>
      <c r="D1200" s="1"/>
      <c r="E1200" s="1"/>
      <c r="F1200" s="1"/>
      <c r="G1200" s="1"/>
      <c r="H1200" s="4" t="s">
        <v>14</v>
      </c>
      <c r="I1200" s="4"/>
      <c r="J1200" s="4"/>
      <c r="K1200" s="4"/>
      <c r="L1200" s="4"/>
    </row>
    <row r="1201" spans="1:12" s="99" customFormat="1" ht="1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 ht="18" customHeight="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 ht="6.75" customHeight="1" x14ac:dyDescent="0.25">
      <c r="A1203" s="1"/>
      <c r="B1203" s="103"/>
      <c r="C1203" s="103"/>
      <c r="D1203" s="103"/>
      <c r="E1203" s="103"/>
      <c r="F1203" s="103"/>
      <c r="G1203" s="103"/>
      <c r="H1203" s="103"/>
      <c r="I1203" s="103"/>
      <c r="J1203" s="103"/>
      <c r="K1203" s="103"/>
      <c r="L1203" s="1"/>
    </row>
    <row r="1204" spans="1:12" ht="17.25" customHeight="1" x14ac:dyDescent="0.25">
      <c r="A1204" s="1"/>
      <c r="K1204" s="103"/>
      <c r="L1204" s="1"/>
    </row>
    <row r="1205" spans="1:12" ht="27.75" customHeight="1" x14ac:dyDescent="0.25">
      <c r="A1205" s="1"/>
      <c r="B1205" s="95" t="s">
        <v>77</v>
      </c>
      <c r="H1205" s="37" t="s">
        <v>83</v>
      </c>
      <c r="I1205" s="95"/>
      <c r="J1205" s="92"/>
      <c r="K1205" s="103"/>
      <c r="L1205" s="1"/>
    </row>
    <row r="1206" spans="1:12" ht="14.25" customHeight="1" x14ac:dyDescent="0.25">
      <c r="A1206" s="1"/>
      <c r="B1206" s="99" t="s">
        <v>27</v>
      </c>
      <c r="C1206" s="57"/>
      <c r="H1206" s="1" t="s">
        <v>99</v>
      </c>
      <c r="K1206" s="103"/>
    </row>
    <row r="1207" spans="1:12" ht="33" customHeight="1" x14ac:dyDescent="0.2"/>
    <row r="1208" spans="1:12" ht="23.25" customHeight="1" x14ac:dyDescent="0.25">
      <c r="A1208" s="3" t="s">
        <v>22</v>
      </c>
    </row>
    <row r="1209" spans="1:12" ht="14.25" customHeight="1" x14ac:dyDescent="0.2">
      <c r="A1209" s="122" t="s">
        <v>20</v>
      </c>
    </row>
    <row r="1210" spans="1:12" ht="15.75" x14ac:dyDescent="0.2">
      <c r="A1210" s="122" t="s">
        <v>21</v>
      </c>
    </row>
    <row r="1211" spans="1:12" ht="20.25" customHeight="1" x14ac:dyDescent="0.2"/>
    <row r="1212" spans="1:12" ht="12.75" x14ac:dyDescent="0.2"/>
    <row r="1213" spans="1:12" ht="12.75" customHeight="1" x14ac:dyDescent="0.2"/>
    <row r="1214" spans="1:12" ht="18.75" x14ac:dyDescent="0.3">
      <c r="A1214" s="276" t="s">
        <v>6</v>
      </c>
      <c r="B1214" s="276"/>
      <c r="C1214" s="276"/>
      <c r="D1214" s="276"/>
      <c r="E1214" s="276"/>
      <c r="F1214" s="276"/>
      <c r="G1214" s="276"/>
      <c r="H1214" s="276"/>
      <c r="I1214" s="276"/>
      <c r="J1214" s="276"/>
      <c r="K1214" s="276"/>
      <c r="L1214" s="276"/>
    </row>
    <row r="1215" spans="1:12" ht="28.5" customHeight="1" x14ac:dyDescent="0.3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</row>
    <row r="1216" spans="1:12" ht="9" customHeight="1" x14ac:dyDescent="0.3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</row>
    <row r="1217" spans="1:12" ht="15" x14ac:dyDescent="0.25">
      <c r="A1217" s="1"/>
      <c r="B1217" s="1"/>
    </row>
    <row r="1218" spans="1:12" ht="15" x14ac:dyDescent="0.25">
      <c r="A1218" s="1" t="s">
        <v>7</v>
      </c>
      <c r="B1218" s="1"/>
    </row>
    <row r="1219" spans="1:12" ht="16.5" customHeight="1" x14ac:dyDescent="0.25">
      <c r="A1219" s="1"/>
      <c r="B1219" s="1"/>
    </row>
    <row r="1220" spans="1:12" ht="12.75" customHeight="1" x14ac:dyDescent="0.25">
      <c r="A1220" s="1" t="s">
        <v>8</v>
      </c>
      <c r="C1220" s="9" t="s">
        <v>1</v>
      </c>
      <c r="D1220" s="92" t="s">
        <v>77</v>
      </c>
      <c r="E1220" s="76"/>
      <c r="F1220" s="76"/>
      <c r="G1220" s="76"/>
      <c r="H1220" s="76"/>
    </row>
    <row r="1221" spans="1:12" ht="11.25" customHeight="1" x14ac:dyDescent="0.25">
      <c r="A1221" s="1" t="s">
        <v>9</v>
      </c>
      <c r="C1221" s="9" t="s">
        <v>1</v>
      </c>
      <c r="D1221" s="57" t="s">
        <v>201</v>
      </c>
      <c r="E1221" s="76"/>
      <c r="F1221" s="76"/>
      <c r="G1221" s="76"/>
      <c r="H1221" s="76"/>
    </row>
    <row r="1222" spans="1:12" ht="12.75" customHeight="1" x14ac:dyDescent="0.2">
      <c r="A1222" s="50" t="s">
        <v>10</v>
      </c>
      <c r="B1222" s="76"/>
      <c r="C1222" s="91" t="s">
        <v>1</v>
      </c>
      <c r="D1222" s="50" t="s">
        <v>265</v>
      </c>
      <c r="E1222" s="76"/>
      <c r="F1222" s="76"/>
      <c r="G1222" s="76"/>
      <c r="H1222" s="76"/>
      <c r="I1222" s="76"/>
      <c r="J1222" s="76"/>
      <c r="K1222" s="76"/>
      <c r="L1222" s="76"/>
    </row>
    <row r="1223" spans="1:12" ht="15" x14ac:dyDescent="0.25">
      <c r="A1223" s="1"/>
      <c r="B1223" s="1"/>
      <c r="D1223" s="1"/>
    </row>
    <row r="1224" spans="1:12" ht="24.75" customHeight="1" x14ac:dyDescent="0.2">
      <c r="A1224" s="277" t="s">
        <v>376</v>
      </c>
      <c r="B1224" s="277"/>
      <c r="C1224" s="277"/>
      <c r="D1224" s="277"/>
      <c r="E1224" s="277"/>
      <c r="F1224" s="277"/>
      <c r="G1224" s="277"/>
      <c r="H1224" s="277"/>
      <c r="I1224" s="277"/>
      <c r="J1224" s="277"/>
      <c r="K1224" s="277"/>
      <c r="L1224" s="277"/>
    </row>
    <row r="1225" spans="1:12" ht="13.5" customHeight="1" x14ac:dyDescent="0.25">
      <c r="A1225" s="1"/>
      <c r="B1225" s="1"/>
    </row>
    <row r="1226" spans="1:12" ht="36.75" customHeight="1" thickBot="1" x14ac:dyDescent="0.25">
      <c r="A1226" s="10" t="s">
        <v>0</v>
      </c>
      <c r="B1226" s="278" t="s">
        <v>91</v>
      </c>
      <c r="C1226" s="278"/>
      <c r="D1226" s="278"/>
      <c r="E1226" s="278"/>
      <c r="F1226" s="278"/>
      <c r="G1226" s="278"/>
      <c r="H1226" s="278"/>
      <c r="I1226" s="278"/>
      <c r="J1226" s="278"/>
      <c r="K1226" s="278"/>
      <c r="L1226" s="278"/>
    </row>
    <row r="1227" spans="1:12" ht="21.75" customHeight="1" thickTop="1" x14ac:dyDescent="0.25">
      <c r="A1227" s="1"/>
      <c r="B1227" s="11" t="s">
        <v>3</v>
      </c>
      <c r="C1227" s="12" t="s">
        <v>4</v>
      </c>
      <c r="D1227" s="13"/>
      <c r="E1227" s="13"/>
      <c r="F1227" s="13"/>
      <c r="G1227" s="13"/>
      <c r="H1227" s="14"/>
      <c r="I1227" s="15" t="s">
        <v>5</v>
      </c>
      <c r="J1227" s="12" t="s">
        <v>17</v>
      </c>
      <c r="K1227" s="13"/>
      <c r="L1227" s="14"/>
    </row>
    <row r="1228" spans="1:12" ht="21" customHeight="1" x14ac:dyDescent="0.2">
      <c r="A1228" s="50"/>
      <c r="B1228" s="143">
        <v>1</v>
      </c>
      <c r="C1228" s="284" t="s">
        <v>374</v>
      </c>
      <c r="D1228" s="285"/>
      <c r="E1228" s="285"/>
      <c r="F1228" s="285"/>
      <c r="G1228" s="76"/>
      <c r="H1228" s="79"/>
      <c r="I1228" s="56">
        <v>250000</v>
      </c>
      <c r="J1228" s="76"/>
      <c r="K1228" s="76"/>
      <c r="L1228" s="79"/>
    </row>
    <row r="1229" spans="1:12" ht="15" x14ac:dyDescent="0.2">
      <c r="B1229" s="96"/>
      <c r="C1229" s="124"/>
      <c r="D1229" s="124"/>
      <c r="E1229" s="127"/>
      <c r="F1229" s="125"/>
      <c r="G1229" s="124"/>
      <c r="H1229" s="124"/>
      <c r="I1229" s="23"/>
      <c r="L1229" s="17"/>
    </row>
    <row r="1230" spans="1:12" ht="15" x14ac:dyDescent="0.25">
      <c r="A1230" s="1"/>
      <c r="B1230" s="39"/>
      <c r="C1230" s="1"/>
      <c r="D1230" s="1"/>
      <c r="E1230" s="1"/>
      <c r="F1230" s="40" t="s">
        <v>5</v>
      </c>
      <c r="G1230" s="40"/>
      <c r="H1230" s="1"/>
      <c r="I1230" s="41">
        <f>SUM(I1228:I1228)</f>
        <v>250000</v>
      </c>
      <c r="J1230" s="1"/>
      <c r="K1230" s="1"/>
      <c r="L1230" s="42"/>
    </row>
    <row r="1231" spans="1:12" ht="15.75" thickBot="1" x14ac:dyDescent="0.3">
      <c r="A1231" s="1"/>
      <c r="B1231" s="43"/>
      <c r="C1231" s="44"/>
      <c r="D1231" s="44"/>
      <c r="E1231" s="44"/>
      <c r="F1231" s="45"/>
      <c r="G1231" s="45"/>
      <c r="H1231" s="44"/>
      <c r="I1231" s="46"/>
      <c r="J1231" s="44"/>
      <c r="K1231" s="44"/>
      <c r="L1231" s="47"/>
    </row>
    <row r="1232" spans="1:12" ht="18" customHeight="1" thickTop="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 ht="50.25" customHeight="1" x14ac:dyDescent="0.2">
      <c r="A1233" s="10" t="s">
        <v>2</v>
      </c>
      <c r="B1233" s="279" t="s">
        <v>11</v>
      </c>
      <c r="C1233" s="279"/>
      <c r="D1233" s="279"/>
      <c r="E1233" s="279"/>
      <c r="F1233" s="279"/>
      <c r="G1233" s="279"/>
      <c r="H1233" s="279"/>
      <c r="I1233" s="279"/>
      <c r="J1233" s="279"/>
      <c r="K1233" s="279"/>
      <c r="L1233" s="279"/>
    </row>
    <row r="1234" spans="1:12" ht="18" customHeight="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 ht="13.5" customHeight="1" x14ac:dyDescent="0.2">
      <c r="A1235" s="280" t="s">
        <v>12</v>
      </c>
      <c r="B1235" s="280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</row>
    <row r="1236" spans="1:12" ht="9" customHeight="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 ht="17.25" customHeight="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 ht="12.75" customHeight="1" x14ac:dyDescent="0.25">
      <c r="A1238" s="1"/>
      <c r="B1238" s="1"/>
      <c r="C1238" s="1"/>
      <c r="D1238" s="1"/>
      <c r="E1238" s="1"/>
      <c r="F1238" s="1"/>
      <c r="G1238" s="1"/>
      <c r="H1238" s="4" t="s">
        <v>199</v>
      </c>
      <c r="J1238" s="286" t="s">
        <v>357</v>
      </c>
      <c r="K1238" s="286"/>
      <c r="L1238" s="286"/>
    </row>
    <row r="1239" spans="1:12" ht="15.75" customHeight="1" x14ac:dyDescent="0.25">
      <c r="A1239" s="1"/>
      <c r="B1239" s="1" t="s">
        <v>15</v>
      </c>
      <c r="C1239" s="1"/>
      <c r="D1239" s="1"/>
      <c r="E1239" s="1"/>
      <c r="F1239" s="1"/>
      <c r="G1239" s="1"/>
      <c r="H1239" s="4" t="s">
        <v>13</v>
      </c>
    </row>
    <row r="1240" spans="1:12" ht="12" customHeight="1" x14ac:dyDescent="0.25">
      <c r="A1240" s="1"/>
      <c r="B1240" s="1" t="s">
        <v>18</v>
      </c>
      <c r="C1240" s="1"/>
      <c r="D1240" s="1"/>
      <c r="E1240" s="1"/>
      <c r="F1240" s="1"/>
      <c r="G1240" s="1"/>
      <c r="H1240" s="4" t="s">
        <v>14</v>
      </c>
    </row>
    <row r="1241" spans="1:12" ht="18.75" customHeight="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 ht="19.5" customHeight="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 ht="24.75" hidden="1" customHeight="1" x14ac:dyDescent="0.25">
      <c r="A1243" s="1"/>
      <c r="B1243" s="103"/>
      <c r="C1243" s="103"/>
      <c r="D1243" s="103"/>
      <c r="E1243" s="103"/>
      <c r="F1243" s="103"/>
      <c r="G1243" s="103"/>
      <c r="H1243" s="103"/>
      <c r="I1243" s="103"/>
      <c r="J1243" s="103"/>
      <c r="K1243" s="103"/>
      <c r="L1243" s="1"/>
    </row>
    <row r="1244" spans="1:12" ht="28.5" hidden="1" customHeight="1" x14ac:dyDescent="0.25">
      <c r="A1244" s="1"/>
      <c r="K1244" s="103"/>
      <c r="L1244" s="1"/>
    </row>
    <row r="1245" spans="1:12" ht="21.75" customHeight="1" x14ac:dyDescent="0.25">
      <c r="A1245" s="1"/>
      <c r="B1245" s="95" t="s">
        <v>77</v>
      </c>
      <c r="H1245" s="95" t="s">
        <v>77</v>
      </c>
      <c r="I1245" s="95"/>
      <c r="J1245" s="92"/>
      <c r="K1245" s="103"/>
      <c r="L1245" s="1"/>
    </row>
    <row r="1246" spans="1:12" ht="18.75" customHeight="1" x14ac:dyDescent="0.25">
      <c r="A1246" s="1"/>
      <c r="B1246" s="99" t="s">
        <v>27</v>
      </c>
      <c r="C1246" s="57"/>
      <c r="H1246" s="99" t="s">
        <v>27</v>
      </c>
      <c r="K1246" s="103"/>
    </row>
    <row r="1247" spans="1:12" ht="17.25" customHeight="1" x14ac:dyDescent="0.2"/>
    <row r="1248" spans="1:12" ht="11.25" customHeight="1" x14ac:dyDescent="0.2"/>
    <row r="1249" spans="1:12" ht="19.5" customHeight="1" x14ac:dyDescent="0.2"/>
    <row r="1250" spans="1:12" ht="17.25" customHeight="1" x14ac:dyDescent="0.2"/>
    <row r="1251" spans="1:12" ht="19.5" customHeight="1" x14ac:dyDescent="0.25">
      <c r="A1251" s="3" t="s">
        <v>22</v>
      </c>
    </row>
    <row r="1252" spans="1:12" ht="16.5" customHeight="1" x14ac:dyDescent="0.2">
      <c r="A1252" s="122" t="s">
        <v>20</v>
      </c>
    </row>
    <row r="1253" spans="1:12" ht="24.75" customHeight="1" x14ac:dyDescent="0.2">
      <c r="A1253" s="122" t="s">
        <v>21</v>
      </c>
    </row>
    <row r="1254" spans="1:12" ht="25.5" customHeight="1" x14ac:dyDescent="0.2"/>
    <row r="1255" spans="1:12" ht="16.5" customHeight="1" x14ac:dyDescent="0.2"/>
    <row r="1256" spans="1:12" ht="22.5" customHeight="1" x14ac:dyDescent="0.2"/>
    <row r="1257" spans="1:12" ht="19.5" customHeight="1" x14ac:dyDescent="0.3">
      <c r="A1257" s="276" t="s">
        <v>6</v>
      </c>
      <c r="B1257" s="276"/>
      <c r="C1257" s="276"/>
      <c r="D1257" s="276"/>
      <c r="E1257" s="276"/>
      <c r="F1257" s="276"/>
      <c r="G1257" s="276"/>
      <c r="H1257" s="276"/>
      <c r="I1257" s="276"/>
      <c r="J1257" s="276"/>
      <c r="K1257" s="276"/>
      <c r="L1257" s="276"/>
    </row>
    <row r="1258" spans="1:12" ht="22.5" customHeight="1" x14ac:dyDescent="0.3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</row>
    <row r="1259" spans="1:12" ht="18.75" x14ac:dyDescent="0.3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</row>
    <row r="1260" spans="1:12" ht="16.5" customHeight="1" x14ac:dyDescent="0.25">
      <c r="A1260" s="1"/>
      <c r="B1260" s="1"/>
    </row>
    <row r="1261" spans="1:12" ht="42.75" customHeight="1" x14ac:dyDescent="0.25">
      <c r="A1261" s="1" t="s">
        <v>7</v>
      </c>
      <c r="B1261" s="1"/>
    </row>
    <row r="1262" spans="1:12" ht="15" x14ac:dyDescent="0.25">
      <c r="A1262" s="1"/>
      <c r="B1262" s="1"/>
    </row>
    <row r="1263" spans="1:12" ht="15" customHeight="1" x14ac:dyDescent="0.25">
      <c r="A1263" s="1" t="s">
        <v>8</v>
      </c>
      <c r="C1263" s="9" t="s">
        <v>1</v>
      </c>
      <c r="D1263" s="40" t="s">
        <v>97</v>
      </c>
      <c r="E1263" s="76"/>
      <c r="F1263" s="76"/>
      <c r="G1263" s="76"/>
      <c r="H1263" s="76"/>
    </row>
    <row r="1264" spans="1:12" ht="15" x14ac:dyDescent="0.25">
      <c r="A1264" s="1" t="s">
        <v>9</v>
      </c>
      <c r="C1264" s="9" t="s">
        <v>1</v>
      </c>
      <c r="D1264" s="1" t="s">
        <v>326</v>
      </c>
      <c r="E1264" s="76"/>
      <c r="F1264" s="76"/>
      <c r="G1264" s="76"/>
      <c r="H1264" s="76"/>
    </row>
    <row r="1265" spans="1:12" ht="18.75" customHeight="1" x14ac:dyDescent="0.2">
      <c r="A1265" s="50" t="s">
        <v>10</v>
      </c>
      <c r="B1265" s="76"/>
      <c r="C1265" s="91" t="s">
        <v>1</v>
      </c>
      <c r="D1265" s="50" t="s">
        <v>327</v>
      </c>
      <c r="E1265" s="76"/>
      <c r="F1265" s="76"/>
      <c r="G1265" s="76"/>
      <c r="H1265" s="76"/>
      <c r="I1265" s="76"/>
      <c r="J1265" s="76"/>
      <c r="K1265" s="76"/>
      <c r="L1265" s="76"/>
    </row>
    <row r="1266" spans="1:12" ht="15" x14ac:dyDescent="0.25">
      <c r="A1266" s="1"/>
      <c r="B1266" s="1"/>
      <c r="D1266" s="1"/>
    </row>
    <row r="1267" spans="1:12" ht="30.75" customHeight="1" x14ac:dyDescent="0.2">
      <c r="A1267" s="277" t="s">
        <v>376</v>
      </c>
      <c r="B1267" s="277"/>
      <c r="C1267" s="277"/>
      <c r="D1267" s="277"/>
      <c r="E1267" s="277"/>
      <c r="F1267" s="277"/>
      <c r="G1267" s="277"/>
      <c r="H1267" s="277"/>
      <c r="I1267" s="277"/>
      <c r="J1267" s="277"/>
      <c r="K1267" s="277"/>
      <c r="L1267" s="277"/>
    </row>
    <row r="1268" spans="1:12" ht="15" x14ac:dyDescent="0.25">
      <c r="A1268" s="1"/>
      <c r="B1268" s="1"/>
    </row>
    <row r="1269" spans="1:12" ht="33.75" customHeight="1" thickBot="1" x14ac:dyDescent="0.25">
      <c r="A1269" s="10" t="s">
        <v>0</v>
      </c>
      <c r="B1269" s="278" t="s">
        <v>91</v>
      </c>
      <c r="C1269" s="278"/>
      <c r="D1269" s="278"/>
      <c r="E1269" s="278"/>
      <c r="F1269" s="278"/>
      <c r="G1269" s="278"/>
      <c r="H1269" s="278"/>
      <c r="I1269" s="278"/>
      <c r="J1269" s="278"/>
      <c r="K1269" s="278"/>
      <c r="L1269" s="278"/>
    </row>
    <row r="1270" spans="1:12" ht="15.75" thickTop="1" x14ac:dyDescent="0.25">
      <c r="A1270" s="1"/>
      <c r="B1270" s="11" t="s">
        <v>3</v>
      </c>
      <c r="C1270" s="12" t="s">
        <v>4</v>
      </c>
      <c r="D1270" s="13"/>
      <c r="E1270" s="13"/>
      <c r="F1270" s="13"/>
      <c r="G1270" s="13"/>
      <c r="H1270" s="14"/>
      <c r="I1270" s="15" t="s">
        <v>5</v>
      </c>
      <c r="J1270" s="12" t="s">
        <v>17</v>
      </c>
      <c r="K1270" s="13"/>
      <c r="L1270" s="14"/>
    </row>
    <row r="1271" spans="1:12" ht="15" x14ac:dyDescent="0.2">
      <c r="A1271" s="50"/>
      <c r="B1271" s="143">
        <v>1</v>
      </c>
      <c r="C1271" s="284" t="s">
        <v>374</v>
      </c>
      <c r="D1271" s="285"/>
      <c r="E1271" s="285"/>
      <c r="F1271" s="285"/>
      <c r="G1271" s="76"/>
      <c r="H1271" s="79"/>
      <c r="I1271" s="56">
        <v>250000</v>
      </c>
      <c r="J1271" s="76"/>
      <c r="K1271" s="76"/>
      <c r="L1271" s="79"/>
    </row>
    <row r="1272" spans="1:12" ht="15" x14ac:dyDescent="0.2">
      <c r="B1272" s="96"/>
      <c r="C1272" s="124"/>
      <c r="D1272" s="124"/>
      <c r="E1272" s="127"/>
      <c r="F1272" s="125"/>
      <c r="G1272" s="124"/>
      <c r="H1272" s="124"/>
      <c r="I1272" s="23"/>
      <c r="L1272" s="17"/>
    </row>
    <row r="1273" spans="1:12" ht="15" x14ac:dyDescent="0.25">
      <c r="A1273" s="1"/>
      <c r="B1273" s="39"/>
      <c r="C1273" s="1"/>
      <c r="D1273" s="1"/>
      <c r="E1273" s="1"/>
      <c r="F1273" s="40" t="s">
        <v>5</v>
      </c>
      <c r="G1273" s="40"/>
      <c r="H1273" s="1"/>
      <c r="I1273" s="41">
        <f>SUM(I1271:I1271)</f>
        <v>250000</v>
      </c>
      <c r="J1273" s="1"/>
      <c r="K1273" s="1"/>
      <c r="L1273" s="42"/>
    </row>
    <row r="1274" spans="1:12" ht="15.75" thickBot="1" x14ac:dyDescent="0.3">
      <c r="A1274" s="1"/>
      <c r="B1274" s="43"/>
      <c r="C1274" s="44"/>
      <c r="D1274" s="44"/>
      <c r="E1274" s="44"/>
      <c r="F1274" s="45"/>
      <c r="G1274" s="45"/>
      <c r="H1274" s="44"/>
      <c r="I1274" s="46"/>
      <c r="J1274" s="44"/>
      <c r="K1274" s="44"/>
      <c r="L1274" s="47"/>
    </row>
    <row r="1275" spans="1:12" ht="11.25" customHeight="1" thickTop="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ht="45" customHeight="1" x14ac:dyDescent="0.2">
      <c r="A1276" s="10" t="s">
        <v>2</v>
      </c>
      <c r="B1276" s="279" t="s">
        <v>11</v>
      </c>
      <c r="C1276" s="279"/>
      <c r="D1276" s="279"/>
      <c r="E1276" s="279"/>
      <c r="F1276" s="279"/>
      <c r="G1276" s="279"/>
      <c r="H1276" s="279"/>
      <c r="I1276" s="279"/>
      <c r="J1276" s="279"/>
      <c r="K1276" s="279"/>
      <c r="L1276" s="279"/>
    </row>
    <row r="1277" spans="1:12" ht="15" customHeight="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ht="15" x14ac:dyDescent="0.2">
      <c r="A1278" s="280" t="s">
        <v>12</v>
      </c>
      <c r="B1278" s="280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</row>
    <row r="1279" spans="1:12" ht="1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ht="15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 ht="14.25" customHeight="1" x14ac:dyDescent="0.25">
      <c r="A1281" s="1"/>
      <c r="B1281" s="1"/>
      <c r="C1281" s="1"/>
      <c r="D1281" s="1"/>
      <c r="E1281" s="1"/>
      <c r="F1281" s="1"/>
      <c r="G1281" s="1"/>
      <c r="H1281" s="4" t="s">
        <v>199</v>
      </c>
      <c r="J1281" s="286" t="s">
        <v>357</v>
      </c>
      <c r="K1281" s="286"/>
      <c r="L1281" s="286"/>
    </row>
    <row r="1282" spans="1:12" ht="15" customHeight="1" x14ac:dyDescent="0.25">
      <c r="A1282" s="1"/>
      <c r="B1282" s="1" t="s">
        <v>15</v>
      </c>
      <c r="C1282" s="1"/>
      <c r="D1282" s="1"/>
      <c r="E1282" s="1"/>
      <c r="F1282" s="1"/>
      <c r="G1282" s="1"/>
      <c r="H1282" s="4" t="s">
        <v>13</v>
      </c>
    </row>
    <row r="1283" spans="1:12" ht="17.25" customHeight="1" x14ac:dyDescent="0.25">
      <c r="A1283" s="1"/>
      <c r="B1283" s="1" t="s">
        <v>18</v>
      </c>
      <c r="C1283" s="1"/>
      <c r="D1283" s="1"/>
      <c r="E1283" s="1"/>
      <c r="F1283" s="1"/>
      <c r="G1283" s="1"/>
      <c r="H1283" s="4" t="s">
        <v>14</v>
      </c>
    </row>
    <row r="1284" spans="1:12" ht="19.5" customHeight="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 ht="22.5" customHeight="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 ht="30.75" hidden="1" customHeight="1" x14ac:dyDescent="0.25">
      <c r="A1286" s="1"/>
      <c r="B1286" s="103"/>
      <c r="C1286" s="103"/>
      <c r="D1286" s="103"/>
      <c r="E1286" s="103"/>
      <c r="F1286" s="103"/>
      <c r="G1286" s="103"/>
      <c r="H1286" s="103"/>
      <c r="I1286" s="103"/>
      <c r="J1286" s="103"/>
      <c r="K1286" s="103"/>
      <c r="L1286" s="1"/>
    </row>
    <row r="1287" spans="1:12" ht="1.5" customHeight="1" x14ac:dyDescent="0.25">
      <c r="A1287" s="1"/>
      <c r="K1287" s="103"/>
      <c r="L1287" s="1"/>
    </row>
    <row r="1288" spans="1:12" ht="15" x14ac:dyDescent="0.25">
      <c r="A1288" s="1"/>
      <c r="B1288" s="95" t="s">
        <v>77</v>
      </c>
      <c r="H1288" s="37" t="s">
        <v>97</v>
      </c>
      <c r="I1288" s="95"/>
      <c r="J1288" s="92"/>
      <c r="K1288" s="103"/>
      <c r="L1288" s="1"/>
    </row>
    <row r="1289" spans="1:12" ht="15.75" customHeight="1" x14ac:dyDescent="0.25">
      <c r="A1289" s="1"/>
      <c r="B1289" s="99" t="s">
        <v>27</v>
      </c>
      <c r="C1289" s="57"/>
      <c r="H1289" s="1" t="s">
        <v>98</v>
      </c>
      <c r="K1289" s="103"/>
    </row>
    <row r="1290" spans="1:12" ht="16.5" customHeight="1" x14ac:dyDescent="0.2"/>
    <row r="1291" spans="1:12" ht="12.75" x14ac:dyDescent="0.2"/>
    <row r="1292" spans="1:12" ht="22.5" customHeight="1" x14ac:dyDescent="0.2"/>
    <row r="1293" spans="1:12" ht="12.75" customHeight="1" x14ac:dyDescent="0.2"/>
    <row r="1294" spans="1:12" ht="32.25" customHeight="1" x14ac:dyDescent="0.25">
      <c r="A1294" s="3" t="s">
        <v>22</v>
      </c>
    </row>
    <row r="1295" spans="1:12" ht="21" customHeight="1" x14ac:dyDescent="0.2">
      <c r="A1295" s="122" t="s">
        <v>20</v>
      </c>
    </row>
    <row r="1296" spans="1:12" ht="22.5" customHeight="1" x14ac:dyDescent="0.2">
      <c r="A1296" s="122" t="s">
        <v>21</v>
      </c>
    </row>
    <row r="1297" spans="1:12" ht="20.25" customHeight="1" x14ac:dyDescent="0.2"/>
    <row r="1298" spans="1:12" ht="18" customHeight="1" x14ac:dyDescent="0.2"/>
    <row r="1299" spans="1:12" ht="15" customHeight="1" x14ac:dyDescent="0.2"/>
    <row r="1300" spans="1:12" ht="36.75" customHeight="1" x14ac:dyDescent="0.3">
      <c r="A1300" s="276" t="s">
        <v>6</v>
      </c>
      <c r="B1300" s="276"/>
      <c r="C1300" s="276"/>
      <c r="D1300" s="276"/>
      <c r="E1300" s="276"/>
      <c r="F1300" s="276"/>
      <c r="G1300" s="276"/>
      <c r="H1300" s="276"/>
      <c r="I1300" s="276"/>
      <c r="J1300" s="276"/>
      <c r="K1300" s="276"/>
      <c r="L1300" s="276"/>
    </row>
    <row r="1301" spans="1:12" ht="20.25" customHeight="1" x14ac:dyDescent="0.3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</row>
    <row r="1302" spans="1:12" ht="10.5" customHeight="1" x14ac:dyDescent="0.3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</row>
    <row r="1303" spans="1:12" ht="11.25" customHeight="1" x14ac:dyDescent="0.25">
      <c r="A1303" s="1"/>
      <c r="B1303" s="1"/>
    </row>
    <row r="1304" spans="1:12" ht="17.25" customHeight="1" x14ac:dyDescent="0.25">
      <c r="A1304" s="1" t="s">
        <v>7</v>
      </c>
      <c r="B1304" s="1"/>
    </row>
    <row r="1305" spans="1:12" ht="12" customHeight="1" x14ac:dyDescent="0.25">
      <c r="A1305" s="1"/>
      <c r="B1305" s="1"/>
    </row>
    <row r="1306" spans="1:12" ht="25.5" customHeight="1" x14ac:dyDescent="0.25">
      <c r="A1306" s="1" t="s">
        <v>8</v>
      </c>
      <c r="C1306" s="9" t="s">
        <v>1</v>
      </c>
      <c r="D1306" s="40" t="s">
        <v>92</v>
      </c>
      <c r="E1306" s="76"/>
      <c r="F1306" s="76"/>
      <c r="G1306" s="76"/>
      <c r="H1306" s="76"/>
    </row>
    <row r="1307" spans="1:12" ht="14.25" customHeight="1" x14ac:dyDescent="0.25">
      <c r="A1307" s="1" t="s">
        <v>9</v>
      </c>
      <c r="C1307" s="9" t="s">
        <v>1</v>
      </c>
      <c r="D1307" s="7" t="s">
        <v>263</v>
      </c>
      <c r="E1307" s="76"/>
      <c r="F1307" s="76"/>
      <c r="G1307" s="76"/>
      <c r="H1307" s="76"/>
    </row>
    <row r="1308" spans="1:12" ht="18.75" customHeight="1" x14ac:dyDescent="0.2">
      <c r="A1308" s="50" t="s">
        <v>10</v>
      </c>
      <c r="B1308" s="76"/>
      <c r="C1308" s="91" t="s">
        <v>1</v>
      </c>
      <c r="D1308" s="50" t="s">
        <v>264</v>
      </c>
      <c r="E1308" s="76"/>
      <c r="F1308" s="76"/>
      <c r="G1308" s="76"/>
      <c r="H1308" s="76"/>
      <c r="I1308" s="76"/>
      <c r="J1308" s="76"/>
      <c r="K1308" s="76"/>
      <c r="L1308" s="76"/>
    </row>
    <row r="1309" spans="1:12" ht="15.75" customHeight="1" x14ac:dyDescent="0.25">
      <c r="A1309" s="1"/>
      <c r="B1309" s="1"/>
      <c r="D1309" s="1"/>
    </row>
    <row r="1310" spans="1:12" ht="27" customHeight="1" x14ac:dyDescent="0.2">
      <c r="A1310" s="277" t="s">
        <v>376</v>
      </c>
      <c r="B1310" s="277"/>
      <c r="C1310" s="277"/>
      <c r="D1310" s="277"/>
      <c r="E1310" s="277"/>
      <c r="F1310" s="277"/>
      <c r="G1310" s="277"/>
      <c r="H1310" s="277"/>
      <c r="I1310" s="277"/>
      <c r="J1310" s="277"/>
      <c r="K1310" s="277"/>
      <c r="L1310" s="277"/>
    </row>
    <row r="1311" spans="1:12" ht="12" customHeight="1" x14ac:dyDescent="0.25">
      <c r="A1311" s="1"/>
      <c r="B1311" s="1"/>
    </row>
    <row r="1312" spans="1:12" ht="35.25" customHeight="1" thickBot="1" x14ac:dyDescent="0.25">
      <c r="A1312" s="10" t="s">
        <v>0</v>
      </c>
      <c r="B1312" s="278" t="s">
        <v>91</v>
      </c>
      <c r="C1312" s="278"/>
      <c r="D1312" s="278"/>
      <c r="E1312" s="278"/>
      <c r="F1312" s="278"/>
      <c r="G1312" s="278"/>
      <c r="H1312" s="278"/>
      <c r="I1312" s="278"/>
      <c r="J1312" s="278"/>
      <c r="K1312" s="278"/>
      <c r="L1312" s="278"/>
    </row>
    <row r="1313" spans="1:12" ht="19.5" customHeight="1" thickTop="1" x14ac:dyDescent="0.25">
      <c r="A1313" s="1"/>
      <c r="B1313" s="11" t="s">
        <v>3</v>
      </c>
      <c r="C1313" s="12" t="s">
        <v>4</v>
      </c>
      <c r="D1313" s="13"/>
      <c r="E1313" s="13"/>
      <c r="F1313" s="13"/>
      <c r="G1313" s="13"/>
      <c r="H1313" s="14"/>
      <c r="I1313" s="15" t="s">
        <v>5</v>
      </c>
      <c r="J1313" s="12" t="s">
        <v>17</v>
      </c>
      <c r="K1313" s="13"/>
      <c r="L1313" s="14"/>
    </row>
    <row r="1314" spans="1:12" ht="23.25" customHeight="1" x14ac:dyDescent="0.2">
      <c r="A1314" s="50"/>
      <c r="B1314" s="143">
        <v>1</v>
      </c>
      <c r="C1314" s="284" t="s">
        <v>374</v>
      </c>
      <c r="D1314" s="285"/>
      <c r="E1314" s="285"/>
      <c r="F1314" s="285"/>
      <c r="G1314" s="76"/>
      <c r="H1314" s="79"/>
      <c r="I1314" s="56">
        <v>250000</v>
      </c>
      <c r="J1314" s="76"/>
      <c r="K1314" s="76"/>
      <c r="L1314" s="79"/>
    </row>
    <row r="1315" spans="1:12" ht="15" x14ac:dyDescent="0.2">
      <c r="B1315" s="96"/>
      <c r="C1315" s="124"/>
      <c r="D1315" s="124"/>
      <c r="E1315" s="127"/>
      <c r="F1315" s="125"/>
      <c r="G1315" s="124"/>
      <c r="H1315" s="124"/>
      <c r="I1315" s="23"/>
      <c r="L1315" s="17"/>
    </row>
    <row r="1316" spans="1:12" ht="12.75" customHeight="1" x14ac:dyDescent="0.25">
      <c r="A1316" s="1"/>
      <c r="B1316" s="39"/>
      <c r="C1316" s="1"/>
      <c r="D1316" s="1"/>
      <c r="E1316" s="1"/>
      <c r="F1316" s="40" t="s">
        <v>5</v>
      </c>
      <c r="G1316" s="40"/>
      <c r="H1316" s="1"/>
      <c r="I1316" s="41">
        <f>SUM(I1314:I1314)</f>
        <v>250000</v>
      </c>
      <c r="J1316" s="1"/>
      <c r="K1316" s="1"/>
      <c r="L1316" s="42"/>
    </row>
    <row r="1317" spans="1:12" ht="15.75" thickBot="1" x14ac:dyDescent="0.3">
      <c r="A1317" s="1"/>
      <c r="B1317" s="43"/>
      <c r="C1317" s="44"/>
      <c r="D1317" s="44"/>
      <c r="E1317" s="44"/>
      <c r="F1317" s="45"/>
      <c r="G1317" s="45"/>
      <c r="H1317" s="44"/>
      <c r="I1317" s="46"/>
      <c r="J1317" s="44"/>
      <c r="K1317" s="44"/>
      <c r="L1317" s="47"/>
    </row>
    <row r="1318" spans="1:12" ht="15.75" thickTop="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ht="48.75" customHeight="1" x14ac:dyDescent="0.2">
      <c r="A1319" s="10" t="s">
        <v>2</v>
      </c>
      <c r="B1319" s="279" t="s">
        <v>11</v>
      </c>
      <c r="C1319" s="279"/>
      <c r="D1319" s="279"/>
      <c r="E1319" s="279"/>
      <c r="F1319" s="279"/>
      <c r="G1319" s="279"/>
      <c r="H1319" s="279"/>
      <c r="I1319" s="279"/>
      <c r="J1319" s="279"/>
      <c r="K1319" s="279"/>
      <c r="L1319" s="279"/>
    </row>
    <row r="1320" spans="1:12" ht="15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ht="15" x14ac:dyDescent="0.2">
      <c r="A1321" s="280" t="s">
        <v>12</v>
      </c>
      <c r="B1321" s="280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</row>
    <row r="1322" spans="1:12" ht="15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ht="1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ht="21.75" customHeight="1" x14ac:dyDescent="0.25">
      <c r="A1324" s="1"/>
      <c r="B1324" s="1"/>
      <c r="C1324" s="1"/>
      <c r="D1324" s="1"/>
      <c r="E1324" s="1"/>
      <c r="F1324" s="1"/>
      <c r="G1324" s="1"/>
      <c r="H1324" s="4" t="s">
        <v>199</v>
      </c>
      <c r="J1324" s="286" t="s">
        <v>357</v>
      </c>
      <c r="K1324" s="286"/>
      <c r="L1324" s="286"/>
    </row>
    <row r="1325" spans="1:12" ht="16.5" customHeight="1" x14ac:dyDescent="0.25">
      <c r="A1325" s="1"/>
      <c r="B1325" s="1" t="s">
        <v>15</v>
      </c>
      <c r="C1325" s="1"/>
      <c r="D1325" s="1"/>
      <c r="E1325" s="1"/>
      <c r="F1325" s="1"/>
      <c r="G1325" s="1"/>
      <c r="H1325" s="4" t="s">
        <v>13</v>
      </c>
    </row>
    <row r="1326" spans="1:12" ht="15" customHeight="1" x14ac:dyDescent="0.25">
      <c r="A1326" s="1"/>
      <c r="B1326" s="1" t="s">
        <v>18</v>
      </c>
      <c r="C1326" s="1"/>
      <c r="D1326" s="1"/>
      <c r="E1326" s="1"/>
      <c r="F1326" s="1"/>
      <c r="G1326" s="1"/>
      <c r="H1326" s="4" t="s">
        <v>14</v>
      </c>
    </row>
    <row r="1327" spans="1:12" ht="12.75" customHeight="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ht="15.75" customHeight="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ht="15" x14ac:dyDescent="0.25">
      <c r="A1329" s="1"/>
      <c r="B1329" s="103"/>
      <c r="C1329" s="103"/>
      <c r="D1329" s="103"/>
      <c r="E1329" s="103"/>
      <c r="F1329" s="103"/>
      <c r="G1329" s="103"/>
      <c r="H1329" s="103"/>
      <c r="I1329" s="103"/>
      <c r="J1329" s="103"/>
      <c r="K1329" s="103"/>
      <c r="L1329" s="1"/>
    </row>
    <row r="1330" spans="1:12" ht="6.75" customHeight="1" x14ac:dyDescent="0.25">
      <c r="A1330" s="1"/>
      <c r="K1330" s="103"/>
      <c r="L1330" s="1"/>
    </row>
    <row r="1331" spans="1:12" ht="13.5" customHeight="1" x14ac:dyDescent="0.25">
      <c r="A1331" s="1"/>
      <c r="B1331" s="95" t="s">
        <v>77</v>
      </c>
      <c r="H1331" s="37" t="s">
        <v>92</v>
      </c>
      <c r="I1331" s="95"/>
      <c r="J1331" s="92"/>
      <c r="K1331" s="103"/>
      <c r="L1331" s="1"/>
    </row>
    <row r="1332" spans="1:12" s="99" customFormat="1" ht="17.25" customHeight="1" x14ac:dyDescent="0.25">
      <c r="A1332" s="48"/>
      <c r="B1332" s="99" t="s">
        <v>27</v>
      </c>
      <c r="C1332" s="146"/>
      <c r="H1332" s="1" t="s">
        <v>93</v>
      </c>
      <c r="K1332" s="104"/>
    </row>
    <row r="1333" spans="1:12" ht="18.75" customHeight="1" x14ac:dyDescent="0.2"/>
    <row r="1334" spans="1:12" ht="16.5" customHeight="1" x14ac:dyDescent="0.2"/>
    <row r="1335" spans="1:12" ht="15.75" x14ac:dyDescent="0.25">
      <c r="A1335" s="3" t="s">
        <v>22</v>
      </c>
    </row>
    <row r="1336" spans="1:12" ht="17.25" customHeight="1" x14ac:dyDescent="0.2">
      <c r="A1336" s="122" t="s">
        <v>20</v>
      </c>
    </row>
    <row r="1337" spans="1:12" ht="18.75" customHeight="1" x14ac:dyDescent="0.2">
      <c r="A1337" s="122" t="s">
        <v>21</v>
      </c>
    </row>
    <row r="1338" spans="1:12" ht="24.75" customHeight="1" x14ac:dyDescent="0.2"/>
    <row r="1339" spans="1:12" ht="12.75" x14ac:dyDescent="0.2"/>
    <row r="1340" spans="1:12" ht="11.25" customHeight="1" x14ac:dyDescent="0.2"/>
    <row r="1341" spans="1:12" ht="15" customHeight="1" x14ac:dyDescent="0.3">
      <c r="A1341" s="276" t="s">
        <v>6</v>
      </c>
      <c r="B1341" s="276"/>
      <c r="C1341" s="276"/>
      <c r="D1341" s="276"/>
      <c r="E1341" s="276"/>
      <c r="F1341" s="276"/>
      <c r="G1341" s="276"/>
      <c r="H1341" s="276"/>
      <c r="I1341" s="276"/>
      <c r="J1341" s="276"/>
      <c r="K1341" s="276"/>
      <c r="L1341" s="276"/>
    </row>
    <row r="1342" spans="1:12" ht="21.75" customHeight="1" x14ac:dyDescent="0.3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</row>
    <row r="1343" spans="1:12" ht="18.75" hidden="1" x14ac:dyDescent="0.3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</row>
    <row r="1344" spans="1:12" ht="15" x14ac:dyDescent="0.25">
      <c r="A1344" s="1"/>
      <c r="B1344" s="1"/>
    </row>
    <row r="1345" spans="1:12" ht="17.25" customHeight="1" x14ac:dyDescent="0.25">
      <c r="A1345" s="1" t="s">
        <v>7</v>
      </c>
      <c r="B1345" s="1"/>
    </row>
    <row r="1346" spans="1:12" ht="18.75" customHeight="1" x14ac:dyDescent="0.25">
      <c r="A1346" s="1"/>
      <c r="B1346" s="1"/>
    </row>
    <row r="1347" spans="1:12" ht="14.25" customHeight="1" x14ac:dyDescent="0.25">
      <c r="A1347" s="1" t="s">
        <v>8</v>
      </c>
      <c r="C1347" s="9" t="s">
        <v>1</v>
      </c>
      <c r="D1347" s="92" t="s">
        <v>96</v>
      </c>
      <c r="E1347" s="76"/>
      <c r="F1347" s="76"/>
      <c r="G1347" s="76"/>
      <c r="H1347" s="76"/>
    </row>
    <row r="1348" spans="1:12" ht="15.75" customHeight="1" x14ac:dyDescent="0.25">
      <c r="A1348" s="1" t="s">
        <v>9</v>
      </c>
      <c r="C1348" s="9" t="s">
        <v>1</v>
      </c>
      <c r="D1348" s="57" t="s">
        <v>200</v>
      </c>
      <c r="E1348" s="76"/>
      <c r="F1348" s="76"/>
      <c r="G1348" s="76"/>
      <c r="H1348" s="76"/>
    </row>
    <row r="1349" spans="1:12" ht="15" customHeight="1" x14ac:dyDescent="0.2">
      <c r="A1349" s="50" t="s">
        <v>10</v>
      </c>
      <c r="B1349" s="76"/>
      <c r="C1349" s="91" t="s">
        <v>1</v>
      </c>
      <c r="D1349" s="50" t="s">
        <v>203</v>
      </c>
      <c r="E1349" s="76"/>
      <c r="F1349" s="76"/>
      <c r="G1349" s="76"/>
      <c r="H1349" s="76"/>
      <c r="I1349" s="76"/>
      <c r="J1349" s="76"/>
      <c r="K1349" s="76"/>
      <c r="L1349" s="76"/>
    </row>
    <row r="1350" spans="1:12" ht="21" customHeight="1" x14ac:dyDescent="0.25">
      <c r="A1350" s="1"/>
      <c r="B1350" s="1"/>
      <c r="D1350" s="1"/>
    </row>
    <row r="1351" spans="1:12" ht="30" customHeight="1" x14ac:dyDescent="0.2">
      <c r="A1351" s="277" t="s">
        <v>377</v>
      </c>
      <c r="B1351" s="277"/>
      <c r="C1351" s="277"/>
      <c r="D1351" s="277"/>
      <c r="E1351" s="277"/>
      <c r="F1351" s="277"/>
      <c r="G1351" s="277"/>
      <c r="H1351" s="277"/>
      <c r="I1351" s="277"/>
      <c r="J1351" s="277"/>
      <c r="K1351" s="277"/>
      <c r="L1351" s="277"/>
    </row>
    <row r="1352" spans="1:12" ht="7.5" customHeight="1" x14ac:dyDescent="0.25">
      <c r="A1352" s="1"/>
      <c r="B1352" s="1"/>
    </row>
    <row r="1353" spans="1:12" ht="37.5" customHeight="1" thickBot="1" x14ac:dyDescent="0.25">
      <c r="A1353" s="10" t="s">
        <v>0</v>
      </c>
      <c r="B1353" s="278" t="s">
        <v>91</v>
      </c>
      <c r="C1353" s="278"/>
      <c r="D1353" s="278"/>
      <c r="E1353" s="278"/>
      <c r="F1353" s="278"/>
      <c r="G1353" s="278"/>
      <c r="H1353" s="278"/>
      <c r="I1353" s="278"/>
      <c r="J1353" s="278"/>
      <c r="K1353" s="278"/>
      <c r="L1353" s="278"/>
    </row>
    <row r="1354" spans="1:12" ht="19.5" customHeight="1" thickTop="1" x14ac:dyDescent="0.25">
      <c r="A1354" s="1"/>
      <c r="B1354" s="11" t="s">
        <v>3</v>
      </c>
      <c r="C1354" s="12" t="s">
        <v>4</v>
      </c>
      <c r="D1354" s="13"/>
      <c r="E1354" s="13"/>
      <c r="F1354" s="13"/>
      <c r="G1354" s="13"/>
      <c r="H1354" s="14"/>
      <c r="I1354" s="15" t="s">
        <v>5</v>
      </c>
      <c r="J1354" s="12" t="s">
        <v>17</v>
      </c>
      <c r="K1354" s="13"/>
      <c r="L1354" s="14"/>
    </row>
    <row r="1355" spans="1:12" ht="13.5" customHeight="1" x14ac:dyDescent="0.2">
      <c r="A1355" s="50"/>
      <c r="B1355" s="143">
        <v>1</v>
      </c>
      <c r="C1355" s="284" t="s">
        <v>303</v>
      </c>
      <c r="D1355" s="285"/>
      <c r="E1355" s="285"/>
      <c r="F1355" s="285"/>
      <c r="G1355" s="76"/>
      <c r="H1355" s="79"/>
      <c r="I1355" s="56">
        <v>250000</v>
      </c>
      <c r="J1355" s="76"/>
      <c r="K1355" s="76"/>
      <c r="L1355" s="79"/>
    </row>
    <row r="1356" spans="1:12" ht="32.25" customHeight="1" x14ac:dyDescent="0.2">
      <c r="B1356" s="96"/>
      <c r="C1356" s="124"/>
      <c r="D1356" s="124"/>
      <c r="E1356" s="127"/>
      <c r="F1356" s="125"/>
      <c r="G1356" s="124"/>
      <c r="H1356" s="124"/>
      <c r="I1356" s="23"/>
      <c r="L1356" s="17"/>
    </row>
    <row r="1357" spans="1:12" ht="12" customHeight="1" x14ac:dyDescent="0.25">
      <c r="A1357" s="1"/>
      <c r="B1357" s="39"/>
      <c r="C1357" s="1"/>
      <c r="D1357" s="1"/>
      <c r="E1357" s="1"/>
      <c r="F1357" s="40" t="s">
        <v>5</v>
      </c>
      <c r="G1357" s="40"/>
      <c r="H1357" s="1"/>
      <c r="I1357" s="41">
        <f>SUM(I1355:I1355)</f>
        <v>250000</v>
      </c>
      <c r="J1357" s="1"/>
      <c r="K1357" s="1"/>
      <c r="L1357" s="42"/>
    </row>
    <row r="1358" spans="1:12" ht="15.75" thickBot="1" x14ac:dyDescent="0.3">
      <c r="A1358" s="1"/>
      <c r="B1358" s="43"/>
      <c r="C1358" s="44"/>
      <c r="D1358" s="44"/>
      <c r="E1358" s="44"/>
      <c r="F1358" s="45"/>
      <c r="G1358" s="45"/>
      <c r="H1358" s="44"/>
      <c r="I1358" s="46"/>
      <c r="J1358" s="44"/>
      <c r="K1358" s="44"/>
      <c r="L1358" s="47"/>
    </row>
    <row r="1359" spans="1:12" ht="15.75" customHeight="1" thickTop="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 ht="45" customHeight="1" x14ac:dyDescent="0.2">
      <c r="A1360" s="10" t="s">
        <v>2</v>
      </c>
      <c r="B1360" s="279" t="s">
        <v>11</v>
      </c>
      <c r="C1360" s="279"/>
      <c r="D1360" s="279"/>
      <c r="E1360" s="279"/>
      <c r="F1360" s="279"/>
      <c r="G1360" s="279"/>
      <c r="H1360" s="279"/>
      <c r="I1360" s="279"/>
      <c r="J1360" s="279"/>
      <c r="K1360" s="279"/>
      <c r="L1360" s="279"/>
    </row>
    <row r="1361" spans="1:12" ht="12.75" customHeight="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ht="15" x14ac:dyDescent="0.2">
      <c r="A1362" s="280" t="s">
        <v>12</v>
      </c>
      <c r="B1362" s="280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</row>
    <row r="1363" spans="1:12" ht="15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ht="15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ht="15" x14ac:dyDescent="0.25">
      <c r="A1365" s="1"/>
      <c r="B1365" s="1"/>
      <c r="C1365" s="1"/>
      <c r="D1365" s="1"/>
      <c r="E1365" s="1"/>
      <c r="F1365" s="1"/>
      <c r="G1365" s="1"/>
      <c r="H1365" s="4" t="s">
        <v>199</v>
      </c>
      <c r="J1365" s="286" t="s">
        <v>357</v>
      </c>
      <c r="K1365" s="286"/>
      <c r="L1365" s="286"/>
    </row>
    <row r="1366" spans="1:12" ht="15" x14ac:dyDescent="0.25">
      <c r="A1366" s="1"/>
      <c r="B1366" s="1" t="s">
        <v>15</v>
      </c>
      <c r="C1366" s="1"/>
      <c r="D1366" s="1"/>
      <c r="E1366" s="1"/>
      <c r="F1366" s="1"/>
      <c r="G1366" s="1"/>
      <c r="H1366" s="4" t="s">
        <v>13</v>
      </c>
    </row>
    <row r="1367" spans="1:12" ht="15" x14ac:dyDescent="0.25">
      <c r="A1367" s="1"/>
      <c r="B1367" s="1" t="s">
        <v>18</v>
      </c>
      <c r="C1367" s="1"/>
      <c r="D1367" s="1"/>
      <c r="E1367" s="1"/>
      <c r="F1367" s="1"/>
      <c r="G1367" s="1"/>
      <c r="H1367" s="4" t="s">
        <v>14</v>
      </c>
    </row>
    <row r="1368" spans="1:12" ht="14.25" customHeight="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ht="21" customHeight="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ht="18" customHeight="1" x14ac:dyDescent="0.25">
      <c r="A1370" s="1"/>
      <c r="B1370" s="103"/>
      <c r="C1370" s="103"/>
      <c r="D1370" s="103"/>
      <c r="E1370" s="103"/>
      <c r="F1370" s="103"/>
      <c r="G1370" s="103"/>
      <c r="H1370" s="103"/>
      <c r="I1370" s="103"/>
      <c r="J1370" s="103"/>
      <c r="K1370" s="103"/>
      <c r="L1370" s="1"/>
    </row>
    <row r="1371" spans="1:12" ht="13.5" customHeight="1" x14ac:dyDescent="0.25">
      <c r="A1371" s="1"/>
      <c r="K1371" s="103"/>
      <c r="L1371" s="1"/>
    </row>
    <row r="1372" spans="1:12" ht="15" x14ac:dyDescent="0.25">
      <c r="A1372" s="1"/>
      <c r="B1372" s="95" t="s">
        <v>77</v>
      </c>
      <c r="H1372" s="95" t="s">
        <v>96</v>
      </c>
      <c r="I1372" s="95"/>
      <c r="J1372" s="92"/>
      <c r="K1372" s="103"/>
      <c r="L1372" s="1"/>
    </row>
    <row r="1373" spans="1:12" ht="21.75" customHeight="1" x14ac:dyDescent="0.25">
      <c r="A1373" s="1"/>
      <c r="B1373" s="99" t="s">
        <v>27</v>
      </c>
      <c r="C1373" s="57"/>
      <c r="H1373" s="99" t="s">
        <v>100</v>
      </c>
      <c r="K1373" s="103"/>
    </row>
    <row r="1374" spans="1:12" ht="10.5" customHeight="1" x14ac:dyDescent="0.2"/>
    <row r="1375" spans="1:12" ht="24" hidden="1" customHeight="1" x14ac:dyDescent="0.2"/>
    <row r="1376" spans="1:12" ht="12.75" x14ac:dyDescent="0.2"/>
    <row r="1377" spans="1:12" ht="33.75" customHeight="1" x14ac:dyDescent="0.25">
      <c r="A1377" s="3" t="s">
        <v>22</v>
      </c>
    </row>
    <row r="1378" spans="1:12" ht="18" customHeight="1" x14ac:dyDescent="0.2">
      <c r="A1378" s="122" t="s">
        <v>20</v>
      </c>
    </row>
    <row r="1379" spans="1:12" ht="12.75" customHeight="1" x14ac:dyDescent="0.2">
      <c r="A1379" s="122" t="s">
        <v>21</v>
      </c>
    </row>
    <row r="1380" spans="1:12" ht="13.5" customHeight="1" x14ac:dyDescent="0.2"/>
    <row r="1381" spans="1:12" ht="21" customHeight="1" x14ac:dyDescent="0.2"/>
    <row r="1382" spans="1:12" ht="12.75" x14ac:dyDescent="0.2"/>
    <row r="1383" spans="1:12" ht="31.5" customHeight="1" x14ac:dyDescent="0.3">
      <c r="A1383" s="276" t="s">
        <v>6</v>
      </c>
      <c r="B1383" s="276"/>
      <c r="C1383" s="276"/>
      <c r="D1383" s="276"/>
      <c r="E1383" s="276"/>
      <c r="F1383" s="276"/>
      <c r="G1383" s="276"/>
      <c r="H1383" s="276"/>
      <c r="I1383" s="276"/>
      <c r="J1383" s="276"/>
      <c r="K1383" s="276"/>
      <c r="L1383" s="276"/>
    </row>
    <row r="1384" spans="1:12" ht="14.25" customHeight="1" x14ac:dyDescent="0.3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</row>
    <row r="1385" spans="1:12" ht="35.25" customHeight="1" x14ac:dyDescent="0.3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</row>
    <row r="1386" spans="1:12" ht="22.5" customHeight="1" x14ac:dyDescent="0.25">
      <c r="A1386" s="1"/>
      <c r="B1386" s="1"/>
    </row>
    <row r="1387" spans="1:12" ht="24.75" customHeight="1" x14ac:dyDescent="0.25">
      <c r="A1387" s="1" t="s">
        <v>7</v>
      </c>
      <c r="B1387" s="1"/>
    </row>
    <row r="1388" spans="1:12" ht="15" x14ac:dyDescent="0.25">
      <c r="A1388" s="1"/>
      <c r="B1388" s="1"/>
    </row>
    <row r="1389" spans="1:12" ht="15" x14ac:dyDescent="0.25">
      <c r="A1389" s="1" t="s">
        <v>8</v>
      </c>
      <c r="C1389" s="9" t="s">
        <v>1</v>
      </c>
      <c r="D1389" s="40" t="s">
        <v>364</v>
      </c>
      <c r="E1389" s="76"/>
      <c r="F1389" s="76"/>
      <c r="G1389" s="76"/>
      <c r="H1389" s="76"/>
    </row>
    <row r="1390" spans="1:12" ht="18.75" customHeight="1" x14ac:dyDescent="0.25">
      <c r="A1390" s="1" t="s">
        <v>9</v>
      </c>
      <c r="C1390" s="9" t="s">
        <v>1</v>
      </c>
      <c r="D1390" s="7" t="s">
        <v>365</v>
      </c>
      <c r="E1390" s="76"/>
      <c r="F1390" s="76"/>
      <c r="G1390" s="76"/>
      <c r="H1390" s="76"/>
    </row>
    <row r="1391" spans="1:12" ht="9.75" customHeight="1" x14ac:dyDescent="0.2">
      <c r="A1391" s="50" t="s">
        <v>10</v>
      </c>
      <c r="B1391" s="76"/>
      <c r="C1391" s="91" t="s">
        <v>1</v>
      </c>
      <c r="D1391" s="124" t="s">
        <v>366</v>
      </c>
      <c r="E1391" s="76"/>
      <c r="F1391" s="76"/>
      <c r="G1391" s="76"/>
      <c r="H1391" s="76"/>
      <c r="I1391" s="76"/>
      <c r="J1391" s="76"/>
      <c r="K1391" s="76"/>
      <c r="L1391" s="76"/>
    </row>
    <row r="1392" spans="1:12" ht="15" x14ac:dyDescent="0.25">
      <c r="A1392" s="1"/>
      <c r="B1392" s="1"/>
      <c r="D1392" s="1"/>
    </row>
    <row r="1393" spans="1:12" ht="47.25" customHeight="1" x14ac:dyDescent="0.2">
      <c r="A1393" s="277" t="s">
        <v>377</v>
      </c>
      <c r="B1393" s="277"/>
      <c r="C1393" s="277"/>
      <c r="D1393" s="277"/>
      <c r="E1393" s="277"/>
      <c r="F1393" s="277"/>
      <c r="G1393" s="277"/>
      <c r="H1393" s="277"/>
      <c r="I1393" s="277"/>
      <c r="J1393" s="277"/>
      <c r="K1393" s="277"/>
      <c r="L1393" s="277"/>
    </row>
    <row r="1394" spans="1:12" ht="14.25" customHeight="1" x14ac:dyDescent="0.25">
      <c r="A1394" s="1"/>
      <c r="B1394" s="1"/>
    </row>
    <row r="1395" spans="1:12" ht="31.5" customHeight="1" thickBot="1" x14ac:dyDescent="0.25">
      <c r="A1395" s="10" t="s">
        <v>0</v>
      </c>
      <c r="B1395" s="278" t="s">
        <v>91</v>
      </c>
      <c r="C1395" s="278"/>
      <c r="D1395" s="278"/>
      <c r="E1395" s="278"/>
      <c r="F1395" s="278"/>
      <c r="G1395" s="278"/>
      <c r="H1395" s="278"/>
      <c r="I1395" s="278"/>
      <c r="J1395" s="278"/>
      <c r="K1395" s="278"/>
      <c r="L1395" s="278"/>
    </row>
    <row r="1396" spans="1:12" ht="15" customHeight="1" thickTop="1" x14ac:dyDescent="0.25">
      <c r="A1396" s="1"/>
      <c r="B1396" s="11" t="s">
        <v>3</v>
      </c>
      <c r="C1396" s="12" t="s">
        <v>4</v>
      </c>
      <c r="D1396" s="13"/>
      <c r="E1396" s="13"/>
      <c r="F1396" s="13"/>
      <c r="G1396" s="13"/>
      <c r="H1396" s="14"/>
      <c r="I1396" s="15" t="s">
        <v>5</v>
      </c>
      <c r="J1396" s="12" t="s">
        <v>17</v>
      </c>
      <c r="K1396" s="13"/>
      <c r="L1396" s="14"/>
    </row>
    <row r="1397" spans="1:12" ht="27.75" customHeight="1" x14ac:dyDescent="0.2">
      <c r="A1397" s="50"/>
      <c r="B1397" s="143">
        <v>1</v>
      </c>
      <c r="C1397" s="284" t="s">
        <v>303</v>
      </c>
      <c r="D1397" s="285"/>
      <c r="E1397" s="285"/>
      <c r="F1397" s="285"/>
      <c r="G1397" s="76"/>
      <c r="H1397" s="79"/>
      <c r="I1397" s="56">
        <v>250000</v>
      </c>
      <c r="J1397" s="76"/>
      <c r="K1397" s="76"/>
      <c r="L1397" s="79"/>
    </row>
    <row r="1398" spans="1:12" ht="24.75" customHeight="1" x14ac:dyDescent="0.2">
      <c r="B1398" s="142"/>
      <c r="C1398" s="140"/>
      <c r="D1398" s="76"/>
      <c r="E1398" s="150"/>
      <c r="F1398" s="316"/>
      <c r="G1398" s="314"/>
      <c r="H1398" s="315"/>
      <c r="I1398" s="80"/>
      <c r="J1398" s="76"/>
      <c r="K1398" s="76"/>
      <c r="L1398" s="79"/>
    </row>
    <row r="1399" spans="1:12" ht="15" x14ac:dyDescent="0.25">
      <c r="A1399" s="1"/>
      <c r="B1399" s="39"/>
      <c r="C1399" s="1"/>
      <c r="D1399" s="1"/>
      <c r="E1399" s="1"/>
      <c r="F1399" s="40" t="s">
        <v>5</v>
      </c>
      <c r="G1399" s="40"/>
      <c r="H1399" s="1"/>
      <c r="I1399" s="41">
        <f>I1397+I1398</f>
        <v>250000</v>
      </c>
      <c r="J1399" s="1"/>
      <c r="K1399" s="1"/>
      <c r="L1399" s="42"/>
    </row>
    <row r="1400" spans="1:12" ht="15.75" thickBot="1" x14ac:dyDescent="0.3">
      <c r="A1400" s="1"/>
      <c r="B1400" s="43"/>
      <c r="C1400" s="44"/>
      <c r="D1400" s="44"/>
      <c r="E1400" s="44"/>
      <c r="F1400" s="45"/>
      <c r="G1400" s="45"/>
      <c r="H1400" s="44"/>
      <c r="I1400" s="46"/>
      <c r="J1400" s="44"/>
      <c r="K1400" s="44"/>
      <c r="L1400" s="47"/>
    </row>
    <row r="1401" spans="1:12" ht="18" customHeight="1" thickTop="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ht="49.5" customHeight="1" x14ac:dyDescent="0.2">
      <c r="A1402" s="10" t="s">
        <v>2</v>
      </c>
      <c r="B1402" s="279" t="s">
        <v>11</v>
      </c>
      <c r="C1402" s="279"/>
      <c r="D1402" s="279"/>
      <c r="E1402" s="279"/>
      <c r="F1402" s="279"/>
      <c r="G1402" s="279"/>
      <c r="H1402" s="279"/>
      <c r="I1402" s="279"/>
      <c r="J1402" s="279"/>
      <c r="K1402" s="279"/>
      <c r="L1402" s="279"/>
    </row>
    <row r="1403" spans="1:12" ht="8.25" customHeight="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 ht="21.75" customHeight="1" x14ac:dyDescent="0.2">
      <c r="A1404" s="280" t="s">
        <v>12</v>
      </c>
      <c r="B1404" s="280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</row>
    <row r="1405" spans="1:12" ht="11.25" customHeight="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 ht="15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 ht="21" customHeight="1" x14ac:dyDescent="0.25">
      <c r="A1407" s="1"/>
      <c r="B1407" s="1"/>
      <c r="C1407" s="1"/>
      <c r="D1407" s="1"/>
      <c r="E1407" s="1"/>
      <c r="F1407" s="1"/>
      <c r="G1407" s="1"/>
      <c r="H1407" s="4" t="s">
        <v>199</v>
      </c>
      <c r="J1407" s="286" t="s">
        <v>357</v>
      </c>
      <c r="K1407" s="286"/>
      <c r="L1407" s="286"/>
    </row>
    <row r="1408" spans="1:12" ht="18" customHeight="1" x14ac:dyDescent="0.25">
      <c r="A1408" s="1"/>
      <c r="B1408" s="1" t="s">
        <v>15</v>
      </c>
      <c r="C1408" s="1"/>
      <c r="D1408" s="1"/>
      <c r="E1408" s="1"/>
      <c r="F1408" s="1"/>
      <c r="G1408" s="1"/>
      <c r="H1408" s="4" t="s">
        <v>13</v>
      </c>
    </row>
    <row r="1409" spans="1:12" ht="14.25" customHeight="1" x14ac:dyDescent="0.25">
      <c r="A1409" s="1"/>
      <c r="B1409" s="1" t="s">
        <v>18</v>
      </c>
      <c r="C1409" s="1"/>
      <c r="D1409" s="1"/>
      <c r="E1409" s="1"/>
      <c r="F1409" s="1"/>
      <c r="G1409" s="1"/>
      <c r="H1409" s="4" t="s">
        <v>14</v>
      </c>
    </row>
    <row r="1410" spans="1:12" ht="17.25" customHeight="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 ht="17.25" customHeight="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ht="12.75" customHeight="1" x14ac:dyDescent="0.25">
      <c r="A1412" s="1"/>
      <c r="B1412" s="103"/>
      <c r="C1412" s="103"/>
      <c r="D1412" s="103"/>
      <c r="E1412" s="103"/>
      <c r="F1412" s="103"/>
      <c r="G1412" s="103"/>
      <c r="H1412" s="103"/>
      <c r="I1412" s="103"/>
      <c r="J1412" s="103"/>
      <c r="K1412" s="103"/>
      <c r="L1412" s="1"/>
    </row>
    <row r="1413" spans="1:12" ht="18.75" customHeight="1" x14ac:dyDescent="0.25">
      <c r="A1413" s="1"/>
      <c r="K1413" s="103"/>
      <c r="L1413" s="1"/>
    </row>
    <row r="1414" spans="1:12" ht="15" x14ac:dyDescent="0.25">
      <c r="A1414" s="1"/>
      <c r="B1414" s="95" t="s">
        <v>77</v>
      </c>
      <c r="H1414" s="37" t="s">
        <v>364</v>
      </c>
      <c r="I1414" s="95"/>
      <c r="J1414" s="92"/>
      <c r="K1414" s="103"/>
      <c r="L1414" s="1"/>
    </row>
    <row r="1415" spans="1:12" ht="13.5" customHeight="1" x14ac:dyDescent="0.25">
      <c r="A1415" s="1"/>
      <c r="B1415" s="99" t="s">
        <v>27</v>
      </c>
      <c r="C1415" s="57"/>
      <c r="H1415" s="1" t="s">
        <v>105</v>
      </c>
      <c r="K1415" s="103"/>
    </row>
    <row r="1416" spans="1:12" ht="7.5" customHeight="1" x14ac:dyDescent="0.2"/>
    <row r="1417" spans="1:12" ht="35.25" customHeight="1" x14ac:dyDescent="0.2"/>
    <row r="1418" spans="1:12" ht="12.75" x14ac:dyDescent="0.2"/>
    <row r="1419" spans="1:12" ht="19.5" customHeight="1" x14ac:dyDescent="0.25">
      <c r="A1419" s="3" t="s">
        <v>22</v>
      </c>
    </row>
    <row r="1420" spans="1:12" ht="15.75" x14ac:dyDescent="0.2">
      <c r="A1420" s="122" t="s">
        <v>20</v>
      </c>
    </row>
    <row r="1421" spans="1:12" ht="18.75" customHeight="1" x14ac:dyDescent="0.2">
      <c r="A1421" s="122" t="s">
        <v>21</v>
      </c>
    </row>
    <row r="1422" spans="1:12" ht="21" customHeight="1" x14ac:dyDescent="0.2"/>
    <row r="1423" spans="1:12" ht="23.25" customHeight="1" x14ac:dyDescent="0.2"/>
    <row r="1424" spans="1:12" ht="12.75" x14ac:dyDescent="0.2"/>
    <row r="1425" spans="1:12" ht="18.75" x14ac:dyDescent="0.3">
      <c r="A1425" s="276" t="s">
        <v>6</v>
      </c>
      <c r="B1425" s="276"/>
      <c r="C1425" s="276"/>
      <c r="D1425" s="276"/>
      <c r="E1425" s="276"/>
      <c r="F1425" s="276"/>
      <c r="G1425" s="276"/>
      <c r="H1425" s="276"/>
      <c r="I1425" s="276"/>
      <c r="J1425" s="276"/>
      <c r="K1425" s="276"/>
      <c r="L1425" s="276"/>
    </row>
    <row r="1426" spans="1:12" ht="18.75" x14ac:dyDescent="0.3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</row>
    <row r="1427" spans="1:12" ht="18.75" x14ac:dyDescent="0.3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</row>
    <row r="1428" spans="1:12" ht="15" x14ac:dyDescent="0.25">
      <c r="A1428" s="1"/>
      <c r="B1428" s="1"/>
    </row>
    <row r="1429" spans="1:12" ht="15" x14ac:dyDescent="0.25">
      <c r="A1429" s="1" t="s">
        <v>7</v>
      </c>
      <c r="B1429" s="1"/>
    </row>
    <row r="1430" spans="1:12" ht="15" customHeight="1" x14ac:dyDescent="0.25">
      <c r="A1430" s="1"/>
      <c r="B1430" s="1"/>
    </row>
    <row r="1431" spans="1:12" ht="15.75" customHeight="1" x14ac:dyDescent="0.25">
      <c r="A1431" s="1" t="s">
        <v>8</v>
      </c>
      <c r="C1431" s="9" t="s">
        <v>1</v>
      </c>
      <c r="D1431" s="123" t="s">
        <v>78</v>
      </c>
      <c r="E1431" s="76"/>
      <c r="F1431" s="76"/>
      <c r="G1431" s="76"/>
      <c r="H1431" s="76"/>
    </row>
    <row r="1432" spans="1:12" ht="15" x14ac:dyDescent="0.25">
      <c r="A1432" s="1" t="s">
        <v>9</v>
      </c>
      <c r="C1432" s="9" t="s">
        <v>1</v>
      </c>
      <c r="D1432" s="76" t="s">
        <v>234</v>
      </c>
      <c r="E1432" s="76"/>
      <c r="F1432" s="76"/>
      <c r="G1432" s="76"/>
      <c r="H1432" s="76"/>
    </row>
    <row r="1433" spans="1:12" ht="30" customHeight="1" x14ac:dyDescent="0.2">
      <c r="A1433" s="50" t="s">
        <v>10</v>
      </c>
      <c r="B1433" s="76"/>
      <c r="C1433" s="91" t="s">
        <v>1</v>
      </c>
      <c r="D1433" s="50" t="s">
        <v>235</v>
      </c>
      <c r="E1433" s="76"/>
      <c r="F1433" s="76"/>
      <c r="G1433" s="76"/>
      <c r="H1433" s="76"/>
      <c r="I1433" s="76"/>
      <c r="J1433" s="76"/>
      <c r="K1433" s="76"/>
      <c r="L1433" s="76"/>
    </row>
    <row r="1434" spans="1:12" ht="15" x14ac:dyDescent="0.25">
      <c r="A1434" s="1"/>
      <c r="B1434" s="1"/>
      <c r="D1434" s="1"/>
    </row>
    <row r="1435" spans="1:12" ht="33" customHeight="1" x14ac:dyDescent="0.2">
      <c r="A1435" s="277" t="s">
        <v>377</v>
      </c>
      <c r="B1435" s="277"/>
      <c r="C1435" s="277"/>
      <c r="D1435" s="277"/>
      <c r="E1435" s="277"/>
      <c r="F1435" s="277"/>
      <c r="G1435" s="277"/>
      <c r="H1435" s="277"/>
      <c r="I1435" s="277"/>
      <c r="J1435" s="277"/>
      <c r="K1435" s="277"/>
      <c r="L1435" s="277"/>
    </row>
    <row r="1436" spans="1:12" ht="15" x14ac:dyDescent="0.25">
      <c r="A1436" s="1"/>
      <c r="B1436" s="1"/>
    </row>
    <row r="1437" spans="1:12" ht="39" customHeight="1" thickBot="1" x14ac:dyDescent="0.25">
      <c r="A1437" s="10" t="s">
        <v>0</v>
      </c>
      <c r="B1437" s="278" t="s">
        <v>91</v>
      </c>
      <c r="C1437" s="278"/>
      <c r="D1437" s="278"/>
      <c r="E1437" s="278"/>
      <c r="F1437" s="278"/>
      <c r="G1437" s="278"/>
      <c r="H1437" s="278"/>
      <c r="I1437" s="278"/>
      <c r="J1437" s="278"/>
      <c r="K1437" s="278"/>
      <c r="L1437" s="278"/>
    </row>
    <row r="1438" spans="1:12" ht="21.75" customHeight="1" thickTop="1" x14ac:dyDescent="0.25">
      <c r="A1438" s="1"/>
      <c r="B1438" s="11" t="s">
        <v>3</v>
      </c>
      <c r="C1438" s="12" t="s">
        <v>4</v>
      </c>
      <c r="D1438" s="13"/>
      <c r="E1438" s="13"/>
      <c r="F1438" s="13"/>
      <c r="G1438" s="13"/>
      <c r="H1438" s="14"/>
      <c r="I1438" s="15" t="s">
        <v>5</v>
      </c>
      <c r="J1438" s="12" t="s">
        <v>17</v>
      </c>
      <c r="K1438" s="13"/>
      <c r="L1438" s="14"/>
    </row>
    <row r="1439" spans="1:12" ht="37.5" customHeight="1" x14ac:dyDescent="0.2">
      <c r="A1439" s="50"/>
      <c r="B1439" s="143">
        <v>1</v>
      </c>
      <c r="C1439" s="284" t="s">
        <v>303</v>
      </c>
      <c r="D1439" s="285"/>
      <c r="E1439" s="285"/>
      <c r="F1439" s="285"/>
      <c r="G1439" s="76"/>
      <c r="H1439" s="79"/>
      <c r="I1439" s="56">
        <v>250000</v>
      </c>
      <c r="J1439" s="76"/>
      <c r="K1439" s="76"/>
      <c r="L1439" s="79"/>
    </row>
    <row r="1440" spans="1:12" ht="17.25" customHeight="1" x14ac:dyDescent="0.2">
      <c r="B1440" s="142"/>
      <c r="C1440" s="140"/>
      <c r="D1440" s="76"/>
      <c r="E1440" s="150"/>
      <c r="F1440" s="316"/>
      <c r="G1440" s="314"/>
      <c r="H1440" s="315"/>
      <c r="I1440" s="80"/>
      <c r="J1440" s="76"/>
      <c r="K1440" s="76"/>
      <c r="L1440" s="79"/>
    </row>
    <row r="1441" spans="1:12" ht="18.75" customHeight="1" x14ac:dyDescent="0.25">
      <c r="A1441" s="1"/>
      <c r="B1441" s="39"/>
      <c r="C1441" s="1"/>
      <c r="D1441" s="1"/>
      <c r="E1441" s="1"/>
      <c r="F1441" s="40" t="s">
        <v>5</v>
      </c>
      <c r="G1441" s="40"/>
      <c r="H1441" s="1"/>
      <c r="I1441" s="41">
        <f>I1439+I1440</f>
        <v>250000</v>
      </c>
      <c r="J1441" s="1"/>
      <c r="K1441" s="1"/>
      <c r="L1441" s="42"/>
    </row>
    <row r="1442" spans="1:12" ht="10.5" customHeight="1" thickBot="1" x14ac:dyDescent="0.3">
      <c r="A1442" s="1"/>
      <c r="B1442" s="43"/>
      <c r="C1442" s="44"/>
      <c r="D1442" s="44"/>
      <c r="E1442" s="44"/>
      <c r="F1442" s="45"/>
      <c r="G1442" s="45"/>
      <c r="H1442" s="44"/>
      <c r="I1442" s="46"/>
      <c r="J1442" s="44"/>
      <c r="K1442" s="44"/>
      <c r="L1442" s="47"/>
    </row>
    <row r="1443" spans="1:12" ht="19.5" customHeight="1" thickTop="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ht="47.25" customHeight="1" x14ac:dyDescent="0.2">
      <c r="A1444" s="10" t="s">
        <v>2</v>
      </c>
      <c r="B1444" s="279" t="s">
        <v>11</v>
      </c>
      <c r="C1444" s="279"/>
      <c r="D1444" s="279"/>
      <c r="E1444" s="279"/>
      <c r="F1444" s="279"/>
      <c r="G1444" s="279"/>
      <c r="H1444" s="279"/>
      <c r="I1444" s="279"/>
      <c r="J1444" s="279"/>
      <c r="K1444" s="279"/>
      <c r="L1444" s="279"/>
    </row>
    <row r="1445" spans="1:12" ht="15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ht="13.5" customHeight="1" x14ac:dyDescent="0.2">
      <c r="A1446" s="280" t="s">
        <v>12</v>
      </c>
      <c r="B1446" s="280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</row>
    <row r="1447" spans="1:12" ht="1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ht="15" customHeight="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 ht="15" x14ac:dyDescent="0.25">
      <c r="A1449" s="1"/>
      <c r="B1449" s="1"/>
      <c r="C1449" s="1"/>
      <c r="D1449" s="1"/>
      <c r="E1449" s="1"/>
      <c r="F1449" s="1"/>
      <c r="G1449" s="1"/>
      <c r="H1449" s="4" t="s">
        <v>199</v>
      </c>
      <c r="J1449" s="286" t="s">
        <v>357</v>
      </c>
      <c r="K1449" s="286"/>
      <c r="L1449" s="286"/>
    </row>
    <row r="1450" spans="1:12" ht="15" x14ac:dyDescent="0.25">
      <c r="A1450" s="1"/>
      <c r="B1450" s="1" t="s">
        <v>15</v>
      </c>
      <c r="C1450" s="1"/>
      <c r="D1450" s="1"/>
      <c r="E1450" s="1"/>
      <c r="F1450" s="1"/>
      <c r="G1450" s="1"/>
      <c r="H1450" s="4" t="s">
        <v>13</v>
      </c>
    </row>
    <row r="1451" spans="1:12" ht="13.5" customHeight="1" x14ac:dyDescent="0.25">
      <c r="A1451" s="1"/>
      <c r="B1451" s="1" t="s">
        <v>18</v>
      </c>
      <c r="C1451" s="1"/>
      <c r="D1451" s="1"/>
      <c r="E1451" s="1"/>
      <c r="F1451" s="1"/>
      <c r="G1451" s="1"/>
      <c r="H1451" s="4" t="s">
        <v>14</v>
      </c>
    </row>
    <row r="1452" spans="1:12" ht="13.5" customHeight="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ht="12" customHeight="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 ht="18.75" customHeight="1" x14ac:dyDescent="0.25">
      <c r="A1454" s="1"/>
      <c r="B1454" s="103"/>
      <c r="C1454" s="103"/>
      <c r="D1454" s="103"/>
      <c r="E1454" s="103"/>
      <c r="F1454" s="103"/>
      <c r="G1454" s="103"/>
      <c r="H1454" s="103"/>
      <c r="I1454" s="103"/>
      <c r="J1454" s="103"/>
      <c r="K1454" s="103"/>
      <c r="L1454" s="1"/>
    </row>
    <row r="1455" spans="1:12" ht="15.75" customHeight="1" x14ac:dyDescent="0.25">
      <c r="A1455" s="1"/>
      <c r="K1455" s="103"/>
      <c r="L1455" s="1"/>
    </row>
    <row r="1456" spans="1:12" ht="15" x14ac:dyDescent="0.25">
      <c r="A1456" s="1"/>
      <c r="B1456" s="95" t="s">
        <v>77</v>
      </c>
      <c r="H1456" s="95" t="s">
        <v>78</v>
      </c>
      <c r="I1456" s="95"/>
      <c r="J1456" s="92"/>
      <c r="K1456" s="103"/>
      <c r="L1456" s="1"/>
    </row>
    <row r="1457" spans="1:12" ht="12" customHeight="1" x14ac:dyDescent="0.25">
      <c r="A1457" s="1"/>
      <c r="B1457" s="99" t="s">
        <v>27</v>
      </c>
      <c r="C1457" s="57"/>
      <c r="H1457" s="99" t="s">
        <v>79</v>
      </c>
      <c r="K1457" s="103"/>
    </row>
    <row r="1458" spans="1:12" ht="12.75" x14ac:dyDescent="0.2"/>
    <row r="1459" spans="1:12" ht="19.5" customHeight="1" x14ac:dyDescent="0.2"/>
    <row r="1460" spans="1:12" ht="31.5" hidden="1" customHeight="1" x14ac:dyDescent="0.2"/>
    <row r="1461" spans="1:12" ht="31.5" customHeight="1" x14ac:dyDescent="0.2"/>
    <row r="1462" spans="1:12" ht="21" customHeight="1" x14ac:dyDescent="0.25">
      <c r="A1462" s="3" t="s">
        <v>22</v>
      </c>
    </row>
    <row r="1463" spans="1:12" ht="20.25" customHeight="1" x14ac:dyDescent="0.2">
      <c r="A1463" s="122" t="s">
        <v>20</v>
      </c>
    </row>
    <row r="1464" spans="1:12" ht="15.75" x14ac:dyDescent="0.2">
      <c r="A1464" s="122" t="s">
        <v>21</v>
      </c>
    </row>
    <row r="1465" spans="1:12" ht="12.75" x14ac:dyDescent="0.2"/>
    <row r="1466" spans="1:12" ht="19.5" customHeight="1" x14ac:dyDescent="0.2"/>
    <row r="1467" spans="1:12" ht="21.75" customHeight="1" x14ac:dyDescent="0.2"/>
    <row r="1468" spans="1:12" ht="18.75" customHeight="1" x14ac:dyDescent="0.3">
      <c r="A1468" s="276" t="s">
        <v>6</v>
      </c>
      <c r="B1468" s="276"/>
      <c r="C1468" s="276"/>
      <c r="D1468" s="276"/>
      <c r="E1468" s="276"/>
      <c r="F1468" s="276"/>
      <c r="G1468" s="276"/>
      <c r="H1468" s="276"/>
      <c r="I1468" s="276"/>
      <c r="J1468" s="276"/>
      <c r="K1468" s="276"/>
      <c r="L1468" s="276"/>
    </row>
    <row r="1469" spans="1:12" ht="21.75" customHeight="1" x14ac:dyDescent="0.3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</row>
    <row r="1470" spans="1:12" ht="18" customHeight="1" x14ac:dyDescent="0.3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</row>
    <row r="1471" spans="1:12" ht="19.5" customHeight="1" x14ac:dyDescent="0.25">
      <c r="A1471" s="1"/>
      <c r="B1471" s="1"/>
    </row>
    <row r="1472" spans="1:12" ht="15" x14ac:dyDescent="0.25">
      <c r="A1472" s="1" t="s">
        <v>7</v>
      </c>
      <c r="B1472" s="1"/>
    </row>
    <row r="1473" spans="1:12" ht="15" x14ac:dyDescent="0.25">
      <c r="A1473" s="1"/>
      <c r="B1473" s="1"/>
    </row>
    <row r="1474" spans="1:12" ht="15" x14ac:dyDescent="0.25">
      <c r="A1474" s="1" t="s">
        <v>8</v>
      </c>
      <c r="C1474" s="9" t="s">
        <v>1</v>
      </c>
      <c r="D1474" s="92" t="s">
        <v>380</v>
      </c>
      <c r="E1474" s="76"/>
      <c r="F1474" s="76"/>
      <c r="G1474" s="76"/>
      <c r="H1474" s="76"/>
    </row>
    <row r="1475" spans="1:12" ht="15" x14ac:dyDescent="0.25">
      <c r="A1475" s="1" t="s">
        <v>9</v>
      </c>
      <c r="C1475" s="9" t="s">
        <v>1</v>
      </c>
      <c r="D1475" s="57" t="s">
        <v>74</v>
      </c>
      <c r="E1475" s="76"/>
      <c r="F1475" s="76"/>
      <c r="G1475" s="76"/>
      <c r="H1475" s="76"/>
    </row>
    <row r="1476" spans="1:12" ht="15" x14ac:dyDescent="0.2">
      <c r="A1476" s="50" t="s">
        <v>10</v>
      </c>
      <c r="B1476" s="76"/>
      <c r="C1476" s="91" t="s">
        <v>1</v>
      </c>
      <c r="D1476" s="50" t="s">
        <v>381</v>
      </c>
      <c r="E1476" s="76"/>
      <c r="F1476" s="76"/>
      <c r="G1476" s="76"/>
      <c r="H1476" s="76"/>
      <c r="I1476" s="76"/>
      <c r="J1476" s="76"/>
      <c r="K1476" s="76"/>
      <c r="L1476" s="76"/>
    </row>
    <row r="1477" spans="1:12" ht="14.25" customHeight="1" x14ac:dyDescent="0.25">
      <c r="A1477" s="1"/>
      <c r="B1477" s="1"/>
      <c r="D1477" s="1"/>
    </row>
    <row r="1478" spans="1:12" ht="24.75" customHeight="1" x14ac:dyDescent="0.2">
      <c r="A1478" s="277" t="s">
        <v>379</v>
      </c>
      <c r="B1478" s="277"/>
      <c r="C1478" s="277"/>
      <c r="D1478" s="277"/>
      <c r="E1478" s="277"/>
      <c r="F1478" s="277"/>
      <c r="G1478" s="277"/>
      <c r="H1478" s="277"/>
      <c r="I1478" s="277"/>
      <c r="J1478" s="277"/>
      <c r="K1478" s="277"/>
      <c r="L1478" s="277"/>
    </row>
    <row r="1479" spans="1:12" ht="16.5" customHeight="1" x14ac:dyDescent="0.25">
      <c r="A1479" s="1"/>
      <c r="B1479" s="1"/>
    </row>
    <row r="1480" spans="1:12" ht="34.5" customHeight="1" thickBot="1" x14ac:dyDescent="0.25">
      <c r="A1480" s="10" t="s">
        <v>0</v>
      </c>
      <c r="B1480" s="278" t="s">
        <v>91</v>
      </c>
      <c r="C1480" s="278"/>
      <c r="D1480" s="278"/>
      <c r="E1480" s="278"/>
      <c r="F1480" s="278"/>
      <c r="G1480" s="278"/>
      <c r="H1480" s="278"/>
      <c r="I1480" s="278"/>
      <c r="J1480" s="278"/>
      <c r="K1480" s="278"/>
      <c r="L1480" s="278"/>
    </row>
    <row r="1481" spans="1:12" ht="17.25" customHeight="1" thickTop="1" x14ac:dyDescent="0.25">
      <c r="A1481" s="1"/>
      <c r="B1481" s="11" t="s">
        <v>3</v>
      </c>
      <c r="C1481" s="12" t="s">
        <v>4</v>
      </c>
      <c r="D1481" s="13"/>
      <c r="E1481" s="13"/>
      <c r="F1481" s="13"/>
      <c r="G1481" s="13"/>
      <c r="H1481" s="14"/>
      <c r="I1481" s="15" t="s">
        <v>5</v>
      </c>
      <c r="J1481" s="12" t="s">
        <v>17</v>
      </c>
      <c r="K1481" s="13"/>
      <c r="L1481" s="14"/>
    </row>
    <row r="1482" spans="1:12" ht="28.5" customHeight="1" x14ac:dyDescent="0.2">
      <c r="A1482" s="50"/>
      <c r="B1482" s="143">
        <v>1</v>
      </c>
      <c r="C1482" s="287" t="s">
        <v>378</v>
      </c>
      <c r="D1482" s="288"/>
      <c r="E1482" s="158">
        <v>150000</v>
      </c>
      <c r="F1482" s="159" t="s">
        <v>262</v>
      </c>
      <c r="G1482" s="76"/>
      <c r="H1482" s="79"/>
      <c r="I1482" s="56">
        <v>300000</v>
      </c>
      <c r="J1482" s="76" t="s">
        <v>207</v>
      </c>
      <c r="K1482" s="76"/>
      <c r="L1482" s="79"/>
    </row>
    <row r="1483" spans="1:12" ht="30" customHeight="1" x14ac:dyDescent="0.2">
      <c r="B1483" s="96"/>
      <c r="C1483" s="124"/>
      <c r="D1483" s="124"/>
      <c r="E1483" s="127"/>
      <c r="F1483" s="125"/>
      <c r="G1483" s="124"/>
      <c r="H1483" s="124"/>
      <c r="I1483" s="23"/>
      <c r="L1483" s="17"/>
    </row>
    <row r="1484" spans="1:12" ht="18.75" customHeight="1" x14ac:dyDescent="0.25">
      <c r="A1484" s="1"/>
      <c r="B1484" s="39"/>
      <c r="C1484" s="1"/>
      <c r="D1484" s="1"/>
      <c r="E1484" s="1"/>
      <c r="F1484" s="40" t="s">
        <v>5</v>
      </c>
      <c r="G1484" s="40"/>
      <c r="H1484" s="1"/>
      <c r="I1484" s="41">
        <f>SUM(I1482:I1482)</f>
        <v>300000</v>
      </c>
      <c r="J1484" s="1"/>
      <c r="K1484" s="1"/>
      <c r="L1484" s="42"/>
    </row>
    <row r="1485" spans="1:12" ht="9.75" customHeight="1" thickBot="1" x14ac:dyDescent="0.3">
      <c r="A1485" s="1"/>
      <c r="B1485" s="43"/>
      <c r="C1485" s="44"/>
      <c r="D1485" s="44"/>
      <c r="E1485" s="44"/>
      <c r="F1485" s="45"/>
      <c r="G1485" s="45"/>
      <c r="H1485" s="44"/>
      <c r="I1485" s="46"/>
      <c r="J1485" s="44"/>
      <c r="K1485" s="44"/>
      <c r="L1485" s="47"/>
    </row>
    <row r="1486" spans="1:12" ht="16.5" customHeight="1" thickTop="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ht="48" customHeight="1" x14ac:dyDescent="0.2">
      <c r="A1487" s="10" t="s">
        <v>2</v>
      </c>
      <c r="B1487" s="279" t="s">
        <v>11</v>
      </c>
      <c r="C1487" s="279"/>
      <c r="D1487" s="279"/>
      <c r="E1487" s="279"/>
      <c r="F1487" s="279"/>
      <c r="G1487" s="279"/>
      <c r="H1487" s="279"/>
      <c r="I1487" s="279"/>
      <c r="J1487" s="279"/>
      <c r="K1487" s="279"/>
      <c r="L1487" s="279"/>
    </row>
    <row r="1488" spans="1:12" ht="18.75" customHeight="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ht="48" customHeight="1" x14ac:dyDescent="0.2">
      <c r="A1489" s="280" t="s">
        <v>12</v>
      </c>
      <c r="B1489" s="280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</row>
    <row r="1490" spans="1:12" ht="12.75" customHeight="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ht="15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ht="15" x14ac:dyDescent="0.25">
      <c r="A1492" s="1"/>
      <c r="B1492" s="1"/>
      <c r="C1492" s="1"/>
      <c r="D1492" s="1"/>
      <c r="E1492" s="1"/>
      <c r="F1492" s="1"/>
      <c r="G1492" s="1"/>
      <c r="H1492" s="4" t="s">
        <v>199</v>
      </c>
      <c r="J1492" s="286" t="s">
        <v>357</v>
      </c>
      <c r="K1492" s="286"/>
      <c r="L1492" s="286"/>
    </row>
    <row r="1493" spans="1:12" ht="15" x14ac:dyDescent="0.25">
      <c r="A1493" s="1"/>
      <c r="B1493" s="1" t="s">
        <v>15</v>
      </c>
      <c r="C1493" s="1"/>
      <c r="D1493" s="1"/>
      <c r="E1493" s="1"/>
      <c r="F1493" s="1"/>
      <c r="G1493" s="1"/>
      <c r="H1493" s="4" t="s">
        <v>13</v>
      </c>
    </row>
    <row r="1494" spans="1:12" ht="15" x14ac:dyDescent="0.25">
      <c r="A1494" s="1"/>
      <c r="B1494" s="1" t="s">
        <v>18</v>
      </c>
      <c r="C1494" s="1"/>
      <c r="D1494" s="1"/>
      <c r="E1494" s="1"/>
      <c r="F1494" s="1"/>
      <c r="G1494" s="1"/>
      <c r="H1494" s="4" t="s">
        <v>14</v>
      </c>
    </row>
    <row r="1495" spans="1:12" ht="14.25" customHeight="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ht="18.75" customHeight="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ht="31.5" customHeight="1" x14ac:dyDescent="0.25">
      <c r="A1497" s="1"/>
      <c r="B1497" s="103"/>
      <c r="C1497" s="103"/>
      <c r="D1497" s="103"/>
      <c r="E1497" s="103"/>
      <c r="F1497" s="103"/>
      <c r="G1497" s="103"/>
      <c r="H1497" s="103"/>
      <c r="I1497" s="103"/>
      <c r="J1497" s="103"/>
      <c r="K1497" s="103"/>
      <c r="L1497" s="1"/>
    </row>
    <row r="1498" spans="1:12" ht="7.5" customHeight="1" x14ac:dyDescent="0.25">
      <c r="A1498" s="1"/>
      <c r="K1498" s="103"/>
      <c r="L1498" s="1"/>
    </row>
    <row r="1499" spans="1:12" ht="12.75" customHeight="1" x14ac:dyDescent="0.25">
      <c r="A1499" s="1"/>
      <c r="B1499" s="95" t="s">
        <v>77</v>
      </c>
      <c r="H1499" s="95" t="str">
        <f>D1474</f>
        <v>Iga Anggraini, SKM</v>
      </c>
      <c r="I1499" s="95"/>
      <c r="J1499" s="92"/>
      <c r="K1499" s="103"/>
      <c r="L1499" s="1"/>
    </row>
    <row r="1500" spans="1:12" ht="15" x14ac:dyDescent="0.25">
      <c r="A1500" s="1"/>
      <c r="B1500" s="99" t="s">
        <v>27</v>
      </c>
      <c r="C1500" s="57"/>
      <c r="H1500" s="99"/>
      <c r="K1500" s="103"/>
    </row>
    <row r="1501" spans="1:12" ht="12.75" x14ac:dyDescent="0.2"/>
    <row r="1502" spans="1:12" ht="18.75" customHeight="1" x14ac:dyDescent="0.2"/>
    <row r="1503" spans="1:12" ht="15.75" x14ac:dyDescent="0.25">
      <c r="A1503" s="3" t="s">
        <v>22</v>
      </c>
    </row>
    <row r="1504" spans="1:12" ht="18" customHeight="1" x14ac:dyDescent="0.2">
      <c r="A1504" s="122" t="s">
        <v>20</v>
      </c>
    </row>
    <row r="1505" spans="1:12" ht="15.75" x14ac:dyDescent="0.2">
      <c r="A1505" s="122" t="s">
        <v>21</v>
      </c>
    </row>
    <row r="1506" spans="1:12" ht="13.5" customHeight="1" x14ac:dyDescent="0.2"/>
    <row r="1507" spans="1:12" ht="22.5" customHeight="1" x14ac:dyDescent="0.2"/>
    <row r="1508" spans="1:12" ht="23.25" customHeight="1" x14ac:dyDescent="0.2"/>
    <row r="1509" spans="1:12" s="76" customFormat="1" ht="16.5" customHeight="1" x14ac:dyDescent="0.3">
      <c r="A1509" s="276" t="s">
        <v>6</v>
      </c>
      <c r="B1509" s="276"/>
      <c r="C1509" s="276"/>
      <c r="D1509" s="276"/>
      <c r="E1509" s="276"/>
      <c r="F1509" s="276"/>
      <c r="G1509" s="276"/>
      <c r="H1509" s="276"/>
      <c r="I1509" s="276"/>
      <c r="J1509" s="276"/>
      <c r="K1509" s="276"/>
      <c r="L1509" s="276"/>
    </row>
    <row r="1510" spans="1:12" ht="15" customHeight="1" x14ac:dyDescent="0.3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</row>
    <row r="1511" spans="1:12" ht="18.75" x14ac:dyDescent="0.3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</row>
    <row r="1512" spans="1:12" ht="15" x14ac:dyDescent="0.25">
      <c r="A1512" s="1"/>
      <c r="B1512" s="1"/>
    </row>
    <row r="1513" spans="1:12" ht="15" x14ac:dyDescent="0.25">
      <c r="A1513" s="1" t="s">
        <v>7</v>
      </c>
      <c r="B1513" s="1"/>
    </row>
    <row r="1514" spans="1:12" ht="15" customHeight="1" x14ac:dyDescent="0.25">
      <c r="A1514" s="1"/>
      <c r="B1514" s="1"/>
    </row>
    <row r="1515" spans="1:12" ht="15.75" customHeight="1" x14ac:dyDescent="0.25">
      <c r="A1515" s="1" t="s">
        <v>8</v>
      </c>
      <c r="C1515" s="9" t="s">
        <v>1</v>
      </c>
      <c r="D1515" s="92" t="s">
        <v>382</v>
      </c>
      <c r="E1515" s="76"/>
      <c r="F1515" s="76"/>
      <c r="G1515" s="76"/>
      <c r="H1515" s="76"/>
    </row>
    <row r="1516" spans="1:12" ht="14.25" customHeight="1" x14ac:dyDescent="0.25">
      <c r="A1516" s="1" t="s">
        <v>9</v>
      </c>
      <c r="C1516" s="9" t="s">
        <v>1</v>
      </c>
      <c r="D1516" s="57" t="s">
        <v>74</v>
      </c>
      <c r="E1516" s="76"/>
      <c r="F1516" s="76"/>
      <c r="G1516" s="76"/>
      <c r="H1516" s="76"/>
    </row>
    <row r="1517" spans="1:12" ht="21.75" customHeight="1" x14ac:dyDescent="0.2">
      <c r="A1517" s="50" t="s">
        <v>10</v>
      </c>
      <c r="B1517" s="76"/>
      <c r="C1517" s="91" t="s">
        <v>1</v>
      </c>
      <c r="D1517" s="50" t="s">
        <v>383</v>
      </c>
      <c r="E1517" s="76"/>
      <c r="F1517" s="76"/>
      <c r="G1517" s="76"/>
      <c r="H1517" s="76"/>
      <c r="I1517" s="76"/>
      <c r="J1517" s="76"/>
      <c r="K1517" s="76"/>
      <c r="L1517" s="76"/>
    </row>
    <row r="1518" spans="1:12" ht="18" customHeight="1" x14ac:dyDescent="0.25">
      <c r="A1518" s="1"/>
      <c r="B1518" s="1"/>
      <c r="D1518" s="1"/>
    </row>
    <row r="1519" spans="1:12" ht="24.75" customHeight="1" x14ac:dyDescent="0.2">
      <c r="A1519" s="277" t="s">
        <v>379</v>
      </c>
      <c r="B1519" s="277"/>
      <c r="C1519" s="277"/>
      <c r="D1519" s="277"/>
      <c r="E1519" s="277"/>
      <c r="F1519" s="277"/>
      <c r="G1519" s="277"/>
      <c r="H1519" s="277"/>
      <c r="I1519" s="277"/>
      <c r="J1519" s="277"/>
      <c r="K1519" s="277"/>
      <c r="L1519" s="277"/>
    </row>
    <row r="1520" spans="1:12" ht="17.25" customHeight="1" x14ac:dyDescent="0.25">
      <c r="A1520" s="1"/>
      <c r="B1520" s="1"/>
    </row>
    <row r="1521" spans="1:12" ht="37.5" customHeight="1" thickBot="1" x14ac:dyDescent="0.25">
      <c r="A1521" s="10" t="s">
        <v>0</v>
      </c>
      <c r="B1521" s="278" t="s">
        <v>91</v>
      </c>
      <c r="C1521" s="278"/>
      <c r="D1521" s="278"/>
      <c r="E1521" s="278"/>
      <c r="F1521" s="278"/>
      <c r="G1521" s="278"/>
      <c r="H1521" s="278"/>
      <c r="I1521" s="278"/>
      <c r="J1521" s="278"/>
      <c r="K1521" s="278"/>
      <c r="L1521" s="278"/>
    </row>
    <row r="1522" spans="1:12" ht="21.75" customHeight="1" thickTop="1" x14ac:dyDescent="0.25">
      <c r="A1522" s="1"/>
      <c r="B1522" s="11" t="s">
        <v>3</v>
      </c>
      <c r="C1522" s="12" t="s">
        <v>4</v>
      </c>
      <c r="D1522" s="13"/>
      <c r="E1522" s="13"/>
      <c r="F1522" s="13"/>
      <c r="G1522" s="13"/>
      <c r="H1522" s="14"/>
      <c r="I1522" s="15" t="s">
        <v>5</v>
      </c>
      <c r="J1522" s="12" t="s">
        <v>17</v>
      </c>
      <c r="K1522" s="13"/>
      <c r="L1522" s="14"/>
    </row>
    <row r="1523" spans="1:12" ht="32.25" customHeight="1" x14ac:dyDescent="0.2">
      <c r="A1523" s="50"/>
      <c r="B1523" s="143">
        <v>1</v>
      </c>
      <c r="C1523" s="287" t="s">
        <v>378</v>
      </c>
      <c r="D1523" s="288"/>
      <c r="E1523" s="158">
        <v>150000</v>
      </c>
      <c r="F1523" s="159" t="s">
        <v>262</v>
      </c>
      <c r="G1523" s="76"/>
      <c r="H1523" s="79"/>
      <c r="I1523" s="56">
        <v>300000</v>
      </c>
      <c r="J1523" s="76" t="s">
        <v>207</v>
      </c>
      <c r="K1523" s="76"/>
      <c r="L1523" s="79"/>
    </row>
    <row r="1524" spans="1:12" ht="35.25" customHeight="1" x14ac:dyDescent="0.2">
      <c r="B1524" s="96"/>
      <c r="C1524" s="124"/>
      <c r="D1524" s="124"/>
      <c r="E1524" s="127"/>
      <c r="F1524" s="125"/>
      <c r="G1524" s="124"/>
      <c r="H1524" s="124"/>
      <c r="I1524" s="23"/>
      <c r="L1524" s="17"/>
    </row>
    <row r="1525" spans="1:12" ht="15" x14ac:dyDescent="0.25">
      <c r="A1525" s="1"/>
      <c r="B1525" s="39"/>
      <c r="C1525" s="1"/>
      <c r="D1525" s="1"/>
      <c r="E1525" s="1"/>
      <c r="F1525" s="40" t="s">
        <v>5</v>
      </c>
      <c r="G1525" s="40"/>
      <c r="H1525" s="1"/>
      <c r="I1525" s="41">
        <f>SUM(I1523:I1523)</f>
        <v>300000</v>
      </c>
      <c r="J1525" s="1"/>
      <c r="K1525" s="1"/>
      <c r="L1525" s="42"/>
    </row>
    <row r="1526" spans="1:12" ht="21" customHeight="1" thickBot="1" x14ac:dyDescent="0.3">
      <c r="A1526" s="1"/>
      <c r="B1526" s="43"/>
      <c r="C1526" s="44"/>
      <c r="D1526" s="44"/>
      <c r="E1526" s="44"/>
      <c r="F1526" s="45"/>
      <c r="G1526" s="45"/>
      <c r="H1526" s="44"/>
      <c r="I1526" s="46"/>
      <c r="J1526" s="44"/>
      <c r="K1526" s="44"/>
      <c r="L1526" s="47"/>
    </row>
    <row r="1527" spans="1:12" ht="15.75" customHeight="1" thickTop="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ht="54" customHeight="1" x14ac:dyDescent="0.2">
      <c r="A1528" s="10" t="s">
        <v>2</v>
      </c>
      <c r="B1528" s="279" t="s">
        <v>11</v>
      </c>
      <c r="C1528" s="279"/>
      <c r="D1528" s="279"/>
      <c r="E1528" s="279"/>
      <c r="F1528" s="279"/>
      <c r="G1528" s="279"/>
      <c r="H1528" s="279"/>
      <c r="I1528" s="279"/>
      <c r="J1528" s="279"/>
      <c r="K1528" s="279"/>
      <c r="L1528" s="279"/>
    </row>
    <row r="1529" spans="1:12" ht="15" customHeight="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ht="17.25" customHeight="1" x14ac:dyDescent="0.2">
      <c r="A1530" s="280" t="s">
        <v>12</v>
      </c>
      <c r="B1530" s="280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</row>
    <row r="1531" spans="1:12" ht="15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ht="10.5" customHeight="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ht="15" x14ac:dyDescent="0.25">
      <c r="A1533" s="1"/>
      <c r="B1533" s="1"/>
      <c r="C1533" s="1"/>
      <c r="D1533" s="1"/>
      <c r="E1533" s="1"/>
      <c r="F1533" s="1"/>
      <c r="G1533" s="1"/>
      <c r="H1533" s="4" t="s">
        <v>199</v>
      </c>
      <c r="J1533" s="286" t="s">
        <v>357</v>
      </c>
      <c r="K1533" s="286"/>
      <c r="L1533" s="286"/>
    </row>
    <row r="1534" spans="1:12" ht="15" x14ac:dyDescent="0.25">
      <c r="A1534" s="1"/>
      <c r="B1534" s="1" t="s">
        <v>15</v>
      </c>
      <c r="C1534" s="1"/>
      <c r="D1534" s="1"/>
      <c r="E1534" s="1"/>
      <c r="F1534" s="1"/>
      <c r="G1534" s="1"/>
      <c r="H1534" s="4" t="s">
        <v>13</v>
      </c>
    </row>
    <row r="1535" spans="1:12" ht="15.75" customHeight="1" x14ac:dyDescent="0.25">
      <c r="A1535" s="1"/>
      <c r="B1535" s="1" t="s">
        <v>18</v>
      </c>
      <c r="C1535" s="1"/>
      <c r="D1535" s="1"/>
      <c r="E1535" s="1"/>
      <c r="F1535" s="1"/>
      <c r="G1535" s="1"/>
      <c r="H1535" s="4" t="s">
        <v>14</v>
      </c>
    </row>
    <row r="1536" spans="1:12" ht="15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ht="12.75" customHeight="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ht="14.25" customHeight="1" x14ac:dyDescent="0.25">
      <c r="A1538" s="1"/>
      <c r="B1538" s="103"/>
      <c r="C1538" s="103"/>
      <c r="D1538" s="103"/>
      <c r="E1538" s="103"/>
      <c r="F1538" s="103"/>
      <c r="G1538" s="103"/>
      <c r="H1538" s="103"/>
      <c r="I1538" s="103"/>
      <c r="J1538" s="103"/>
      <c r="K1538" s="103"/>
      <c r="L1538" s="1"/>
    </row>
    <row r="1539" spans="1:12" ht="15" x14ac:dyDescent="0.25">
      <c r="A1539" s="1"/>
      <c r="K1539" s="103"/>
      <c r="L1539" s="1"/>
    </row>
    <row r="1540" spans="1:12" ht="15" customHeight="1" x14ac:dyDescent="0.25">
      <c r="A1540" s="1"/>
      <c r="B1540" s="95" t="s">
        <v>77</v>
      </c>
      <c r="H1540" s="95" t="str">
        <f>D1515</f>
        <v>Hikmah Mukta Mira</v>
      </c>
      <c r="I1540" s="95"/>
      <c r="J1540" s="92"/>
      <c r="K1540" s="103"/>
      <c r="L1540" s="1"/>
    </row>
    <row r="1541" spans="1:12" ht="15" x14ac:dyDescent="0.25">
      <c r="A1541" s="1"/>
      <c r="B1541" s="99" t="s">
        <v>27</v>
      </c>
      <c r="C1541" s="57"/>
      <c r="H1541" s="99"/>
      <c r="K1541" s="103"/>
    </row>
    <row r="1542" spans="1:12" ht="12.75" x14ac:dyDescent="0.2"/>
    <row r="1543" spans="1:12" ht="12.75" x14ac:dyDescent="0.2"/>
    <row r="1544" spans="1:12" ht="12.75" x14ac:dyDescent="0.2"/>
    <row r="1545" spans="1:12" ht="15.75" x14ac:dyDescent="0.25">
      <c r="A1545" s="3" t="s">
        <v>22</v>
      </c>
    </row>
    <row r="1546" spans="1:12" ht="15.75" x14ac:dyDescent="0.2">
      <c r="A1546" s="122" t="s">
        <v>20</v>
      </c>
    </row>
    <row r="1547" spans="1:12" ht="15.75" x14ac:dyDescent="0.2">
      <c r="A1547" s="122" t="s">
        <v>21</v>
      </c>
    </row>
    <row r="1548" spans="1:12" ht="12.75" x14ac:dyDescent="0.2"/>
    <row r="1549" spans="1:12" ht="20.25" customHeight="1" x14ac:dyDescent="0.2"/>
    <row r="1550" spans="1:12" ht="12.75" x14ac:dyDescent="0.2"/>
    <row r="1551" spans="1:12" ht="19.5" customHeight="1" x14ac:dyDescent="0.3">
      <c r="A1551" s="276" t="s">
        <v>6</v>
      </c>
      <c r="B1551" s="276"/>
      <c r="C1551" s="276"/>
      <c r="D1551" s="276"/>
      <c r="E1551" s="276"/>
      <c r="F1551" s="276"/>
      <c r="G1551" s="276"/>
      <c r="H1551" s="276"/>
      <c r="I1551" s="276"/>
      <c r="J1551" s="276"/>
      <c r="K1551" s="276"/>
      <c r="L1551" s="276"/>
    </row>
    <row r="1552" spans="1:12" ht="21" customHeight="1" x14ac:dyDescent="0.3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</row>
    <row r="1553" spans="1:12" ht="19.5" customHeight="1" x14ac:dyDescent="0.3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</row>
    <row r="1554" spans="1:12" ht="25.5" customHeight="1" x14ac:dyDescent="0.25">
      <c r="A1554" s="1"/>
      <c r="B1554" s="1"/>
    </row>
    <row r="1555" spans="1:12" ht="15.75" customHeight="1" x14ac:dyDescent="0.25">
      <c r="A1555" s="1" t="s">
        <v>7</v>
      </c>
      <c r="B1555" s="1"/>
    </row>
    <row r="1556" spans="1:12" ht="21.75" customHeight="1" x14ac:dyDescent="0.25">
      <c r="A1556" s="1"/>
      <c r="B1556" s="1"/>
    </row>
    <row r="1557" spans="1:12" ht="15" x14ac:dyDescent="0.25">
      <c r="A1557" s="1" t="s">
        <v>8</v>
      </c>
      <c r="C1557" s="9" t="s">
        <v>1</v>
      </c>
      <c r="D1557" s="123" t="s">
        <v>78</v>
      </c>
      <c r="E1557" s="76"/>
      <c r="F1557" s="76"/>
      <c r="G1557" s="76"/>
      <c r="H1557" s="76"/>
    </row>
    <row r="1558" spans="1:12" ht="14.25" customHeight="1" x14ac:dyDescent="0.25">
      <c r="A1558" s="1" t="s">
        <v>9</v>
      </c>
      <c r="C1558" s="9" t="s">
        <v>1</v>
      </c>
      <c r="D1558" s="76" t="s">
        <v>234</v>
      </c>
      <c r="E1558" s="76"/>
      <c r="F1558" s="76"/>
      <c r="G1558" s="76"/>
      <c r="H1558" s="76"/>
    </row>
    <row r="1559" spans="1:12" ht="11.25" customHeight="1" x14ac:dyDescent="0.2">
      <c r="A1559" s="50" t="s">
        <v>10</v>
      </c>
      <c r="B1559" s="76"/>
      <c r="C1559" s="91" t="s">
        <v>1</v>
      </c>
      <c r="D1559" s="50" t="s">
        <v>235</v>
      </c>
      <c r="E1559" s="76"/>
      <c r="F1559" s="76"/>
      <c r="G1559" s="76"/>
      <c r="H1559" s="76"/>
      <c r="I1559" s="76"/>
      <c r="J1559" s="76"/>
      <c r="K1559" s="76"/>
      <c r="L1559" s="76"/>
    </row>
    <row r="1560" spans="1:12" ht="15" x14ac:dyDescent="0.25">
      <c r="A1560" s="1"/>
      <c r="B1560" s="1"/>
      <c r="D1560" s="1"/>
    </row>
    <row r="1561" spans="1:12" ht="33.75" customHeight="1" x14ac:dyDescent="0.2">
      <c r="A1561" s="277" t="s">
        <v>384</v>
      </c>
      <c r="B1561" s="277"/>
      <c r="C1561" s="277"/>
      <c r="D1561" s="277"/>
      <c r="E1561" s="277"/>
      <c r="F1561" s="277"/>
      <c r="G1561" s="277"/>
      <c r="H1561" s="277"/>
      <c r="I1561" s="277"/>
      <c r="J1561" s="277"/>
      <c r="K1561" s="277"/>
      <c r="L1561" s="277"/>
    </row>
    <row r="1562" spans="1:12" ht="15" x14ac:dyDescent="0.25">
      <c r="A1562" s="1"/>
      <c r="B1562" s="1"/>
    </row>
    <row r="1563" spans="1:12" ht="35.25" customHeight="1" thickBot="1" x14ac:dyDescent="0.25">
      <c r="A1563" s="10" t="s">
        <v>0</v>
      </c>
      <c r="B1563" s="278" t="s">
        <v>91</v>
      </c>
      <c r="C1563" s="278"/>
      <c r="D1563" s="278"/>
      <c r="E1563" s="278"/>
      <c r="F1563" s="278"/>
      <c r="G1563" s="278"/>
      <c r="H1563" s="278"/>
      <c r="I1563" s="278"/>
      <c r="J1563" s="278"/>
      <c r="K1563" s="278"/>
      <c r="L1563" s="278"/>
    </row>
    <row r="1564" spans="1:12" ht="18.75" customHeight="1" thickTop="1" x14ac:dyDescent="0.25">
      <c r="A1564" s="1"/>
      <c r="B1564" s="11" t="s">
        <v>3</v>
      </c>
      <c r="C1564" s="12" t="s">
        <v>4</v>
      </c>
      <c r="D1564" s="13"/>
      <c r="E1564" s="13"/>
      <c r="F1564" s="13"/>
      <c r="G1564" s="13"/>
      <c r="H1564" s="14"/>
      <c r="I1564" s="15" t="s">
        <v>5</v>
      </c>
      <c r="J1564" s="12" t="s">
        <v>17</v>
      </c>
      <c r="K1564" s="13"/>
      <c r="L1564" s="14"/>
    </row>
    <row r="1565" spans="1:12" ht="18.75" customHeight="1" x14ac:dyDescent="0.2">
      <c r="A1565" s="50"/>
      <c r="B1565" s="143">
        <v>1</v>
      </c>
      <c r="C1565" s="284" t="s">
        <v>303</v>
      </c>
      <c r="D1565" s="285"/>
      <c r="E1565" s="285"/>
      <c r="F1565" s="285"/>
      <c r="G1565" s="76"/>
      <c r="H1565" s="79"/>
      <c r="I1565" s="56">
        <v>250000</v>
      </c>
      <c r="J1565" s="76"/>
      <c r="K1565" s="76"/>
      <c r="L1565" s="79"/>
    </row>
    <row r="1566" spans="1:12" ht="23.25" customHeight="1" x14ac:dyDescent="0.2">
      <c r="B1566" s="142"/>
      <c r="C1566" s="140"/>
      <c r="D1566" s="76"/>
      <c r="E1566" s="150"/>
      <c r="F1566" s="316"/>
      <c r="G1566" s="314"/>
      <c r="H1566" s="315"/>
      <c r="I1566" s="80"/>
      <c r="J1566" s="76"/>
      <c r="K1566" s="76"/>
      <c r="L1566" s="79"/>
    </row>
    <row r="1567" spans="1:12" ht="17.25" customHeight="1" x14ac:dyDescent="0.25">
      <c r="A1567" s="1"/>
      <c r="B1567" s="39"/>
      <c r="C1567" s="1"/>
      <c r="D1567" s="1"/>
      <c r="E1567" s="1"/>
      <c r="F1567" s="40" t="s">
        <v>5</v>
      </c>
      <c r="G1567" s="40"/>
      <c r="H1567" s="1"/>
      <c r="I1567" s="41">
        <f>I1565+I1566</f>
        <v>250000</v>
      </c>
      <c r="J1567" s="1"/>
      <c r="K1567" s="1"/>
      <c r="L1567" s="42"/>
    </row>
    <row r="1568" spans="1:12" ht="12.75" customHeight="1" thickBot="1" x14ac:dyDescent="0.3">
      <c r="A1568" s="1"/>
      <c r="B1568" s="43"/>
      <c r="C1568" s="44"/>
      <c r="D1568" s="44"/>
      <c r="E1568" s="44"/>
      <c r="F1568" s="45"/>
      <c r="G1568" s="45"/>
      <c r="H1568" s="44"/>
      <c r="I1568" s="46"/>
      <c r="J1568" s="44"/>
      <c r="K1568" s="44"/>
      <c r="L1568" s="47"/>
    </row>
    <row r="1569" spans="1:12" ht="12.75" customHeight="1" thickTop="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 ht="44.25" customHeight="1" x14ac:dyDescent="0.2">
      <c r="A1570" s="10" t="s">
        <v>2</v>
      </c>
      <c r="B1570" s="279" t="s">
        <v>11</v>
      </c>
      <c r="C1570" s="279"/>
      <c r="D1570" s="279"/>
      <c r="E1570" s="279"/>
      <c r="F1570" s="279"/>
      <c r="G1570" s="279"/>
      <c r="H1570" s="279"/>
      <c r="I1570" s="279"/>
      <c r="J1570" s="279"/>
      <c r="K1570" s="279"/>
      <c r="L1570" s="279"/>
    </row>
    <row r="1571" spans="1:12" ht="16.5" customHeight="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ht="19.5" customHeight="1" x14ac:dyDescent="0.2">
      <c r="A1572" s="280" t="s">
        <v>12</v>
      </c>
      <c r="B1572" s="280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</row>
    <row r="1573" spans="1:12" ht="15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 ht="13.5" customHeight="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ht="20.25" customHeight="1" x14ac:dyDescent="0.25">
      <c r="A1575" s="1"/>
      <c r="B1575" s="1"/>
      <c r="C1575" s="1"/>
      <c r="D1575" s="1"/>
      <c r="E1575" s="1"/>
      <c r="F1575" s="1"/>
      <c r="G1575" s="1"/>
      <c r="H1575" s="4" t="s">
        <v>199</v>
      </c>
      <c r="J1575" s="286" t="s">
        <v>357</v>
      </c>
      <c r="K1575" s="286"/>
      <c r="L1575" s="286"/>
    </row>
    <row r="1576" spans="1:12" ht="15" customHeight="1" x14ac:dyDescent="0.25">
      <c r="A1576" s="1"/>
      <c r="B1576" s="1" t="s">
        <v>15</v>
      </c>
      <c r="C1576" s="1"/>
      <c r="D1576" s="1"/>
      <c r="E1576" s="1"/>
      <c r="F1576" s="1"/>
      <c r="G1576" s="1"/>
      <c r="H1576" s="4" t="s">
        <v>13</v>
      </c>
    </row>
    <row r="1577" spans="1:12" ht="15" x14ac:dyDescent="0.25">
      <c r="A1577" s="1"/>
      <c r="B1577" s="1" t="s">
        <v>18</v>
      </c>
      <c r="C1577" s="1"/>
      <c r="D1577" s="1"/>
      <c r="E1577" s="1"/>
      <c r="F1577" s="1"/>
      <c r="G1577" s="1"/>
      <c r="H1577" s="4" t="s">
        <v>14</v>
      </c>
    </row>
    <row r="1578" spans="1:12" ht="21" customHeight="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 ht="15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ht="15" x14ac:dyDescent="0.25">
      <c r="A1580" s="1"/>
      <c r="B1580" s="103"/>
      <c r="C1580" s="103"/>
      <c r="D1580" s="103"/>
      <c r="E1580" s="103"/>
      <c r="F1580" s="103"/>
      <c r="G1580" s="103"/>
      <c r="H1580" s="103"/>
      <c r="I1580" s="103"/>
      <c r="J1580" s="103"/>
      <c r="K1580" s="103"/>
      <c r="L1580" s="1"/>
    </row>
    <row r="1581" spans="1:12" ht="15.75" customHeight="1" x14ac:dyDescent="0.25">
      <c r="A1581" s="1"/>
      <c r="K1581" s="103"/>
      <c r="L1581" s="1"/>
    </row>
    <row r="1582" spans="1:12" ht="15" x14ac:dyDescent="0.25">
      <c r="A1582" s="1"/>
      <c r="B1582" s="95" t="s">
        <v>77</v>
      </c>
      <c r="H1582" s="95" t="s">
        <v>78</v>
      </c>
      <c r="I1582" s="95"/>
      <c r="J1582" s="92"/>
      <c r="K1582" s="103"/>
      <c r="L1582" s="1"/>
    </row>
    <row r="1583" spans="1:12" ht="12.75" customHeight="1" x14ac:dyDescent="0.25">
      <c r="A1583" s="1"/>
      <c r="B1583" s="99" t="s">
        <v>27</v>
      </c>
      <c r="C1583" s="57"/>
      <c r="H1583" s="99" t="s">
        <v>79</v>
      </c>
      <c r="K1583" s="103"/>
    </row>
    <row r="1584" spans="1:12" ht="12.75" x14ac:dyDescent="0.2"/>
    <row r="1585" spans="1:12" ht="12" customHeight="1" x14ac:dyDescent="0.2"/>
    <row r="1586" spans="1:12" ht="12.75" customHeight="1" x14ac:dyDescent="0.2"/>
    <row r="1587" spans="1:12" ht="15" customHeight="1" x14ac:dyDescent="0.2"/>
    <row r="1588" spans="1:12" ht="15.75" x14ac:dyDescent="0.25">
      <c r="A1588" s="3" t="s">
        <v>22</v>
      </c>
    </row>
    <row r="1589" spans="1:12" ht="15.75" x14ac:dyDescent="0.2">
      <c r="A1589" s="122" t="s">
        <v>20</v>
      </c>
    </row>
    <row r="1590" spans="1:12" ht="15.75" x14ac:dyDescent="0.2">
      <c r="A1590" s="122" t="s">
        <v>21</v>
      </c>
    </row>
    <row r="1591" spans="1:12" ht="12.75" x14ac:dyDescent="0.2"/>
    <row r="1592" spans="1:12" ht="12.75" x14ac:dyDescent="0.2"/>
    <row r="1593" spans="1:12" ht="12.75" x14ac:dyDescent="0.2"/>
    <row r="1594" spans="1:12" ht="18.75" x14ac:dyDescent="0.3">
      <c r="A1594" s="276" t="s">
        <v>6</v>
      </c>
      <c r="B1594" s="276"/>
      <c r="C1594" s="276"/>
      <c r="D1594" s="276"/>
      <c r="E1594" s="276"/>
      <c r="F1594" s="276"/>
      <c r="G1594" s="276"/>
      <c r="H1594" s="276"/>
      <c r="I1594" s="276"/>
      <c r="J1594" s="276"/>
      <c r="K1594" s="276"/>
      <c r="L1594" s="276"/>
    </row>
    <row r="1595" spans="1:12" ht="18.75" x14ac:dyDescent="0.3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</row>
    <row r="1596" spans="1:12" ht="18.75" x14ac:dyDescent="0.3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</row>
    <row r="1597" spans="1:12" ht="15" x14ac:dyDescent="0.25">
      <c r="A1597" s="1"/>
      <c r="B1597" s="1"/>
    </row>
    <row r="1598" spans="1:12" ht="15.75" customHeight="1" x14ac:dyDescent="0.25">
      <c r="A1598" s="1" t="s">
        <v>7</v>
      </c>
      <c r="B1598" s="1"/>
    </row>
    <row r="1599" spans="1:12" ht="20.25" customHeight="1" x14ac:dyDescent="0.25">
      <c r="A1599" s="1"/>
      <c r="B1599" s="1"/>
    </row>
    <row r="1600" spans="1:12" ht="19.5" customHeight="1" x14ac:dyDescent="0.25">
      <c r="A1600" s="1" t="s">
        <v>8</v>
      </c>
      <c r="C1600" s="9" t="s">
        <v>1</v>
      </c>
      <c r="D1600" s="92" t="s">
        <v>96</v>
      </c>
      <c r="E1600" s="76"/>
      <c r="F1600" s="76"/>
      <c r="G1600" s="76"/>
      <c r="H1600" s="76"/>
    </row>
    <row r="1601" spans="1:12" ht="18.75" customHeight="1" x14ac:dyDescent="0.25">
      <c r="A1601" s="1" t="s">
        <v>9</v>
      </c>
      <c r="C1601" s="9" t="s">
        <v>1</v>
      </c>
      <c r="D1601" s="57" t="s">
        <v>200</v>
      </c>
      <c r="E1601" s="76"/>
      <c r="F1601" s="76"/>
      <c r="G1601" s="76"/>
      <c r="H1601" s="76"/>
    </row>
    <row r="1602" spans="1:12" ht="33.75" customHeight="1" x14ac:dyDescent="0.2">
      <c r="A1602" s="50" t="s">
        <v>10</v>
      </c>
      <c r="B1602" s="76"/>
      <c r="C1602" s="91" t="s">
        <v>1</v>
      </c>
      <c r="D1602" s="50" t="s">
        <v>203</v>
      </c>
      <c r="E1602" s="76"/>
      <c r="F1602" s="76"/>
      <c r="G1602" s="76"/>
      <c r="H1602" s="76"/>
      <c r="I1602" s="76"/>
      <c r="J1602" s="76"/>
      <c r="K1602" s="76"/>
      <c r="L1602" s="76"/>
    </row>
    <row r="1603" spans="1:12" ht="14.25" customHeight="1" x14ac:dyDescent="0.25">
      <c r="A1603" s="1"/>
      <c r="B1603" s="1"/>
      <c r="D1603" s="1"/>
    </row>
    <row r="1604" spans="1:12" ht="23.25" customHeight="1" x14ac:dyDescent="0.2">
      <c r="A1604" s="277" t="s">
        <v>384</v>
      </c>
      <c r="B1604" s="277"/>
      <c r="C1604" s="277"/>
      <c r="D1604" s="277"/>
      <c r="E1604" s="277"/>
      <c r="F1604" s="277"/>
      <c r="G1604" s="277"/>
      <c r="H1604" s="277"/>
      <c r="I1604" s="277"/>
      <c r="J1604" s="277"/>
      <c r="K1604" s="277"/>
      <c r="L1604" s="277"/>
    </row>
    <row r="1605" spans="1:12" ht="15" x14ac:dyDescent="0.25">
      <c r="A1605" s="1"/>
      <c r="B1605" s="1"/>
    </row>
    <row r="1606" spans="1:12" ht="32.25" customHeight="1" thickBot="1" x14ac:dyDescent="0.25">
      <c r="A1606" s="10" t="s">
        <v>0</v>
      </c>
      <c r="B1606" s="278" t="s">
        <v>91</v>
      </c>
      <c r="C1606" s="278"/>
      <c r="D1606" s="278"/>
      <c r="E1606" s="278"/>
      <c r="F1606" s="278"/>
      <c r="G1606" s="278"/>
      <c r="H1606" s="278"/>
      <c r="I1606" s="278"/>
      <c r="J1606" s="278"/>
      <c r="K1606" s="278"/>
      <c r="L1606" s="278"/>
    </row>
    <row r="1607" spans="1:12" ht="15.75" thickTop="1" x14ac:dyDescent="0.25">
      <c r="A1607" s="1"/>
      <c r="B1607" s="11" t="s">
        <v>3</v>
      </c>
      <c r="C1607" s="12" t="s">
        <v>4</v>
      </c>
      <c r="D1607" s="13"/>
      <c r="E1607" s="13"/>
      <c r="F1607" s="13"/>
      <c r="G1607" s="13"/>
      <c r="H1607" s="14"/>
      <c r="I1607" s="15" t="s">
        <v>5</v>
      </c>
      <c r="J1607" s="12" t="s">
        <v>17</v>
      </c>
      <c r="K1607" s="13"/>
      <c r="L1607" s="14"/>
    </row>
    <row r="1608" spans="1:12" ht="17.25" customHeight="1" x14ac:dyDescent="0.2">
      <c r="A1608" s="50"/>
      <c r="B1608" s="143">
        <v>1</v>
      </c>
      <c r="C1608" s="284" t="s">
        <v>303</v>
      </c>
      <c r="D1608" s="285"/>
      <c r="E1608" s="285"/>
      <c r="F1608" s="285"/>
      <c r="G1608" s="76"/>
      <c r="H1608" s="79"/>
      <c r="I1608" s="56">
        <v>250000</v>
      </c>
      <c r="J1608" s="76"/>
      <c r="K1608" s="76"/>
      <c r="L1608" s="79"/>
    </row>
    <row r="1609" spans="1:12" ht="24" customHeight="1" x14ac:dyDescent="0.2">
      <c r="B1609" s="96"/>
      <c r="C1609" s="124"/>
      <c r="D1609" s="124"/>
      <c r="E1609" s="127"/>
      <c r="F1609" s="125"/>
      <c r="G1609" s="124"/>
      <c r="H1609" s="124"/>
      <c r="I1609" s="23"/>
      <c r="L1609" s="17"/>
    </row>
    <row r="1610" spans="1:12" ht="18.75" customHeight="1" x14ac:dyDescent="0.25">
      <c r="A1610" s="1"/>
      <c r="B1610" s="39"/>
      <c r="C1610" s="1"/>
      <c r="D1610" s="1"/>
      <c r="E1610" s="1"/>
      <c r="F1610" s="40" t="s">
        <v>5</v>
      </c>
      <c r="G1610" s="40"/>
      <c r="H1610" s="1"/>
      <c r="I1610" s="41">
        <f>SUM(I1608:I1608)</f>
        <v>250000</v>
      </c>
      <c r="J1610" s="1"/>
      <c r="K1610" s="1"/>
      <c r="L1610" s="42"/>
    </row>
    <row r="1611" spans="1:12" ht="12.75" customHeight="1" thickBot="1" x14ac:dyDescent="0.3">
      <c r="A1611" s="1"/>
      <c r="B1611" s="43"/>
      <c r="C1611" s="44"/>
      <c r="D1611" s="44"/>
      <c r="E1611" s="44"/>
      <c r="F1611" s="45"/>
      <c r="G1611" s="45"/>
      <c r="H1611" s="44"/>
      <c r="I1611" s="46"/>
      <c r="J1611" s="44"/>
      <c r="K1611" s="44"/>
      <c r="L1611" s="47"/>
    </row>
    <row r="1612" spans="1:12" ht="20.25" customHeight="1" thickTop="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ht="46.5" customHeight="1" x14ac:dyDescent="0.2">
      <c r="A1613" s="10" t="s">
        <v>2</v>
      </c>
      <c r="B1613" s="279" t="s">
        <v>11</v>
      </c>
      <c r="C1613" s="279"/>
      <c r="D1613" s="279"/>
      <c r="E1613" s="279"/>
      <c r="F1613" s="279"/>
      <c r="G1613" s="279"/>
      <c r="H1613" s="279"/>
      <c r="I1613" s="279"/>
      <c r="J1613" s="279"/>
      <c r="K1613" s="279"/>
      <c r="L1613" s="279"/>
    </row>
    <row r="1614" spans="1:12" ht="14.25" customHeight="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 ht="17.25" customHeight="1" x14ac:dyDescent="0.2">
      <c r="A1615" s="280" t="s">
        <v>12</v>
      </c>
      <c r="B1615" s="280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</row>
    <row r="1616" spans="1:12" ht="19.5" customHeight="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 ht="7.5" customHeight="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 ht="14.25" customHeight="1" x14ac:dyDescent="0.25">
      <c r="A1618" s="1"/>
      <c r="B1618" s="1"/>
      <c r="C1618" s="1"/>
      <c r="D1618" s="1"/>
      <c r="E1618" s="1"/>
      <c r="F1618" s="1"/>
      <c r="G1618" s="1"/>
      <c r="H1618" s="4" t="s">
        <v>199</v>
      </c>
      <c r="J1618" s="286" t="s">
        <v>357</v>
      </c>
      <c r="K1618" s="286"/>
      <c r="L1618" s="286"/>
    </row>
    <row r="1619" spans="1:12" ht="12.75" customHeight="1" x14ac:dyDescent="0.25">
      <c r="A1619" s="1"/>
      <c r="B1619" s="1" t="s">
        <v>15</v>
      </c>
      <c r="C1619" s="1"/>
      <c r="D1619" s="1"/>
      <c r="E1619" s="1"/>
      <c r="F1619" s="1"/>
      <c r="G1619" s="1"/>
      <c r="H1619" s="4" t="s">
        <v>13</v>
      </c>
    </row>
    <row r="1620" spans="1:12" ht="15.75" customHeight="1" x14ac:dyDescent="0.25">
      <c r="A1620" s="1"/>
      <c r="B1620" s="1" t="s">
        <v>18</v>
      </c>
      <c r="C1620" s="1"/>
      <c r="D1620" s="1"/>
      <c r="E1620" s="1"/>
      <c r="F1620" s="1"/>
      <c r="G1620" s="1"/>
      <c r="H1620" s="4" t="s">
        <v>14</v>
      </c>
    </row>
    <row r="1621" spans="1:12" ht="15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 ht="22.5" customHeight="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ht="15" x14ac:dyDescent="0.25">
      <c r="A1623" s="1"/>
      <c r="B1623" s="103"/>
      <c r="C1623" s="103"/>
      <c r="D1623" s="103"/>
      <c r="E1623" s="103"/>
      <c r="F1623" s="103"/>
      <c r="G1623" s="103"/>
      <c r="H1623" s="103"/>
      <c r="I1623" s="103"/>
      <c r="J1623" s="103"/>
      <c r="K1623" s="103"/>
      <c r="L1623" s="1"/>
    </row>
    <row r="1624" spans="1:12" ht="12.75" customHeight="1" x14ac:dyDescent="0.25">
      <c r="A1624" s="1"/>
      <c r="K1624" s="103"/>
      <c r="L1624" s="1"/>
    </row>
    <row r="1625" spans="1:12" ht="12.75" customHeight="1" x14ac:dyDescent="0.25">
      <c r="A1625" s="1"/>
      <c r="B1625" s="95" t="s">
        <v>77</v>
      </c>
      <c r="H1625" s="95" t="s">
        <v>96</v>
      </c>
      <c r="I1625" s="95"/>
      <c r="J1625" s="92"/>
      <c r="K1625" s="103"/>
      <c r="L1625" s="1"/>
    </row>
    <row r="1626" spans="1:12" ht="15" x14ac:dyDescent="0.25">
      <c r="A1626" s="1"/>
      <c r="B1626" s="99" t="s">
        <v>27</v>
      </c>
      <c r="C1626" s="57"/>
      <c r="H1626" s="99" t="s">
        <v>100</v>
      </c>
      <c r="K1626" s="103"/>
    </row>
    <row r="1627" spans="1:12" ht="12.75" x14ac:dyDescent="0.2"/>
    <row r="1628" spans="1:12" ht="12.75" x14ac:dyDescent="0.2"/>
    <row r="1629" spans="1:12" ht="11.25" customHeight="1" x14ac:dyDescent="0.2"/>
    <row r="1630" spans="1:12" ht="18.75" customHeight="1" x14ac:dyDescent="0.25">
      <c r="A1630" s="3" t="s">
        <v>22</v>
      </c>
    </row>
    <row r="1631" spans="1:12" ht="17.25" customHeight="1" x14ac:dyDescent="0.2">
      <c r="A1631" s="122" t="s">
        <v>20</v>
      </c>
    </row>
    <row r="1632" spans="1:12" ht="15.75" x14ac:dyDescent="0.2">
      <c r="A1632" s="122" t="s">
        <v>21</v>
      </c>
    </row>
    <row r="1633" spans="1:12" ht="27.75" customHeight="1" x14ac:dyDescent="0.2"/>
    <row r="1634" spans="1:12" ht="19.5" customHeight="1" x14ac:dyDescent="0.2"/>
    <row r="1635" spans="1:12" ht="19.5" customHeight="1" x14ac:dyDescent="0.2"/>
    <row r="1636" spans="1:12" ht="18.75" x14ac:dyDescent="0.3">
      <c r="A1636" s="276" t="s">
        <v>6</v>
      </c>
      <c r="B1636" s="276"/>
      <c r="C1636" s="276"/>
      <c r="D1636" s="276"/>
      <c r="E1636" s="276"/>
      <c r="F1636" s="276"/>
      <c r="G1636" s="276"/>
      <c r="H1636" s="276"/>
      <c r="I1636" s="276"/>
      <c r="J1636" s="276"/>
      <c r="K1636" s="276"/>
      <c r="L1636" s="276"/>
    </row>
    <row r="1637" spans="1:12" ht="18.75" x14ac:dyDescent="0.3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</row>
    <row r="1638" spans="1:12" ht="18.75" x14ac:dyDescent="0.3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</row>
    <row r="1639" spans="1:12" ht="12" customHeight="1" x14ac:dyDescent="0.25">
      <c r="A1639" s="1"/>
      <c r="B1639" s="1"/>
    </row>
    <row r="1640" spans="1:12" ht="15" x14ac:dyDescent="0.25">
      <c r="A1640" s="1" t="s">
        <v>7</v>
      </c>
      <c r="B1640" s="1"/>
    </row>
    <row r="1641" spans="1:12" ht="15" x14ac:dyDescent="0.25">
      <c r="A1641" s="1"/>
      <c r="B1641" s="1"/>
    </row>
    <row r="1642" spans="1:12" ht="15" x14ac:dyDescent="0.25">
      <c r="A1642" s="1" t="s">
        <v>8</v>
      </c>
      <c r="C1642" s="9" t="s">
        <v>1</v>
      </c>
      <c r="D1642" s="40" t="s">
        <v>364</v>
      </c>
      <c r="E1642" s="76"/>
      <c r="F1642" s="76"/>
      <c r="G1642" s="76"/>
      <c r="H1642" s="76"/>
    </row>
    <row r="1643" spans="1:12" ht="15" x14ac:dyDescent="0.25">
      <c r="A1643" s="1" t="s">
        <v>9</v>
      </c>
      <c r="C1643" s="9" t="s">
        <v>1</v>
      </c>
      <c r="D1643" s="7" t="s">
        <v>365</v>
      </c>
      <c r="E1643" s="76"/>
      <c r="F1643" s="76"/>
      <c r="G1643" s="76"/>
      <c r="H1643" s="76"/>
    </row>
    <row r="1644" spans="1:12" ht="15" x14ac:dyDescent="0.2">
      <c r="A1644" s="50" t="s">
        <v>10</v>
      </c>
      <c r="B1644" s="76"/>
      <c r="C1644" s="91" t="s">
        <v>1</v>
      </c>
      <c r="D1644" s="124" t="s">
        <v>366</v>
      </c>
      <c r="E1644" s="76"/>
      <c r="F1644" s="76"/>
      <c r="G1644" s="76"/>
      <c r="H1644" s="76"/>
      <c r="I1644" s="76"/>
      <c r="J1644" s="76"/>
      <c r="K1644" s="76"/>
      <c r="L1644" s="76"/>
    </row>
    <row r="1645" spans="1:12" ht="15" x14ac:dyDescent="0.25">
      <c r="A1645" s="1"/>
      <c r="B1645" s="1"/>
      <c r="D1645" s="1"/>
    </row>
    <row r="1646" spans="1:12" ht="28.5" customHeight="1" x14ac:dyDescent="0.2">
      <c r="A1646" s="277" t="s">
        <v>384</v>
      </c>
      <c r="B1646" s="277"/>
      <c r="C1646" s="277"/>
      <c r="D1646" s="277"/>
      <c r="E1646" s="277"/>
      <c r="F1646" s="277"/>
      <c r="G1646" s="277"/>
      <c r="H1646" s="277"/>
      <c r="I1646" s="277"/>
      <c r="J1646" s="277"/>
      <c r="K1646" s="277"/>
      <c r="L1646" s="277"/>
    </row>
    <row r="1647" spans="1:12" ht="14.25" customHeight="1" x14ac:dyDescent="0.25">
      <c r="A1647" s="1"/>
      <c r="B1647" s="1"/>
    </row>
    <row r="1648" spans="1:12" ht="33.75" customHeight="1" thickBot="1" x14ac:dyDescent="0.25">
      <c r="A1648" s="10" t="s">
        <v>0</v>
      </c>
      <c r="B1648" s="278" t="s">
        <v>91</v>
      </c>
      <c r="C1648" s="278"/>
      <c r="D1648" s="278"/>
      <c r="E1648" s="278"/>
      <c r="F1648" s="278"/>
      <c r="G1648" s="278"/>
      <c r="H1648" s="278"/>
      <c r="I1648" s="278"/>
      <c r="J1648" s="278"/>
      <c r="K1648" s="278"/>
      <c r="L1648" s="278"/>
    </row>
    <row r="1649" spans="1:12" ht="15" customHeight="1" thickTop="1" x14ac:dyDescent="0.25">
      <c r="A1649" s="1"/>
      <c r="B1649" s="11" t="s">
        <v>3</v>
      </c>
      <c r="C1649" s="12" t="s">
        <v>4</v>
      </c>
      <c r="D1649" s="13"/>
      <c r="E1649" s="13"/>
      <c r="F1649" s="13"/>
      <c r="G1649" s="13"/>
      <c r="H1649" s="14"/>
      <c r="I1649" s="15" t="s">
        <v>5</v>
      </c>
      <c r="J1649" s="12" t="s">
        <v>17</v>
      </c>
      <c r="K1649" s="13"/>
      <c r="L1649" s="14"/>
    </row>
    <row r="1650" spans="1:12" ht="22.5" customHeight="1" x14ac:dyDescent="0.2">
      <c r="A1650" s="50"/>
      <c r="B1650" s="143">
        <v>1</v>
      </c>
      <c r="C1650" s="284" t="s">
        <v>303</v>
      </c>
      <c r="D1650" s="285"/>
      <c r="E1650" s="285"/>
      <c r="F1650" s="285"/>
      <c r="G1650" s="76"/>
      <c r="H1650" s="79"/>
      <c r="I1650" s="56">
        <v>250000</v>
      </c>
      <c r="J1650" s="76"/>
      <c r="K1650" s="76"/>
      <c r="L1650" s="79"/>
    </row>
    <row r="1651" spans="1:12" ht="20.25" customHeight="1" x14ac:dyDescent="0.2">
      <c r="B1651" s="142"/>
      <c r="C1651" s="140"/>
      <c r="D1651" s="76"/>
      <c r="E1651" s="150"/>
      <c r="F1651" s="316"/>
      <c r="G1651" s="314"/>
      <c r="H1651" s="315"/>
      <c r="I1651" s="80"/>
      <c r="J1651" s="76"/>
      <c r="K1651" s="76"/>
      <c r="L1651" s="79"/>
    </row>
    <row r="1652" spans="1:12" ht="18" customHeight="1" x14ac:dyDescent="0.25">
      <c r="A1652" s="1"/>
      <c r="B1652" s="39"/>
      <c r="C1652" s="1"/>
      <c r="D1652" s="1"/>
      <c r="E1652" s="1"/>
      <c r="F1652" s="40" t="s">
        <v>5</v>
      </c>
      <c r="G1652" s="40"/>
      <c r="H1652" s="1"/>
      <c r="I1652" s="41">
        <f>I1650+I1651</f>
        <v>250000</v>
      </c>
      <c r="J1652" s="1"/>
      <c r="K1652" s="1"/>
      <c r="L1652" s="42"/>
    </row>
    <row r="1653" spans="1:12" ht="19.5" customHeight="1" thickBot="1" x14ac:dyDescent="0.3">
      <c r="A1653" s="1"/>
      <c r="B1653" s="43"/>
      <c r="C1653" s="44"/>
      <c r="D1653" s="44"/>
      <c r="E1653" s="44"/>
      <c r="F1653" s="45"/>
      <c r="G1653" s="45"/>
      <c r="H1653" s="44"/>
      <c r="I1653" s="46"/>
      <c r="J1653" s="44"/>
      <c r="K1653" s="44"/>
      <c r="L1653" s="47"/>
    </row>
    <row r="1654" spans="1:12" ht="15" customHeight="1" thickTop="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ht="48" customHeight="1" x14ac:dyDescent="0.2">
      <c r="A1655" s="10" t="s">
        <v>2</v>
      </c>
      <c r="B1655" s="279" t="s">
        <v>11</v>
      </c>
      <c r="C1655" s="279"/>
      <c r="D1655" s="279"/>
      <c r="E1655" s="279"/>
      <c r="F1655" s="279"/>
      <c r="G1655" s="279"/>
      <c r="H1655" s="279"/>
      <c r="I1655" s="279"/>
      <c r="J1655" s="279"/>
      <c r="K1655" s="279"/>
      <c r="L1655" s="279"/>
    </row>
    <row r="1656" spans="1:12" ht="12" customHeight="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 ht="18.75" customHeight="1" x14ac:dyDescent="0.2">
      <c r="A1657" s="280" t="s">
        <v>12</v>
      </c>
      <c r="B1657" s="280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</row>
    <row r="1658" spans="1:12" ht="12.75" customHeight="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ht="11.25" customHeight="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ht="10.5" customHeight="1" x14ac:dyDescent="0.25">
      <c r="A1660" s="1"/>
      <c r="B1660" s="1"/>
      <c r="C1660" s="1"/>
      <c r="D1660" s="1"/>
      <c r="E1660" s="1"/>
      <c r="F1660" s="1"/>
      <c r="G1660" s="1"/>
      <c r="H1660" s="4" t="s">
        <v>199</v>
      </c>
      <c r="J1660" s="286" t="s">
        <v>357</v>
      </c>
      <c r="K1660" s="286"/>
      <c r="L1660" s="286"/>
    </row>
    <row r="1661" spans="1:12" ht="13.5" customHeight="1" x14ac:dyDescent="0.25">
      <c r="A1661" s="1"/>
      <c r="B1661" s="1" t="s">
        <v>15</v>
      </c>
      <c r="C1661" s="1"/>
      <c r="D1661" s="1"/>
      <c r="E1661" s="1"/>
      <c r="F1661" s="1"/>
      <c r="G1661" s="1"/>
      <c r="H1661" s="4" t="s">
        <v>13</v>
      </c>
    </row>
    <row r="1662" spans="1:12" ht="12.75" customHeight="1" x14ac:dyDescent="0.25">
      <c r="A1662" s="1"/>
      <c r="B1662" s="1" t="s">
        <v>18</v>
      </c>
      <c r="C1662" s="1"/>
      <c r="D1662" s="1"/>
      <c r="E1662" s="1"/>
      <c r="F1662" s="1"/>
      <c r="G1662" s="1"/>
      <c r="H1662" s="4" t="s">
        <v>14</v>
      </c>
    </row>
    <row r="1663" spans="1:12" ht="46.5" customHeight="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ht="15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 ht="15" customHeight="1" x14ac:dyDescent="0.25">
      <c r="A1665" s="1"/>
      <c r="B1665" s="103"/>
      <c r="C1665" s="103"/>
      <c r="D1665" s="103"/>
      <c r="E1665" s="103"/>
      <c r="F1665" s="103"/>
      <c r="G1665" s="103"/>
      <c r="H1665" s="103"/>
      <c r="I1665" s="103"/>
      <c r="J1665" s="103"/>
      <c r="K1665" s="103"/>
      <c r="L1665" s="1"/>
    </row>
    <row r="1666" spans="1:12" ht="21.75" customHeight="1" x14ac:dyDescent="0.25">
      <c r="A1666" s="1"/>
      <c r="K1666" s="103"/>
      <c r="L1666" s="1"/>
    </row>
    <row r="1667" spans="1:12" ht="12.75" customHeight="1" x14ac:dyDescent="0.25">
      <c r="A1667" s="1"/>
      <c r="B1667" s="95" t="s">
        <v>77</v>
      </c>
      <c r="H1667" s="37" t="s">
        <v>364</v>
      </c>
      <c r="I1667" s="95"/>
      <c r="J1667" s="92"/>
      <c r="K1667" s="103"/>
      <c r="L1667" s="1"/>
    </row>
    <row r="1668" spans="1:12" ht="15" customHeight="1" x14ac:dyDescent="0.25">
      <c r="A1668" s="1"/>
      <c r="B1668" s="99" t="s">
        <v>27</v>
      </c>
      <c r="C1668" s="57"/>
      <c r="H1668" s="1" t="s">
        <v>105</v>
      </c>
      <c r="K1668" s="103"/>
    </row>
    <row r="1669" spans="1:12" ht="14.25" customHeight="1" x14ac:dyDescent="0.2"/>
    <row r="1670" spans="1:12" ht="15.75" customHeight="1" x14ac:dyDescent="0.2"/>
    <row r="1671" spans="1:12" ht="26.25" customHeight="1" x14ac:dyDescent="0.2"/>
    <row r="1672" spans="1:12" ht="12.75" customHeight="1" x14ac:dyDescent="0.2"/>
    <row r="1673" spans="1:12" ht="15.75" x14ac:dyDescent="0.25">
      <c r="A1673" s="3" t="s">
        <v>22</v>
      </c>
    </row>
    <row r="1674" spans="1:12" ht="15" customHeight="1" x14ac:dyDescent="0.2">
      <c r="A1674" s="122" t="s">
        <v>20</v>
      </c>
    </row>
    <row r="1675" spans="1:12" ht="15.75" x14ac:dyDescent="0.2">
      <c r="A1675" s="122" t="s">
        <v>21</v>
      </c>
    </row>
    <row r="1676" spans="1:12" ht="15" customHeight="1" x14ac:dyDescent="0.2"/>
    <row r="1677" spans="1:12" ht="15" customHeight="1" x14ac:dyDescent="0.2"/>
    <row r="1678" spans="1:12" ht="12.75" x14ac:dyDescent="0.2"/>
    <row r="1679" spans="1:12" ht="15" customHeight="1" x14ac:dyDescent="0.3">
      <c r="A1679" s="276" t="s">
        <v>6</v>
      </c>
      <c r="B1679" s="276"/>
      <c r="C1679" s="276"/>
      <c r="D1679" s="276"/>
      <c r="E1679" s="276"/>
      <c r="F1679" s="276"/>
      <c r="G1679" s="276"/>
      <c r="H1679" s="276"/>
      <c r="I1679" s="276"/>
      <c r="J1679" s="276"/>
      <c r="K1679" s="276"/>
      <c r="L1679" s="276"/>
    </row>
    <row r="1680" spans="1:12" ht="18.75" x14ac:dyDescent="0.3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</row>
    <row r="1681" spans="1:12" ht="15" customHeight="1" x14ac:dyDescent="0.3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</row>
    <row r="1682" spans="1:12" ht="15" x14ac:dyDescent="0.25">
      <c r="A1682" s="1"/>
      <c r="B1682" s="1"/>
    </row>
    <row r="1683" spans="1:12" ht="15" x14ac:dyDescent="0.25">
      <c r="A1683" s="1" t="s">
        <v>7</v>
      </c>
      <c r="B1683" s="1"/>
    </row>
    <row r="1684" spans="1:12" ht="16.5" customHeight="1" x14ac:dyDescent="0.25">
      <c r="A1684" s="1"/>
      <c r="B1684" s="1"/>
    </row>
    <row r="1685" spans="1:12" ht="15" customHeight="1" x14ac:dyDescent="0.25">
      <c r="A1685" s="1" t="s">
        <v>8</v>
      </c>
      <c r="C1685" s="9" t="s">
        <v>1</v>
      </c>
      <c r="D1685" s="126" t="s">
        <v>64</v>
      </c>
      <c r="E1685" s="76"/>
      <c r="F1685" s="76"/>
      <c r="G1685" s="76"/>
      <c r="H1685" s="76"/>
    </row>
    <row r="1686" spans="1:12" ht="15" x14ac:dyDescent="0.25">
      <c r="A1686" s="1" t="s">
        <v>9</v>
      </c>
      <c r="C1686" s="9" t="s">
        <v>1</v>
      </c>
      <c r="D1686" s="119" t="s">
        <v>236</v>
      </c>
      <c r="E1686" s="76"/>
      <c r="F1686" s="76"/>
      <c r="G1686" s="76"/>
      <c r="H1686" s="76"/>
    </row>
    <row r="1687" spans="1:12" ht="20.25" customHeight="1" x14ac:dyDescent="0.2">
      <c r="A1687" s="50" t="s">
        <v>10</v>
      </c>
      <c r="B1687" s="76"/>
      <c r="C1687" s="91" t="s">
        <v>1</v>
      </c>
      <c r="D1687" s="124" t="s">
        <v>235</v>
      </c>
      <c r="E1687" s="76"/>
      <c r="F1687" s="76"/>
      <c r="G1687" s="76"/>
      <c r="H1687" s="76"/>
      <c r="I1687" s="76"/>
      <c r="J1687" s="76"/>
      <c r="K1687" s="76"/>
      <c r="L1687" s="76"/>
    </row>
    <row r="1688" spans="1:12" ht="15" x14ac:dyDescent="0.25">
      <c r="A1688" s="1"/>
      <c r="B1688" s="1"/>
      <c r="D1688" s="1"/>
    </row>
    <row r="1689" spans="1:12" ht="28.5" customHeight="1" x14ac:dyDescent="0.2">
      <c r="A1689" s="277" t="s">
        <v>384</v>
      </c>
      <c r="B1689" s="277"/>
      <c r="C1689" s="277"/>
      <c r="D1689" s="277"/>
      <c r="E1689" s="277"/>
      <c r="F1689" s="277"/>
      <c r="G1689" s="277"/>
      <c r="H1689" s="277"/>
      <c r="I1689" s="277"/>
      <c r="J1689" s="277"/>
      <c r="K1689" s="277"/>
      <c r="L1689" s="277"/>
    </row>
    <row r="1690" spans="1:12" ht="15" x14ac:dyDescent="0.25">
      <c r="A1690" s="1"/>
      <c r="B1690" s="1"/>
    </row>
    <row r="1691" spans="1:12" ht="34.5" customHeight="1" thickBot="1" x14ac:dyDescent="0.25">
      <c r="A1691" s="10" t="s">
        <v>0</v>
      </c>
      <c r="B1691" s="278" t="s">
        <v>91</v>
      </c>
      <c r="C1691" s="278"/>
      <c r="D1691" s="278"/>
      <c r="E1691" s="278"/>
      <c r="F1691" s="278"/>
      <c r="G1691" s="278"/>
      <c r="H1691" s="278"/>
      <c r="I1691" s="278"/>
      <c r="J1691" s="278"/>
      <c r="K1691" s="278"/>
      <c r="L1691" s="278"/>
    </row>
    <row r="1692" spans="1:12" ht="17.25" customHeight="1" thickTop="1" x14ac:dyDescent="0.25">
      <c r="A1692" s="1"/>
      <c r="B1692" s="11" t="s">
        <v>3</v>
      </c>
      <c r="C1692" s="12" t="s">
        <v>4</v>
      </c>
      <c r="D1692" s="13"/>
      <c r="E1692" s="13"/>
      <c r="F1692" s="13"/>
      <c r="G1692" s="13"/>
      <c r="H1692" s="14"/>
      <c r="I1692" s="15" t="s">
        <v>5</v>
      </c>
      <c r="J1692" s="12" t="s">
        <v>17</v>
      </c>
      <c r="K1692" s="13"/>
      <c r="L1692" s="14"/>
    </row>
    <row r="1693" spans="1:12" ht="30" customHeight="1" x14ac:dyDescent="0.2">
      <c r="A1693" s="50"/>
      <c r="B1693" s="143">
        <v>1</v>
      </c>
      <c r="C1693" s="284" t="s">
        <v>303</v>
      </c>
      <c r="D1693" s="285"/>
      <c r="E1693" s="285"/>
      <c r="F1693" s="285"/>
      <c r="G1693" s="76"/>
      <c r="H1693" s="79"/>
      <c r="I1693" s="56">
        <v>250000</v>
      </c>
      <c r="J1693" s="76"/>
      <c r="K1693" s="76"/>
      <c r="L1693" s="79"/>
    </row>
    <row r="1694" spans="1:12" ht="37.5" customHeight="1" x14ac:dyDescent="0.2">
      <c r="B1694" s="96"/>
      <c r="C1694" s="124"/>
      <c r="D1694" s="124"/>
      <c r="E1694" s="127"/>
      <c r="F1694" s="125"/>
      <c r="G1694" s="124"/>
      <c r="H1694" s="124"/>
      <c r="I1694" s="23"/>
      <c r="L1694" s="17"/>
    </row>
    <row r="1695" spans="1:12" ht="12.75" customHeight="1" x14ac:dyDescent="0.25">
      <c r="A1695" s="1"/>
      <c r="B1695" s="39"/>
      <c r="C1695" s="1"/>
      <c r="D1695" s="1"/>
      <c r="E1695" s="1"/>
      <c r="F1695" s="40" t="s">
        <v>5</v>
      </c>
      <c r="G1695" s="40"/>
      <c r="H1695" s="1"/>
      <c r="I1695" s="41">
        <v>250000</v>
      </c>
      <c r="J1695" s="1"/>
      <c r="K1695" s="1"/>
      <c r="L1695" s="42"/>
    </row>
    <row r="1696" spans="1:12" ht="12.75" customHeight="1" thickBot="1" x14ac:dyDescent="0.3">
      <c r="A1696" s="1"/>
      <c r="B1696" s="43"/>
      <c r="C1696" s="44"/>
      <c r="D1696" s="44"/>
      <c r="E1696" s="44"/>
      <c r="F1696" s="45"/>
      <c r="G1696" s="45"/>
      <c r="H1696" s="44"/>
      <c r="I1696" s="46"/>
      <c r="J1696" s="44"/>
      <c r="K1696" s="44"/>
      <c r="L1696" s="47"/>
    </row>
    <row r="1697" spans="1:12" ht="12.75" customHeight="1" thickTop="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ht="43.5" customHeight="1" x14ac:dyDescent="0.2">
      <c r="A1698" s="10" t="s">
        <v>2</v>
      </c>
      <c r="B1698" s="279" t="s">
        <v>11</v>
      </c>
      <c r="C1698" s="279"/>
      <c r="D1698" s="279"/>
      <c r="E1698" s="279"/>
      <c r="F1698" s="279"/>
      <c r="G1698" s="279"/>
      <c r="H1698" s="279"/>
      <c r="I1698" s="279"/>
      <c r="J1698" s="279"/>
      <c r="K1698" s="279"/>
      <c r="L1698" s="279"/>
    </row>
    <row r="1699" spans="1:12" ht="19.5" customHeight="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ht="15" x14ac:dyDescent="0.2">
      <c r="A1700" s="280" t="s">
        <v>12</v>
      </c>
      <c r="B1700" s="280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</row>
    <row r="1701" spans="1:12" ht="18.75" customHeight="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 ht="15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 ht="15.75" customHeight="1" x14ac:dyDescent="0.25">
      <c r="A1703" s="1"/>
      <c r="B1703" s="1"/>
      <c r="C1703" s="1"/>
      <c r="D1703" s="1"/>
      <c r="E1703" s="1"/>
      <c r="F1703" s="1"/>
      <c r="G1703" s="1"/>
      <c r="H1703" s="4" t="s">
        <v>199</v>
      </c>
      <c r="J1703" s="286" t="s">
        <v>357</v>
      </c>
      <c r="K1703" s="286"/>
      <c r="L1703" s="286"/>
    </row>
    <row r="1704" spans="1:12" ht="16.5" customHeight="1" x14ac:dyDescent="0.25">
      <c r="A1704" s="1"/>
      <c r="B1704" s="1" t="s">
        <v>15</v>
      </c>
      <c r="C1704" s="1"/>
      <c r="D1704" s="1"/>
      <c r="E1704" s="1"/>
      <c r="F1704" s="1"/>
      <c r="G1704" s="1"/>
      <c r="H1704" s="4" t="s">
        <v>13</v>
      </c>
    </row>
    <row r="1705" spans="1:12" ht="13.5" customHeight="1" x14ac:dyDescent="0.25">
      <c r="A1705" s="1"/>
      <c r="B1705" s="1" t="s">
        <v>18</v>
      </c>
      <c r="C1705" s="1"/>
      <c r="D1705" s="1"/>
      <c r="E1705" s="1"/>
      <c r="F1705" s="1"/>
      <c r="G1705" s="1"/>
      <c r="H1705" s="4" t="s">
        <v>14</v>
      </c>
    </row>
    <row r="1706" spans="1:12" ht="14.25" customHeight="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ht="7.5" customHeight="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ht="26.25" customHeight="1" x14ac:dyDescent="0.25">
      <c r="A1708" s="1"/>
      <c r="B1708" s="103"/>
      <c r="C1708" s="103"/>
      <c r="D1708" s="103"/>
      <c r="E1708" s="103"/>
      <c r="F1708" s="103"/>
      <c r="G1708" s="103"/>
      <c r="H1708" s="103"/>
      <c r="I1708" s="103"/>
      <c r="J1708" s="103"/>
      <c r="K1708" s="103"/>
      <c r="L1708" s="1"/>
    </row>
    <row r="1709" spans="1:12" ht="15" x14ac:dyDescent="0.25">
      <c r="A1709" s="1"/>
      <c r="K1709" s="103"/>
      <c r="L1709" s="1"/>
    </row>
    <row r="1710" spans="1:12" ht="15" x14ac:dyDescent="0.25">
      <c r="A1710" s="1"/>
      <c r="B1710" s="95" t="s">
        <v>77</v>
      </c>
      <c r="H1710" s="95" t="s">
        <v>64</v>
      </c>
      <c r="I1710" s="95"/>
      <c r="J1710" s="92"/>
      <c r="K1710" s="103"/>
      <c r="L1710" s="1"/>
    </row>
    <row r="1711" spans="1:12" ht="15" x14ac:dyDescent="0.25">
      <c r="A1711" s="1"/>
      <c r="B1711" s="99" t="s">
        <v>27</v>
      </c>
      <c r="C1711" s="57"/>
      <c r="H1711" s="99" t="s">
        <v>46</v>
      </c>
      <c r="K1711" s="103"/>
    </row>
    <row r="1712" spans="1:12" ht="12.75" x14ac:dyDescent="0.2"/>
    <row r="1713" spans="1:1" ht="17.25" customHeight="1" x14ac:dyDescent="0.2"/>
    <row r="1714" spans="1:1" ht="12.75" x14ac:dyDescent="0.2"/>
    <row r="1715" spans="1:1" ht="11.25" customHeight="1" x14ac:dyDescent="0.2"/>
    <row r="1716" spans="1:1" ht="12.75" x14ac:dyDescent="0.2"/>
    <row r="1717" spans="1:1" ht="26.25" customHeight="1" x14ac:dyDescent="0.2"/>
    <row r="1718" spans="1:1" ht="12.75" customHeight="1" x14ac:dyDescent="0.2"/>
    <row r="1719" spans="1:1" ht="12.75" hidden="1" x14ac:dyDescent="0.2"/>
    <row r="1720" spans="1:1" ht="12.75" x14ac:dyDescent="0.2"/>
    <row r="1721" spans="1:1" ht="12.75" x14ac:dyDescent="0.2"/>
    <row r="1722" spans="1:1" ht="12.75" x14ac:dyDescent="0.2"/>
    <row r="1723" spans="1:1" ht="16.5" customHeight="1" x14ac:dyDescent="0.2"/>
    <row r="1724" spans="1:1" ht="44.25" customHeight="1" x14ac:dyDescent="0.2"/>
    <row r="1725" spans="1:1" ht="12.75" x14ac:dyDescent="0.2"/>
    <row r="1726" spans="1:1" ht="18.75" customHeight="1" x14ac:dyDescent="0.2"/>
    <row r="1727" spans="1:1" ht="12.75" x14ac:dyDescent="0.2"/>
    <row r="1728" spans="1:1" ht="15.75" x14ac:dyDescent="0.25">
      <c r="A1728" s="3" t="s">
        <v>22</v>
      </c>
    </row>
    <row r="1729" spans="1:12" ht="15.75" x14ac:dyDescent="0.2">
      <c r="A1729" s="122" t="s">
        <v>20</v>
      </c>
    </row>
    <row r="1730" spans="1:12" ht="12.75" customHeight="1" x14ac:dyDescent="0.2">
      <c r="A1730" s="122" t="s">
        <v>21</v>
      </c>
    </row>
    <row r="1731" spans="1:12" ht="12.75" x14ac:dyDescent="0.2"/>
    <row r="1732" spans="1:12" ht="12.75" x14ac:dyDescent="0.2"/>
    <row r="1733" spans="1:12" ht="12.75" x14ac:dyDescent="0.2"/>
    <row r="1734" spans="1:12" ht="18.75" x14ac:dyDescent="0.3">
      <c r="A1734" s="276" t="s">
        <v>6</v>
      </c>
      <c r="B1734" s="276"/>
      <c r="C1734" s="276"/>
      <c r="D1734" s="276"/>
      <c r="E1734" s="276"/>
      <c r="F1734" s="276"/>
      <c r="G1734" s="276"/>
      <c r="H1734" s="276"/>
      <c r="I1734" s="276"/>
      <c r="J1734" s="276"/>
      <c r="K1734" s="276"/>
      <c r="L1734" s="276"/>
    </row>
    <row r="1735" spans="1:12" ht="18.75" x14ac:dyDescent="0.3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</row>
    <row r="1736" spans="1:12" ht="18.75" x14ac:dyDescent="0.3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</row>
    <row r="1737" spans="1:12" ht="16.5" customHeight="1" x14ac:dyDescent="0.25">
      <c r="A1737" s="1"/>
      <c r="B1737" s="1"/>
    </row>
    <row r="1738" spans="1:12" ht="15.75" customHeight="1" x14ac:dyDescent="0.25">
      <c r="A1738" s="1" t="s">
        <v>7</v>
      </c>
      <c r="B1738" s="1"/>
    </row>
    <row r="1739" spans="1:12" ht="15" customHeight="1" x14ac:dyDescent="0.25">
      <c r="A1739" s="1"/>
      <c r="B1739" s="1"/>
    </row>
    <row r="1740" spans="1:12" ht="23.25" customHeight="1" x14ac:dyDescent="0.25">
      <c r="A1740" s="1" t="s">
        <v>8</v>
      </c>
      <c r="C1740" s="9" t="s">
        <v>1</v>
      </c>
      <c r="D1740" s="40" t="s">
        <v>147</v>
      </c>
      <c r="E1740" s="76"/>
      <c r="F1740" s="76"/>
      <c r="G1740" s="76"/>
      <c r="H1740" s="76"/>
    </row>
    <row r="1741" spans="1:12" ht="13.5" customHeight="1" x14ac:dyDescent="0.25">
      <c r="A1741" s="1" t="s">
        <v>9</v>
      </c>
      <c r="C1741" s="9" t="s">
        <v>1</v>
      </c>
      <c r="D1741" s="10" t="s">
        <v>276</v>
      </c>
      <c r="E1741" s="76"/>
      <c r="F1741" s="76"/>
      <c r="G1741" s="76"/>
      <c r="H1741" s="76"/>
    </row>
    <row r="1742" spans="1:12" ht="12" customHeight="1" x14ac:dyDescent="0.2">
      <c r="A1742" s="50" t="s">
        <v>10</v>
      </c>
      <c r="B1742" s="76"/>
      <c r="C1742" s="91" t="s">
        <v>1</v>
      </c>
      <c r="D1742" s="124" t="s">
        <v>275</v>
      </c>
      <c r="E1742" s="76"/>
      <c r="F1742" s="76"/>
      <c r="G1742" s="76"/>
      <c r="H1742" s="76"/>
      <c r="I1742" s="76"/>
      <c r="J1742" s="76"/>
      <c r="K1742" s="76"/>
      <c r="L1742" s="76"/>
    </row>
    <row r="1743" spans="1:12" ht="20.25" customHeight="1" x14ac:dyDescent="0.25">
      <c r="A1743" s="1"/>
      <c r="B1743" s="1"/>
      <c r="D1743" s="1"/>
    </row>
    <row r="1744" spans="1:12" ht="36.75" customHeight="1" x14ac:dyDescent="0.2">
      <c r="A1744" s="277" t="s">
        <v>384</v>
      </c>
      <c r="B1744" s="277"/>
      <c r="C1744" s="277"/>
      <c r="D1744" s="277"/>
      <c r="E1744" s="277"/>
      <c r="F1744" s="277"/>
      <c r="G1744" s="277"/>
      <c r="H1744" s="277"/>
      <c r="I1744" s="277"/>
      <c r="J1744" s="277"/>
      <c r="K1744" s="277"/>
      <c r="L1744" s="277"/>
    </row>
    <row r="1745" spans="1:12" ht="17.25" customHeight="1" x14ac:dyDescent="0.25">
      <c r="A1745" s="1"/>
      <c r="B1745" s="1"/>
    </row>
    <row r="1746" spans="1:12" ht="37.5" customHeight="1" thickBot="1" x14ac:dyDescent="0.25">
      <c r="A1746" s="10" t="s">
        <v>0</v>
      </c>
      <c r="B1746" s="278" t="s">
        <v>91</v>
      </c>
      <c r="C1746" s="278"/>
      <c r="D1746" s="278"/>
      <c r="E1746" s="278"/>
      <c r="F1746" s="278"/>
      <c r="G1746" s="278"/>
      <c r="H1746" s="278"/>
      <c r="I1746" s="278"/>
      <c r="J1746" s="278"/>
      <c r="K1746" s="278"/>
      <c r="L1746" s="278"/>
    </row>
    <row r="1747" spans="1:12" ht="15.75" thickTop="1" x14ac:dyDescent="0.25">
      <c r="A1747" s="1"/>
      <c r="B1747" s="11" t="s">
        <v>3</v>
      </c>
      <c r="C1747" s="12" t="s">
        <v>4</v>
      </c>
      <c r="D1747" s="13"/>
      <c r="E1747" s="13"/>
      <c r="F1747" s="13"/>
      <c r="G1747" s="13"/>
      <c r="H1747" s="14"/>
      <c r="I1747" s="15" t="s">
        <v>5</v>
      </c>
      <c r="J1747" s="12" t="s">
        <v>17</v>
      </c>
      <c r="K1747" s="13"/>
      <c r="L1747" s="14"/>
    </row>
    <row r="1748" spans="1:12" ht="15" x14ac:dyDescent="0.2">
      <c r="A1748" s="50"/>
      <c r="B1748" s="143">
        <v>1</v>
      </c>
      <c r="C1748" s="284" t="s">
        <v>385</v>
      </c>
      <c r="D1748" s="285"/>
      <c r="E1748" s="285"/>
      <c r="F1748" s="285"/>
      <c r="G1748" s="76"/>
      <c r="H1748" s="79"/>
      <c r="I1748" s="56">
        <v>250000</v>
      </c>
      <c r="J1748" s="76"/>
      <c r="K1748" s="76"/>
      <c r="L1748" s="79"/>
    </row>
    <row r="1749" spans="1:12" ht="14.25" customHeight="1" x14ac:dyDescent="0.2">
      <c r="B1749" s="96"/>
      <c r="C1749" s="124"/>
      <c r="D1749" s="124"/>
      <c r="E1749" s="127"/>
      <c r="F1749" s="125"/>
      <c r="G1749" s="124"/>
      <c r="H1749" s="124"/>
      <c r="I1749" s="23"/>
      <c r="L1749" s="17"/>
    </row>
    <row r="1750" spans="1:12" ht="48.75" customHeight="1" x14ac:dyDescent="0.25">
      <c r="A1750" s="1"/>
      <c r="B1750" s="39"/>
      <c r="C1750" s="1"/>
      <c r="D1750" s="1"/>
      <c r="E1750" s="1"/>
      <c r="F1750" s="40" t="s">
        <v>5</v>
      </c>
      <c r="G1750" s="40"/>
      <c r="H1750" s="1"/>
      <c r="I1750" s="41">
        <v>250000</v>
      </c>
      <c r="J1750" s="1"/>
      <c r="K1750" s="1"/>
      <c r="L1750" s="42"/>
    </row>
    <row r="1751" spans="1:12" ht="15.75" customHeight="1" thickBot="1" x14ac:dyDescent="0.3">
      <c r="A1751" s="1"/>
      <c r="B1751" s="43"/>
      <c r="C1751" s="44"/>
      <c r="D1751" s="44"/>
      <c r="E1751" s="44"/>
      <c r="F1751" s="45"/>
      <c r="G1751" s="45"/>
      <c r="H1751" s="44"/>
      <c r="I1751" s="46"/>
      <c r="J1751" s="44"/>
      <c r="K1751" s="44"/>
      <c r="L1751" s="47"/>
    </row>
    <row r="1752" spans="1:12" ht="16.5" customHeight="1" thickTop="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 ht="48" customHeight="1" x14ac:dyDescent="0.2">
      <c r="A1753" s="10" t="s">
        <v>2</v>
      </c>
      <c r="B1753" s="279" t="s">
        <v>11</v>
      </c>
      <c r="C1753" s="279"/>
      <c r="D1753" s="279"/>
      <c r="E1753" s="279"/>
      <c r="F1753" s="279"/>
      <c r="G1753" s="279"/>
      <c r="H1753" s="279"/>
      <c r="I1753" s="279"/>
      <c r="J1753" s="279"/>
      <c r="K1753" s="279"/>
      <c r="L1753" s="279"/>
    </row>
    <row r="1754" spans="1:12" ht="13.5" customHeight="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 ht="17.25" customHeight="1" x14ac:dyDescent="0.2">
      <c r="A1755" s="280" t="s">
        <v>12</v>
      </c>
      <c r="B1755" s="280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</row>
    <row r="1756" spans="1:12" ht="15" customHeight="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 ht="15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 ht="13.5" customHeight="1" x14ac:dyDescent="0.25">
      <c r="A1758" s="1"/>
      <c r="B1758" s="1"/>
      <c r="C1758" s="1"/>
      <c r="D1758" s="1"/>
      <c r="E1758" s="1"/>
      <c r="F1758" s="1"/>
      <c r="G1758" s="1"/>
      <c r="H1758" s="4" t="s">
        <v>199</v>
      </c>
      <c r="J1758" s="286" t="s">
        <v>357</v>
      </c>
      <c r="K1758" s="286"/>
      <c r="L1758" s="286"/>
    </row>
    <row r="1759" spans="1:12" ht="18" customHeight="1" x14ac:dyDescent="0.25">
      <c r="A1759" s="1"/>
      <c r="B1759" s="1" t="s">
        <v>15</v>
      </c>
      <c r="C1759" s="1"/>
      <c r="D1759" s="1"/>
      <c r="E1759" s="1"/>
      <c r="F1759" s="1"/>
      <c r="G1759" s="1"/>
      <c r="H1759" s="4" t="s">
        <v>13</v>
      </c>
    </row>
    <row r="1760" spans="1:12" ht="17.25" hidden="1" customHeight="1" x14ac:dyDescent="0.25">
      <c r="A1760" s="1"/>
      <c r="B1760" s="1" t="s">
        <v>18</v>
      </c>
      <c r="C1760" s="1"/>
      <c r="D1760" s="1"/>
      <c r="E1760" s="1"/>
      <c r="F1760" s="1"/>
      <c r="G1760" s="1"/>
      <c r="H1760" s="4" t="s">
        <v>14</v>
      </c>
    </row>
    <row r="1761" spans="1:12" ht="10.5" customHeight="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 ht="20.25" customHeight="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 ht="15" x14ac:dyDescent="0.25">
      <c r="A1763" s="1"/>
      <c r="B1763" s="103"/>
      <c r="C1763" s="103"/>
      <c r="D1763" s="103"/>
      <c r="E1763" s="103"/>
      <c r="F1763" s="103"/>
      <c r="G1763" s="103"/>
      <c r="H1763" s="103"/>
      <c r="I1763" s="103"/>
      <c r="J1763" s="103"/>
      <c r="K1763" s="103"/>
      <c r="L1763" s="1"/>
    </row>
    <row r="1764" spans="1:12" ht="15" x14ac:dyDescent="0.25">
      <c r="A1764" s="1"/>
      <c r="K1764" s="103"/>
      <c r="L1764" s="1"/>
    </row>
    <row r="1765" spans="1:12" ht="12.75" customHeight="1" x14ac:dyDescent="0.25">
      <c r="A1765" s="1"/>
      <c r="B1765" s="95" t="s">
        <v>77</v>
      </c>
      <c r="H1765" s="37" t="s">
        <v>147</v>
      </c>
      <c r="I1765" s="95"/>
      <c r="J1765" s="92"/>
      <c r="K1765" s="103"/>
      <c r="L1765" s="1"/>
    </row>
    <row r="1766" spans="1:12" ht="18" customHeight="1" x14ac:dyDescent="0.25">
      <c r="A1766" s="1"/>
      <c r="B1766" s="99" t="s">
        <v>27</v>
      </c>
      <c r="C1766" s="57"/>
      <c r="H1766" s="48" t="s">
        <v>148</v>
      </c>
      <c r="K1766" s="103"/>
    </row>
    <row r="1767" spans="1:12" ht="24.75" customHeight="1" x14ac:dyDescent="0.2"/>
    <row r="1768" spans="1:12" ht="15.75" x14ac:dyDescent="0.25">
      <c r="A1768" s="3" t="s">
        <v>22</v>
      </c>
    </row>
    <row r="1769" spans="1:12" ht="15" customHeight="1" x14ac:dyDescent="0.2">
      <c r="A1769" s="122" t="s">
        <v>20</v>
      </c>
    </row>
    <row r="1770" spans="1:12" ht="15.75" x14ac:dyDescent="0.2">
      <c r="A1770" s="122" t="s">
        <v>21</v>
      </c>
    </row>
    <row r="1771" spans="1:12" ht="12.75" x14ac:dyDescent="0.2"/>
    <row r="1772" spans="1:12" ht="16.5" customHeight="1" x14ac:dyDescent="0.2"/>
    <row r="1773" spans="1:12" ht="12.75" x14ac:dyDescent="0.2"/>
    <row r="1774" spans="1:12" ht="14.25" customHeight="1" x14ac:dyDescent="0.3">
      <c r="A1774" s="276" t="s">
        <v>6</v>
      </c>
      <c r="B1774" s="276"/>
      <c r="C1774" s="276"/>
      <c r="D1774" s="276"/>
      <c r="E1774" s="276"/>
      <c r="F1774" s="276"/>
      <c r="G1774" s="276"/>
      <c r="H1774" s="276"/>
      <c r="I1774" s="276"/>
      <c r="J1774" s="276"/>
      <c r="K1774" s="276"/>
      <c r="L1774" s="276"/>
    </row>
    <row r="1775" spans="1:12" ht="18.75" x14ac:dyDescent="0.3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</row>
    <row r="1776" spans="1:12" ht="18.75" x14ac:dyDescent="0.3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</row>
    <row r="1777" spans="1:12" ht="15" x14ac:dyDescent="0.25">
      <c r="A1777" s="1"/>
      <c r="B1777" s="1"/>
    </row>
    <row r="1778" spans="1:12" ht="12" customHeight="1" x14ac:dyDescent="0.25">
      <c r="A1778" s="1" t="s">
        <v>7</v>
      </c>
      <c r="B1778" s="1"/>
    </row>
    <row r="1779" spans="1:12" ht="15" x14ac:dyDescent="0.25">
      <c r="A1779" s="1"/>
      <c r="B1779" s="1"/>
    </row>
    <row r="1780" spans="1:12" ht="15" x14ac:dyDescent="0.25">
      <c r="A1780" s="1" t="s">
        <v>8</v>
      </c>
      <c r="C1780" s="9" t="s">
        <v>1</v>
      </c>
      <c r="D1780" s="92" t="s">
        <v>77</v>
      </c>
      <c r="E1780" s="76"/>
      <c r="F1780" s="76"/>
      <c r="G1780" s="76"/>
      <c r="H1780" s="76"/>
    </row>
    <row r="1781" spans="1:12" ht="15" x14ac:dyDescent="0.25">
      <c r="A1781" s="1" t="s">
        <v>9</v>
      </c>
      <c r="C1781" s="9" t="s">
        <v>1</v>
      </c>
      <c r="D1781" s="57" t="s">
        <v>201</v>
      </c>
      <c r="E1781" s="76"/>
      <c r="F1781" s="76"/>
      <c r="G1781" s="76"/>
      <c r="H1781" s="76"/>
    </row>
    <row r="1782" spans="1:12" ht="15" x14ac:dyDescent="0.2">
      <c r="A1782" s="50" t="s">
        <v>10</v>
      </c>
      <c r="B1782" s="76"/>
      <c r="C1782" s="91" t="s">
        <v>1</v>
      </c>
      <c r="D1782" s="50" t="s">
        <v>265</v>
      </c>
      <c r="E1782" s="76"/>
      <c r="F1782" s="76"/>
      <c r="G1782" s="76"/>
      <c r="H1782" s="76"/>
      <c r="I1782" s="76"/>
      <c r="J1782" s="76"/>
      <c r="K1782" s="76"/>
      <c r="L1782" s="76"/>
    </row>
    <row r="1783" spans="1:12" s="148" customFormat="1" ht="24" customHeight="1" x14ac:dyDescent="0.25">
      <c r="A1783" s="1"/>
      <c r="B1783" s="1"/>
      <c r="C1783" s="4"/>
      <c r="D1783" s="1"/>
      <c r="E1783" s="4"/>
      <c r="F1783" s="4"/>
      <c r="G1783" s="4"/>
      <c r="H1783" s="4"/>
      <c r="I1783" s="4"/>
      <c r="J1783" s="4"/>
      <c r="K1783" s="4"/>
      <c r="L1783" s="4"/>
    </row>
    <row r="1784" spans="1:12" ht="29.25" customHeight="1" x14ac:dyDescent="0.2">
      <c r="A1784" s="277" t="s">
        <v>384</v>
      </c>
      <c r="B1784" s="277"/>
      <c r="C1784" s="277"/>
      <c r="D1784" s="277"/>
      <c r="E1784" s="277"/>
      <c r="F1784" s="277"/>
      <c r="G1784" s="277"/>
      <c r="H1784" s="277"/>
      <c r="I1784" s="277"/>
      <c r="J1784" s="277"/>
      <c r="K1784" s="277"/>
      <c r="L1784" s="277"/>
    </row>
    <row r="1785" spans="1:12" ht="15.75" customHeight="1" x14ac:dyDescent="0.25">
      <c r="A1785" s="1"/>
      <c r="B1785" s="1"/>
    </row>
    <row r="1786" spans="1:12" ht="39.75" customHeight="1" thickBot="1" x14ac:dyDescent="0.25">
      <c r="A1786" s="10" t="s">
        <v>0</v>
      </c>
      <c r="B1786" s="278" t="s">
        <v>91</v>
      </c>
      <c r="C1786" s="278"/>
      <c r="D1786" s="278"/>
      <c r="E1786" s="278"/>
      <c r="F1786" s="278"/>
      <c r="G1786" s="278"/>
      <c r="H1786" s="278"/>
      <c r="I1786" s="278"/>
      <c r="J1786" s="278"/>
      <c r="K1786" s="278"/>
      <c r="L1786" s="278"/>
    </row>
    <row r="1787" spans="1:12" ht="15" customHeight="1" thickTop="1" x14ac:dyDescent="0.25">
      <c r="A1787" s="1"/>
      <c r="B1787" s="11" t="s">
        <v>3</v>
      </c>
      <c r="C1787" s="12" t="s">
        <v>4</v>
      </c>
      <c r="D1787" s="13"/>
      <c r="E1787" s="13"/>
      <c r="F1787" s="13"/>
      <c r="G1787" s="13"/>
      <c r="H1787" s="14"/>
      <c r="I1787" s="15" t="s">
        <v>5</v>
      </c>
      <c r="J1787" s="12" t="s">
        <v>17</v>
      </c>
      <c r="K1787" s="13"/>
      <c r="L1787" s="14"/>
    </row>
    <row r="1788" spans="1:12" ht="33.75" customHeight="1" x14ac:dyDescent="0.2">
      <c r="A1788" s="50"/>
      <c r="B1788" s="143">
        <v>1</v>
      </c>
      <c r="C1788" s="284" t="s">
        <v>303</v>
      </c>
      <c r="D1788" s="285"/>
      <c r="E1788" s="285"/>
      <c r="F1788" s="285"/>
      <c r="G1788" s="76"/>
      <c r="H1788" s="79"/>
      <c r="I1788" s="56">
        <v>250000</v>
      </c>
      <c r="J1788" s="76"/>
      <c r="K1788" s="76"/>
      <c r="L1788" s="79"/>
    </row>
    <row r="1789" spans="1:12" ht="17.25" customHeight="1" x14ac:dyDescent="0.2">
      <c r="B1789" s="96"/>
      <c r="C1789" s="124"/>
      <c r="D1789" s="124"/>
      <c r="E1789" s="127"/>
      <c r="F1789" s="125"/>
      <c r="G1789" s="124"/>
      <c r="H1789" s="124"/>
      <c r="I1789" s="23"/>
      <c r="L1789" s="17"/>
    </row>
    <row r="1790" spans="1:12" ht="20.25" customHeight="1" x14ac:dyDescent="0.25">
      <c r="A1790" s="1"/>
      <c r="B1790" s="39"/>
      <c r="C1790" s="1"/>
      <c r="D1790" s="1"/>
      <c r="E1790" s="1"/>
      <c r="F1790" s="40" t="s">
        <v>5</v>
      </c>
      <c r="G1790" s="40"/>
      <c r="H1790" s="1"/>
      <c r="I1790" s="41">
        <f>SUM(I1788:I1788)</f>
        <v>250000</v>
      </c>
      <c r="J1790" s="1"/>
      <c r="K1790" s="1"/>
      <c r="L1790" s="42"/>
    </row>
    <row r="1791" spans="1:12" ht="13.5" customHeight="1" thickBot="1" x14ac:dyDescent="0.3">
      <c r="A1791" s="1"/>
      <c r="B1791" s="43"/>
      <c r="C1791" s="44"/>
      <c r="D1791" s="44"/>
      <c r="E1791" s="44"/>
      <c r="F1791" s="45"/>
      <c r="G1791" s="45"/>
      <c r="H1791" s="44"/>
      <c r="I1791" s="46"/>
      <c r="J1791" s="44"/>
      <c r="K1791" s="44"/>
      <c r="L1791" s="47"/>
    </row>
    <row r="1792" spans="1:12" ht="13.5" customHeight="1" thickTop="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 ht="45" customHeight="1" x14ac:dyDescent="0.2">
      <c r="A1793" s="10" t="s">
        <v>2</v>
      </c>
      <c r="B1793" s="279" t="s">
        <v>11</v>
      </c>
      <c r="C1793" s="279"/>
      <c r="D1793" s="279"/>
      <c r="E1793" s="279"/>
      <c r="F1793" s="279"/>
      <c r="G1793" s="279"/>
      <c r="H1793" s="279"/>
      <c r="I1793" s="279"/>
      <c r="J1793" s="279"/>
      <c r="K1793" s="279"/>
      <c r="L1793" s="279"/>
    </row>
    <row r="1794" spans="1:12" ht="15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ht="15" x14ac:dyDescent="0.2">
      <c r="A1795" s="280" t="s">
        <v>12</v>
      </c>
      <c r="B1795" s="280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</row>
    <row r="1796" spans="1:12" ht="0.75" customHeight="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ht="21" customHeight="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ht="15.75" customHeight="1" x14ac:dyDescent="0.25">
      <c r="A1798" s="1"/>
      <c r="B1798" s="1"/>
      <c r="C1798" s="1"/>
      <c r="D1798" s="1"/>
      <c r="E1798" s="1"/>
      <c r="F1798" s="1"/>
      <c r="G1798" s="1"/>
      <c r="H1798" s="4" t="s">
        <v>199</v>
      </c>
      <c r="J1798" s="286" t="s">
        <v>357</v>
      </c>
      <c r="K1798" s="286"/>
      <c r="L1798" s="286"/>
    </row>
    <row r="1799" spans="1:12" ht="15.75" customHeight="1" x14ac:dyDescent="0.25">
      <c r="A1799" s="1"/>
      <c r="B1799" s="1" t="s">
        <v>15</v>
      </c>
      <c r="C1799" s="1"/>
      <c r="D1799" s="1"/>
      <c r="E1799" s="1"/>
      <c r="F1799" s="1"/>
      <c r="G1799" s="1"/>
      <c r="H1799" s="4" t="s">
        <v>13</v>
      </c>
    </row>
    <row r="1800" spans="1:12" ht="17.25" customHeight="1" x14ac:dyDescent="0.25">
      <c r="A1800" s="1"/>
      <c r="B1800" s="1" t="s">
        <v>18</v>
      </c>
      <c r="C1800" s="1"/>
      <c r="D1800" s="1"/>
      <c r="E1800" s="1"/>
      <c r="F1800" s="1"/>
      <c r="G1800" s="1"/>
      <c r="H1800" s="4" t="s">
        <v>14</v>
      </c>
    </row>
    <row r="1801" spans="1:12" ht="19.5" customHeight="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ht="30.75" hidden="1" customHeight="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ht="15" hidden="1" x14ac:dyDescent="0.25">
      <c r="A1803" s="1"/>
      <c r="B1803" s="103"/>
      <c r="C1803" s="103"/>
      <c r="D1803" s="103"/>
      <c r="E1803" s="103"/>
      <c r="F1803" s="103"/>
      <c r="G1803" s="103"/>
      <c r="H1803" s="103"/>
      <c r="I1803" s="103"/>
      <c r="J1803" s="103"/>
      <c r="K1803" s="103"/>
      <c r="L1803" s="1"/>
    </row>
    <row r="1804" spans="1:12" ht="35.25" customHeight="1" x14ac:dyDescent="0.25">
      <c r="A1804" s="1"/>
      <c r="K1804" s="103"/>
      <c r="L1804" s="1"/>
    </row>
    <row r="1805" spans="1:12" ht="15" x14ac:dyDescent="0.25">
      <c r="A1805" s="1"/>
      <c r="B1805" s="95" t="s">
        <v>77</v>
      </c>
      <c r="H1805" s="95" t="s">
        <v>77</v>
      </c>
      <c r="I1805" s="95"/>
      <c r="J1805" s="92"/>
      <c r="K1805" s="103"/>
      <c r="L1805" s="1"/>
    </row>
    <row r="1806" spans="1:12" ht="15" x14ac:dyDescent="0.25">
      <c r="A1806" s="1"/>
      <c r="B1806" s="99" t="s">
        <v>27</v>
      </c>
      <c r="C1806" s="57"/>
      <c r="H1806" s="99" t="s">
        <v>27</v>
      </c>
      <c r="K1806" s="103"/>
    </row>
    <row r="1807" spans="1:12" ht="12.75" x14ac:dyDescent="0.2"/>
    <row r="1808" spans="1:12" ht="12.75" x14ac:dyDescent="0.2"/>
    <row r="1809" spans="1:12" ht="7.5" customHeight="1" x14ac:dyDescent="0.2"/>
    <row r="1810" spans="1:12" ht="12.75" x14ac:dyDescent="0.2"/>
    <row r="1811" spans="1:12" ht="12.75" x14ac:dyDescent="0.2"/>
    <row r="1812" spans="1:12" ht="12.75" x14ac:dyDescent="0.2"/>
    <row r="1813" spans="1:12" ht="12.75" x14ac:dyDescent="0.2"/>
    <row r="1814" spans="1:12" ht="26.25" customHeight="1" x14ac:dyDescent="0.2"/>
    <row r="1815" spans="1:12" ht="12.75" x14ac:dyDescent="0.2"/>
    <row r="1816" spans="1:12" ht="8.25" customHeight="1" x14ac:dyDescent="0.2"/>
    <row r="1817" spans="1:12" ht="15.75" x14ac:dyDescent="0.25">
      <c r="A1817" s="3" t="s">
        <v>22</v>
      </c>
    </row>
    <row r="1818" spans="1:12" ht="15" customHeight="1" x14ac:dyDescent="0.2">
      <c r="A1818" s="122" t="s">
        <v>20</v>
      </c>
    </row>
    <row r="1819" spans="1:12" ht="15.75" x14ac:dyDescent="0.2">
      <c r="A1819" s="122" t="s">
        <v>21</v>
      </c>
    </row>
    <row r="1820" spans="1:12" ht="5.25" customHeight="1" x14ac:dyDescent="0.2"/>
    <row r="1821" spans="1:12" ht="12.75" x14ac:dyDescent="0.2"/>
    <row r="1822" spans="1:12" ht="12.75" customHeight="1" x14ac:dyDescent="0.2"/>
    <row r="1823" spans="1:12" ht="18.75" x14ac:dyDescent="0.3">
      <c r="A1823" s="276" t="s">
        <v>6</v>
      </c>
      <c r="B1823" s="276"/>
      <c r="C1823" s="276"/>
      <c r="D1823" s="276"/>
      <c r="E1823" s="276"/>
      <c r="F1823" s="276"/>
      <c r="G1823" s="276"/>
      <c r="H1823" s="276"/>
      <c r="I1823" s="276"/>
      <c r="J1823" s="276"/>
      <c r="K1823" s="276"/>
      <c r="L1823" s="276"/>
    </row>
    <row r="1824" spans="1:12" ht="18.75" x14ac:dyDescent="0.3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</row>
    <row r="1825" spans="1:12" ht="18.75" x14ac:dyDescent="0.3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</row>
    <row r="1826" spans="1:12" ht="15" x14ac:dyDescent="0.25">
      <c r="A1826" s="1"/>
      <c r="B1826" s="1"/>
    </row>
    <row r="1827" spans="1:12" s="148" customFormat="1" ht="12" customHeight="1" x14ac:dyDescent="0.25">
      <c r="A1827" s="1" t="s">
        <v>7</v>
      </c>
      <c r="B1827" s="1"/>
      <c r="C1827" s="4"/>
      <c r="D1827" s="4"/>
      <c r="E1827" s="4"/>
      <c r="F1827" s="4"/>
      <c r="G1827" s="4"/>
      <c r="H1827" s="4"/>
      <c r="I1827" s="4"/>
      <c r="J1827" s="4"/>
      <c r="K1827" s="4"/>
      <c r="L1827" s="4"/>
    </row>
    <row r="1828" spans="1:12" ht="15" x14ac:dyDescent="0.25">
      <c r="A1828" s="1"/>
      <c r="B1828" s="1"/>
    </row>
    <row r="1829" spans="1:12" ht="21.75" customHeight="1" x14ac:dyDescent="0.25">
      <c r="A1829" s="1" t="s">
        <v>8</v>
      </c>
      <c r="C1829" s="9" t="s">
        <v>1</v>
      </c>
      <c r="D1829" s="126" t="s">
        <v>64</v>
      </c>
      <c r="E1829" s="76"/>
      <c r="F1829" s="76"/>
      <c r="G1829" s="76"/>
      <c r="H1829" s="76"/>
    </row>
    <row r="1830" spans="1:12" ht="15" x14ac:dyDescent="0.25">
      <c r="A1830" s="1" t="s">
        <v>9</v>
      </c>
      <c r="C1830" s="9" t="s">
        <v>1</v>
      </c>
      <c r="D1830" s="119" t="s">
        <v>236</v>
      </c>
      <c r="E1830" s="76"/>
      <c r="F1830" s="76"/>
      <c r="G1830" s="76"/>
      <c r="H1830" s="76"/>
    </row>
    <row r="1831" spans="1:12" ht="17.25" customHeight="1" x14ac:dyDescent="0.2">
      <c r="A1831" s="50" t="s">
        <v>10</v>
      </c>
      <c r="B1831" s="76"/>
      <c r="C1831" s="91" t="s">
        <v>1</v>
      </c>
      <c r="D1831" s="124" t="s">
        <v>235</v>
      </c>
      <c r="E1831" s="76"/>
      <c r="F1831" s="76"/>
      <c r="G1831" s="76"/>
      <c r="H1831" s="76"/>
      <c r="I1831" s="76"/>
      <c r="J1831" s="76"/>
      <c r="K1831" s="76"/>
      <c r="L1831" s="76"/>
    </row>
    <row r="1832" spans="1:12" ht="12" customHeight="1" x14ac:dyDescent="0.25">
      <c r="A1832" s="1"/>
      <c r="B1832" s="1"/>
      <c r="D1832" s="1"/>
    </row>
    <row r="1833" spans="1:12" ht="33" customHeight="1" x14ac:dyDescent="0.2">
      <c r="A1833" s="277" t="s">
        <v>392</v>
      </c>
      <c r="B1833" s="277"/>
      <c r="C1833" s="277"/>
      <c r="D1833" s="277"/>
      <c r="E1833" s="277"/>
      <c r="F1833" s="277"/>
      <c r="G1833" s="277"/>
      <c r="H1833" s="277"/>
      <c r="I1833" s="277"/>
      <c r="J1833" s="277"/>
      <c r="K1833" s="277"/>
      <c r="L1833" s="277"/>
    </row>
    <row r="1834" spans="1:12" ht="15" x14ac:dyDescent="0.25">
      <c r="A1834" s="1"/>
      <c r="B1834" s="1"/>
    </row>
    <row r="1835" spans="1:12" ht="36.75" customHeight="1" thickBot="1" x14ac:dyDescent="0.25">
      <c r="A1835" s="10" t="s">
        <v>0</v>
      </c>
      <c r="B1835" s="278" t="s">
        <v>91</v>
      </c>
      <c r="C1835" s="278"/>
      <c r="D1835" s="278"/>
      <c r="E1835" s="278"/>
      <c r="F1835" s="278"/>
      <c r="G1835" s="278"/>
      <c r="H1835" s="278"/>
      <c r="I1835" s="278"/>
      <c r="J1835" s="278"/>
      <c r="K1835" s="278"/>
      <c r="L1835" s="278"/>
    </row>
    <row r="1836" spans="1:12" ht="21.75" customHeight="1" thickTop="1" x14ac:dyDescent="0.25">
      <c r="A1836" s="1"/>
      <c r="B1836" s="11" t="s">
        <v>3</v>
      </c>
      <c r="C1836" s="12" t="s">
        <v>4</v>
      </c>
      <c r="D1836" s="13"/>
      <c r="E1836" s="13"/>
      <c r="F1836" s="13"/>
      <c r="G1836" s="13"/>
      <c r="H1836" s="14"/>
      <c r="I1836" s="15" t="s">
        <v>5</v>
      </c>
      <c r="J1836" s="12" t="s">
        <v>17</v>
      </c>
      <c r="K1836" s="13"/>
      <c r="L1836" s="14"/>
    </row>
    <row r="1837" spans="1:12" ht="30" customHeight="1" x14ac:dyDescent="0.2">
      <c r="A1837" s="50"/>
      <c r="B1837" s="143">
        <v>1</v>
      </c>
      <c r="C1837" s="284" t="s">
        <v>313</v>
      </c>
      <c r="D1837" s="285"/>
      <c r="E1837" s="285"/>
      <c r="F1837" s="285"/>
      <c r="G1837" s="76"/>
      <c r="H1837" s="79"/>
      <c r="I1837" s="56">
        <v>250000</v>
      </c>
      <c r="J1837" s="76"/>
      <c r="K1837" s="76"/>
      <c r="L1837" s="79"/>
    </row>
    <row r="1838" spans="1:12" ht="21" customHeight="1" x14ac:dyDescent="0.2">
      <c r="B1838" s="96"/>
      <c r="C1838" s="124"/>
      <c r="D1838" s="124"/>
      <c r="E1838" s="127"/>
      <c r="F1838" s="125"/>
      <c r="G1838" s="124"/>
      <c r="H1838" s="124"/>
      <c r="I1838" s="23"/>
      <c r="L1838" s="17"/>
    </row>
    <row r="1839" spans="1:12" ht="24.75" customHeight="1" x14ac:dyDescent="0.25">
      <c r="A1839" s="1"/>
      <c r="B1839" s="39"/>
      <c r="C1839" s="1"/>
      <c r="D1839" s="1"/>
      <c r="E1839" s="1"/>
      <c r="F1839" s="40" t="s">
        <v>5</v>
      </c>
      <c r="G1839" s="40"/>
      <c r="H1839" s="1"/>
      <c r="I1839" s="41">
        <v>250000</v>
      </c>
      <c r="J1839" s="1"/>
      <c r="K1839" s="1"/>
      <c r="L1839" s="42"/>
    </row>
    <row r="1840" spans="1:12" ht="9" customHeight="1" thickBot="1" x14ac:dyDescent="0.3">
      <c r="A1840" s="1"/>
      <c r="B1840" s="43"/>
      <c r="C1840" s="44"/>
      <c r="D1840" s="44"/>
      <c r="E1840" s="44"/>
      <c r="F1840" s="45"/>
      <c r="G1840" s="45"/>
      <c r="H1840" s="44"/>
      <c r="I1840" s="46"/>
      <c r="J1840" s="44"/>
      <c r="K1840" s="44"/>
      <c r="L1840" s="47"/>
    </row>
    <row r="1841" spans="1:12" ht="15.75" thickTop="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 ht="44.25" customHeight="1" x14ac:dyDescent="0.2">
      <c r="A1842" s="10" t="s">
        <v>2</v>
      </c>
      <c r="B1842" s="279" t="s">
        <v>11</v>
      </c>
      <c r="C1842" s="279"/>
      <c r="D1842" s="279"/>
      <c r="E1842" s="279"/>
      <c r="F1842" s="279"/>
      <c r="G1842" s="279"/>
      <c r="H1842" s="279"/>
      <c r="I1842" s="279"/>
      <c r="J1842" s="279"/>
      <c r="K1842" s="279"/>
      <c r="L1842" s="279"/>
    </row>
    <row r="1843" spans="1:12" ht="14.25" customHeight="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 ht="15" customHeight="1" x14ac:dyDescent="0.2">
      <c r="A1844" s="280" t="s">
        <v>12</v>
      </c>
      <c r="B1844" s="280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</row>
    <row r="1845" spans="1:12" ht="18.75" customHeight="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 ht="15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 ht="18" customHeight="1" x14ac:dyDescent="0.25">
      <c r="A1847" s="1"/>
      <c r="B1847" s="1"/>
      <c r="C1847" s="1"/>
      <c r="D1847" s="1"/>
      <c r="E1847" s="1"/>
      <c r="F1847" s="1"/>
      <c r="G1847" s="1"/>
      <c r="H1847" s="4" t="s">
        <v>199</v>
      </c>
      <c r="J1847" s="286" t="s">
        <v>357</v>
      </c>
      <c r="K1847" s="286"/>
      <c r="L1847" s="286"/>
    </row>
    <row r="1848" spans="1:12" ht="13.5" customHeight="1" x14ac:dyDescent="0.25">
      <c r="A1848" s="1"/>
      <c r="B1848" s="1" t="s">
        <v>15</v>
      </c>
      <c r="C1848" s="1"/>
      <c r="D1848" s="1"/>
      <c r="E1848" s="1"/>
      <c r="F1848" s="1"/>
      <c r="G1848" s="1"/>
      <c r="H1848" s="4" t="s">
        <v>13</v>
      </c>
    </row>
    <row r="1849" spans="1:12" ht="11.25" customHeight="1" x14ac:dyDescent="0.25">
      <c r="A1849" s="1"/>
      <c r="B1849" s="1" t="s">
        <v>18</v>
      </c>
      <c r="C1849" s="1"/>
      <c r="D1849" s="1"/>
      <c r="E1849" s="1"/>
      <c r="F1849" s="1"/>
      <c r="G1849" s="1"/>
      <c r="H1849" s="4" t="s">
        <v>14</v>
      </c>
    </row>
    <row r="1850" spans="1:12" ht="18" customHeight="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 ht="22.5" customHeight="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 ht="12.75" customHeight="1" x14ac:dyDescent="0.25">
      <c r="A1852" s="1"/>
      <c r="B1852" s="103"/>
      <c r="C1852" s="103"/>
      <c r="D1852" s="103"/>
      <c r="E1852" s="103"/>
      <c r="F1852" s="103"/>
      <c r="G1852" s="103"/>
      <c r="H1852" s="103"/>
      <c r="I1852" s="103"/>
      <c r="J1852" s="103"/>
      <c r="K1852" s="103"/>
      <c r="L1852" s="1"/>
    </row>
    <row r="1853" spans="1:12" ht="15" x14ac:dyDescent="0.25">
      <c r="A1853" s="1"/>
      <c r="K1853" s="103"/>
      <c r="L1853" s="1"/>
    </row>
    <row r="1854" spans="1:12" ht="30.75" customHeight="1" x14ac:dyDescent="0.25">
      <c r="A1854" s="1"/>
      <c r="B1854" s="95" t="s">
        <v>77</v>
      </c>
      <c r="H1854" s="95" t="s">
        <v>64</v>
      </c>
      <c r="I1854" s="95"/>
      <c r="J1854" s="92"/>
      <c r="K1854" s="103"/>
      <c r="L1854" s="1"/>
    </row>
    <row r="1855" spans="1:12" ht="15" x14ac:dyDescent="0.25">
      <c r="A1855" s="1"/>
      <c r="B1855" s="99" t="s">
        <v>27</v>
      </c>
      <c r="C1855" s="57"/>
      <c r="H1855" s="99" t="s">
        <v>46</v>
      </c>
      <c r="K1855" s="103"/>
    </row>
    <row r="1856" spans="1:12" ht="12.75" x14ac:dyDescent="0.2"/>
    <row r="1857" spans="1:12" ht="12.75" x14ac:dyDescent="0.2"/>
    <row r="1858" spans="1:12" ht="12.75" x14ac:dyDescent="0.2"/>
    <row r="1859" spans="1:12" ht="24" customHeight="1" x14ac:dyDescent="0.25">
      <c r="A1859" s="3" t="s">
        <v>22</v>
      </c>
    </row>
    <row r="1860" spans="1:12" ht="15.75" x14ac:dyDescent="0.2">
      <c r="A1860" s="122" t="s">
        <v>20</v>
      </c>
    </row>
    <row r="1861" spans="1:12" ht="15.75" x14ac:dyDescent="0.2">
      <c r="A1861" s="122" t="s">
        <v>21</v>
      </c>
    </row>
    <row r="1862" spans="1:12" ht="12.75" x14ac:dyDescent="0.2"/>
    <row r="1863" spans="1:12" ht="33.75" customHeight="1" x14ac:dyDescent="0.2"/>
    <row r="1864" spans="1:12" ht="12.75" x14ac:dyDescent="0.2"/>
    <row r="1865" spans="1:12" ht="22.5" customHeight="1" x14ac:dyDescent="0.3">
      <c r="A1865" s="276" t="s">
        <v>6</v>
      </c>
      <c r="B1865" s="276"/>
      <c r="C1865" s="276"/>
      <c r="D1865" s="276"/>
      <c r="E1865" s="276"/>
      <c r="F1865" s="276"/>
      <c r="G1865" s="276"/>
      <c r="H1865" s="276"/>
      <c r="I1865" s="276"/>
      <c r="J1865" s="276"/>
      <c r="K1865" s="276"/>
      <c r="L1865" s="276"/>
    </row>
    <row r="1866" spans="1:12" ht="18.75" x14ac:dyDescent="0.3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</row>
    <row r="1867" spans="1:12" ht="14.25" customHeight="1" x14ac:dyDescent="0.3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</row>
    <row r="1868" spans="1:12" ht="19.5" customHeight="1" x14ac:dyDescent="0.25">
      <c r="A1868" s="1"/>
      <c r="B1868" s="1"/>
    </row>
    <row r="1869" spans="1:12" ht="15" x14ac:dyDescent="0.25">
      <c r="A1869" s="1" t="s">
        <v>7</v>
      </c>
      <c r="B1869" s="1"/>
    </row>
    <row r="1870" spans="1:12" ht="15" x14ac:dyDescent="0.25">
      <c r="A1870" s="1"/>
      <c r="B1870" s="1"/>
    </row>
    <row r="1871" spans="1:12" ht="15" x14ac:dyDescent="0.25">
      <c r="A1871" s="1" t="s">
        <v>8</v>
      </c>
      <c r="C1871" s="9" t="s">
        <v>1</v>
      </c>
      <c r="D1871" s="123" t="s">
        <v>78</v>
      </c>
      <c r="E1871" s="76"/>
      <c r="F1871" s="76"/>
      <c r="G1871" s="76"/>
      <c r="H1871" s="76"/>
    </row>
    <row r="1872" spans="1:12" ht="18" customHeight="1" x14ac:dyDescent="0.25">
      <c r="A1872" s="1" t="s">
        <v>9</v>
      </c>
      <c r="C1872" s="9" t="s">
        <v>1</v>
      </c>
      <c r="D1872" s="76" t="s">
        <v>234</v>
      </c>
      <c r="E1872" s="76"/>
      <c r="F1872" s="76"/>
      <c r="G1872" s="76"/>
      <c r="H1872" s="76"/>
    </row>
    <row r="1873" spans="1:12" ht="15" x14ac:dyDescent="0.2">
      <c r="A1873" s="50" t="s">
        <v>10</v>
      </c>
      <c r="B1873" s="76"/>
      <c r="C1873" s="91" t="s">
        <v>1</v>
      </c>
      <c r="D1873" s="50" t="s">
        <v>235</v>
      </c>
      <c r="E1873" s="76"/>
      <c r="F1873" s="76"/>
      <c r="G1873" s="76"/>
      <c r="H1873" s="76"/>
      <c r="I1873" s="76"/>
      <c r="J1873" s="76"/>
      <c r="K1873" s="76"/>
      <c r="L1873" s="76"/>
    </row>
    <row r="1874" spans="1:12" ht="15" customHeight="1" x14ac:dyDescent="0.25">
      <c r="A1874" s="1"/>
      <c r="B1874" s="1"/>
      <c r="D1874" s="1"/>
    </row>
    <row r="1875" spans="1:12" ht="45.75" customHeight="1" x14ac:dyDescent="0.2">
      <c r="A1875" s="277" t="s">
        <v>392</v>
      </c>
      <c r="B1875" s="277"/>
      <c r="C1875" s="277"/>
      <c r="D1875" s="277"/>
      <c r="E1875" s="277"/>
      <c r="F1875" s="277"/>
      <c r="G1875" s="277"/>
      <c r="H1875" s="277"/>
      <c r="I1875" s="277"/>
      <c r="J1875" s="277"/>
      <c r="K1875" s="277"/>
      <c r="L1875" s="277"/>
    </row>
    <row r="1876" spans="1:12" ht="14.25" customHeight="1" x14ac:dyDescent="0.25">
      <c r="A1876" s="1"/>
      <c r="B1876" s="1"/>
    </row>
    <row r="1877" spans="1:12" ht="36.75" customHeight="1" thickBot="1" x14ac:dyDescent="0.25">
      <c r="A1877" s="10" t="s">
        <v>0</v>
      </c>
      <c r="B1877" s="278" t="s">
        <v>91</v>
      </c>
      <c r="C1877" s="278"/>
      <c r="D1877" s="278"/>
      <c r="E1877" s="278"/>
      <c r="F1877" s="278"/>
      <c r="G1877" s="278"/>
      <c r="H1877" s="278"/>
      <c r="I1877" s="278"/>
      <c r="J1877" s="278"/>
      <c r="K1877" s="278"/>
      <c r="L1877" s="278"/>
    </row>
    <row r="1878" spans="1:12" ht="21" customHeight="1" thickTop="1" x14ac:dyDescent="0.25">
      <c r="A1878" s="1"/>
      <c r="B1878" s="11" t="s">
        <v>3</v>
      </c>
      <c r="C1878" s="12" t="s">
        <v>4</v>
      </c>
      <c r="D1878" s="13"/>
      <c r="E1878" s="13"/>
      <c r="F1878" s="13"/>
      <c r="G1878" s="13"/>
      <c r="H1878" s="14"/>
      <c r="I1878" s="15" t="s">
        <v>5</v>
      </c>
      <c r="J1878" s="12" t="s">
        <v>17</v>
      </c>
      <c r="K1878" s="13"/>
      <c r="L1878" s="14"/>
    </row>
    <row r="1879" spans="1:12" ht="15" x14ac:dyDescent="0.2">
      <c r="A1879" s="50"/>
      <c r="B1879" s="143">
        <v>1</v>
      </c>
      <c r="C1879" s="284" t="s">
        <v>313</v>
      </c>
      <c r="D1879" s="285"/>
      <c r="E1879" s="285"/>
      <c r="F1879" s="285"/>
      <c r="G1879" s="76"/>
      <c r="H1879" s="79"/>
      <c r="I1879" s="56">
        <v>250000</v>
      </c>
      <c r="J1879" s="76"/>
      <c r="K1879" s="76"/>
      <c r="L1879" s="79"/>
    </row>
    <row r="1880" spans="1:12" ht="36" customHeight="1" x14ac:dyDescent="0.2">
      <c r="B1880" s="142"/>
      <c r="C1880" s="140"/>
      <c r="D1880" s="76"/>
      <c r="E1880" s="150"/>
      <c r="F1880" s="316"/>
      <c r="G1880" s="314"/>
      <c r="H1880" s="315"/>
      <c r="I1880" s="80"/>
      <c r="J1880" s="76"/>
      <c r="K1880" s="76"/>
      <c r="L1880" s="79"/>
    </row>
    <row r="1881" spans="1:12" ht="24" customHeight="1" x14ac:dyDescent="0.25">
      <c r="A1881" s="1"/>
      <c r="B1881" s="39"/>
      <c r="C1881" s="1"/>
      <c r="D1881" s="1"/>
      <c r="E1881" s="1"/>
      <c r="F1881" s="40" t="s">
        <v>5</v>
      </c>
      <c r="G1881" s="40"/>
      <c r="H1881" s="1"/>
      <c r="I1881" s="41">
        <f>I1879+I1880</f>
        <v>250000</v>
      </c>
      <c r="J1881" s="1"/>
      <c r="K1881" s="1"/>
      <c r="L1881" s="42"/>
    </row>
    <row r="1882" spans="1:12" ht="9.75" customHeight="1" thickBot="1" x14ac:dyDescent="0.3">
      <c r="A1882" s="1"/>
      <c r="B1882" s="43"/>
      <c r="C1882" s="44"/>
      <c r="D1882" s="44"/>
      <c r="E1882" s="44"/>
      <c r="F1882" s="45"/>
      <c r="G1882" s="45"/>
      <c r="H1882" s="44"/>
      <c r="I1882" s="46"/>
      <c r="J1882" s="44"/>
      <c r="K1882" s="44"/>
      <c r="L1882" s="47"/>
    </row>
    <row r="1883" spans="1:12" ht="21" customHeight="1" thickTop="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 ht="49.5" customHeight="1" x14ac:dyDescent="0.2">
      <c r="A1884" s="10" t="s">
        <v>2</v>
      </c>
      <c r="B1884" s="279" t="s">
        <v>11</v>
      </c>
      <c r="C1884" s="279"/>
      <c r="D1884" s="279"/>
      <c r="E1884" s="279"/>
      <c r="F1884" s="279"/>
      <c r="G1884" s="279"/>
      <c r="H1884" s="279"/>
      <c r="I1884" s="279"/>
      <c r="J1884" s="279"/>
      <c r="K1884" s="279"/>
      <c r="L1884" s="279"/>
    </row>
    <row r="1885" spans="1:12" ht="22.5" customHeight="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ht="16.5" customHeight="1" x14ac:dyDescent="0.2">
      <c r="A1886" s="280" t="s">
        <v>12</v>
      </c>
      <c r="B1886" s="280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</row>
    <row r="1887" spans="1:12" ht="16.5" customHeight="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ht="12" customHeight="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 ht="15.75" customHeight="1" x14ac:dyDescent="0.25">
      <c r="A1889" s="1"/>
      <c r="B1889" s="1"/>
      <c r="C1889" s="1"/>
      <c r="D1889" s="1"/>
      <c r="E1889" s="1"/>
      <c r="F1889" s="1"/>
      <c r="G1889" s="1"/>
      <c r="H1889" s="4" t="s">
        <v>199</v>
      </c>
      <c r="J1889" s="286" t="s">
        <v>357</v>
      </c>
      <c r="K1889" s="286"/>
      <c r="L1889" s="286"/>
    </row>
    <row r="1890" spans="1:12" ht="15.75" customHeight="1" x14ac:dyDescent="0.25">
      <c r="A1890" s="1"/>
      <c r="B1890" s="1" t="s">
        <v>15</v>
      </c>
      <c r="C1890" s="1"/>
      <c r="D1890" s="1"/>
      <c r="E1890" s="1"/>
      <c r="F1890" s="1"/>
      <c r="G1890" s="1"/>
      <c r="H1890" s="4" t="s">
        <v>13</v>
      </c>
    </row>
    <row r="1891" spans="1:12" ht="15.75" customHeight="1" x14ac:dyDescent="0.25">
      <c r="A1891" s="1"/>
      <c r="B1891" s="1" t="s">
        <v>18</v>
      </c>
      <c r="C1891" s="1"/>
      <c r="D1891" s="1"/>
      <c r="E1891" s="1"/>
      <c r="F1891" s="1"/>
      <c r="G1891" s="1"/>
      <c r="H1891" s="4" t="s">
        <v>14</v>
      </c>
    </row>
    <row r="1892" spans="1:12" ht="15.75" customHeight="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 ht="15.75" customHeight="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 ht="15" x14ac:dyDescent="0.25">
      <c r="A1894" s="1"/>
      <c r="B1894" s="103"/>
      <c r="C1894" s="103"/>
      <c r="D1894" s="103"/>
      <c r="E1894" s="103"/>
      <c r="F1894" s="103"/>
      <c r="G1894" s="103"/>
      <c r="H1894" s="103"/>
      <c r="I1894" s="103"/>
      <c r="J1894" s="103"/>
      <c r="K1894" s="103"/>
      <c r="L1894" s="1"/>
    </row>
    <row r="1895" spans="1:12" ht="18" customHeight="1" x14ac:dyDescent="0.25">
      <c r="A1895" s="1"/>
      <c r="K1895" s="103"/>
      <c r="L1895" s="1"/>
    </row>
    <row r="1896" spans="1:12" ht="15" x14ac:dyDescent="0.25">
      <c r="A1896" s="1"/>
      <c r="B1896" s="95" t="s">
        <v>77</v>
      </c>
      <c r="H1896" s="95" t="s">
        <v>78</v>
      </c>
      <c r="I1896" s="95"/>
      <c r="J1896" s="92"/>
      <c r="K1896" s="103"/>
      <c r="L1896" s="1"/>
    </row>
    <row r="1897" spans="1:12" ht="20.25" customHeight="1" x14ac:dyDescent="0.25">
      <c r="A1897" s="1"/>
      <c r="B1897" s="99" t="s">
        <v>27</v>
      </c>
      <c r="C1897" s="57"/>
      <c r="H1897" s="99" t="s">
        <v>79</v>
      </c>
      <c r="K1897" s="103"/>
    </row>
    <row r="1898" spans="1:12" ht="12.75" x14ac:dyDescent="0.2"/>
    <row r="1899" spans="1:12" ht="15" customHeight="1" x14ac:dyDescent="0.2"/>
    <row r="1900" spans="1:12" ht="12.75" x14ac:dyDescent="0.2"/>
    <row r="1901" spans="1:12" ht="12.75" x14ac:dyDescent="0.2"/>
    <row r="1902" spans="1:12" ht="15.75" x14ac:dyDescent="0.25">
      <c r="A1902" s="3" t="s">
        <v>22</v>
      </c>
    </row>
    <row r="1903" spans="1:12" ht="15.75" x14ac:dyDescent="0.2">
      <c r="A1903" s="122" t="s">
        <v>20</v>
      </c>
    </row>
    <row r="1904" spans="1:12" ht="15.75" x14ac:dyDescent="0.2">
      <c r="A1904" s="122" t="s">
        <v>21</v>
      </c>
    </row>
    <row r="1905" spans="1:12" ht="13.5" customHeight="1" x14ac:dyDescent="0.2"/>
    <row r="1906" spans="1:12" ht="12.75" x14ac:dyDescent="0.2"/>
    <row r="1907" spans="1:12" ht="19.5" customHeight="1" x14ac:dyDescent="0.2"/>
    <row r="1908" spans="1:12" ht="18.75" x14ac:dyDescent="0.3">
      <c r="A1908" s="276" t="s">
        <v>6</v>
      </c>
      <c r="B1908" s="276"/>
      <c r="C1908" s="276"/>
      <c r="D1908" s="276"/>
      <c r="E1908" s="276"/>
      <c r="F1908" s="276"/>
      <c r="G1908" s="276"/>
      <c r="H1908" s="276"/>
      <c r="I1908" s="276"/>
      <c r="J1908" s="276"/>
      <c r="K1908" s="276"/>
      <c r="L1908" s="276"/>
    </row>
    <row r="1909" spans="1:12" ht="18.75" x14ac:dyDescent="0.3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</row>
    <row r="1910" spans="1:12" ht="18.75" x14ac:dyDescent="0.3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</row>
    <row r="1911" spans="1:12" ht="14.25" customHeight="1" x14ac:dyDescent="0.25">
      <c r="A1911" s="1"/>
      <c r="B1911" s="1"/>
    </row>
    <row r="1912" spans="1:12" ht="12.75" customHeight="1" x14ac:dyDescent="0.25">
      <c r="A1912" s="1" t="s">
        <v>7</v>
      </c>
      <c r="B1912" s="1"/>
    </row>
    <row r="1913" spans="1:12" ht="11.25" customHeight="1" x14ac:dyDescent="0.25">
      <c r="A1913" s="1"/>
      <c r="B1913" s="1"/>
    </row>
    <row r="1914" spans="1:12" ht="14.25" customHeight="1" x14ac:dyDescent="0.25">
      <c r="A1914" s="1" t="s">
        <v>8</v>
      </c>
      <c r="C1914" s="9" t="s">
        <v>1</v>
      </c>
      <c r="D1914" s="92" t="s">
        <v>96</v>
      </c>
      <c r="E1914" s="76"/>
      <c r="F1914" s="76"/>
      <c r="G1914" s="76"/>
      <c r="H1914" s="76"/>
    </row>
    <row r="1915" spans="1:12" ht="17.25" customHeight="1" x14ac:dyDescent="0.25">
      <c r="A1915" s="1" t="s">
        <v>9</v>
      </c>
      <c r="C1915" s="9" t="s">
        <v>1</v>
      </c>
      <c r="D1915" s="57" t="s">
        <v>200</v>
      </c>
      <c r="E1915" s="76"/>
      <c r="F1915" s="76"/>
      <c r="G1915" s="76"/>
      <c r="H1915" s="76"/>
    </row>
    <row r="1916" spans="1:12" ht="21.75" customHeight="1" x14ac:dyDescent="0.2">
      <c r="A1916" s="50" t="s">
        <v>10</v>
      </c>
      <c r="B1916" s="76"/>
      <c r="C1916" s="91" t="s">
        <v>1</v>
      </c>
      <c r="D1916" s="50" t="s">
        <v>203</v>
      </c>
      <c r="E1916" s="76"/>
      <c r="F1916" s="76"/>
      <c r="G1916" s="76"/>
      <c r="H1916" s="76"/>
      <c r="I1916" s="76"/>
      <c r="J1916" s="76"/>
      <c r="K1916" s="76"/>
      <c r="L1916" s="76"/>
    </row>
    <row r="1917" spans="1:12" ht="15" x14ac:dyDescent="0.25">
      <c r="A1917" s="1"/>
      <c r="B1917" s="1"/>
      <c r="D1917" s="1"/>
    </row>
    <row r="1918" spans="1:12" ht="26.25" customHeight="1" x14ac:dyDescent="0.2">
      <c r="A1918" s="277" t="s">
        <v>392</v>
      </c>
      <c r="B1918" s="277"/>
      <c r="C1918" s="277"/>
      <c r="D1918" s="277"/>
      <c r="E1918" s="277"/>
      <c r="F1918" s="277"/>
      <c r="G1918" s="277"/>
      <c r="H1918" s="277"/>
      <c r="I1918" s="277"/>
      <c r="J1918" s="277"/>
      <c r="K1918" s="277"/>
      <c r="L1918" s="277"/>
    </row>
    <row r="1919" spans="1:12" ht="18.75" customHeight="1" x14ac:dyDescent="0.25">
      <c r="A1919" s="1"/>
      <c r="B1919" s="1"/>
    </row>
    <row r="1920" spans="1:12" ht="37.5" customHeight="1" thickBot="1" x14ac:dyDescent="0.25">
      <c r="A1920" s="10" t="s">
        <v>0</v>
      </c>
      <c r="B1920" s="278" t="s">
        <v>91</v>
      </c>
      <c r="C1920" s="278"/>
      <c r="D1920" s="278"/>
      <c r="E1920" s="278"/>
      <c r="F1920" s="278"/>
      <c r="G1920" s="278"/>
      <c r="H1920" s="278"/>
      <c r="I1920" s="278"/>
      <c r="J1920" s="278"/>
      <c r="K1920" s="278"/>
      <c r="L1920" s="278"/>
    </row>
    <row r="1921" spans="1:12" ht="15.75" thickTop="1" x14ac:dyDescent="0.25">
      <c r="A1921" s="1"/>
      <c r="B1921" s="11" t="s">
        <v>3</v>
      </c>
      <c r="C1921" s="12" t="s">
        <v>4</v>
      </c>
      <c r="D1921" s="13"/>
      <c r="E1921" s="13"/>
      <c r="F1921" s="13"/>
      <c r="G1921" s="13"/>
      <c r="H1921" s="14"/>
      <c r="I1921" s="15" t="s">
        <v>5</v>
      </c>
      <c r="J1921" s="12" t="s">
        <v>17</v>
      </c>
      <c r="K1921" s="13"/>
      <c r="L1921" s="14"/>
    </row>
    <row r="1922" spans="1:12" ht="17.25" customHeight="1" x14ac:dyDescent="0.2">
      <c r="A1922" s="50"/>
      <c r="B1922" s="143">
        <v>1</v>
      </c>
      <c r="C1922" s="284" t="s">
        <v>313</v>
      </c>
      <c r="D1922" s="285"/>
      <c r="E1922" s="285"/>
      <c r="F1922" s="285"/>
      <c r="G1922" s="76"/>
      <c r="H1922" s="79"/>
      <c r="I1922" s="56">
        <v>250000</v>
      </c>
      <c r="J1922" s="76"/>
      <c r="K1922" s="76"/>
      <c r="L1922" s="79"/>
    </row>
    <row r="1923" spans="1:12" ht="47.25" customHeight="1" x14ac:dyDescent="0.2">
      <c r="B1923" s="96"/>
      <c r="C1923" s="124"/>
      <c r="D1923" s="124"/>
      <c r="E1923" s="127"/>
      <c r="F1923" s="125"/>
      <c r="G1923" s="124"/>
      <c r="H1923" s="124"/>
      <c r="I1923" s="23"/>
      <c r="L1923" s="17"/>
    </row>
    <row r="1924" spans="1:12" ht="23.25" customHeight="1" x14ac:dyDescent="0.25">
      <c r="A1924" s="1"/>
      <c r="B1924" s="39"/>
      <c r="C1924" s="1"/>
      <c r="D1924" s="1"/>
      <c r="E1924" s="1"/>
      <c r="F1924" s="40" t="s">
        <v>5</v>
      </c>
      <c r="G1924" s="40"/>
      <c r="H1924" s="1"/>
      <c r="I1924" s="41">
        <f>SUM(I1922:I1922)</f>
        <v>250000</v>
      </c>
      <c r="J1924" s="1"/>
      <c r="K1924" s="1"/>
      <c r="L1924" s="42"/>
    </row>
    <row r="1925" spans="1:12" ht="15.75" thickBot="1" x14ac:dyDescent="0.3">
      <c r="A1925" s="1"/>
      <c r="B1925" s="43"/>
      <c r="C1925" s="44"/>
      <c r="D1925" s="44"/>
      <c r="E1925" s="44"/>
      <c r="F1925" s="45"/>
      <c r="G1925" s="45"/>
      <c r="H1925" s="44"/>
      <c r="I1925" s="46"/>
      <c r="J1925" s="44"/>
      <c r="K1925" s="44"/>
      <c r="L1925" s="47"/>
    </row>
    <row r="1926" spans="1:12" ht="15" customHeight="1" thickTop="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 ht="49.5" customHeight="1" x14ac:dyDescent="0.2">
      <c r="A1927" s="10" t="s">
        <v>2</v>
      </c>
      <c r="B1927" s="279" t="s">
        <v>11</v>
      </c>
      <c r="C1927" s="279"/>
      <c r="D1927" s="279"/>
      <c r="E1927" s="279"/>
      <c r="F1927" s="279"/>
      <c r="G1927" s="279"/>
      <c r="H1927" s="279"/>
      <c r="I1927" s="279"/>
      <c r="J1927" s="279"/>
      <c r="K1927" s="279"/>
      <c r="L1927" s="279"/>
    </row>
    <row r="1928" spans="1:12" ht="15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 ht="16.5" customHeight="1" x14ac:dyDescent="0.2">
      <c r="A1929" s="280" t="s">
        <v>12</v>
      </c>
      <c r="B1929" s="280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</row>
    <row r="1930" spans="1:12" ht="15" customHeight="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 ht="15" customHeight="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ht="15" x14ac:dyDescent="0.25">
      <c r="A1932" s="1"/>
      <c r="B1932" s="1"/>
      <c r="C1932" s="1"/>
      <c r="D1932" s="1"/>
      <c r="E1932" s="1"/>
      <c r="F1932" s="1"/>
      <c r="G1932" s="1"/>
      <c r="H1932" s="4" t="s">
        <v>199</v>
      </c>
      <c r="J1932" s="286" t="s">
        <v>357</v>
      </c>
      <c r="K1932" s="286"/>
      <c r="L1932" s="286"/>
    </row>
    <row r="1933" spans="1:12" ht="16.5" customHeight="1" x14ac:dyDescent="0.25">
      <c r="A1933" s="1"/>
      <c r="B1933" s="1" t="s">
        <v>15</v>
      </c>
      <c r="C1933" s="1"/>
      <c r="D1933" s="1"/>
      <c r="E1933" s="1"/>
      <c r="F1933" s="1"/>
      <c r="G1933" s="1"/>
      <c r="H1933" s="4" t="s">
        <v>13</v>
      </c>
    </row>
    <row r="1934" spans="1:12" ht="11.25" customHeight="1" x14ac:dyDescent="0.25">
      <c r="A1934" s="1"/>
      <c r="B1934" s="1" t="s">
        <v>18</v>
      </c>
      <c r="C1934" s="1"/>
      <c r="D1934" s="1"/>
      <c r="E1934" s="1"/>
      <c r="F1934" s="1"/>
      <c r="G1934" s="1"/>
      <c r="H1934" s="4" t="s">
        <v>14</v>
      </c>
    </row>
    <row r="1935" spans="1:12" ht="15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 ht="15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 ht="13.5" customHeight="1" x14ac:dyDescent="0.25">
      <c r="A1937" s="1"/>
      <c r="B1937" s="103"/>
      <c r="C1937" s="103"/>
      <c r="D1937" s="103"/>
      <c r="E1937" s="103"/>
      <c r="F1937" s="103"/>
      <c r="G1937" s="103"/>
      <c r="H1937" s="103"/>
      <c r="I1937" s="103"/>
      <c r="J1937" s="103"/>
      <c r="K1937" s="103"/>
      <c r="L1937" s="1"/>
    </row>
    <row r="1938" spans="1:12" ht="15" customHeight="1" x14ac:dyDescent="0.25">
      <c r="A1938" s="1"/>
      <c r="K1938" s="103"/>
      <c r="L1938" s="1"/>
    </row>
    <row r="1939" spans="1:12" ht="15" customHeight="1" x14ac:dyDescent="0.25">
      <c r="A1939" s="1"/>
      <c r="B1939" s="95" t="s">
        <v>77</v>
      </c>
      <c r="H1939" s="95" t="s">
        <v>96</v>
      </c>
      <c r="I1939" s="95"/>
      <c r="J1939" s="92"/>
      <c r="K1939" s="103"/>
      <c r="L1939" s="1"/>
    </row>
    <row r="1940" spans="1:12" ht="21.75" customHeight="1" x14ac:dyDescent="0.25">
      <c r="A1940" s="1"/>
      <c r="B1940" s="99" t="s">
        <v>27</v>
      </c>
      <c r="C1940" s="57"/>
      <c r="H1940" s="99" t="s">
        <v>100</v>
      </c>
      <c r="K1940" s="103"/>
    </row>
    <row r="1941" spans="1:12" ht="12.75" x14ac:dyDescent="0.2"/>
    <row r="1942" spans="1:12" ht="21.75" customHeight="1" x14ac:dyDescent="0.2"/>
    <row r="1943" spans="1:12" ht="12.75" x14ac:dyDescent="0.2"/>
    <row r="1944" spans="1:12" ht="21.75" customHeight="1" x14ac:dyDescent="0.25">
      <c r="A1944" s="3" t="s">
        <v>22</v>
      </c>
    </row>
    <row r="1945" spans="1:12" ht="15.75" x14ac:dyDescent="0.2">
      <c r="A1945" s="122" t="s">
        <v>20</v>
      </c>
    </row>
    <row r="1946" spans="1:12" ht="15.75" x14ac:dyDescent="0.2">
      <c r="A1946" s="122" t="s">
        <v>21</v>
      </c>
    </row>
    <row r="1947" spans="1:12" ht="12.75" x14ac:dyDescent="0.2"/>
    <row r="1948" spans="1:12" ht="12.75" x14ac:dyDescent="0.2"/>
    <row r="1949" spans="1:12" ht="12.75" x14ac:dyDescent="0.2"/>
    <row r="1950" spans="1:12" ht="18.75" x14ac:dyDescent="0.3">
      <c r="A1950" s="276" t="s">
        <v>6</v>
      </c>
      <c r="B1950" s="276"/>
      <c r="C1950" s="276"/>
      <c r="D1950" s="276"/>
      <c r="E1950" s="276"/>
      <c r="F1950" s="276"/>
      <c r="G1950" s="276"/>
      <c r="H1950" s="276"/>
      <c r="I1950" s="276"/>
      <c r="J1950" s="276"/>
      <c r="K1950" s="276"/>
      <c r="L1950" s="276"/>
    </row>
    <row r="1951" spans="1:12" ht="18.75" x14ac:dyDescent="0.3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</row>
    <row r="1952" spans="1:12" ht="19.5" customHeight="1" x14ac:dyDescent="0.3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</row>
    <row r="1953" spans="1:12" ht="15" x14ac:dyDescent="0.25">
      <c r="A1953" s="1"/>
      <c r="B1953" s="1"/>
    </row>
    <row r="1954" spans="1:12" ht="15.75" customHeight="1" x14ac:dyDescent="0.25">
      <c r="A1954" s="1" t="s">
        <v>7</v>
      </c>
      <c r="B1954" s="1"/>
    </row>
    <row r="1955" spans="1:12" ht="15" x14ac:dyDescent="0.25">
      <c r="A1955" s="1"/>
      <c r="B1955" s="1"/>
    </row>
    <row r="1956" spans="1:12" ht="18" customHeight="1" x14ac:dyDescent="0.25">
      <c r="A1956" s="1" t="s">
        <v>8</v>
      </c>
      <c r="C1956" s="9" t="s">
        <v>1</v>
      </c>
      <c r="D1956" s="92" t="s">
        <v>77</v>
      </c>
      <c r="E1956" s="76"/>
      <c r="F1956" s="76"/>
      <c r="G1956" s="76"/>
      <c r="H1956" s="76"/>
    </row>
    <row r="1957" spans="1:12" ht="15" x14ac:dyDescent="0.25">
      <c r="A1957" s="1" t="s">
        <v>9</v>
      </c>
      <c r="C1957" s="9" t="s">
        <v>1</v>
      </c>
      <c r="D1957" s="57" t="s">
        <v>201</v>
      </c>
      <c r="E1957" s="76"/>
      <c r="F1957" s="76"/>
      <c r="G1957" s="76"/>
      <c r="H1957" s="76"/>
    </row>
    <row r="1958" spans="1:12" ht="12.75" customHeight="1" x14ac:dyDescent="0.2">
      <c r="A1958" s="50" t="s">
        <v>10</v>
      </c>
      <c r="B1958" s="76"/>
      <c r="C1958" s="91" t="s">
        <v>1</v>
      </c>
      <c r="D1958" s="50" t="s">
        <v>265</v>
      </c>
      <c r="E1958" s="76"/>
      <c r="F1958" s="76"/>
      <c r="G1958" s="76"/>
      <c r="H1958" s="76"/>
      <c r="I1958" s="76"/>
      <c r="J1958" s="76"/>
      <c r="K1958" s="76"/>
      <c r="L1958" s="76"/>
    </row>
    <row r="1959" spans="1:12" ht="15" x14ac:dyDescent="0.25">
      <c r="A1959" s="1"/>
      <c r="B1959" s="1"/>
      <c r="D1959" s="1"/>
    </row>
    <row r="1960" spans="1:12" ht="35.25" customHeight="1" x14ac:dyDescent="0.2">
      <c r="A1960" s="277" t="s">
        <v>392</v>
      </c>
      <c r="B1960" s="277"/>
      <c r="C1960" s="277"/>
      <c r="D1960" s="277"/>
      <c r="E1960" s="277"/>
      <c r="F1960" s="277"/>
      <c r="G1960" s="277"/>
      <c r="H1960" s="277"/>
      <c r="I1960" s="277"/>
      <c r="J1960" s="277"/>
      <c r="K1960" s="277"/>
      <c r="L1960" s="277"/>
    </row>
    <row r="1961" spans="1:12" ht="10.5" customHeight="1" x14ac:dyDescent="0.25">
      <c r="A1961" s="1"/>
      <c r="B1961" s="1"/>
    </row>
    <row r="1962" spans="1:12" ht="38.25" customHeight="1" thickBot="1" x14ac:dyDescent="0.25">
      <c r="A1962" s="10" t="s">
        <v>0</v>
      </c>
      <c r="B1962" s="278" t="s">
        <v>91</v>
      </c>
      <c r="C1962" s="278"/>
      <c r="D1962" s="278"/>
      <c r="E1962" s="278"/>
      <c r="F1962" s="278"/>
      <c r="G1962" s="278"/>
      <c r="H1962" s="278"/>
      <c r="I1962" s="278"/>
      <c r="J1962" s="278"/>
      <c r="K1962" s="278"/>
      <c r="L1962" s="278"/>
    </row>
    <row r="1963" spans="1:12" ht="19.5" customHeight="1" thickTop="1" x14ac:dyDescent="0.25">
      <c r="A1963" s="1"/>
      <c r="B1963" s="11" t="s">
        <v>3</v>
      </c>
      <c r="C1963" s="12" t="s">
        <v>4</v>
      </c>
      <c r="D1963" s="13"/>
      <c r="E1963" s="13"/>
      <c r="F1963" s="13"/>
      <c r="G1963" s="13"/>
      <c r="H1963" s="14"/>
      <c r="I1963" s="15" t="s">
        <v>5</v>
      </c>
      <c r="J1963" s="12" t="s">
        <v>17</v>
      </c>
      <c r="K1963" s="13"/>
      <c r="L1963" s="14"/>
    </row>
    <row r="1964" spans="1:12" ht="15" x14ac:dyDescent="0.2">
      <c r="A1964" s="50"/>
      <c r="B1964" s="143">
        <v>1</v>
      </c>
      <c r="C1964" s="284" t="s">
        <v>313</v>
      </c>
      <c r="D1964" s="285"/>
      <c r="E1964" s="285"/>
      <c r="F1964" s="285"/>
      <c r="G1964" s="76"/>
      <c r="H1964" s="79"/>
      <c r="I1964" s="56">
        <v>250000</v>
      </c>
      <c r="J1964" s="76"/>
      <c r="K1964" s="76"/>
      <c r="L1964" s="79"/>
    </row>
    <row r="1965" spans="1:12" ht="46.5" customHeight="1" x14ac:dyDescent="0.2">
      <c r="B1965" s="96"/>
      <c r="C1965" s="124"/>
      <c r="D1965" s="124"/>
      <c r="E1965" s="127"/>
      <c r="F1965" s="125"/>
      <c r="G1965" s="124"/>
      <c r="H1965" s="124"/>
      <c r="I1965" s="23"/>
      <c r="L1965" s="17"/>
    </row>
    <row r="1966" spans="1:12" ht="15" x14ac:dyDescent="0.25">
      <c r="A1966" s="1"/>
      <c r="B1966" s="39"/>
      <c r="C1966" s="1"/>
      <c r="D1966" s="1"/>
      <c r="E1966" s="1"/>
      <c r="F1966" s="40" t="s">
        <v>5</v>
      </c>
      <c r="G1966" s="40"/>
      <c r="H1966" s="1"/>
      <c r="I1966" s="41">
        <f>SUM(I1964:I1964)</f>
        <v>250000</v>
      </c>
      <c r="J1966" s="1"/>
      <c r="K1966" s="1"/>
      <c r="L1966" s="42"/>
    </row>
    <row r="1967" spans="1:12" ht="15.75" thickBot="1" x14ac:dyDescent="0.3">
      <c r="A1967" s="1"/>
      <c r="B1967" s="43"/>
      <c r="C1967" s="44"/>
      <c r="D1967" s="44"/>
      <c r="E1967" s="44"/>
      <c r="F1967" s="45"/>
      <c r="G1967" s="45"/>
      <c r="H1967" s="44"/>
      <c r="I1967" s="46"/>
      <c r="J1967" s="44"/>
      <c r="K1967" s="44"/>
      <c r="L1967" s="47"/>
    </row>
    <row r="1968" spans="1:12" ht="15.75" thickTop="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 ht="56.25" customHeight="1" x14ac:dyDescent="0.2">
      <c r="A1969" s="10" t="s">
        <v>2</v>
      </c>
      <c r="B1969" s="279" t="s">
        <v>11</v>
      </c>
      <c r="C1969" s="279"/>
      <c r="D1969" s="279"/>
      <c r="E1969" s="279"/>
      <c r="F1969" s="279"/>
      <c r="G1969" s="279"/>
      <c r="H1969" s="279"/>
      <c r="I1969" s="279"/>
      <c r="J1969" s="279"/>
      <c r="K1969" s="279"/>
      <c r="L1969" s="279"/>
    </row>
    <row r="1970" spans="1:12" ht="17.25" customHeight="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 ht="15" customHeight="1" x14ac:dyDescent="0.2">
      <c r="A1971" s="280" t="s">
        <v>12</v>
      </c>
      <c r="B1971" s="280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</row>
    <row r="1972" spans="1:12" ht="15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 ht="15" customHeight="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 ht="15" x14ac:dyDescent="0.25">
      <c r="A1974" s="1"/>
      <c r="B1974" s="1"/>
      <c r="C1974" s="1"/>
      <c r="D1974" s="1"/>
      <c r="E1974" s="1"/>
      <c r="F1974" s="1"/>
      <c r="G1974" s="1"/>
      <c r="H1974" s="4" t="s">
        <v>199</v>
      </c>
      <c r="J1974" s="286" t="s">
        <v>357</v>
      </c>
      <c r="K1974" s="286"/>
      <c r="L1974" s="286"/>
    </row>
    <row r="1975" spans="1:12" ht="15" x14ac:dyDescent="0.25">
      <c r="A1975" s="1"/>
      <c r="B1975" s="1" t="s">
        <v>15</v>
      </c>
      <c r="C1975" s="1"/>
      <c r="D1975" s="1"/>
      <c r="E1975" s="1"/>
      <c r="F1975" s="1"/>
      <c r="G1975" s="1"/>
      <c r="H1975" s="4" t="s">
        <v>13</v>
      </c>
    </row>
    <row r="1976" spans="1:12" ht="15.75" customHeight="1" x14ac:dyDescent="0.25">
      <c r="A1976" s="1"/>
      <c r="B1976" s="1" t="s">
        <v>18</v>
      </c>
      <c r="C1976" s="1"/>
      <c r="D1976" s="1"/>
      <c r="E1976" s="1"/>
      <c r="F1976" s="1"/>
      <c r="G1976" s="1"/>
      <c r="H1976" s="4" t="s">
        <v>14</v>
      </c>
    </row>
    <row r="1977" spans="1:12" ht="15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 ht="12.75" customHeight="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 ht="17.25" customHeight="1" x14ac:dyDescent="0.25">
      <c r="A1979" s="1"/>
      <c r="B1979" s="103"/>
      <c r="C1979" s="103"/>
      <c r="D1979" s="103"/>
      <c r="E1979" s="103"/>
      <c r="F1979" s="103"/>
      <c r="G1979" s="103"/>
      <c r="H1979" s="103"/>
      <c r="I1979" s="103"/>
      <c r="J1979" s="103"/>
      <c r="K1979" s="103"/>
      <c r="L1979" s="1"/>
    </row>
    <row r="1980" spans="1:12" ht="21.75" customHeight="1" x14ac:dyDescent="0.25">
      <c r="A1980" s="1"/>
      <c r="K1980" s="103"/>
      <c r="L1980" s="1"/>
    </row>
    <row r="1981" spans="1:12" ht="15" x14ac:dyDescent="0.25">
      <c r="A1981" s="1"/>
      <c r="B1981" s="95" t="s">
        <v>77</v>
      </c>
      <c r="H1981" s="95" t="s">
        <v>77</v>
      </c>
      <c r="I1981" s="95"/>
      <c r="J1981" s="92"/>
      <c r="K1981" s="103"/>
      <c r="L1981" s="1"/>
    </row>
    <row r="1982" spans="1:12" ht="15" x14ac:dyDescent="0.25">
      <c r="A1982" s="1"/>
      <c r="B1982" s="99" t="s">
        <v>27</v>
      </c>
      <c r="C1982" s="57"/>
      <c r="H1982" s="99" t="s">
        <v>27</v>
      </c>
      <c r="K1982" s="103"/>
    </row>
    <row r="1983" spans="1:12" ht="19.5" customHeight="1" x14ac:dyDescent="0.2"/>
    <row r="1984" spans="1:12" ht="15.75" customHeight="1" x14ac:dyDescent="0.2"/>
    <row r="1985" spans="1:12" ht="18" customHeight="1" x14ac:dyDescent="0.2"/>
    <row r="1986" spans="1:12" ht="14.25" customHeight="1" x14ac:dyDescent="0.2"/>
    <row r="1987" spans="1:12" ht="12.75" x14ac:dyDescent="0.2"/>
    <row r="1988" spans="1:12" ht="15.75" x14ac:dyDescent="0.25">
      <c r="A1988" s="3" t="s">
        <v>22</v>
      </c>
    </row>
    <row r="1989" spans="1:12" ht="15" customHeight="1" x14ac:dyDescent="0.2">
      <c r="A1989" s="122" t="s">
        <v>20</v>
      </c>
    </row>
    <row r="1990" spans="1:12" ht="21.75" customHeight="1" x14ac:dyDescent="0.2">
      <c r="A1990" s="122" t="s">
        <v>21</v>
      </c>
    </row>
    <row r="1991" spans="1:12" ht="24" hidden="1" customHeight="1" x14ac:dyDescent="0.2"/>
    <row r="1992" spans="1:12" ht="23.25" customHeight="1" x14ac:dyDescent="0.2"/>
    <row r="1993" spans="1:12" ht="15.75" customHeight="1" x14ac:dyDescent="0.2"/>
    <row r="1994" spans="1:12" ht="18.75" x14ac:dyDescent="0.3">
      <c r="A1994" s="276" t="s">
        <v>6</v>
      </c>
      <c r="B1994" s="276"/>
      <c r="C1994" s="276"/>
      <c r="D1994" s="276"/>
      <c r="E1994" s="276"/>
      <c r="F1994" s="276"/>
      <c r="G1994" s="276"/>
      <c r="H1994" s="276"/>
      <c r="I1994" s="276"/>
      <c r="J1994" s="276"/>
      <c r="K1994" s="276"/>
      <c r="L1994" s="276"/>
    </row>
    <row r="1995" spans="1:12" ht="18.75" x14ac:dyDescent="0.3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</row>
    <row r="1996" spans="1:12" ht="18.75" x14ac:dyDescent="0.3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</row>
    <row r="1997" spans="1:12" ht="15" x14ac:dyDescent="0.25">
      <c r="A1997" s="1"/>
      <c r="B1997" s="1"/>
    </row>
    <row r="1998" spans="1:12" ht="15" x14ac:dyDescent="0.25">
      <c r="A1998" s="1" t="s">
        <v>7</v>
      </c>
      <c r="B1998" s="1"/>
    </row>
    <row r="1999" spans="1:12" ht="11.25" customHeight="1" x14ac:dyDescent="0.25">
      <c r="A1999" s="1"/>
      <c r="B1999" s="1"/>
    </row>
    <row r="2000" spans="1:12" ht="15" x14ac:dyDescent="0.25">
      <c r="A2000" s="1" t="s">
        <v>8</v>
      </c>
      <c r="C2000" s="9" t="s">
        <v>1</v>
      </c>
      <c r="D2000" s="92" t="s">
        <v>107</v>
      </c>
      <c r="E2000" s="76"/>
      <c r="F2000" s="76"/>
      <c r="G2000" s="76"/>
      <c r="H2000" s="76"/>
    </row>
    <row r="2001" spans="1:12" ht="15.75" customHeight="1" x14ac:dyDescent="0.25">
      <c r="A2001" s="1" t="s">
        <v>9</v>
      </c>
      <c r="C2001" s="9" t="s">
        <v>1</v>
      </c>
      <c r="D2001" s="57" t="s">
        <v>387</v>
      </c>
      <c r="E2001" s="76"/>
      <c r="F2001" s="76"/>
      <c r="G2001" s="76"/>
      <c r="H2001" s="76"/>
    </row>
    <row r="2002" spans="1:12" ht="21" customHeight="1" x14ac:dyDescent="0.2">
      <c r="A2002" s="50" t="s">
        <v>10</v>
      </c>
      <c r="B2002" s="76"/>
      <c r="C2002" s="91" t="s">
        <v>1</v>
      </c>
      <c r="D2002" s="50" t="s">
        <v>250</v>
      </c>
      <c r="E2002" s="76"/>
      <c r="F2002" s="76"/>
      <c r="G2002" s="76"/>
      <c r="H2002" s="76"/>
      <c r="I2002" s="76"/>
      <c r="J2002" s="76"/>
      <c r="K2002" s="76"/>
      <c r="L2002" s="76"/>
    </row>
    <row r="2003" spans="1:12" ht="17.25" customHeight="1" x14ac:dyDescent="0.25">
      <c r="A2003" s="1"/>
      <c r="B2003" s="1"/>
      <c r="D2003" s="1"/>
    </row>
    <row r="2004" spans="1:12" ht="24" customHeight="1" x14ac:dyDescent="0.2">
      <c r="A2004" s="277" t="s">
        <v>386</v>
      </c>
      <c r="B2004" s="277"/>
      <c r="C2004" s="277"/>
      <c r="D2004" s="277"/>
      <c r="E2004" s="277"/>
      <c r="F2004" s="277"/>
      <c r="G2004" s="277"/>
      <c r="H2004" s="277"/>
      <c r="I2004" s="277"/>
      <c r="J2004" s="277"/>
      <c r="K2004" s="277"/>
      <c r="L2004" s="277"/>
    </row>
    <row r="2005" spans="1:12" ht="24" customHeight="1" x14ac:dyDescent="0.25">
      <c r="A2005" s="1"/>
      <c r="B2005" s="1"/>
    </row>
    <row r="2006" spans="1:12" ht="35.25" customHeight="1" thickBot="1" x14ac:dyDescent="0.25">
      <c r="A2006" s="10" t="s">
        <v>0</v>
      </c>
      <c r="B2006" s="278" t="s">
        <v>91</v>
      </c>
      <c r="C2006" s="278"/>
      <c r="D2006" s="278"/>
      <c r="E2006" s="278"/>
      <c r="F2006" s="278"/>
      <c r="G2006" s="278"/>
      <c r="H2006" s="278"/>
      <c r="I2006" s="278"/>
      <c r="J2006" s="278"/>
      <c r="K2006" s="278"/>
      <c r="L2006" s="278"/>
    </row>
    <row r="2007" spans="1:12" ht="15.75" thickTop="1" x14ac:dyDescent="0.25">
      <c r="A2007" s="1"/>
      <c r="B2007" s="11" t="s">
        <v>3</v>
      </c>
      <c r="C2007" s="12" t="s">
        <v>4</v>
      </c>
      <c r="D2007" s="13"/>
      <c r="E2007" s="13"/>
      <c r="F2007" s="13"/>
      <c r="G2007" s="13"/>
      <c r="H2007" s="14"/>
      <c r="I2007" s="15" t="s">
        <v>5</v>
      </c>
      <c r="J2007" s="12" t="s">
        <v>17</v>
      </c>
      <c r="K2007" s="13"/>
      <c r="L2007" s="14"/>
    </row>
    <row r="2008" spans="1:12" ht="24" customHeight="1" x14ac:dyDescent="0.2">
      <c r="A2008" s="50"/>
      <c r="B2008" s="143">
        <v>1</v>
      </c>
      <c r="C2008" s="284" t="s">
        <v>313</v>
      </c>
      <c r="D2008" s="285"/>
      <c r="E2008" s="285"/>
      <c r="F2008" s="285"/>
      <c r="G2008" s="76"/>
      <c r="H2008" s="79"/>
      <c r="I2008" s="56">
        <v>250000</v>
      </c>
      <c r="J2008" s="76"/>
      <c r="K2008" s="76"/>
      <c r="L2008" s="79"/>
    </row>
    <row r="2009" spans="1:12" ht="20.25" customHeight="1" x14ac:dyDescent="0.2">
      <c r="B2009" s="96"/>
      <c r="C2009" s="124"/>
      <c r="D2009" s="124"/>
      <c r="E2009" s="127"/>
      <c r="F2009" s="125"/>
      <c r="G2009" s="124"/>
      <c r="H2009" s="124"/>
      <c r="I2009" s="23"/>
      <c r="L2009" s="17"/>
    </row>
    <row r="2010" spans="1:12" ht="19.5" customHeight="1" x14ac:dyDescent="0.25">
      <c r="A2010" s="1"/>
      <c r="B2010" s="39"/>
      <c r="C2010" s="1"/>
      <c r="D2010" s="1"/>
      <c r="E2010" s="1"/>
      <c r="F2010" s="40" t="s">
        <v>5</v>
      </c>
      <c r="G2010" s="40"/>
      <c r="H2010" s="1"/>
      <c r="I2010" s="41">
        <f>SUM(I2008:I2008)</f>
        <v>250000</v>
      </c>
      <c r="J2010" s="1"/>
      <c r="K2010" s="1"/>
      <c r="L2010" s="42"/>
    </row>
    <row r="2011" spans="1:12" ht="12" customHeight="1" thickBot="1" x14ac:dyDescent="0.3">
      <c r="A2011" s="1"/>
      <c r="B2011" s="43"/>
      <c r="C2011" s="44"/>
      <c r="D2011" s="44"/>
      <c r="E2011" s="44"/>
      <c r="F2011" s="45"/>
      <c r="G2011" s="45"/>
      <c r="H2011" s="44"/>
      <c r="I2011" s="46"/>
      <c r="J2011" s="44"/>
      <c r="K2011" s="44"/>
      <c r="L2011" s="47"/>
    </row>
    <row r="2012" spans="1:12" ht="15.75" thickTop="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 ht="45" customHeight="1" x14ac:dyDescent="0.2">
      <c r="A2013" s="10" t="s">
        <v>2</v>
      </c>
      <c r="B2013" s="279" t="s">
        <v>11</v>
      </c>
      <c r="C2013" s="279"/>
      <c r="D2013" s="279"/>
      <c r="E2013" s="279"/>
      <c r="F2013" s="279"/>
      <c r="G2013" s="279"/>
      <c r="H2013" s="279"/>
      <c r="I2013" s="279"/>
      <c r="J2013" s="279"/>
      <c r="K2013" s="279"/>
      <c r="L2013" s="279"/>
    </row>
    <row r="2014" spans="1:12" ht="15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 ht="15" x14ac:dyDescent="0.2">
      <c r="A2015" s="280" t="s">
        <v>12</v>
      </c>
      <c r="B2015" s="280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</row>
    <row r="2016" spans="1:12" ht="15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 ht="11.25" customHeight="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 ht="15.75" customHeight="1" x14ac:dyDescent="0.25">
      <c r="A2018" s="1"/>
      <c r="B2018" s="1"/>
      <c r="C2018" s="1"/>
      <c r="D2018" s="1"/>
      <c r="E2018" s="1"/>
      <c r="F2018" s="1"/>
      <c r="G2018" s="1"/>
      <c r="H2018" s="4" t="s">
        <v>199</v>
      </c>
      <c r="J2018" s="286" t="s">
        <v>357</v>
      </c>
      <c r="K2018" s="286"/>
      <c r="L2018" s="286"/>
    </row>
    <row r="2019" spans="1:12" ht="15" customHeight="1" x14ac:dyDescent="0.25">
      <c r="A2019" s="1"/>
      <c r="B2019" s="1" t="s">
        <v>15</v>
      </c>
      <c r="C2019" s="1"/>
      <c r="D2019" s="1"/>
      <c r="E2019" s="1"/>
      <c r="F2019" s="1"/>
      <c r="G2019" s="1"/>
      <c r="H2019" s="4" t="s">
        <v>13</v>
      </c>
    </row>
    <row r="2020" spans="1:12" ht="15" x14ac:dyDescent="0.25">
      <c r="A2020" s="1"/>
      <c r="B2020" s="1" t="s">
        <v>18</v>
      </c>
      <c r="C2020" s="1"/>
      <c r="D2020" s="1"/>
      <c r="E2020" s="1"/>
      <c r="F2020" s="1"/>
      <c r="G2020" s="1"/>
      <c r="H2020" s="4" t="s">
        <v>14</v>
      </c>
    </row>
    <row r="2021" spans="1:12" ht="27" customHeight="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 ht="8.25" customHeight="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 ht="15" hidden="1" customHeight="1" x14ac:dyDescent="0.25">
      <c r="A2023" s="1"/>
      <c r="B2023" s="103"/>
      <c r="C2023" s="103"/>
      <c r="D2023" s="103"/>
      <c r="E2023" s="103"/>
      <c r="F2023" s="103"/>
      <c r="G2023" s="103"/>
      <c r="H2023" s="103"/>
      <c r="I2023" s="103"/>
      <c r="J2023" s="103"/>
      <c r="K2023" s="103"/>
      <c r="L2023" s="1"/>
    </row>
    <row r="2024" spans="1:12" ht="17.25" customHeight="1" x14ac:dyDescent="0.25">
      <c r="A2024" s="1"/>
      <c r="K2024" s="103"/>
      <c r="L2024" s="1"/>
    </row>
    <row r="2025" spans="1:12" ht="23.25" customHeight="1" x14ac:dyDescent="0.25">
      <c r="A2025" s="1"/>
      <c r="B2025" s="95" t="s">
        <v>77</v>
      </c>
      <c r="H2025" s="95" t="str">
        <f>D2000</f>
        <v>Ade Yan Emerson, S.Kom</v>
      </c>
      <c r="I2025" s="95"/>
      <c r="J2025" s="92"/>
      <c r="K2025" s="103"/>
      <c r="L2025" s="1"/>
    </row>
    <row r="2026" spans="1:12" ht="15.75" customHeight="1" x14ac:dyDescent="0.25">
      <c r="A2026" s="1"/>
      <c r="B2026" s="99" t="s">
        <v>27</v>
      </c>
      <c r="C2026" s="57"/>
      <c r="H2026" s="99" t="s">
        <v>388</v>
      </c>
      <c r="K2026" s="103"/>
    </row>
    <row r="2027" spans="1:12" ht="13.5" customHeight="1" x14ac:dyDescent="0.2"/>
    <row r="2028" spans="1:12" ht="12.75" x14ac:dyDescent="0.2"/>
    <row r="2029" spans="1:12" ht="12.75" x14ac:dyDescent="0.2"/>
    <row r="2030" spans="1:12" ht="14.25" customHeight="1" x14ac:dyDescent="0.25">
      <c r="A2030" s="3" t="s">
        <v>22</v>
      </c>
    </row>
    <row r="2031" spans="1:12" ht="15" customHeight="1" x14ac:dyDescent="0.2">
      <c r="A2031" s="122" t="s">
        <v>20</v>
      </c>
    </row>
    <row r="2032" spans="1:12" ht="18" customHeight="1" x14ac:dyDescent="0.2">
      <c r="A2032" s="122" t="s">
        <v>21</v>
      </c>
    </row>
    <row r="2033" spans="1:12" ht="17.25" customHeight="1" x14ac:dyDescent="0.2"/>
    <row r="2034" spans="1:12" ht="20.25" customHeight="1" x14ac:dyDescent="0.2"/>
    <row r="2035" spans="1:12" ht="17.25" customHeight="1" x14ac:dyDescent="0.2"/>
    <row r="2036" spans="1:12" ht="18.75" x14ac:dyDescent="0.3">
      <c r="A2036" s="276" t="s">
        <v>6</v>
      </c>
      <c r="B2036" s="276"/>
      <c r="C2036" s="276"/>
      <c r="D2036" s="276"/>
      <c r="E2036" s="276"/>
      <c r="F2036" s="276"/>
      <c r="G2036" s="276"/>
      <c r="H2036" s="276"/>
      <c r="I2036" s="276"/>
      <c r="J2036" s="276"/>
      <c r="K2036" s="276"/>
      <c r="L2036" s="276"/>
    </row>
    <row r="2037" spans="1:12" ht="21" customHeight="1" x14ac:dyDescent="0.3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</row>
    <row r="2038" spans="1:12" ht="11.25" customHeight="1" x14ac:dyDescent="0.25">
      <c r="A2038" s="1"/>
      <c r="B2038" s="1"/>
    </row>
    <row r="2039" spans="1:12" ht="15" x14ac:dyDescent="0.25">
      <c r="A2039" s="1" t="s">
        <v>7</v>
      </c>
      <c r="B2039" s="1"/>
    </row>
    <row r="2040" spans="1:12" ht="12.75" customHeight="1" x14ac:dyDescent="0.25">
      <c r="A2040" s="1"/>
      <c r="B2040" s="1"/>
    </row>
    <row r="2041" spans="1:12" ht="15" x14ac:dyDescent="0.25">
      <c r="A2041" s="1" t="s">
        <v>8</v>
      </c>
      <c r="C2041" s="9" t="s">
        <v>1</v>
      </c>
      <c r="D2041" s="40" t="s">
        <v>38</v>
      </c>
      <c r="E2041" s="76"/>
      <c r="F2041" s="76"/>
      <c r="G2041" s="76"/>
      <c r="H2041" s="76"/>
    </row>
    <row r="2042" spans="1:12" ht="14.25" customHeight="1" x14ac:dyDescent="0.25">
      <c r="A2042" s="1" t="s">
        <v>9</v>
      </c>
      <c r="C2042" s="9" t="s">
        <v>1</v>
      </c>
      <c r="D2042" s="7" t="s">
        <v>358</v>
      </c>
      <c r="E2042" s="76"/>
      <c r="F2042" s="76"/>
      <c r="G2042" s="76"/>
      <c r="H2042" s="76"/>
    </row>
    <row r="2043" spans="1:12" ht="18.75" customHeight="1" x14ac:dyDescent="0.2">
      <c r="A2043" s="50" t="s">
        <v>10</v>
      </c>
      <c r="B2043" s="76"/>
      <c r="C2043" s="91" t="s">
        <v>1</v>
      </c>
      <c r="D2043" s="124" t="s">
        <v>359</v>
      </c>
      <c r="E2043" s="76"/>
      <c r="F2043" s="76"/>
      <c r="G2043" s="76"/>
      <c r="H2043" s="76"/>
      <c r="I2043" s="76"/>
      <c r="J2043" s="76"/>
      <c r="K2043" s="76"/>
      <c r="L2043" s="76"/>
    </row>
    <row r="2044" spans="1:12" ht="17.25" customHeight="1" x14ac:dyDescent="0.25">
      <c r="A2044" s="1"/>
      <c r="B2044" s="1"/>
      <c r="D2044" s="1"/>
    </row>
    <row r="2045" spans="1:12" ht="36" customHeight="1" x14ac:dyDescent="0.2">
      <c r="A2045" s="277" t="s">
        <v>386</v>
      </c>
      <c r="B2045" s="277"/>
      <c r="C2045" s="277"/>
      <c r="D2045" s="277"/>
      <c r="E2045" s="277"/>
      <c r="F2045" s="277"/>
      <c r="G2045" s="277"/>
      <c r="H2045" s="277"/>
      <c r="I2045" s="277"/>
      <c r="J2045" s="277"/>
      <c r="K2045" s="277"/>
      <c r="L2045" s="277"/>
    </row>
    <row r="2046" spans="1:12" ht="15" x14ac:dyDescent="0.25">
      <c r="A2046" s="1"/>
      <c r="B2046" s="1"/>
    </row>
    <row r="2047" spans="1:12" ht="31.5" customHeight="1" thickBot="1" x14ac:dyDescent="0.25">
      <c r="A2047" s="10" t="s">
        <v>0</v>
      </c>
      <c r="B2047" s="278" t="s">
        <v>91</v>
      </c>
      <c r="C2047" s="278"/>
      <c r="D2047" s="278"/>
      <c r="E2047" s="278"/>
      <c r="F2047" s="278"/>
      <c r="G2047" s="278"/>
      <c r="H2047" s="278"/>
      <c r="I2047" s="278"/>
      <c r="J2047" s="278"/>
      <c r="K2047" s="278"/>
      <c r="L2047" s="278"/>
    </row>
    <row r="2048" spans="1:12" ht="11.25" customHeight="1" thickTop="1" x14ac:dyDescent="0.25">
      <c r="A2048" s="1"/>
      <c r="B2048" s="11" t="s">
        <v>3</v>
      </c>
      <c r="C2048" s="12" t="s">
        <v>4</v>
      </c>
      <c r="D2048" s="13"/>
      <c r="E2048" s="13"/>
      <c r="F2048" s="13"/>
      <c r="G2048" s="13"/>
      <c r="H2048" s="14"/>
      <c r="I2048" s="15" t="s">
        <v>5</v>
      </c>
      <c r="J2048" s="12" t="s">
        <v>17</v>
      </c>
      <c r="K2048" s="13"/>
      <c r="L2048" s="14"/>
    </row>
    <row r="2049" spans="1:12" ht="25.5" customHeight="1" x14ac:dyDescent="0.2">
      <c r="A2049" s="50"/>
      <c r="B2049" s="143">
        <v>1</v>
      </c>
      <c r="C2049" s="284" t="s">
        <v>313</v>
      </c>
      <c r="D2049" s="285"/>
      <c r="E2049" s="285"/>
      <c r="F2049" s="285"/>
      <c r="G2049" s="76"/>
      <c r="H2049" s="79"/>
      <c r="I2049" s="56">
        <v>250000</v>
      </c>
      <c r="J2049" s="76"/>
      <c r="K2049" s="76"/>
      <c r="L2049" s="79"/>
    </row>
    <row r="2050" spans="1:12" ht="15" x14ac:dyDescent="0.2">
      <c r="B2050" s="96"/>
      <c r="C2050" s="124"/>
      <c r="D2050" s="124"/>
      <c r="E2050" s="127"/>
      <c r="F2050" s="125"/>
      <c r="G2050" s="124"/>
      <c r="H2050" s="124"/>
      <c r="I2050" s="23"/>
      <c r="L2050" s="17"/>
    </row>
    <row r="2051" spans="1:12" ht="15" x14ac:dyDescent="0.25">
      <c r="A2051" s="1"/>
      <c r="B2051" s="39"/>
      <c r="C2051" s="1"/>
      <c r="D2051" s="1"/>
      <c r="E2051" s="1"/>
      <c r="F2051" s="40" t="s">
        <v>5</v>
      </c>
      <c r="G2051" s="40"/>
      <c r="H2051" s="1"/>
      <c r="I2051" s="41">
        <f>SUM(I2049:I2049)</f>
        <v>250000</v>
      </c>
      <c r="J2051" s="1"/>
      <c r="K2051" s="1"/>
      <c r="L2051" s="42"/>
    </row>
    <row r="2052" spans="1:12" ht="6" customHeight="1" thickBot="1" x14ac:dyDescent="0.3">
      <c r="A2052" s="1"/>
      <c r="B2052" s="43"/>
      <c r="C2052" s="44"/>
      <c r="D2052" s="44"/>
      <c r="E2052" s="44"/>
      <c r="F2052" s="45"/>
      <c r="G2052" s="45"/>
      <c r="H2052" s="44"/>
      <c r="I2052" s="46"/>
      <c r="J2052" s="44"/>
      <c r="K2052" s="44"/>
      <c r="L2052" s="47"/>
    </row>
    <row r="2053" spans="1:12" ht="15.75" thickTop="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 spans="1:12" ht="46.5" customHeight="1" x14ac:dyDescent="0.2">
      <c r="A2054" s="10" t="s">
        <v>2</v>
      </c>
      <c r="B2054" s="279" t="s">
        <v>11</v>
      </c>
      <c r="C2054" s="279"/>
      <c r="D2054" s="279"/>
      <c r="E2054" s="279"/>
      <c r="F2054" s="279"/>
      <c r="G2054" s="279"/>
      <c r="H2054" s="279"/>
      <c r="I2054" s="279"/>
      <c r="J2054" s="279"/>
      <c r="K2054" s="279"/>
      <c r="L2054" s="279"/>
    </row>
    <row r="2055" spans="1:12" ht="12.75" customHeight="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</row>
    <row r="2056" spans="1:12" ht="15" customHeight="1" x14ac:dyDescent="0.2">
      <c r="A2056" s="280" t="s">
        <v>12</v>
      </c>
      <c r="B2056" s="280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</row>
    <row r="2057" spans="1:12" ht="15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 spans="1:12" ht="27" customHeight="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 spans="1:12" ht="15" x14ac:dyDescent="0.25">
      <c r="A2059" s="1"/>
      <c r="B2059" s="1"/>
      <c r="C2059" s="1"/>
      <c r="D2059" s="1"/>
      <c r="E2059" s="1"/>
      <c r="F2059" s="1"/>
      <c r="G2059" s="1"/>
      <c r="H2059" s="4" t="s">
        <v>199</v>
      </c>
      <c r="J2059" s="286" t="s">
        <v>357</v>
      </c>
      <c r="K2059" s="286"/>
      <c r="L2059" s="286"/>
    </row>
    <row r="2060" spans="1:12" ht="15" x14ac:dyDescent="0.25">
      <c r="A2060" s="1"/>
      <c r="B2060" s="1" t="s">
        <v>15</v>
      </c>
      <c r="C2060" s="1"/>
      <c r="D2060" s="1"/>
      <c r="E2060" s="1"/>
      <c r="F2060" s="1"/>
      <c r="G2060" s="1"/>
      <c r="H2060" s="4" t="s">
        <v>13</v>
      </c>
    </row>
    <row r="2061" spans="1:12" ht="15" x14ac:dyDescent="0.25">
      <c r="A2061" s="1"/>
      <c r="B2061" s="1" t="s">
        <v>18</v>
      </c>
      <c r="C2061" s="1"/>
      <c r="D2061" s="1"/>
      <c r="E2061" s="1"/>
      <c r="F2061" s="1"/>
      <c r="G2061" s="1"/>
      <c r="H2061" s="4" t="s">
        <v>14</v>
      </c>
    </row>
    <row r="2062" spans="1:12" ht="15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 spans="1:12" ht="44.25" customHeight="1" x14ac:dyDescent="0.25">
      <c r="A2063" s="1"/>
      <c r="K2063" s="103"/>
      <c r="L2063" s="1"/>
    </row>
    <row r="2064" spans="1:12" ht="19.5" customHeight="1" x14ac:dyDescent="0.25">
      <c r="A2064" s="1"/>
      <c r="B2064" s="95" t="s">
        <v>77</v>
      </c>
      <c r="H2064" s="37" t="s">
        <v>38</v>
      </c>
      <c r="I2064" s="95"/>
      <c r="J2064" s="92"/>
      <c r="K2064" s="103"/>
      <c r="L2064" s="1"/>
    </row>
    <row r="2065" spans="1:12" ht="15" customHeight="1" x14ac:dyDescent="0.25">
      <c r="A2065" s="1"/>
      <c r="B2065" s="99" t="s">
        <v>27</v>
      </c>
      <c r="C2065" s="57"/>
      <c r="H2065" s="1" t="s">
        <v>39</v>
      </c>
      <c r="K2065" s="103"/>
    </row>
    <row r="2066" spans="1:12" ht="20.25" customHeight="1" x14ac:dyDescent="0.2"/>
    <row r="2067" spans="1:12" ht="12.75" x14ac:dyDescent="0.2"/>
    <row r="2068" spans="1:12" ht="21" customHeight="1" x14ac:dyDescent="0.2"/>
    <row r="2069" spans="1:12" ht="12.75" x14ac:dyDescent="0.2"/>
    <row r="2070" spans="1:12" ht="21" customHeight="1" x14ac:dyDescent="0.25">
      <c r="A2070" s="3" t="s">
        <v>22</v>
      </c>
    </row>
    <row r="2071" spans="1:12" ht="18.75" customHeight="1" x14ac:dyDescent="0.2">
      <c r="A2071" s="122" t="s">
        <v>20</v>
      </c>
    </row>
    <row r="2072" spans="1:12" ht="19.5" customHeight="1" x14ac:dyDescent="0.2">
      <c r="A2072" s="122" t="s">
        <v>21</v>
      </c>
    </row>
    <row r="2073" spans="1:12" ht="12.75" x14ac:dyDescent="0.2"/>
    <row r="2074" spans="1:12" ht="1.5" customHeight="1" x14ac:dyDescent="0.2"/>
    <row r="2075" spans="1:12" ht="12" customHeight="1" x14ac:dyDescent="0.2"/>
    <row r="2076" spans="1:12" ht="19.5" customHeight="1" x14ac:dyDescent="0.3">
      <c r="A2076" s="276" t="s">
        <v>6</v>
      </c>
      <c r="B2076" s="276"/>
      <c r="C2076" s="276"/>
      <c r="D2076" s="276"/>
      <c r="E2076" s="276"/>
      <c r="F2076" s="276"/>
      <c r="G2076" s="276"/>
      <c r="H2076" s="276"/>
      <c r="I2076" s="276"/>
      <c r="J2076" s="276"/>
      <c r="K2076" s="276"/>
      <c r="L2076" s="276"/>
    </row>
    <row r="2077" spans="1:12" ht="5.65" customHeight="1" x14ac:dyDescent="0.3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</row>
    <row r="2078" spans="1:12" ht="19.5" customHeight="1" x14ac:dyDescent="0.25">
      <c r="A2078" s="1"/>
      <c r="B2078" s="1"/>
    </row>
    <row r="2079" spans="1:12" ht="19.5" customHeight="1" x14ac:dyDescent="0.25">
      <c r="A2079" s="1" t="s">
        <v>7</v>
      </c>
      <c r="B2079" s="1"/>
    </row>
    <row r="2080" spans="1:12" ht="15" x14ac:dyDescent="0.25">
      <c r="A2080" s="1"/>
      <c r="B2080" s="1"/>
    </row>
    <row r="2081" spans="1:12" ht="13.5" customHeight="1" x14ac:dyDescent="0.25">
      <c r="A2081" s="1" t="s">
        <v>8</v>
      </c>
      <c r="C2081" s="9" t="s">
        <v>1</v>
      </c>
      <c r="D2081" s="40" t="s">
        <v>389</v>
      </c>
      <c r="E2081" s="76"/>
      <c r="F2081" s="76"/>
      <c r="G2081" s="76"/>
      <c r="H2081" s="76"/>
    </row>
    <row r="2082" spans="1:12" ht="15" customHeight="1" x14ac:dyDescent="0.25">
      <c r="A2082" s="1" t="s">
        <v>9</v>
      </c>
      <c r="C2082" s="9" t="s">
        <v>1</v>
      </c>
      <c r="D2082" s="7" t="s">
        <v>390</v>
      </c>
      <c r="E2082" s="76"/>
      <c r="F2082" s="76"/>
      <c r="G2082" s="76"/>
      <c r="H2082" s="76"/>
    </row>
    <row r="2083" spans="1:12" ht="18.75" customHeight="1" x14ac:dyDescent="0.2">
      <c r="A2083" s="50" t="s">
        <v>10</v>
      </c>
      <c r="B2083" s="76"/>
      <c r="C2083" s="91" t="s">
        <v>1</v>
      </c>
      <c r="D2083" s="124" t="s">
        <v>275</v>
      </c>
      <c r="E2083" s="76"/>
      <c r="F2083" s="76"/>
      <c r="G2083" s="76"/>
      <c r="H2083" s="76"/>
      <c r="I2083" s="76"/>
      <c r="J2083" s="76"/>
      <c r="K2083" s="76"/>
      <c r="L2083" s="76"/>
    </row>
    <row r="2084" spans="1:12" ht="11.25" customHeight="1" x14ac:dyDescent="0.25">
      <c r="A2084" s="1"/>
      <c r="B2084" s="1"/>
      <c r="D2084" s="1"/>
    </row>
    <row r="2085" spans="1:12" ht="33.75" customHeight="1" x14ac:dyDescent="0.2">
      <c r="A2085" s="277" t="s">
        <v>386</v>
      </c>
      <c r="B2085" s="277"/>
      <c r="C2085" s="277"/>
      <c r="D2085" s="277"/>
      <c r="E2085" s="277"/>
      <c r="F2085" s="277"/>
      <c r="G2085" s="277"/>
      <c r="H2085" s="277"/>
      <c r="I2085" s="277"/>
      <c r="J2085" s="277"/>
      <c r="K2085" s="277"/>
      <c r="L2085" s="277"/>
    </row>
    <row r="2086" spans="1:12" ht="15" x14ac:dyDescent="0.25">
      <c r="A2086" s="1"/>
      <c r="B2086" s="1"/>
    </row>
    <row r="2087" spans="1:12" ht="36" customHeight="1" thickBot="1" x14ac:dyDescent="0.25">
      <c r="A2087" s="10" t="s">
        <v>0</v>
      </c>
      <c r="B2087" s="278" t="s">
        <v>91</v>
      </c>
      <c r="C2087" s="278"/>
      <c r="D2087" s="278"/>
      <c r="E2087" s="278"/>
      <c r="F2087" s="278"/>
      <c r="G2087" s="278"/>
      <c r="H2087" s="278"/>
      <c r="I2087" s="278"/>
      <c r="J2087" s="278"/>
      <c r="K2087" s="278"/>
      <c r="L2087" s="278"/>
    </row>
    <row r="2088" spans="1:12" ht="15.75" thickTop="1" x14ac:dyDescent="0.25">
      <c r="A2088" s="1"/>
      <c r="B2088" s="11" t="s">
        <v>3</v>
      </c>
      <c r="C2088" s="12" t="s">
        <v>4</v>
      </c>
      <c r="D2088" s="13"/>
      <c r="E2088" s="13"/>
      <c r="F2088" s="13"/>
      <c r="G2088" s="13"/>
      <c r="H2088" s="14"/>
      <c r="I2088" s="15" t="s">
        <v>5</v>
      </c>
      <c r="J2088" s="12" t="s">
        <v>17</v>
      </c>
      <c r="K2088" s="13"/>
      <c r="L2088" s="14"/>
    </row>
    <row r="2089" spans="1:12" ht="15" x14ac:dyDescent="0.2">
      <c r="A2089" s="50"/>
      <c r="B2089" s="143">
        <v>1</v>
      </c>
      <c r="C2089" s="284" t="s">
        <v>313</v>
      </c>
      <c r="D2089" s="285"/>
      <c r="E2089" s="285"/>
      <c r="F2089" s="285"/>
      <c r="G2089" s="76"/>
      <c r="H2089" s="79"/>
      <c r="I2089" s="56">
        <v>250000</v>
      </c>
      <c r="J2089" s="76"/>
      <c r="K2089" s="76"/>
      <c r="L2089" s="79"/>
    </row>
    <row r="2090" spans="1:12" ht="22.5" customHeight="1" x14ac:dyDescent="0.2">
      <c r="B2090" s="96"/>
      <c r="C2090" s="124"/>
      <c r="D2090" s="124"/>
      <c r="E2090" s="127"/>
      <c r="F2090" s="125"/>
      <c r="G2090" s="124"/>
      <c r="H2090" s="124"/>
      <c r="I2090" s="23"/>
      <c r="L2090" s="17"/>
    </row>
    <row r="2091" spans="1:12" ht="15" x14ac:dyDescent="0.25">
      <c r="A2091" s="1"/>
      <c r="B2091" s="39"/>
      <c r="C2091" s="1"/>
      <c r="D2091" s="1"/>
      <c r="E2091" s="1"/>
      <c r="F2091" s="40" t="s">
        <v>5</v>
      </c>
      <c r="G2091" s="40"/>
      <c r="H2091" s="1"/>
      <c r="I2091" s="41">
        <f>SUM(I2089:I2089)</f>
        <v>250000</v>
      </c>
      <c r="J2091" s="1"/>
      <c r="K2091" s="1"/>
      <c r="L2091" s="42"/>
    </row>
    <row r="2092" spans="1:12" ht="15.75" thickBot="1" x14ac:dyDescent="0.3">
      <c r="A2092" s="1"/>
      <c r="B2092" s="43"/>
      <c r="C2092" s="44"/>
      <c r="D2092" s="44"/>
      <c r="E2092" s="44"/>
      <c r="F2092" s="45"/>
      <c r="G2092" s="45"/>
      <c r="H2092" s="44"/>
      <c r="I2092" s="46"/>
      <c r="J2092" s="44"/>
      <c r="K2092" s="44"/>
      <c r="L2092" s="47"/>
    </row>
    <row r="2093" spans="1:12" ht="15.75" thickTop="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ht="46.5" customHeight="1" x14ac:dyDescent="0.2">
      <c r="A2094" s="10" t="s">
        <v>2</v>
      </c>
      <c r="B2094" s="279" t="s">
        <v>11</v>
      </c>
      <c r="C2094" s="279"/>
      <c r="D2094" s="279"/>
      <c r="E2094" s="279"/>
      <c r="F2094" s="279"/>
      <c r="G2094" s="279"/>
      <c r="H2094" s="279"/>
      <c r="I2094" s="279"/>
      <c r="J2094" s="279"/>
      <c r="K2094" s="279"/>
      <c r="L2094" s="279"/>
    </row>
    <row r="2095" spans="1:12" ht="15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 spans="1:12" ht="15" x14ac:dyDescent="0.2">
      <c r="A2096" s="280" t="s">
        <v>12</v>
      </c>
      <c r="B2096" s="280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</row>
    <row r="2097" spans="1:12" ht="15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</row>
    <row r="2098" spans="1:12" ht="13.5" customHeight="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</row>
    <row r="2099" spans="1:12" ht="15" x14ac:dyDescent="0.25">
      <c r="A2099" s="1"/>
      <c r="B2099" s="1"/>
      <c r="C2099" s="1"/>
      <c r="D2099" s="1"/>
      <c r="E2099" s="1"/>
      <c r="F2099" s="1"/>
      <c r="G2099" s="1"/>
      <c r="H2099" s="4" t="s">
        <v>199</v>
      </c>
      <c r="J2099" s="286" t="s">
        <v>357</v>
      </c>
      <c r="K2099" s="286"/>
      <c r="L2099" s="286"/>
    </row>
    <row r="2100" spans="1:12" ht="16.5" customHeight="1" x14ac:dyDescent="0.25">
      <c r="A2100" s="1"/>
      <c r="B2100" s="1" t="s">
        <v>15</v>
      </c>
      <c r="C2100" s="1"/>
      <c r="D2100" s="1"/>
      <c r="E2100" s="1"/>
      <c r="F2100" s="1"/>
      <c r="G2100" s="1"/>
      <c r="H2100" s="4" t="s">
        <v>13</v>
      </c>
    </row>
    <row r="2101" spans="1:12" ht="12.75" customHeight="1" x14ac:dyDescent="0.25">
      <c r="A2101" s="1"/>
      <c r="B2101" s="1" t="s">
        <v>18</v>
      </c>
      <c r="C2101" s="1"/>
      <c r="D2101" s="1"/>
      <c r="E2101" s="1"/>
      <c r="F2101" s="1"/>
      <c r="G2101" s="1"/>
      <c r="H2101" s="4" t="s">
        <v>14</v>
      </c>
    </row>
    <row r="2102" spans="1:12" ht="44.25" customHeight="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 ht="15" x14ac:dyDescent="0.25">
      <c r="A2103" s="1"/>
      <c r="K2103" s="103"/>
      <c r="L2103" s="1"/>
    </row>
    <row r="2104" spans="1:12" ht="15" x14ac:dyDescent="0.25">
      <c r="A2104" s="1"/>
      <c r="B2104" s="95" t="s">
        <v>77</v>
      </c>
      <c r="H2104" s="37" t="str">
        <f>D2081</f>
        <v>Hudana Alam Putra, S.Sos</v>
      </c>
      <c r="I2104" s="95"/>
      <c r="J2104" s="92"/>
      <c r="K2104" s="103"/>
      <c r="L2104" s="1"/>
    </row>
    <row r="2105" spans="1:12" ht="15" x14ac:dyDescent="0.25">
      <c r="A2105" s="1"/>
      <c r="B2105" s="99" t="s">
        <v>27</v>
      </c>
      <c r="C2105" s="57"/>
      <c r="H2105" s="1" t="s">
        <v>391</v>
      </c>
      <c r="K2105" s="103"/>
    </row>
    <row r="2106" spans="1:12" ht="12.75" x14ac:dyDescent="0.2"/>
    <row r="2107" spans="1:12" ht="12.75" x14ac:dyDescent="0.2"/>
    <row r="2108" spans="1:12" ht="12.75" x14ac:dyDescent="0.2"/>
    <row r="2109" spans="1:12" ht="53.25" customHeight="1" x14ac:dyDescent="0.2"/>
    <row r="2110" spans="1:12" ht="12.75" x14ac:dyDescent="0.2"/>
    <row r="2111" spans="1:12" ht="15" customHeight="1" x14ac:dyDescent="0.25">
      <c r="A2111" s="3" t="s">
        <v>22</v>
      </c>
    </row>
    <row r="2112" spans="1:12" ht="20.25" customHeight="1" x14ac:dyDescent="0.2">
      <c r="A2112" s="122" t="s">
        <v>20</v>
      </c>
    </row>
    <row r="2113" spans="1:12" ht="47.25" customHeight="1" x14ac:dyDescent="0.2">
      <c r="A2113" s="122" t="s">
        <v>21</v>
      </c>
    </row>
    <row r="2114" spans="1:12" ht="18.75" customHeight="1" x14ac:dyDescent="0.2"/>
    <row r="2115" spans="1:12" ht="10.5" customHeight="1" x14ac:dyDescent="0.2"/>
    <row r="2116" spans="1:12" ht="20.25" hidden="1" customHeight="1" x14ac:dyDescent="0.2"/>
    <row r="2117" spans="1:12" ht="20.25" customHeight="1" x14ac:dyDescent="0.3">
      <c r="A2117" s="276" t="s">
        <v>6</v>
      </c>
      <c r="B2117" s="276"/>
      <c r="C2117" s="276"/>
      <c r="D2117" s="276"/>
      <c r="E2117" s="276"/>
      <c r="F2117" s="276"/>
      <c r="G2117" s="276"/>
      <c r="H2117" s="276"/>
      <c r="I2117" s="276"/>
      <c r="J2117" s="276"/>
      <c r="K2117" s="276"/>
      <c r="L2117" s="276"/>
    </row>
    <row r="2118" spans="1:12" ht="20.25" customHeight="1" x14ac:dyDescent="0.3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</row>
    <row r="2119" spans="1:12" ht="15.75" customHeight="1" x14ac:dyDescent="0.3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</row>
    <row r="2120" spans="1:12" ht="15" x14ac:dyDescent="0.25">
      <c r="A2120" s="1"/>
      <c r="B2120" s="1"/>
    </row>
    <row r="2121" spans="1:12" ht="15" x14ac:dyDescent="0.25">
      <c r="A2121" s="1" t="s">
        <v>7</v>
      </c>
      <c r="B2121" s="1"/>
    </row>
    <row r="2122" spans="1:12" ht="13.5" customHeight="1" x14ac:dyDescent="0.25">
      <c r="A2122" s="1"/>
      <c r="B2122" s="1"/>
    </row>
    <row r="2123" spans="1:12" ht="13.5" customHeight="1" x14ac:dyDescent="0.25">
      <c r="A2123" s="1" t="s">
        <v>8</v>
      </c>
      <c r="C2123" s="9" t="s">
        <v>1</v>
      </c>
      <c r="D2123" s="92" t="s">
        <v>396</v>
      </c>
      <c r="E2123" s="76"/>
      <c r="F2123" s="76"/>
      <c r="G2123" s="76"/>
      <c r="H2123" s="76"/>
    </row>
    <row r="2124" spans="1:12" ht="13.5" customHeight="1" x14ac:dyDescent="0.25">
      <c r="A2124" s="1" t="s">
        <v>9</v>
      </c>
      <c r="C2124" s="9" t="s">
        <v>1</v>
      </c>
      <c r="D2124" s="57" t="s">
        <v>398</v>
      </c>
      <c r="E2124" s="76"/>
      <c r="F2124" s="76"/>
      <c r="G2124" s="76"/>
      <c r="H2124" s="76"/>
    </row>
    <row r="2125" spans="1:12" ht="15.75" customHeight="1" x14ac:dyDescent="0.2">
      <c r="A2125" s="50" t="s">
        <v>10</v>
      </c>
      <c r="B2125" s="76"/>
      <c r="C2125" s="91" t="s">
        <v>1</v>
      </c>
      <c r="D2125" s="50" t="s">
        <v>397</v>
      </c>
      <c r="E2125" s="76"/>
      <c r="F2125" s="76"/>
      <c r="G2125" s="76"/>
      <c r="H2125" s="76"/>
      <c r="I2125" s="76"/>
      <c r="J2125" s="76"/>
      <c r="K2125" s="76"/>
      <c r="L2125" s="76"/>
    </row>
    <row r="2126" spans="1:12" ht="12" customHeight="1" x14ac:dyDescent="0.25">
      <c r="A2126" s="1"/>
      <c r="B2126" s="1"/>
      <c r="D2126" s="1"/>
    </row>
    <row r="2127" spans="1:12" ht="27" customHeight="1" x14ac:dyDescent="0.2">
      <c r="A2127" s="277" t="s">
        <v>399</v>
      </c>
      <c r="B2127" s="277"/>
      <c r="C2127" s="277"/>
      <c r="D2127" s="277"/>
      <c r="E2127" s="277"/>
      <c r="F2127" s="277"/>
      <c r="G2127" s="277"/>
      <c r="H2127" s="277"/>
      <c r="I2127" s="277"/>
      <c r="J2127" s="277"/>
      <c r="K2127" s="277"/>
      <c r="L2127" s="277"/>
    </row>
    <row r="2128" spans="1:12" ht="15" x14ac:dyDescent="0.25">
      <c r="A2128" s="1"/>
      <c r="B2128" s="1"/>
    </row>
    <row r="2129" spans="1:12" ht="36.75" customHeight="1" thickBot="1" x14ac:dyDescent="0.25">
      <c r="A2129" s="10" t="s">
        <v>0</v>
      </c>
      <c r="B2129" s="278" t="s">
        <v>91</v>
      </c>
      <c r="C2129" s="278"/>
      <c r="D2129" s="278"/>
      <c r="E2129" s="278"/>
      <c r="F2129" s="278"/>
      <c r="G2129" s="278"/>
      <c r="H2129" s="278"/>
      <c r="I2129" s="278"/>
      <c r="J2129" s="278"/>
      <c r="K2129" s="278"/>
      <c r="L2129" s="278"/>
    </row>
    <row r="2130" spans="1:12" ht="15.75" thickTop="1" x14ac:dyDescent="0.25">
      <c r="A2130" s="1"/>
      <c r="B2130" s="11" t="s">
        <v>3</v>
      </c>
      <c r="C2130" s="12" t="s">
        <v>4</v>
      </c>
      <c r="D2130" s="13"/>
      <c r="E2130" s="13"/>
      <c r="F2130" s="13"/>
      <c r="G2130" s="13"/>
      <c r="H2130" s="14"/>
      <c r="I2130" s="15" t="s">
        <v>5</v>
      </c>
      <c r="J2130" s="12" t="s">
        <v>17</v>
      </c>
      <c r="K2130" s="13"/>
      <c r="L2130" s="14"/>
    </row>
    <row r="2131" spans="1:12" ht="39" customHeight="1" x14ac:dyDescent="0.2">
      <c r="A2131" s="50"/>
      <c r="B2131" s="143">
        <v>1</v>
      </c>
      <c r="C2131" s="287" t="s">
        <v>378</v>
      </c>
      <c r="D2131" s="288"/>
      <c r="E2131" s="158">
        <v>150000</v>
      </c>
      <c r="F2131" s="159" t="s">
        <v>262</v>
      </c>
      <c r="G2131" s="76"/>
      <c r="H2131" s="79"/>
      <c r="I2131" s="56">
        <v>300000</v>
      </c>
      <c r="J2131" s="76" t="s">
        <v>207</v>
      </c>
      <c r="K2131" s="76"/>
      <c r="L2131" s="79"/>
    </row>
    <row r="2132" spans="1:12" ht="15" x14ac:dyDescent="0.2">
      <c r="B2132" s="96"/>
      <c r="C2132" s="124"/>
      <c r="D2132" s="124"/>
      <c r="E2132" s="127"/>
      <c r="F2132" s="125"/>
      <c r="G2132" s="124"/>
      <c r="H2132" s="124"/>
      <c r="I2132" s="23"/>
      <c r="L2132" s="17"/>
    </row>
    <row r="2133" spans="1:12" ht="15" x14ac:dyDescent="0.25">
      <c r="A2133" s="1"/>
      <c r="B2133" s="39"/>
      <c r="C2133" s="1"/>
      <c r="D2133" s="1"/>
      <c r="E2133" s="1"/>
      <c r="F2133" s="40" t="s">
        <v>5</v>
      </c>
      <c r="G2133" s="40"/>
      <c r="H2133" s="1"/>
      <c r="I2133" s="41">
        <f>SUM(I2131:I2131)</f>
        <v>300000</v>
      </c>
      <c r="J2133" s="1"/>
      <c r="K2133" s="1"/>
      <c r="L2133" s="42"/>
    </row>
    <row r="2134" spans="1:12" ht="15.75" thickBot="1" x14ac:dyDescent="0.3">
      <c r="A2134" s="1"/>
      <c r="B2134" s="43"/>
      <c r="C2134" s="44"/>
      <c r="D2134" s="44"/>
      <c r="E2134" s="44"/>
      <c r="F2134" s="45"/>
      <c r="G2134" s="45"/>
      <c r="H2134" s="44"/>
      <c r="I2134" s="46"/>
      <c r="J2134" s="44"/>
      <c r="K2134" s="44"/>
      <c r="L2134" s="47"/>
    </row>
    <row r="2135" spans="1:12" ht="15.75" thickTop="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 spans="1:12" ht="51" customHeight="1" x14ac:dyDescent="0.2">
      <c r="A2136" s="10" t="s">
        <v>2</v>
      </c>
      <c r="B2136" s="279" t="s">
        <v>11</v>
      </c>
      <c r="C2136" s="279"/>
      <c r="D2136" s="279"/>
      <c r="E2136" s="279"/>
      <c r="F2136" s="279"/>
      <c r="G2136" s="279"/>
      <c r="H2136" s="279"/>
      <c r="I2136" s="279"/>
      <c r="J2136" s="279"/>
      <c r="K2136" s="279"/>
      <c r="L2136" s="279"/>
    </row>
    <row r="2137" spans="1:12" ht="15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 spans="1:12" ht="15" x14ac:dyDescent="0.2">
      <c r="A2138" s="280" t="s">
        <v>12</v>
      </c>
      <c r="B2138" s="280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</row>
    <row r="2139" spans="1:12" ht="15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</row>
    <row r="2140" spans="1:12" ht="15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</row>
    <row r="2141" spans="1:12" ht="15" x14ac:dyDescent="0.25">
      <c r="A2141" s="1"/>
      <c r="B2141" s="1"/>
      <c r="C2141" s="1"/>
      <c r="D2141" s="1"/>
      <c r="E2141" s="1"/>
      <c r="F2141" s="1"/>
      <c r="G2141" s="1"/>
      <c r="H2141" s="4" t="s">
        <v>199</v>
      </c>
      <c r="J2141" s="286" t="s">
        <v>357</v>
      </c>
      <c r="K2141" s="286"/>
      <c r="L2141" s="286"/>
    </row>
    <row r="2142" spans="1:12" ht="15" x14ac:dyDescent="0.25">
      <c r="A2142" s="1"/>
      <c r="B2142" s="1" t="s">
        <v>15</v>
      </c>
      <c r="C2142" s="1"/>
      <c r="D2142" s="1"/>
      <c r="E2142" s="1"/>
      <c r="F2142" s="1"/>
      <c r="G2142" s="1"/>
      <c r="H2142" s="4" t="s">
        <v>13</v>
      </c>
    </row>
    <row r="2143" spans="1:12" ht="11.25" customHeight="1" x14ac:dyDescent="0.25">
      <c r="A2143" s="1"/>
      <c r="B2143" s="1" t="s">
        <v>18</v>
      </c>
      <c r="C2143" s="1"/>
      <c r="D2143" s="1"/>
      <c r="E2143" s="1"/>
      <c r="F2143" s="1"/>
      <c r="G2143" s="1"/>
      <c r="H2143" s="4" t="s">
        <v>14</v>
      </c>
    </row>
    <row r="2144" spans="1:12" ht="15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 ht="24.75" customHeight="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 ht="15" x14ac:dyDescent="0.25">
      <c r="A2146" s="1"/>
      <c r="B2146" s="103"/>
      <c r="C2146" s="103"/>
      <c r="D2146" s="103"/>
      <c r="E2146" s="103"/>
      <c r="F2146" s="103"/>
      <c r="G2146" s="103"/>
      <c r="H2146" s="103"/>
      <c r="I2146" s="103"/>
      <c r="J2146" s="103"/>
      <c r="K2146" s="103"/>
      <c r="L2146" s="1"/>
    </row>
    <row r="2147" spans="1:12" ht="15" x14ac:dyDescent="0.25">
      <c r="A2147" s="1"/>
      <c r="K2147" s="103"/>
      <c r="L2147" s="1"/>
    </row>
    <row r="2148" spans="1:12" ht="15" x14ac:dyDescent="0.25">
      <c r="A2148" s="1"/>
      <c r="B2148" s="95" t="s">
        <v>77</v>
      </c>
      <c r="H2148" s="95" t="str">
        <f>D2123</f>
        <v>Ernawati, AMKL</v>
      </c>
      <c r="I2148" s="95"/>
      <c r="J2148" s="92"/>
      <c r="K2148" s="103"/>
      <c r="L2148" s="1"/>
    </row>
    <row r="2149" spans="1:12" ht="26.25" customHeight="1" x14ac:dyDescent="0.25">
      <c r="A2149" s="1"/>
      <c r="B2149" s="99" t="s">
        <v>27</v>
      </c>
      <c r="C2149" s="57"/>
      <c r="H2149" s="99" t="s">
        <v>400</v>
      </c>
      <c r="K2149" s="103"/>
    </row>
    <row r="2150" spans="1:12" ht="12.75" x14ac:dyDescent="0.2"/>
    <row r="2151" spans="1:12" ht="26.25" customHeight="1" x14ac:dyDescent="0.2"/>
    <row r="2152" spans="1:12" ht="15.75" x14ac:dyDescent="0.25">
      <c r="A2152" s="3" t="s">
        <v>22</v>
      </c>
    </row>
    <row r="2153" spans="1:12" ht="15.75" x14ac:dyDescent="0.2">
      <c r="A2153" s="122" t="s">
        <v>20</v>
      </c>
    </row>
    <row r="2154" spans="1:12" ht="15.75" x14ac:dyDescent="0.2">
      <c r="A2154" s="122" t="s">
        <v>21</v>
      </c>
    </row>
    <row r="2155" spans="1:12" ht="22.5" customHeight="1" x14ac:dyDescent="0.2"/>
    <row r="2156" spans="1:12" ht="12.75" x14ac:dyDescent="0.2"/>
    <row r="2157" spans="1:12" ht="12.75" x14ac:dyDescent="0.2"/>
    <row r="2158" spans="1:12" ht="18.75" x14ac:dyDescent="0.3">
      <c r="A2158" s="276" t="s">
        <v>6</v>
      </c>
      <c r="B2158" s="276"/>
      <c r="C2158" s="276"/>
      <c r="D2158" s="276"/>
      <c r="E2158" s="276"/>
      <c r="F2158" s="276"/>
      <c r="G2158" s="276"/>
      <c r="H2158" s="276"/>
      <c r="I2158" s="276"/>
      <c r="J2158" s="276"/>
      <c r="K2158" s="276"/>
      <c r="L2158" s="276"/>
    </row>
    <row r="2159" spans="1:12" ht="21.75" customHeight="1" x14ac:dyDescent="0.3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</row>
    <row r="2160" spans="1:12" ht="18.75" x14ac:dyDescent="0.3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</row>
    <row r="2161" spans="1:12" ht="11.25" customHeight="1" x14ac:dyDescent="0.25">
      <c r="A2161" s="1"/>
      <c r="B2161" s="1"/>
    </row>
    <row r="2162" spans="1:12" ht="22.5" customHeight="1" x14ac:dyDescent="0.25">
      <c r="A2162" s="1" t="s">
        <v>7</v>
      </c>
      <c r="B2162" s="1"/>
    </row>
    <row r="2163" spans="1:12" ht="10.5" customHeight="1" x14ac:dyDescent="0.25">
      <c r="A2163" s="1"/>
      <c r="B2163" s="1"/>
    </row>
    <row r="2164" spans="1:12" ht="19.5" customHeight="1" x14ac:dyDescent="0.25">
      <c r="A2164" s="1" t="s">
        <v>8</v>
      </c>
      <c r="C2164" s="9" t="s">
        <v>1</v>
      </c>
      <c r="D2164" s="92" t="s">
        <v>401</v>
      </c>
      <c r="E2164" s="76"/>
      <c r="F2164" s="76"/>
      <c r="G2164" s="76"/>
      <c r="H2164" s="76"/>
    </row>
    <row r="2165" spans="1:12" ht="19.5" customHeight="1" x14ac:dyDescent="0.25">
      <c r="A2165" s="1" t="s">
        <v>9</v>
      </c>
      <c r="C2165" s="9" t="s">
        <v>1</v>
      </c>
      <c r="D2165" s="57" t="s">
        <v>74</v>
      </c>
      <c r="E2165" s="76"/>
      <c r="F2165" s="76"/>
      <c r="G2165" s="76"/>
      <c r="H2165" s="76"/>
    </row>
    <row r="2166" spans="1:12" ht="15" x14ac:dyDescent="0.2">
      <c r="A2166" s="50" t="s">
        <v>10</v>
      </c>
      <c r="B2166" s="76"/>
      <c r="C2166" s="91" t="s">
        <v>1</v>
      </c>
      <c r="D2166" s="50" t="s">
        <v>402</v>
      </c>
      <c r="E2166" s="76"/>
      <c r="F2166" s="76"/>
      <c r="G2166" s="76"/>
      <c r="H2166" s="76"/>
      <c r="I2166" s="76"/>
      <c r="J2166" s="76"/>
      <c r="K2166" s="76"/>
      <c r="L2166" s="76"/>
    </row>
    <row r="2167" spans="1:12" ht="15" x14ac:dyDescent="0.25">
      <c r="A2167" s="1"/>
      <c r="B2167" s="1"/>
      <c r="D2167" s="1"/>
    </row>
    <row r="2168" spans="1:12" ht="30.75" customHeight="1" x14ac:dyDescent="0.2">
      <c r="A2168" s="277" t="s">
        <v>403</v>
      </c>
      <c r="B2168" s="277"/>
      <c r="C2168" s="277"/>
      <c r="D2168" s="277"/>
      <c r="E2168" s="277"/>
      <c r="F2168" s="277"/>
      <c r="G2168" s="277"/>
      <c r="H2168" s="277"/>
      <c r="I2168" s="277"/>
      <c r="J2168" s="277"/>
      <c r="K2168" s="277"/>
      <c r="L2168" s="277"/>
    </row>
    <row r="2169" spans="1:12" ht="15" customHeight="1" x14ac:dyDescent="0.25">
      <c r="A2169" s="1"/>
      <c r="B2169" s="1"/>
    </row>
    <row r="2170" spans="1:12" ht="34.5" customHeight="1" thickBot="1" x14ac:dyDescent="0.25">
      <c r="A2170" s="10" t="s">
        <v>0</v>
      </c>
      <c r="B2170" s="278" t="s">
        <v>91</v>
      </c>
      <c r="C2170" s="278"/>
      <c r="D2170" s="278"/>
      <c r="E2170" s="278"/>
      <c r="F2170" s="278"/>
      <c r="G2170" s="278"/>
      <c r="H2170" s="278"/>
      <c r="I2170" s="278"/>
      <c r="J2170" s="278"/>
      <c r="K2170" s="278"/>
      <c r="L2170" s="278"/>
    </row>
    <row r="2171" spans="1:12" ht="20.25" customHeight="1" thickTop="1" x14ac:dyDescent="0.25">
      <c r="A2171" s="1"/>
      <c r="B2171" s="11" t="s">
        <v>3</v>
      </c>
      <c r="C2171" s="12" t="s">
        <v>4</v>
      </c>
      <c r="D2171" s="13"/>
      <c r="E2171" s="13"/>
      <c r="F2171" s="13"/>
      <c r="G2171" s="13"/>
      <c r="H2171" s="14"/>
      <c r="I2171" s="15" t="s">
        <v>5</v>
      </c>
      <c r="J2171" s="12" t="s">
        <v>17</v>
      </c>
      <c r="K2171" s="13"/>
      <c r="L2171" s="14"/>
    </row>
    <row r="2172" spans="1:12" ht="30" customHeight="1" x14ac:dyDescent="0.2">
      <c r="A2172" s="50"/>
      <c r="B2172" s="143">
        <v>1</v>
      </c>
      <c r="C2172" s="287" t="s">
        <v>378</v>
      </c>
      <c r="D2172" s="288"/>
      <c r="E2172" s="158">
        <v>150000</v>
      </c>
      <c r="F2172" s="159" t="s">
        <v>262</v>
      </c>
      <c r="G2172" s="76"/>
      <c r="H2172" s="79"/>
      <c r="I2172" s="56">
        <v>300000</v>
      </c>
      <c r="J2172" s="76" t="s">
        <v>207</v>
      </c>
      <c r="K2172" s="76"/>
      <c r="L2172" s="79"/>
    </row>
    <row r="2173" spans="1:12" ht="24" customHeight="1" x14ac:dyDescent="0.2">
      <c r="B2173" s="96"/>
      <c r="C2173" s="124"/>
      <c r="D2173" s="124"/>
      <c r="E2173" s="127"/>
      <c r="F2173" s="125"/>
      <c r="G2173" s="124"/>
      <c r="H2173" s="124"/>
      <c r="I2173" s="23"/>
      <c r="L2173" s="17"/>
    </row>
    <row r="2174" spans="1:12" ht="18" customHeight="1" x14ac:dyDescent="0.25">
      <c r="A2174" s="1"/>
      <c r="B2174" s="39"/>
      <c r="C2174" s="1"/>
      <c r="D2174" s="1"/>
      <c r="E2174" s="1"/>
      <c r="F2174" s="40" t="s">
        <v>5</v>
      </c>
      <c r="G2174" s="40"/>
      <c r="H2174" s="1"/>
      <c r="I2174" s="41">
        <f>SUM(I2172:I2172)</f>
        <v>300000</v>
      </c>
      <c r="J2174" s="1"/>
      <c r="K2174" s="1"/>
      <c r="L2174" s="42"/>
    </row>
    <row r="2175" spans="1:12" ht="15.75" thickBot="1" x14ac:dyDescent="0.3">
      <c r="A2175" s="1"/>
      <c r="B2175" s="43"/>
      <c r="C2175" s="44"/>
      <c r="D2175" s="44"/>
      <c r="E2175" s="44"/>
      <c r="F2175" s="45"/>
      <c r="G2175" s="45"/>
      <c r="H2175" s="44"/>
      <c r="I2175" s="46"/>
      <c r="J2175" s="44"/>
      <c r="K2175" s="44"/>
      <c r="L2175" s="47"/>
    </row>
    <row r="2176" spans="1:12" ht="15.75" thickTop="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 ht="51" customHeight="1" x14ac:dyDescent="0.2">
      <c r="A2177" s="10" t="s">
        <v>2</v>
      </c>
      <c r="B2177" s="279" t="s">
        <v>11</v>
      </c>
      <c r="C2177" s="279"/>
      <c r="D2177" s="279"/>
      <c r="E2177" s="279"/>
      <c r="F2177" s="279"/>
      <c r="G2177" s="279"/>
      <c r="H2177" s="279"/>
      <c r="I2177" s="279"/>
      <c r="J2177" s="279"/>
      <c r="K2177" s="279"/>
      <c r="L2177" s="279"/>
    </row>
    <row r="2178" spans="1:12" ht="15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 ht="15" x14ac:dyDescent="0.2">
      <c r="A2179" s="280" t="s">
        <v>12</v>
      </c>
      <c r="B2179" s="280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</row>
    <row r="2180" spans="1:12" ht="15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 ht="15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 ht="15" x14ac:dyDescent="0.25">
      <c r="A2182" s="1"/>
      <c r="B2182" s="1"/>
      <c r="C2182" s="1"/>
      <c r="D2182" s="1"/>
      <c r="E2182" s="1"/>
      <c r="F2182" s="1"/>
      <c r="G2182" s="1"/>
      <c r="H2182" s="4" t="s">
        <v>199</v>
      </c>
      <c r="J2182" s="286" t="s">
        <v>357</v>
      </c>
      <c r="K2182" s="286"/>
      <c r="L2182" s="286"/>
    </row>
    <row r="2183" spans="1:12" ht="15" x14ac:dyDescent="0.25">
      <c r="A2183" s="1"/>
      <c r="B2183" s="1" t="s">
        <v>15</v>
      </c>
      <c r="C2183" s="1"/>
      <c r="D2183" s="1"/>
      <c r="E2183" s="1"/>
      <c r="F2183" s="1"/>
      <c r="G2183" s="1"/>
      <c r="H2183" s="4" t="s">
        <v>13</v>
      </c>
    </row>
    <row r="2184" spans="1:12" ht="15" x14ac:dyDescent="0.25">
      <c r="A2184" s="1"/>
      <c r="B2184" s="1" t="s">
        <v>18</v>
      </c>
      <c r="C2184" s="1"/>
      <c r="D2184" s="1"/>
      <c r="E2184" s="1"/>
      <c r="F2184" s="1"/>
      <c r="G2184" s="1"/>
      <c r="H2184" s="4" t="s">
        <v>14</v>
      </c>
    </row>
    <row r="2185" spans="1:12" ht="15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 ht="15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 ht="15" x14ac:dyDescent="0.25">
      <c r="A2187" s="1"/>
      <c r="B2187" s="103"/>
      <c r="C2187" s="103"/>
      <c r="D2187" s="103"/>
      <c r="E2187" s="103"/>
      <c r="F2187" s="103"/>
      <c r="G2187" s="103"/>
      <c r="H2187" s="103"/>
      <c r="I2187" s="103"/>
      <c r="J2187" s="103"/>
      <c r="K2187" s="103"/>
      <c r="L2187" s="1"/>
    </row>
    <row r="2188" spans="1:12" ht="15" x14ac:dyDescent="0.25">
      <c r="A2188" s="1"/>
      <c r="K2188" s="103"/>
      <c r="L2188" s="1"/>
    </row>
    <row r="2189" spans="1:12" ht="15" x14ac:dyDescent="0.25">
      <c r="A2189" s="1"/>
      <c r="B2189" s="95" t="s">
        <v>77</v>
      </c>
      <c r="H2189" s="95" t="str">
        <f>D2164</f>
        <v>Lanita</v>
      </c>
      <c r="I2189" s="95"/>
      <c r="J2189" s="92"/>
      <c r="K2189" s="103"/>
      <c r="L2189" s="1"/>
    </row>
    <row r="2190" spans="1:12" ht="15" x14ac:dyDescent="0.25">
      <c r="A2190" s="1"/>
      <c r="B2190" s="99" t="s">
        <v>27</v>
      </c>
      <c r="C2190" s="57"/>
      <c r="H2190" s="99"/>
      <c r="K2190" s="103"/>
    </row>
    <row r="2191" spans="1:12" ht="41.25" customHeight="1" x14ac:dyDescent="0.2"/>
    <row r="2192" spans="1:12" ht="12.75" x14ac:dyDescent="0.2"/>
    <row r="2193" spans="1:12" ht="15" customHeight="1" x14ac:dyDescent="0.25">
      <c r="A2193" s="3" t="s">
        <v>22</v>
      </c>
    </row>
    <row r="2194" spans="1:12" ht="15.75" x14ac:dyDescent="0.2">
      <c r="A2194" s="122" t="s">
        <v>20</v>
      </c>
    </row>
    <row r="2195" spans="1:12" ht="15.75" x14ac:dyDescent="0.2">
      <c r="A2195" s="122" t="s">
        <v>21</v>
      </c>
    </row>
    <row r="2196" spans="1:12" ht="12.75" x14ac:dyDescent="0.2"/>
    <row r="2197" spans="1:12" ht="12.75" x14ac:dyDescent="0.2"/>
    <row r="2198" spans="1:12" ht="12.75" x14ac:dyDescent="0.2"/>
    <row r="2199" spans="1:12" ht="18.75" x14ac:dyDescent="0.3">
      <c r="A2199" s="276" t="s">
        <v>6</v>
      </c>
      <c r="B2199" s="276"/>
      <c r="C2199" s="276"/>
      <c r="D2199" s="276"/>
      <c r="E2199" s="276"/>
      <c r="F2199" s="276"/>
      <c r="G2199" s="276"/>
      <c r="H2199" s="276"/>
      <c r="I2199" s="276"/>
      <c r="J2199" s="276"/>
      <c r="K2199" s="276"/>
      <c r="L2199" s="276"/>
    </row>
    <row r="2200" spans="1:12" ht="18.75" x14ac:dyDescent="0.3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</row>
    <row r="2201" spans="1:12" ht="18.75" x14ac:dyDescent="0.3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</row>
    <row r="2202" spans="1:12" ht="15" x14ac:dyDescent="0.25">
      <c r="A2202" s="1"/>
      <c r="B2202" s="1"/>
    </row>
    <row r="2203" spans="1:12" ht="45" customHeight="1" x14ac:dyDescent="0.25">
      <c r="A2203" s="1" t="s">
        <v>7</v>
      </c>
      <c r="B2203" s="1"/>
    </row>
    <row r="2204" spans="1:12" ht="15" x14ac:dyDescent="0.25">
      <c r="A2204" s="1"/>
      <c r="B2204" s="1"/>
    </row>
    <row r="2205" spans="1:12" ht="15" x14ac:dyDescent="0.25">
      <c r="A2205" s="1" t="s">
        <v>8</v>
      </c>
      <c r="C2205" s="9" t="s">
        <v>1</v>
      </c>
      <c r="D2205" s="92" t="s">
        <v>394</v>
      </c>
      <c r="E2205" s="76"/>
      <c r="F2205" s="76"/>
      <c r="G2205" s="76"/>
      <c r="H2205" s="76"/>
    </row>
    <row r="2206" spans="1:12" ht="15" x14ac:dyDescent="0.25">
      <c r="A2206" s="1" t="s">
        <v>9</v>
      </c>
      <c r="C2206" s="9" t="s">
        <v>1</v>
      </c>
      <c r="D2206" s="57" t="s">
        <v>74</v>
      </c>
      <c r="E2206" s="76"/>
      <c r="F2206" s="76"/>
      <c r="G2206" s="76"/>
      <c r="H2206" s="76"/>
    </row>
    <row r="2207" spans="1:12" ht="21" customHeight="1" x14ac:dyDescent="0.2">
      <c r="A2207" s="50" t="s">
        <v>10</v>
      </c>
      <c r="B2207" s="76"/>
      <c r="C2207" s="91" t="s">
        <v>1</v>
      </c>
      <c r="D2207" s="50" t="s">
        <v>395</v>
      </c>
      <c r="E2207" s="76"/>
      <c r="F2207" s="76"/>
      <c r="G2207" s="76"/>
      <c r="H2207" s="76"/>
      <c r="I2207" s="76"/>
      <c r="J2207" s="76"/>
      <c r="K2207" s="76"/>
      <c r="L2207" s="76"/>
    </row>
    <row r="2208" spans="1:12" ht="12" customHeight="1" x14ac:dyDescent="0.25">
      <c r="A2208" s="1"/>
      <c r="B2208" s="1"/>
      <c r="D2208" s="1"/>
    </row>
    <row r="2209" spans="1:12" ht="46.5" customHeight="1" x14ac:dyDescent="0.2">
      <c r="A2209" s="277" t="s">
        <v>393</v>
      </c>
      <c r="B2209" s="277"/>
      <c r="C2209" s="277"/>
      <c r="D2209" s="277"/>
      <c r="E2209" s="277"/>
      <c r="F2209" s="277"/>
      <c r="G2209" s="277"/>
      <c r="H2209" s="277"/>
      <c r="I2209" s="277"/>
      <c r="J2209" s="277"/>
      <c r="K2209" s="277"/>
      <c r="L2209" s="277"/>
    </row>
    <row r="2210" spans="1:12" ht="15" x14ac:dyDescent="0.25">
      <c r="A2210" s="1"/>
      <c r="B2210" s="1"/>
    </row>
    <row r="2211" spans="1:12" ht="39.75" customHeight="1" thickBot="1" x14ac:dyDescent="0.25">
      <c r="A2211" s="10" t="s">
        <v>0</v>
      </c>
      <c r="B2211" s="278" t="s">
        <v>91</v>
      </c>
      <c r="C2211" s="278"/>
      <c r="D2211" s="278"/>
      <c r="E2211" s="278"/>
      <c r="F2211" s="278"/>
      <c r="G2211" s="278"/>
      <c r="H2211" s="278"/>
      <c r="I2211" s="278"/>
      <c r="J2211" s="278"/>
      <c r="K2211" s="278"/>
      <c r="L2211" s="278"/>
    </row>
    <row r="2212" spans="1:12" ht="15.75" thickTop="1" x14ac:dyDescent="0.25">
      <c r="A2212" s="1"/>
      <c r="B2212" s="11" t="s">
        <v>3</v>
      </c>
      <c r="C2212" s="12" t="s">
        <v>4</v>
      </c>
      <c r="D2212" s="13"/>
      <c r="E2212" s="13"/>
      <c r="F2212" s="13"/>
      <c r="G2212" s="13"/>
      <c r="H2212" s="14"/>
      <c r="I2212" s="15" t="s">
        <v>5</v>
      </c>
      <c r="J2212" s="12" t="s">
        <v>17</v>
      </c>
      <c r="K2212" s="13"/>
      <c r="L2212" s="14"/>
    </row>
    <row r="2213" spans="1:12" ht="41.25" customHeight="1" x14ac:dyDescent="0.2">
      <c r="A2213" s="50"/>
      <c r="B2213" s="143">
        <v>1</v>
      </c>
      <c r="C2213" s="287" t="s">
        <v>378</v>
      </c>
      <c r="D2213" s="288"/>
      <c r="E2213" s="158">
        <v>150000</v>
      </c>
      <c r="F2213" s="159" t="s">
        <v>262</v>
      </c>
      <c r="G2213" s="76"/>
      <c r="H2213" s="79"/>
      <c r="I2213" s="56">
        <v>300000</v>
      </c>
      <c r="J2213" s="76" t="s">
        <v>207</v>
      </c>
      <c r="K2213" s="76"/>
      <c r="L2213" s="79"/>
    </row>
    <row r="2214" spans="1:12" ht="15" x14ac:dyDescent="0.2">
      <c r="B2214" s="96"/>
      <c r="C2214" s="124"/>
      <c r="D2214" s="124"/>
      <c r="E2214" s="127"/>
      <c r="F2214" s="125"/>
      <c r="G2214" s="124"/>
      <c r="H2214" s="124"/>
      <c r="I2214" s="23"/>
      <c r="L2214" s="17"/>
    </row>
    <row r="2215" spans="1:12" ht="16.5" customHeight="1" x14ac:dyDescent="0.25">
      <c r="A2215" s="1"/>
      <c r="B2215" s="39"/>
      <c r="C2215" s="1"/>
      <c r="D2215" s="1"/>
      <c r="E2215" s="1"/>
      <c r="F2215" s="40" t="s">
        <v>5</v>
      </c>
      <c r="G2215" s="40"/>
      <c r="H2215" s="1"/>
      <c r="I2215" s="41">
        <f>SUM(I2213:I2213)</f>
        <v>300000</v>
      </c>
      <c r="J2215" s="1"/>
      <c r="K2215" s="1"/>
      <c r="L2215" s="42"/>
    </row>
    <row r="2216" spans="1:12" ht="15.75" thickBot="1" x14ac:dyDescent="0.3">
      <c r="A2216" s="1"/>
      <c r="B2216" s="43"/>
      <c r="C2216" s="44"/>
      <c r="D2216" s="44"/>
      <c r="E2216" s="44"/>
      <c r="F2216" s="45"/>
      <c r="G2216" s="45"/>
      <c r="H2216" s="44"/>
      <c r="I2216" s="46"/>
      <c r="J2216" s="44"/>
      <c r="K2216" s="44"/>
      <c r="L2216" s="47"/>
    </row>
    <row r="2217" spans="1:12" ht="16.5" customHeight="1" thickTop="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 spans="1:12" ht="45" customHeight="1" x14ac:dyDescent="0.2">
      <c r="A2218" s="10" t="s">
        <v>2</v>
      </c>
      <c r="B2218" s="279" t="s">
        <v>11</v>
      </c>
      <c r="C2218" s="279"/>
      <c r="D2218" s="279"/>
      <c r="E2218" s="279"/>
      <c r="F2218" s="279"/>
      <c r="G2218" s="279"/>
      <c r="H2218" s="279"/>
      <c r="I2218" s="279"/>
      <c r="J2218" s="279"/>
      <c r="K2218" s="279"/>
      <c r="L2218" s="279"/>
    </row>
    <row r="2219" spans="1:12" ht="16.5" customHeight="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 ht="23.25" customHeight="1" x14ac:dyDescent="0.2">
      <c r="A2220" s="280" t="s">
        <v>12</v>
      </c>
      <c r="B2220" s="280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</row>
    <row r="2221" spans="1:12" ht="16.5" customHeight="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12" ht="16.5" customHeight="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</row>
    <row r="2223" spans="1:12" ht="16.5" customHeight="1" x14ac:dyDescent="0.25">
      <c r="A2223" s="1"/>
      <c r="B2223" s="1"/>
      <c r="C2223" s="1"/>
      <c r="D2223" s="1"/>
      <c r="E2223" s="1"/>
      <c r="F2223" s="1"/>
      <c r="G2223" s="1"/>
      <c r="H2223" s="4" t="s">
        <v>199</v>
      </c>
      <c r="J2223" s="286" t="s">
        <v>357</v>
      </c>
      <c r="K2223" s="286"/>
      <c r="L2223" s="286"/>
    </row>
    <row r="2224" spans="1:12" ht="16.5" customHeight="1" x14ac:dyDescent="0.25">
      <c r="A2224" s="1"/>
      <c r="B2224" s="1" t="s">
        <v>15</v>
      </c>
      <c r="C2224" s="1"/>
      <c r="D2224" s="1"/>
      <c r="E2224" s="1"/>
      <c r="F2224" s="1"/>
      <c r="G2224" s="1"/>
      <c r="H2224" s="4" t="s">
        <v>13</v>
      </c>
    </row>
    <row r="2225" spans="1:12" ht="16.5" customHeight="1" x14ac:dyDescent="0.25">
      <c r="A2225" s="1"/>
      <c r="B2225" s="1" t="s">
        <v>18</v>
      </c>
      <c r="C2225" s="1"/>
      <c r="D2225" s="1"/>
      <c r="E2225" s="1"/>
      <c r="F2225" s="1"/>
      <c r="G2225" s="1"/>
      <c r="H2225" s="4" t="s">
        <v>14</v>
      </c>
    </row>
    <row r="2226" spans="1:12" ht="16.5" customHeight="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</row>
    <row r="2227" spans="1:12" ht="16.5" customHeight="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</row>
    <row r="2228" spans="1:12" ht="16.5" customHeight="1" x14ac:dyDescent="0.25">
      <c r="A2228" s="1"/>
      <c r="B2228" s="103"/>
      <c r="C2228" s="103"/>
      <c r="D2228" s="103"/>
      <c r="E2228" s="103"/>
      <c r="F2228" s="103"/>
      <c r="G2228" s="103"/>
      <c r="H2228" s="103"/>
      <c r="I2228" s="103"/>
      <c r="J2228" s="103"/>
      <c r="K2228" s="103"/>
      <c r="L2228" s="1"/>
    </row>
    <row r="2229" spans="1:12" ht="16.5" customHeight="1" x14ac:dyDescent="0.25">
      <c r="A2229" s="1"/>
      <c r="K2229" s="103"/>
      <c r="L2229" s="1"/>
    </row>
    <row r="2230" spans="1:12" ht="16.5" customHeight="1" x14ac:dyDescent="0.25">
      <c r="A2230" s="1"/>
      <c r="B2230" s="95" t="s">
        <v>77</v>
      </c>
      <c r="H2230" s="95" t="str">
        <f>D2205</f>
        <v>Siti Khotijah</v>
      </c>
      <c r="I2230" s="95"/>
      <c r="J2230" s="92"/>
      <c r="K2230" s="103"/>
      <c r="L2230" s="1"/>
    </row>
    <row r="2231" spans="1:12" ht="16.5" customHeight="1" x14ac:dyDescent="0.25">
      <c r="A2231" s="1"/>
      <c r="B2231" s="99" t="s">
        <v>27</v>
      </c>
      <c r="C2231" s="57"/>
      <c r="H2231" s="99"/>
      <c r="K2231" s="103"/>
    </row>
    <row r="2232" spans="1:12" ht="16.5" customHeight="1" x14ac:dyDescent="0.2"/>
    <row r="2233" spans="1:12" ht="16.5" customHeight="1" x14ac:dyDescent="0.2"/>
    <row r="2234" spans="1:12" ht="16.5" customHeight="1" x14ac:dyDescent="0.25">
      <c r="A2234" s="3" t="s">
        <v>22</v>
      </c>
    </row>
    <row r="2235" spans="1:12" ht="16.5" customHeight="1" x14ac:dyDescent="0.2">
      <c r="A2235" s="122" t="s">
        <v>20</v>
      </c>
    </row>
    <row r="2236" spans="1:12" ht="23.25" customHeight="1" x14ac:dyDescent="0.2">
      <c r="A2236" s="122" t="s">
        <v>21</v>
      </c>
    </row>
    <row r="2237" spans="1:12" ht="16.5" customHeight="1" x14ac:dyDescent="0.2"/>
    <row r="2238" spans="1:12" ht="7.5" customHeight="1" x14ac:dyDescent="0.2"/>
    <row r="2239" spans="1:12" ht="16.5" customHeight="1" x14ac:dyDescent="0.2"/>
    <row r="2240" spans="1:12" ht="16.5" customHeight="1" x14ac:dyDescent="0.3">
      <c r="A2240" s="276" t="s">
        <v>6</v>
      </c>
      <c r="B2240" s="276"/>
      <c r="C2240" s="276"/>
      <c r="D2240" s="276"/>
      <c r="E2240" s="276"/>
      <c r="F2240" s="276"/>
      <c r="G2240" s="276"/>
      <c r="H2240" s="276"/>
      <c r="I2240" s="276"/>
      <c r="J2240" s="276"/>
      <c r="K2240" s="276"/>
      <c r="L2240" s="276"/>
    </row>
    <row r="2241" spans="1:12" ht="16.5" customHeight="1" x14ac:dyDescent="0.3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</row>
    <row r="2242" spans="1:12" ht="16.5" customHeight="1" x14ac:dyDescent="0.3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</row>
    <row r="2243" spans="1:12" ht="16.5" customHeight="1" x14ac:dyDescent="0.25">
      <c r="A2243" s="1"/>
      <c r="B2243" s="1"/>
    </row>
    <row r="2244" spans="1:12" ht="16.5" customHeight="1" x14ac:dyDescent="0.25">
      <c r="A2244" s="1" t="s">
        <v>7</v>
      </c>
      <c r="B2244" s="1"/>
    </row>
    <row r="2245" spans="1:12" ht="16.5" customHeight="1" x14ac:dyDescent="0.25">
      <c r="A2245" s="1"/>
      <c r="B2245" s="1"/>
    </row>
    <row r="2246" spans="1:12" ht="16.5" customHeight="1" x14ac:dyDescent="0.25">
      <c r="A2246" s="1" t="s">
        <v>8</v>
      </c>
      <c r="C2246" s="9" t="s">
        <v>1</v>
      </c>
      <c r="D2246" s="92" t="s">
        <v>77</v>
      </c>
      <c r="E2246" s="76"/>
      <c r="F2246" s="76"/>
      <c r="G2246" s="76"/>
      <c r="H2246" s="76"/>
    </row>
    <row r="2247" spans="1:12" ht="16.5" customHeight="1" x14ac:dyDescent="0.25">
      <c r="A2247" s="1" t="s">
        <v>9</v>
      </c>
      <c r="C2247" s="9" t="s">
        <v>1</v>
      </c>
      <c r="D2247" s="57" t="s">
        <v>201</v>
      </c>
      <c r="E2247" s="76"/>
      <c r="F2247" s="76"/>
      <c r="G2247" s="76"/>
      <c r="H2247" s="76"/>
    </row>
    <row r="2248" spans="1:12" ht="21" customHeight="1" x14ac:dyDescent="0.2">
      <c r="A2248" s="50" t="s">
        <v>10</v>
      </c>
      <c r="B2248" s="76"/>
      <c r="C2248" s="91" t="s">
        <v>1</v>
      </c>
      <c r="D2248" s="50" t="s">
        <v>265</v>
      </c>
      <c r="E2248" s="76"/>
      <c r="F2248" s="76"/>
      <c r="G2248" s="76"/>
      <c r="H2248" s="76"/>
      <c r="I2248" s="76"/>
      <c r="J2248" s="76"/>
      <c r="K2248" s="76"/>
      <c r="L2248" s="76"/>
    </row>
    <row r="2249" spans="1:12" ht="16.5" customHeight="1" x14ac:dyDescent="0.25">
      <c r="A2249" s="1"/>
      <c r="B2249" s="1"/>
      <c r="D2249" s="1"/>
    </row>
    <row r="2250" spans="1:12" ht="28.5" customHeight="1" x14ac:dyDescent="0.2">
      <c r="A2250" s="277" t="s">
        <v>404</v>
      </c>
      <c r="B2250" s="277"/>
      <c r="C2250" s="277"/>
      <c r="D2250" s="277"/>
      <c r="E2250" s="277"/>
      <c r="F2250" s="277"/>
      <c r="G2250" s="277"/>
      <c r="H2250" s="277"/>
      <c r="I2250" s="277"/>
      <c r="J2250" s="277"/>
      <c r="K2250" s="277"/>
      <c r="L2250" s="277"/>
    </row>
    <row r="2251" spans="1:12" ht="16.5" customHeight="1" x14ac:dyDescent="0.25">
      <c r="A2251" s="1"/>
      <c r="B2251" s="1"/>
    </row>
    <row r="2252" spans="1:12" ht="33" customHeight="1" thickBot="1" x14ac:dyDescent="0.25">
      <c r="A2252" s="10" t="s">
        <v>0</v>
      </c>
      <c r="B2252" s="278" t="s">
        <v>91</v>
      </c>
      <c r="C2252" s="278"/>
      <c r="D2252" s="278"/>
      <c r="E2252" s="278"/>
      <c r="F2252" s="278"/>
      <c r="G2252" s="278"/>
      <c r="H2252" s="278"/>
      <c r="I2252" s="278"/>
      <c r="J2252" s="278"/>
      <c r="K2252" s="278"/>
      <c r="L2252" s="278"/>
    </row>
    <row r="2253" spans="1:12" ht="20.25" customHeight="1" thickTop="1" x14ac:dyDescent="0.25">
      <c r="A2253" s="1"/>
      <c r="B2253" s="11" t="s">
        <v>3</v>
      </c>
      <c r="C2253" s="12" t="s">
        <v>4</v>
      </c>
      <c r="D2253" s="13"/>
      <c r="E2253" s="13"/>
      <c r="F2253" s="13"/>
      <c r="G2253" s="13"/>
      <c r="H2253" s="14"/>
      <c r="I2253" s="15" t="s">
        <v>5</v>
      </c>
      <c r="J2253" s="12" t="s">
        <v>17</v>
      </c>
      <c r="K2253" s="13"/>
      <c r="L2253" s="14"/>
    </row>
    <row r="2254" spans="1:12" ht="23.25" customHeight="1" x14ac:dyDescent="0.2">
      <c r="A2254" s="50"/>
      <c r="B2254" s="143">
        <v>1</v>
      </c>
      <c r="C2254" s="284" t="s">
        <v>303</v>
      </c>
      <c r="D2254" s="285"/>
      <c r="E2254" s="285"/>
      <c r="F2254" s="285"/>
      <c r="G2254" s="76"/>
      <c r="H2254" s="79"/>
      <c r="I2254" s="56">
        <v>250000</v>
      </c>
      <c r="J2254" s="76"/>
      <c r="K2254" s="76"/>
      <c r="L2254" s="79"/>
    </row>
    <row r="2255" spans="1:12" ht="26.25" customHeight="1" x14ac:dyDescent="0.2">
      <c r="B2255" s="96"/>
      <c r="C2255" s="124"/>
      <c r="D2255" s="124"/>
      <c r="E2255" s="127"/>
      <c r="F2255" s="125"/>
      <c r="G2255" s="124"/>
      <c r="H2255" s="124"/>
      <c r="I2255" s="23"/>
      <c r="L2255" s="17"/>
    </row>
    <row r="2256" spans="1:12" ht="18.75" customHeight="1" x14ac:dyDescent="0.25">
      <c r="A2256" s="1"/>
      <c r="B2256" s="39"/>
      <c r="C2256" s="1"/>
      <c r="D2256" s="1"/>
      <c r="E2256" s="1"/>
      <c r="F2256" s="40" t="s">
        <v>5</v>
      </c>
      <c r="G2256" s="40"/>
      <c r="H2256" s="1"/>
      <c r="I2256" s="41">
        <f>SUM(I2254:I2254)</f>
        <v>250000</v>
      </c>
      <c r="J2256" s="1"/>
      <c r="K2256" s="1"/>
      <c r="L2256" s="42"/>
    </row>
    <row r="2257" spans="1:12" ht="16.5" customHeight="1" thickBot="1" x14ac:dyDescent="0.3">
      <c r="A2257" s="1"/>
      <c r="B2257" s="43"/>
      <c r="C2257" s="44"/>
      <c r="D2257" s="44"/>
      <c r="E2257" s="44"/>
      <c r="F2257" s="45"/>
      <c r="G2257" s="45"/>
      <c r="H2257" s="44"/>
      <c r="I2257" s="46"/>
      <c r="J2257" s="44"/>
      <c r="K2257" s="44"/>
      <c r="L2257" s="47"/>
    </row>
    <row r="2258" spans="1:12" ht="16.5" customHeight="1" thickTop="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</row>
    <row r="2259" spans="1:12" ht="51" customHeight="1" x14ac:dyDescent="0.2">
      <c r="A2259" s="10" t="s">
        <v>2</v>
      </c>
      <c r="B2259" s="279" t="s">
        <v>11</v>
      </c>
      <c r="C2259" s="279"/>
      <c r="D2259" s="279"/>
      <c r="E2259" s="279"/>
      <c r="F2259" s="279"/>
      <c r="G2259" s="279"/>
      <c r="H2259" s="279"/>
      <c r="I2259" s="279"/>
      <c r="J2259" s="279"/>
      <c r="K2259" s="279"/>
      <c r="L2259" s="279"/>
    </row>
    <row r="2260" spans="1:12" ht="16.5" customHeight="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</row>
    <row r="2261" spans="1:12" ht="16.5" customHeight="1" x14ac:dyDescent="0.2">
      <c r="A2261" s="280" t="s">
        <v>12</v>
      </c>
      <c r="B2261" s="280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</row>
    <row r="2262" spans="1:12" ht="16.5" customHeight="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 ht="13.5" customHeight="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</row>
    <row r="2264" spans="1:12" ht="16.5" customHeight="1" x14ac:dyDescent="0.25">
      <c r="A2264" s="1"/>
      <c r="B2264" s="1"/>
      <c r="C2264" s="1"/>
      <c r="D2264" s="1"/>
      <c r="E2264" s="1"/>
      <c r="F2264" s="1"/>
      <c r="G2264" s="1"/>
      <c r="H2264" s="4" t="s">
        <v>199</v>
      </c>
      <c r="J2264" s="286" t="s">
        <v>357</v>
      </c>
      <c r="K2264" s="286"/>
      <c r="L2264" s="286"/>
    </row>
    <row r="2265" spans="1:12" ht="16.5" customHeight="1" x14ac:dyDescent="0.25">
      <c r="A2265" s="1"/>
      <c r="B2265" s="1" t="s">
        <v>15</v>
      </c>
      <c r="C2265" s="1"/>
      <c r="D2265" s="1"/>
      <c r="E2265" s="1"/>
      <c r="F2265" s="1"/>
      <c r="G2265" s="1"/>
      <c r="H2265" s="4" t="s">
        <v>13</v>
      </c>
    </row>
    <row r="2266" spans="1:12" ht="16.5" customHeight="1" x14ac:dyDescent="0.25">
      <c r="A2266" s="1"/>
      <c r="B2266" s="1" t="s">
        <v>18</v>
      </c>
      <c r="C2266" s="1"/>
      <c r="D2266" s="1"/>
      <c r="E2266" s="1"/>
      <c r="F2266" s="1"/>
      <c r="G2266" s="1"/>
      <c r="H2266" s="4" t="s">
        <v>14</v>
      </c>
    </row>
    <row r="2267" spans="1:12" ht="19.5" customHeight="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 ht="8.25" customHeight="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 spans="1:12" ht="16.5" hidden="1" customHeight="1" x14ac:dyDescent="0.25">
      <c r="A2269" s="1"/>
      <c r="B2269" s="103"/>
      <c r="C2269" s="103"/>
      <c r="D2269" s="103"/>
      <c r="E2269" s="103"/>
      <c r="F2269" s="103"/>
      <c r="G2269" s="103"/>
      <c r="H2269" s="103"/>
      <c r="I2269" s="103"/>
      <c r="J2269" s="103"/>
      <c r="K2269" s="103"/>
      <c r="L2269" s="1"/>
    </row>
    <row r="2270" spans="1:12" ht="16.5" customHeight="1" x14ac:dyDescent="0.25">
      <c r="A2270" s="1"/>
      <c r="K2270" s="103"/>
      <c r="L2270" s="1"/>
    </row>
    <row r="2271" spans="1:12" ht="16.5" customHeight="1" x14ac:dyDescent="0.25">
      <c r="A2271" s="1"/>
      <c r="B2271" s="95" t="s">
        <v>77</v>
      </c>
      <c r="H2271" s="95" t="s">
        <v>77</v>
      </c>
      <c r="I2271" s="95"/>
      <c r="J2271" s="92"/>
      <c r="K2271" s="103"/>
      <c r="L2271" s="1"/>
    </row>
    <row r="2272" spans="1:12" ht="16.5" customHeight="1" x14ac:dyDescent="0.25">
      <c r="A2272" s="1"/>
      <c r="B2272" s="99" t="s">
        <v>27</v>
      </c>
      <c r="C2272" s="57"/>
      <c r="H2272" s="99" t="s">
        <v>27</v>
      </c>
      <c r="K2272" s="103"/>
    </row>
    <row r="2273" spans="1:1" ht="16.5" customHeight="1" x14ac:dyDescent="0.2"/>
    <row r="2274" spans="1:1" ht="16.5" customHeight="1" x14ac:dyDescent="0.2"/>
    <row r="2275" spans="1:1" ht="16.5" customHeight="1" x14ac:dyDescent="0.2"/>
    <row r="2276" spans="1:1" ht="16.5" customHeight="1" x14ac:dyDescent="0.2"/>
    <row r="2277" spans="1:1" ht="16.5" customHeight="1" x14ac:dyDescent="0.2"/>
    <row r="2278" spans="1:1" ht="16.5" customHeight="1" x14ac:dyDescent="0.2"/>
    <row r="2279" spans="1:1" ht="16.5" customHeight="1" x14ac:dyDescent="0.2"/>
    <row r="2280" spans="1:1" ht="16.5" customHeight="1" x14ac:dyDescent="0.2"/>
    <row r="2281" spans="1:1" ht="16.5" customHeight="1" x14ac:dyDescent="0.2"/>
    <row r="2282" spans="1:1" ht="45" customHeight="1" x14ac:dyDescent="0.2"/>
    <row r="2283" spans="1:1" ht="16.5" customHeight="1" x14ac:dyDescent="0.25">
      <c r="A2283" s="3" t="s">
        <v>22</v>
      </c>
    </row>
    <row r="2284" spans="1:1" ht="18" customHeight="1" x14ac:dyDescent="0.2">
      <c r="A2284" s="122" t="s">
        <v>20</v>
      </c>
    </row>
    <row r="2285" spans="1:1" ht="16.5" customHeight="1" x14ac:dyDescent="0.2">
      <c r="A2285" s="122" t="s">
        <v>21</v>
      </c>
    </row>
    <row r="2286" spans="1:1" ht="12.75" customHeight="1" x14ac:dyDescent="0.2"/>
    <row r="2287" spans="1:1" ht="16.5" customHeight="1" x14ac:dyDescent="0.2"/>
    <row r="2288" spans="1:1" ht="16.5" customHeight="1" x14ac:dyDescent="0.2"/>
    <row r="2289" spans="1:12" ht="16.5" customHeight="1" x14ac:dyDescent="0.3">
      <c r="A2289" s="276" t="s">
        <v>6</v>
      </c>
      <c r="B2289" s="276"/>
      <c r="C2289" s="276"/>
      <c r="D2289" s="276"/>
      <c r="E2289" s="276"/>
      <c r="F2289" s="276"/>
      <c r="G2289" s="276"/>
      <c r="H2289" s="276"/>
      <c r="I2289" s="276"/>
      <c r="J2289" s="276"/>
      <c r="K2289" s="276"/>
      <c r="L2289" s="276"/>
    </row>
    <row r="2290" spans="1:12" ht="10.5" customHeight="1" x14ac:dyDescent="0.3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</row>
    <row r="2291" spans="1:12" ht="5.25" customHeight="1" x14ac:dyDescent="0.3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</row>
    <row r="2292" spans="1:12" ht="7.5" customHeight="1" x14ac:dyDescent="0.25">
      <c r="A2292" s="1"/>
      <c r="B2292" s="1"/>
    </row>
    <row r="2293" spans="1:12" ht="16.5" customHeight="1" x14ac:dyDescent="0.25">
      <c r="A2293" s="1" t="s">
        <v>7</v>
      </c>
      <c r="B2293" s="1"/>
    </row>
    <row r="2294" spans="1:12" ht="13.5" customHeight="1" x14ac:dyDescent="0.25">
      <c r="A2294" s="1"/>
      <c r="B2294" s="1"/>
    </row>
    <row r="2295" spans="1:12" ht="16.5" customHeight="1" x14ac:dyDescent="0.25">
      <c r="A2295" s="1" t="s">
        <v>8</v>
      </c>
      <c r="C2295" s="9" t="s">
        <v>1</v>
      </c>
      <c r="D2295" s="126" t="s">
        <v>64</v>
      </c>
      <c r="E2295" s="76"/>
      <c r="F2295" s="76"/>
      <c r="G2295" s="76"/>
      <c r="H2295" s="76"/>
    </row>
    <row r="2296" spans="1:12" ht="16.5" customHeight="1" x14ac:dyDescent="0.25">
      <c r="A2296" s="1" t="s">
        <v>9</v>
      </c>
      <c r="C2296" s="9" t="s">
        <v>1</v>
      </c>
      <c r="D2296" s="119" t="s">
        <v>236</v>
      </c>
      <c r="E2296" s="76"/>
      <c r="F2296" s="76"/>
      <c r="G2296" s="76"/>
      <c r="H2296" s="76"/>
    </row>
    <row r="2297" spans="1:12" ht="16.5" customHeight="1" x14ac:dyDescent="0.2">
      <c r="A2297" s="50" t="s">
        <v>10</v>
      </c>
      <c r="B2297" s="76"/>
      <c r="C2297" s="91" t="s">
        <v>1</v>
      </c>
      <c r="D2297" s="124" t="s">
        <v>235</v>
      </c>
      <c r="E2297" s="76"/>
      <c r="F2297" s="76"/>
      <c r="G2297" s="76"/>
      <c r="H2297" s="76"/>
      <c r="I2297" s="76"/>
      <c r="J2297" s="76"/>
      <c r="K2297" s="76"/>
      <c r="L2297" s="76"/>
    </row>
    <row r="2298" spans="1:12" ht="9.75" customHeight="1" x14ac:dyDescent="0.25">
      <c r="A2298" s="1"/>
      <c r="B2298" s="1"/>
      <c r="D2298" s="1"/>
    </row>
    <row r="2299" spans="1:12" ht="32.25" customHeight="1" x14ac:dyDescent="0.2">
      <c r="A2299" s="277" t="s">
        <v>404</v>
      </c>
      <c r="B2299" s="277"/>
      <c r="C2299" s="277"/>
      <c r="D2299" s="277"/>
      <c r="E2299" s="277"/>
      <c r="F2299" s="277"/>
      <c r="G2299" s="277"/>
      <c r="H2299" s="277"/>
      <c r="I2299" s="277"/>
      <c r="J2299" s="277"/>
      <c r="K2299" s="277"/>
      <c r="L2299" s="277"/>
    </row>
    <row r="2300" spans="1:12" ht="15.75" customHeight="1" x14ac:dyDescent="0.25">
      <c r="A2300" s="1"/>
      <c r="B2300" s="1"/>
    </row>
    <row r="2301" spans="1:12" ht="36" customHeight="1" thickBot="1" x14ac:dyDescent="0.25">
      <c r="A2301" s="10" t="s">
        <v>0</v>
      </c>
      <c r="B2301" s="278" t="s">
        <v>91</v>
      </c>
      <c r="C2301" s="278"/>
      <c r="D2301" s="278"/>
      <c r="E2301" s="278"/>
      <c r="F2301" s="278"/>
      <c r="G2301" s="278"/>
      <c r="H2301" s="278"/>
      <c r="I2301" s="278"/>
      <c r="J2301" s="278"/>
      <c r="K2301" s="278"/>
      <c r="L2301" s="278"/>
    </row>
    <row r="2302" spans="1:12" ht="19.5" customHeight="1" thickTop="1" x14ac:dyDescent="0.25">
      <c r="A2302" s="1"/>
      <c r="B2302" s="11" t="s">
        <v>3</v>
      </c>
      <c r="C2302" s="12" t="s">
        <v>4</v>
      </c>
      <c r="D2302" s="13"/>
      <c r="E2302" s="13"/>
      <c r="F2302" s="13"/>
      <c r="G2302" s="13"/>
      <c r="H2302" s="14"/>
      <c r="I2302" s="15" t="s">
        <v>5</v>
      </c>
      <c r="J2302" s="12" t="s">
        <v>17</v>
      </c>
      <c r="K2302" s="13"/>
      <c r="L2302" s="14"/>
    </row>
    <row r="2303" spans="1:12" ht="22.5" customHeight="1" x14ac:dyDescent="0.2">
      <c r="A2303" s="50"/>
      <c r="B2303" s="143">
        <v>1</v>
      </c>
      <c r="C2303" s="284" t="s">
        <v>303</v>
      </c>
      <c r="D2303" s="285"/>
      <c r="E2303" s="285"/>
      <c r="F2303" s="285"/>
      <c r="G2303" s="76"/>
      <c r="H2303" s="79"/>
      <c r="I2303" s="56">
        <v>250000</v>
      </c>
      <c r="J2303" s="76"/>
      <c r="K2303" s="76"/>
      <c r="L2303" s="79"/>
    </row>
    <row r="2304" spans="1:12" ht="23.25" customHeight="1" x14ac:dyDescent="0.2">
      <c r="B2304" s="96"/>
      <c r="C2304" s="124"/>
      <c r="D2304" s="124"/>
      <c r="E2304" s="127"/>
      <c r="F2304" s="125"/>
      <c r="G2304" s="124"/>
      <c r="H2304" s="124"/>
      <c r="I2304" s="23"/>
      <c r="L2304" s="17"/>
    </row>
    <row r="2305" spans="1:12" ht="24.75" customHeight="1" x14ac:dyDescent="0.25">
      <c r="A2305" s="1"/>
      <c r="B2305" s="39"/>
      <c r="C2305" s="1"/>
      <c r="D2305" s="1"/>
      <c r="E2305" s="1"/>
      <c r="F2305" s="40" t="s">
        <v>5</v>
      </c>
      <c r="G2305" s="40"/>
      <c r="H2305" s="1"/>
      <c r="I2305" s="41">
        <v>250000</v>
      </c>
      <c r="J2305" s="1"/>
      <c r="K2305" s="1"/>
      <c r="L2305" s="42"/>
    </row>
    <row r="2306" spans="1:12" ht="16.5" customHeight="1" thickBot="1" x14ac:dyDescent="0.3">
      <c r="A2306" s="1"/>
      <c r="B2306" s="43"/>
      <c r="C2306" s="44"/>
      <c r="D2306" s="44"/>
      <c r="E2306" s="44"/>
      <c r="F2306" s="45"/>
      <c r="G2306" s="45"/>
      <c r="H2306" s="44"/>
      <c r="I2306" s="46"/>
      <c r="J2306" s="44"/>
      <c r="K2306" s="44"/>
      <c r="L2306" s="47"/>
    </row>
    <row r="2307" spans="1:12" ht="16.5" customHeight="1" thickTop="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 ht="46.5" customHeight="1" x14ac:dyDescent="0.2">
      <c r="A2308" s="10" t="s">
        <v>2</v>
      </c>
      <c r="B2308" s="279" t="s">
        <v>11</v>
      </c>
      <c r="C2308" s="279"/>
      <c r="D2308" s="279"/>
      <c r="E2308" s="279"/>
      <c r="F2308" s="279"/>
      <c r="G2308" s="279"/>
      <c r="H2308" s="279"/>
      <c r="I2308" s="279"/>
      <c r="J2308" s="279"/>
      <c r="K2308" s="279"/>
      <c r="L2308" s="279"/>
    </row>
    <row r="2309" spans="1:12" ht="11.25" customHeight="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 ht="15" customHeight="1" x14ac:dyDescent="0.2">
      <c r="A2310" s="280" t="s">
        <v>12</v>
      </c>
      <c r="B2310" s="280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</row>
    <row r="2311" spans="1:12" ht="15" customHeight="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 spans="1:12" ht="15" customHeight="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</row>
    <row r="2313" spans="1:12" ht="15" customHeight="1" x14ac:dyDescent="0.25">
      <c r="A2313" s="1"/>
      <c r="B2313" s="1"/>
      <c r="C2313" s="1"/>
      <c r="D2313" s="1"/>
      <c r="E2313" s="1"/>
      <c r="F2313" s="1"/>
      <c r="G2313" s="1"/>
      <c r="H2313" s="4" t="s">
        <v>199</v>
      </c>
      <c r="J2313" s="286" t="s">
        <v>357</v>
      </c>
      <c r="K2313" s="286"/>
      <c r="L2313" s="286"/>
    </row>
    <row r="2314" spans="1:12" ht="15" customHeight="1" x14ac:dyDescent="0.25">
      <c r="A2314" s="1"/>
      <c r="B2314" s="1" t="s">
        <v>15</v>
      </c>
      <c r="C2314" s="1"/>
      <c r="D2314" s="1"/>
      <c r="E2314" s="1"/>
      <c r="F2314" s="1"/>
      <c r="G2314" s="1"/>
      <c r="H2314" s="4" t="s">
        <v>13</v>
      </c>
    </row>
    <row r="2315" spans="1:12" ht="13.5" customHeight="1" x14ac:dyDescent="0.25">
      <c r="A2315" s="1"/>
      <c r="B2315" s="1" t="s">
        <v>18</v>
      </c>
      <c r="C2315" s="1"/>
      <c r="D2315" s="1"/>
      <c r="E2315" s="1"/>
      <c r="F2315" s="1"/>
      <c r="G2315" s="1"/>
      <c r="H2315" s="4" t="s">
        <v>14</v>
      </c>
    </row>
    <row r="2316" spans="1:12" ht="15" customHeight="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</row>
    <row r="2317" spans="1:12" ht="15" customHeight="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</row>
    <row r="2318" spans="1:12" ht="15" customHeight="1" x14ac:dyDescent="0.25">
      <c r="A2318" s="1"/>
      <c r="B2318" s="103"/>
      <c r="C2318" s="103"/>
      <c r="D2318" s="103"/>
      <c r="E2318" s="103"/>
      <c r="F2318" s="103"/>
      <c r="G2318" s="103"/>
      <c r="H2318" s="103"/>
      <c r="I2318" s="103"/>
      <c r="J2318" s="103"/>
      <c r="K2318" s="103"/>
      <c r="L2318" s="1"/>
    </row>
    <row r="2319" spans="1:12" ht="15" customHeight="1" x14ac:dyDescent="0.25">
      <c r="A2319" s="1"/>
      <c r="K2319" s="103"/>
      <c r="L2319" s="1"/>
    </row>
    <row r="2320" spans="1:12" ht="15" customHeight="1" x14ac:dyDescent="0.25">
      <c r="A2320" s="1"/>
      <c r="B2320" s="95" t="s">
        <v>77</v>
      </c>
      <c r="H2320" s="95" t="s">
        <v>64</v>
      </c>
      <c r="I2320" s="95"/>
      <c r="J2320" s="92"/>
      <c r="K2320" s="103"/>
      <c r="L2320" s="1"/>
    </row>
    <row r="2321" spans="1:12" ht="15" customHeight="1" x14ac:dyDescent="0.25">
      <c r="A2321" s="1"/>
      <c r="B2321" s="99" t="s">
        <v>27</v>
      </c>
      <c r="C2321" s="57"/>
      <c r="H2321" s="99" t="s">
        <v>46</v>
      </c>
      <c r="K2321" s="103"/>
    </row>
    <row r="2322" spans="1:12" ht="15" customHeight="1" x14ac:dyDescent="0.2"/>
    <row r="2323" spans="1:12" ht="15" customHeight="1" x14ac:dyDescent="0.2"/>
    <row r="2324" spans="1:12" ht="15" customHeight="1" x14ac:dyDescent="0.2"/>
    <row r="2325" spans="1:12" ht="15" customHeight="1" x14ac:dyDescent="0.25">
      <c r="A2325" s="3" t="s">
        <v>22</v>
      </c>
    </row>
    <row r="2326" spans="1:12" ht="15" customHeight="1" x14ac:dyDescent="0.2">
      <c r="A2326" s="122" t="s">
        <v>20</v>
      </c>
    </row>
    <row r="2327" spans="1:12" ht="15" customHeight="1" x14ac:dyDescent="0.2">
      <c r="A2327" s="122" t="s">
        <v>21</v>
      </c>
    </row>
    <row r="2328" spans="1:12" ht="15" customHeight="1" x14ac:dyDescent="0.2"/>
    <row r="2329" spans="1:12" ht="15" customHeight="1" x14ac:dyDescent="0.2"/>
    <row r="2330" spans="1:12" ht="9.75" customHeight="1" x14ac:dyDescent="0.2"/>
    <row r="2331" spans="1:12" ht="15" customHeight="1" x14ac:dyDescent="0.3">
      <c r="A2331" s="276" t="s">
        <v>6</v>
      </c>
      <c r="B2331" s="276"/>
      <c r="C2331" s="276"/>
      <c r="D2331" s="276"/>
      <c r="E2331" s="276"/>
      <c r="F2331" s="276"/>
      <c r="G2331" s="276"/>
      <c r="H2331" s="276"/>
      <c r="I2331" s="276"/>
      <c r="J2331" s="276"/>
      <c r="K2331" s="276"/>
      <c r="L2331" s="276"/>
    </row>
    <row r="2332" spans="1:12" ht="12.75" customHeight="1" x14ac:dyDescent="0.3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</row>
    <row r="2333" spans="1:12" ht="15" customHeight="1" x14ac:dyDescent="0.3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</row>
    <row r="2334" spans="1:12" ht="15" customHeight="1" x14ac:dyDescent="0.25">
      <c r="A2334" s="1"/>
      <c r="B2334" s="1"/>
    </row>
    <row r="2335" spans="1:12" ht="15" customHeight="1" x14ac:dyDescent="0.25">
      <c r="A2335" s="1" t="s">
        <v>7</v>
      </c>
      <c r="B2335" s="1"/>
    </row>
    <row r="2336" spans="1:12" ht="15" customHeight="1" x14ac:dyDescent="0.25">
      <c r="A2336" s="1"/>
      <c r="B2336" s="1"/>
    </row>
    <row r="2337" spans="1:12" ht="15" customHeight="1" x14ac:dyDescent="0.25">
      <c r="A2337" s="1" t="s">
        <v>8</v>
      </c>
      <c r="C2337" s="9" t="s">
        <v>1</v>
      </c>
      <c r="D2337" s="123" t="s">
        <v>78</v>
      </c>
      <c r="E2337" s="76"/>
      <c r="F2337" s="76"/>
      <c r="G2337" s="76"/>
      <c r="H2337" s="76"/>
    </row>
    <row r="2338" spans="1:12" ht="15" customHeight="1" x14ac:dyDescent="0.25">
      <c r="A2338" s="1" t="s">
        <v>9</v>
      </c>
      <c r="C2338" s="9" t="s">
        <v>1</v>
      </c>
      <c r="D2338" s="76" t="s">
        <v>234</v>
      </c>
      <c r="E2338" s="76"/>
      <c r="F2338" s="76"/>
      <c r="G2338" s="76"/>
      <c r="H2338" s="76"/>
    </row>
    <row r="2339" spans="1:12" ht="15" customHeight="1" x14ac:dyDescent="0.2">
      <c r="A2339" s="50" t="s">
        <v>10</v>
      </c>
      <c r="B2339" s="76"/>
      <c r="C2339" s="91" t="s">
        <v>1</v>
      </c>
      <c r="D2339" s="50" t="s">
        <v>235</v>
      </c>
      <c r="E2339" s="76"/>
      <c r="F2339" s="76"/>
      <c r="G2339" s="76"/>
      <c r="H2339" s="76"/>
      <c r="I2339" s="76"/>
      <c r="J2339" s="76"/>
      <c r="K2339" s="76"/>
      <c r="L2339" s="76"/>
    </row>
    <row r="2340" spans="1:12" ht="15" customHeight="1" x14ac:dyDescent="0.25">
      <c r="A2340" s="1"/>
      <c r="B2340" s="1"/>
      <c r="D2340" s="1"/>
    </row>
    <row r="2341" spans="1:12" ht="32.25" customHeight="1" x14ac:dyDescent="0.2">
      <c r="A2341" s="277" t="s">
        <v>404</v>
      </c>
      <c r="B2341" s="277"/>
      <c r="C2341" s="277"/>
      <c r="D2341" s="277"/>
      <c r="E2341" s="277"/>
      <c r="F2341" s="277"/>
      <c r="G2341" s="277"/>
      <c r="H2341" s="277"/>
      <c r="I2341" s="277"/>
      <c r="J2341" s="277"/>
      <c r="K2341" s="277"/>
      <c r="L2341" s="277"/>
    </row>
    <row r="2342" spans="1:12" ht="16.5" customHeight="1" x14ac:dyDescent="0.25">
      <c r="A2342" s="1"/>
      <c r="B2342" s="1"/>
    </row>
    <row r="2343" spans="1:12" ht="35.25" customHeight="1" thickBot="1" x14ac:dyDescent="0.25">
      <c r="A2343" s="10" t="s">
        <v>0</v>
      </c>
      <c r="B2343" s="278" t="s">
        <v>91</v>
      </c>
      <c r="C2343" s="278"/>
      <c r="D2343" s="278"/>
      <c r="E2343" s="278"/>
      <c r="F2343" s="278"/>
      <c r="G2343" s="278"/>
      <c r="H2343" s="278"/>
      <c r="I2343" s="278"/>
      <c r="J2343" s="278"/>
      <c r="K2343" s="278"/>
      <c r="L2343" s="278"/>
    </row>
    <row r="2344" spans="1:12" ht="15" customHeight="1" thickTop="1" x14ac:dyDescent="0.25">
      <c r="A2344" s="1"/>
      <c r="B2344" s="11" t="s">
        <v>3</v>
      </c>
      <c r="C2344" s="12" t="s">
        <v>4</v>
      </c>
      <c r="D2344" s="13"/>
      <c r="E2344" s="13"/>
      <c r="F2344" s="13"/>
      <c r="G2344" s="13"/>
      <c r="H2344" s="14"/>
      <c r="I2344" s="15" t="s">
        <v>5</v>
      </c>
      <c r="J2344" s="12" t="s">
        <v>17</v>
      </c>
      <c r="K2344" s="13"/>
      <c r="L2344" s="14"/>
    </row>
    <row r="2345" spans="1:12" ht="15" customHeight="1" x14ac:dyDescent="0.2">
      <c r="A2345" s="50"/>
      <c r="B2345" s="143">
        <v>1</v>
      </c>
      <c r="C2345" s="284" t="s">
        <v>303</v>
      </c>
      <c r="D2345" s="285"/>
      <c r="E2345" s="285"/>
      <c r="F2345" s="285"/>
      <c r="G2345" s="76"/>
      <c r="H2345" s="79"/>
      <c r="I2345" s="56">
        <v>250000</v>
      </c>
      <c r="J2345" s="76"/>
      <c r="K2345" s="76"/>
      <c r="L2345" s="79"/>
    </row>
    <row r="2346" spans="1:12" ht="21" customHeight="1" x14ac:dyDescent="0.2">
      <c r="B2346" s="142"/>
      <c r="C2346" s="140"/>
      <c r="D2346" s="76"/>
      <c r="E2346" s="150"/>
      <c r="F2346" s="316"/>
      <c r="G2346" s="314"/>
      <c r="H2346" s="315"/>
      <c r="I2346" s="80"/>
      <c r="J2346" s="76"/>
      <c r="K2346" s="76"/>
      <c r="L2346" s="79"/>
    </row>
    <row r="2347" spans="1:12" ht="15" customHeight="1" x14ac:dyDescent="0.25">
      <c r="A2347" s="1"/>
      <c r="B2347" s="39"/>
      <c r="C2347" s="1"/>
      <c r="D2347" s="1"/>
      <c r="E2347" s="1"/>
      <c r="F2347" s="40" t="s">
        <v>5</v>
      </c>
      <c r="G2347" s="40"/>
      <c r="H2347" s="1"/>
      <c r="I2347" s="41">
        <f>I2345+I2346</f>
        <v>250000</v>
      </c>
      <c r="J2347" s="1"/>
      <c r="K2347" s="1"/>
      <c r="L2347" s="42"/>
    </row>
    <row r="2348" spans="1:12" ht="15" customHeight="1" thickBot="1" x14ac:dyDescent="0.3">
      <c r="A2348" s="1"/>
      <c r="B2348" s="43"/>
      <c r="C2348" s="44"/>
      <c r="D2348" s="44"/>
      <c r="E2348" s="44"/>
      <c r="F2348" s="45"/>
      <c r="G2348" s="45"/>
      <c r="H2348" s="44"/>
      <c r="I2348" s="46"/>
      <c r="J2348" s="44"/>
      <c r="K2348" s="44"/>
      <c r="L2348" s="47"/>
    </row>
    <row r="2349" spans="1:12" ht="15" customHeight="1" thickTop="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 spans="1:12" ht="49.5" customHeight="1" x14ac:dyDescent="0.2">
      <c r="A2350" s="10" t="s">
        <v>2</v>
      </c>
      <c r="B2350" s="279" t="s">
        <v>11</v>
      </c>
      <c r="C2350" s="279"/>
      <c r="D2350" s="279"/>
      <c r="E2350" s="279"/>
      <c r="F2350" s="279"/>
      <c r="G2350" s="279"/>
      <c r="H2350" s="279"/>
      <c r="I2350" s="279"/>
      <c r="J2350" s="279"/>
      <c r="K2350" s="279"/>
      <c r="L2350" s="279"/>
    </row>
    <row r="2351" spans="1:12" ht="15" customHeight="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</row>
    <row r="2352" spans="1:12" ht="15" customHeight="1" x14ac:dyDescent="0.2">
      <c r="A2352" s="280" t="s">
        <v>12</v>
      </c>
      <c r="B2352" s="280"/>
      <c r="C2352" s="280"/>
      <c r="D2352" s="280"/>
      <c r="E2352" s="280"/>
      <c r="F2352" s="280"/>
      <c r="G2352" s="280"/>
      <c r="H2352" s="280"/>
      <c r="I2352" s="280"/>
      <c r="J2352" s="280"/>
      <c r="K2352" s="280"/>
      <c r="L2352" s="280"/>
    </row>
    <row r="2353" spans="1:12" ht="15" customHeight="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</row>
    <row r="2354" spans="1:12" ht="15" customHeight="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</row>
    <row r="2355" spans="1:12" ht="15" customHeight="1" x14ac:dyDescent="0.25">
      <c r="A2355" s="1"/>
      <c r="B2355" s="1"/>
      <c r="C2355" s="1"/>
      <c r="D2355" s="1"/>
      <c r="E2355" s="1"/>
      <c r="F2355" s="1"/>
      <c r="G2355" s="1"/>
      <c r="H2355" s="4" t="s">
        <v>199</v>
      </c>
      <c r="J2355" s="286" t="s">
        <v>357</v>
      </c>
      <c r="K2355" s="286"/>
      <c r="L2355" s="286"/>
    </row>
    <row r="2356" spans="1:12" ht="15" customHeight="1" x14ac:dyDescent="0.25">
      <c r="A2356" s="1"/>
      <c r="B2356" s="1" t="s">
        <v>15</v>
      </c>
      <c r="C2356" s="1"/>
      <c r="D2356" s="1"/>
      <c r="E2356" s="1"/>
      <c r="F2356" s="1"/>
      <c r="G2356" s="1"/>
      <c r="H2356" s="4" t="s">
        <v>13</v>
      </c>
    </row>
    <row r="2357" spans="1:12" ht="15" customHeight="1" x14ac:dyDescent="0.25">
      <c r="A2357" s="1"/>
      <c r="B2357" s="1" t="s">
        <v>18</v>
      </c>
      <c r="C2357" s="1"/>
      <c r="D2357" s="1"/>
      <c r="E2357" s="1"/>
      <c r="F2357" s="1"/>
      <c r="G2357" s="1"/>
      <c r="H2357" s="4" t="s">
        <v>14</v>
      </c>
    </row>
    <row r="2358" spans="1:12" ht="25.5" customHeight="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</row>
    <row r="2359" spans="1:12" ht="15" hidden="1" customHeight="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</row>
    <row r="2360" spans="1:12" ht="37.5" hidden="1" customHeight="1" x14ac:dyDescent="0.25">
      <c r="A2360" s="1"/>
      <c r="B2360" s="103"/>
      <c r="C2360" s="103"/>
      <c r="D2360" s="103"/>
      <c r="E2360" s="103"/>
      <c r="F2360" s="103"/>
      <c r="G2360" s="103"/>
      <c r="H2360" s="103"/>
      <c r="I2360" s="103"/>
      <c r="J2360" s="103"/>
      <c r="K2360" s="103"/>
      <c r="L2360" s="1"/>
    </row>
    <row r="2361" spans="1:12" ht="37.5" customHeight="1" x14ac:dyDescent="0.25">
      <c r="A2361" s="1"/>
      <c r="K2361" s="103"/>
      <c r="L2361" s="1"/>
    </row>
    <row r="2362" spans="1:12" ht="15" customHeight="1" x14ac:dyDescent="0.25">
      <c r="A2362" s="1"/>
      <c r="B2362" s="95" t="s">
        <v>77</v>
      </c>
      <c r="H2362" s="95" t="s">
        <v>78</v>
      </c>
      <c r="I2362" s="95"/>
      <c r="J2362" s="92"/>
      <c r="K2362" s="103"/>
      <c r="L2362" s="1"/>
    </row>
    <row r="2363" spans="1:12" ht="15" customHeight="1" x14ac:dyDescent="0.25">
      <c r="A2363" s="1"/>
      <c r="B2363" s="99" t="s">
        <v>27</v>
      </c>
      <c r="C2363" s="57"/>
      <c r="H2363" s="99" t="s">
        <v>79</v>
      </c>
      <c r="K2363" s="103"/>
    </row>
    <row r="2364" spans="1:12" ht="15" customHeight="1" x14ac:dyDescent="0.2"/>
    <row r="2365" spans="1:12" ht="15" customHeight="1" x14ac:dyDescent="0.2"/>
    <row r="2366" spans="1:12" ht="15" customHeight="1" x14ac:dyDescent="0.2"/>
    <row r="2367" spans="1:12" ht="15" customHeight="1" x14ac:dyDescent="0.2"/>
    <row r="2368" spans="1:12" ht="15" customHeight="1" x14ac:dyDescent="0.25">
      <c r="A2368" s="3" t="s">
        <v>22</v>
      </c>
    </row>
    <row r="2369" spans="1:12" ht="15" customHeight="1" x14ac:dyDescent="0.2">
      <c r="A2369" s="122" t="s">
        <v>20</v>
      </c>
    </row>
    <row r="2370" spans="1:12" ht="15" customHeight="1" x14ac:dyDescent="0.2">
      <c r="A2370" s="122" t="s">
        <v>21</v>
      </c>
    </row>
    <row r="2371" spans="1:12" ht="21.75" customHeight="1" x14ac:dyDescent="0.2"/>
    <row r="2372" spans="1:12" ht="15" customHeight="1" x14ac:dyDescent="0.2"/>
    <row r="2373" spans="1:12" ht="15" customHeight="1" x14ac:dyDescent="0.2"/>
    <row r="2374" spans="1:12" ht="15" customHeight="1" x14ac:dyDescent="0.3">
      <c r="A2374" s="276" t="s">
        <v>6</v>
      </c>
      <c r="B2374" s="276"/>
      <c r="C2374" s="276"/>
      <c r="D2374" s="276"/>
      <c r="E2374" s="276"/>
      <c r="F2374" s="276"/>
      <c r="G2374" s="276"/>
      <c r="H2374" s="276"/>
      <c r="I2374" s="276"/>
      <c r="J2374" s="276"/>
      <c r="K2374" s="276"/>
      <c r="L2374" s="276"/>
    </row>
    <row r="2375" spans="1:12" ht="15" customHeight="1" x14ac:dyDescent="0.3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</row>
    <row r="2376" spans="1:12" ht="15" customHeight="1" x14ac:dyDescent="0.3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</row>
    <row r="2377" spans="1:12" ht="15" customHeight="1" x14ac:dyDescent="0.25">
      <c r="A2377" s="1"/>
      <c r="B2377" s="1"/>
    </row>
    <row r="2378" spans="1:12" ht="15" customHeight="1" x14ac:dyDescent="0.25">
      <c r="A2378" s="1" t="s">
        <v>7</v>
      </c>
      <c r="B2378" s="1"/>
    </row>
    <row r="2379" spans="1:12" ht="13.5" customHeight="1" x14ac:dyDescent="0.25">
      <c r="A2379" s="1"/>
      <c r="B2379" s="1"/>
    </row>
    <row r="2380" spans="1:12" ht="15" customHeight="1" x14ac:dyDescent="0.25">
      <c r="A2380" s="1" t="s">
        <v>8</v>
      </c>
      <c r="C2380" s="9" t="s">
        <v>1</v>
      </c>
      <c r="D2380" s="92" t="s">
        <v>96</v>
      </c>
      <c r="E2380" s="76"/>
      <c r="F2380" s="76"/>
      <c r="G2380" s="76"/>
      <c r="H2380" s="76"/>
    </row>
    <row r="2381" spans="1:12" ht="12.75" customHeight="1" x14ac:dyDescent="0.25">
      <c r="A2381" s="1" t="s">
        <v>9</v>
      </c>
      <c r="C2381" s="9" t="s">
        <v>1</v>
      </c>
      <c r="D2381" s="57" t="s">
        <v>200</v>
      </c>
      <c r="E2381" s="76"/>
      <c r="F2381" s="76"/>
      <c r="G2381" s="76"/>
      <c r="H2381" s="76"/>
    </row>
    <row r="2382" spans="1:12" ht="15" customHeight="1" x14ac:dyDescent="0.2">
      <c r="A2382" s="50" t="s">
        <v>10</v>
      </c>
      <c r="B2382" s="76"/>
      <c r="C2382" s="91" t="s">
        <v>1</v>
      </c>
      <c r="D2382" s="50" t="s">
        <v>203</v>
      </c>
      <c r="E2382" s="76"/>
      <c r="F2382" s="76"/>
      <c r="G2382" s="76"/>
      <c r="H2382" s="76"/>
      <c r="I2382" s="76"/>
      <c r="J2382" s="76"/>
      <c r="K2382" s="76"/>
      <c r="L2382" s="76"/>
    </row>
    <row r="2383" spans="1:12" ht="15" customHeight="1" x14ac:dyDescent="0.25">
      <c r="A2383" s="1"/>
      <c r="B2383" s="1"/>
      <c r="D2383" s="1"/>
    </row>
    <row r="2384" spans="1:12" ht="39" customHeight="1" x14ac:dyDescent="0.2">
      <c r="A2384" s="277" t="s">
        <v>404</v>
      </c>
      <c r="B2384" s="277"/>
      <c r="C2384" s="277"/>
      <c r="D2384" s="277"/>
      <c r="E2384" s="277"/>
      <c r="F2384" s="277"/>
      <c r="G2384" s="277"/>
      <c r="H2384" s="277"/>
      <c r="I2384" s="277"/>
      <c r="J2384" s="277"/>
      <c r="K2384" s="277"/>
      <c r="L2384" s="277"/>
    </row>
    <row r="2385" spans="1:12" ht="15" customHeight="1" x14ac:dyDescent="0.25">
      <c r="A2385" s="1"/>
      <c r="B2385" s="1"/>
    </row>
    <row r="2386" spans="1:12" ht="33.75" customHeight="1" thickBot="1" x14ac:dyDescent="0.25">
      <c r="A2386" s="10" t="s">
        <v>0</v>
      </c>
      <c r="B2386" s="278" t="s">
        <v>91</v>
      </c>
      <c r="C2386" s="278"/>
      <c r="D2386" s="278"/>
      <c r="E2386" s="278"/>
      <c r="F2386" s="278"/>
      <c r="G2386" s="278"/>
      <c r="H2386" s="278"/>
      <c r="I2386" s="278"/>
      <c r="J2386" s="278"/>
      <c r="K2386" s="278"/>
      <c r="L2386" s="278"/>
    </row>
    <row r="2387" spans="1:12" ht="15" customHeight="1" thickTop="1" x14ac:dyDescent="0.25">
      <c r="A2387" s="1"/>
      <c r="B2387" s="11" t="s">
        <v>3</v>
      </c>
      <c r="C2387" s="12" t="s">
        <v>4</v>
      </c>
      <c r="D2387" s="13"/>
      <c r="E2387" s="13"/>
      <c r="F2387" s="13"/>
      <c r="G2387" s="13"/>
      <c r="H2387" s="14"/>
      <c r="I2387" s="15" t="s">
        <v>5</v>
      </c>
      <c r="J2387" s="12" t="s">
        <v>17</v>
      </c>
      <c r="K2387" s="13"/>
      <c r="L2387" s="14"/>
    </row>
    <row r="2388" spans="1:12" ht="15" customHeight="1" x14ac:dyDescent="0.2">
      <c r="A2388" s="50"/>
      <c r="B2388" s="143">
        <v>1</v>
      </c>
      <c r="C2388" s="284" t="s">
        <v>405</v>
      </c>
      <c r="D2388" s="285"/>
      <c r="E2388" s="285"/>
      <c r="F2388" s="285"/>
      <c r="G2388" s="76"/>
      <c r="H2388" s="79"/>
      <c r="I2388" s="56">
        <v>250000</v>
      </c>
      <c r="J2388" s="76"/>
      <c r="K2388" s="76"/>
      <c r="L2388" s="79"/>
    </row>
    <row r="2389" spans="1:12" ht="30" customHeight="1" x14ac:dyDescent="0.2">
      <c r="B2389" s="96"/>
      <c r="C2389" s="124"/>
      <c r="D2389" s="124"/>
      <c r="E2389" s="127"/>
      <c r="F2389" s="125"/>
      <c r="G2389" s="124"/>
      <c r="H2389" s="124"/>
      <c r="I2389" s="23"/>
      <c r="L2389" s="17"/>
    </row>
    <row r="2390" spans="1:12" ht="18" customHeight="1" x14ac:dyDescent="0.25">
      <c r="A2390" s="1"/>
      <c r="B2390" s="39"/>
      <c r="C2390" s="1"/>
      <c r="D2390" s="1"/>
      <c r="E2390" s="1"/>
      <c r="F2390" s="40" t="s">
        <v>5</v>
      </c>
      <c r="G2390" s="40"/>
      <c r="H2390" s="1"/>
      <c r="I2390" s="41">
        <f>SUM(I2388:I2388)</f>
        <v>250000</v>
      </c>
      <c r="J2390" s="1"/>
      <c r="K2390" s="1"/>
      <c r="L2390" s="42"/>
    </row>
    <row r="2391" spans="1:12" ht="15" customHeight="1" thickBot="1" x14ac:dyDescent="0.3">
      <c r="A2391" s="1"/>
      <c r="B2391" s="43"/>
      <c r="C2391" s="44"/>
      <c r="D2391" s="44"/>
      <c r="E2391" s="44"/>
      <c r="F2391" s="45"/>
      <c r="G2391" s="45"/>
      <c r="H2391" s="44"/>
      <c r="I2391" s="46"/>
      <c r="J2391" s="44"/>
      <c r="K2391" s="44"/>
      <c r="L2391" s="47"/>
    </row>
    <row r="2392" spans="1:12" ht="15" customHeight="1" thickTop="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 ht="45" customHeight="1" x14ac:dyDescent="0.2">
      <c r="A2393" s="10" t="s">
        <v>2</v>
      </c>
      <c r="B2393" s="279" t="s">
        <v>11</v>
      </c>
      <c r="C2393" s="279"/>
      <c r="D2393" s="279"/>
      <c r="E2393" s="279"/>
      <c r="F2393" s="279"/>
      <c r="G2393" s="279"/>
      <c r="H2393" s="279"/>
      <c r="I2393" s="279"/>
      <c r="J2393" s="279"/>
      <c r="K2393" s="279"/>
      <c r="L2393" s="279"/>
    </row>
    <row r="2394" spans="1:12" ht="15" customHeight="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 ht="15" customHeight="1" x14ac:dyDescent="0.2">
      <c r="A2395" s="280" t="s">
        <v>12</v>
      </c>
      <c r="B2395" s="280"/>
      <c r="C2395" s="280"/>
      <c r="D2395" s="280"/>
      <c r="E2395" s="280"/>
      <c r="F2395" s="280"/>
      <c r="G2395" s="280"/>
      <c r="H2395" s="280"/>
      <c r="I2395" s="280"/>
      <c r="J2395" s="280"/>
      <c r="K2395" s="280"/>
      <c r="L2395" s="280"/>
    </row>
    <row r="2396" spans="1:12" ht="15" customHeight="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 ht="15" customHeight="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 ht="15" customHeight="1" x14ac:dyDescent="0.25">
      <c r="A2398" s="1"/>
      <c r="B2398" s="1"/>
      <c r="C2398" s="1"/>
      <c r="D2398" s="1"/>
      <c r="E2398" s="1"/>
      <c r="F2398" s="1"/>
      <c r="G2398" s="1"/>
      <c r="H2398" s="4" t="s">
        <v>199</v>
      </c>
      <c r="J2398" s="286" t="s">
        <v>357</v>
      </c>
      <c r="K2398" s="286"/>
      <c r="L2398" s="286"/>
    </row>
    <row r="2399" spans="1:12" ht="15" customHeight="1" x14ac:dyDescent="0.25">
      <c r="A2399" s="1"/>
      <c r="B2399" s="1" t="s">
        <v>15</v>
      </c>
      <c r="C2399" s="1"/>
      <c r="D2399" s="1"/>
      <c r="E2399" s="1"/>
      <c r="F2399" s="1"/>
      <c r="G2399" s="1"/>
      <c r="H2399" s="4" t="s">
        <v>13</v>
      </c>
    </row>
    <row r="2400" spans="1:12" ht="15" customHeight="1" x14ac:dyDescent="0.25">
      <c r="A2400" s="1"/>
      <c r="B2400" s="1" t="s">
        <v>18</v>
      </c>
      <c r="C2400" s="1"/>
      <c r="D2400" s="1"/>
      <c r="E2400" s="1"/>
      <c r="F2400" s="1"/>
      <c r="G2400" s="1"/>
      <c r="H2400" s="4" t="s">
        <v>14</v>
      </c>
    </row>
    <row r="2401" spans="1:13" ht="15" customHeight="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</row>
    <row r="2402" spans="1:13" ht="15" customHeight="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</row>
    <row r="2403" spans="1:13" ht="15" customHeight="1" x14ac:dyDescent="0.25">
      <c r="A2403" s="1"/>
      <c r="B2403" s="103"/>
      <c r="C2403" s="103"/>
      <c r="D2403" s="103"/>
      <c r="E2403" s="103"/>
      <c r="F2403" s="103"/>
      <c r="G2403" s="103"/>
      <c r="H2403" s="103"/>
      <c r="I2403" s="103"/>
      <c r="J2403" s="103"/>
      <c r="K2403" s="103"/>
      <c r="L2403" s="1"/>
    </row>
    <row r="2404" spans="1:13" ht="15" customHeight="1" x14ac:dyDescent="0.25">
      <c r="A2404" s="1"/>
      <c r="K2404" s="103"/>
      <c r="L2404" s="1"/>
    </row>
    <row r="2405" spans="1:13" ht="15" customHeight="1" x14ac:dyDescent="0.25">
      <c r="A2405" s="1"/>
      <c r="B2405" s="95" t="s">
        <v>77</v>
      </c>
      <c r="H2405" s="95" t="s">
        <v>96</v>
      </c>
      <c r="I2405" s="95"/>
      <c r="J2405" s="92"/>
      <c r="K2405" s="103"/>
      <c r="L2405" s="1"/>
    </row>
    <row r="2406" spans="1:13" ht="15" customHeight="1" x14ac:dyDescent="0.25">
      <c r="A2406" s="1"/>
      <c r="B2406" s="99" t="s">
        <v>27</v>
      </c>
      <c r="C2406" s="57"/>
      <c r="H2406" s="99" t="s">
        <v>100</v>
      </c>
      <c r="K2406" s="103"/>
    </row>
    <row r="2407" spans="1:13" ht="15" customHeight="1" x14ac:dyDescent="0.2"/>
    <row r="2408" spans="1:13" ht="15" customHeight="1" x14ac:dyDescent="0.2"/>
    <row r="2409" spans="1:13" ht="15" customHeight="1" x14ac:dyDescent="0.2"/>
    <row r="2410" spans="1:13" ht="15" customHeight="1" x14ac:dyDescent="0.2"/>
    <row r="2411" spans="1:13" ht="15" customHeight="1" x14ac:dyDescent="0.2"/>
    <row r="2412" spans="1:13" ht="15" customHeight="1" x14ac:dyDescent="0.25">
      <c r="A2412" s="3" t="s">
        <v>22</v>
      </c>
      <c r="M2412" s="3" t="s">
        <v>22</v>
      </c>
    </row>
    <row r="2413" spans="1:13" ht="15" customHeight="1" x14ac:dyDescent="0.2">
      <c r="A2413" s="122" t="s">
        <v>20</v>
      </c>
      <c r="M2413" s="122" t="s">
        <v>20</v>
      </c>
    </row>
    <row r="2414" spans="1:13" ht="15" customHeight="1" x14ac:dyDescent="0.2">
      <c r="A2414" s="122" t="s">
        <v>21</v>
      </c>
      <c r="M2414" s="122" t="s">
        <v>21</v>
      </c>
    </row>
    <row r="2415" spans="1:13" ht="42.75" customHeight="1" x14ac:dyDescent="0.2"/>
    <row r="2416" spans="1:13" ht="15" customHeight="1" x14ac:dyDescent="0.2"/>
    <row r="2417" spans="1:24" ht="10.5" customHeight="1" x14ac:dyDescent="0.2"/>
    <row r="2418" spans="1:24" ht="15" customHeight="1" x14ac:dyDescent="0.3">
      <c r="A2418" s="276" t="s">
        <v>6</v>
      </c>
      <c r="B2418" s="276"/>
      <c r="C2418" s="276"/>
      <c r="D2418" s="276"/>
      <c r="E2418" s="276"/>
      <c r="F2418" s="276"/>
      <c r="G2418" s="276"/>
      <c r="H2418" s="276"/>
      <c r="I2418" s="276"/>
      <c r="J2418" s="276"/>
      <c r="K2418" s="276"/>
      <c r="L2418" s="276"/>
      <c r="M2418" s="276" t="s">
        <v>6</v>
      </c>
      <c r="N2418" s="276"/>
      <c r="O2418" s="276"/>
      <c r="P2418" s="276"/>
      <c r="Q2418" s="276"/>
      <c r="R2418" s="276"/>
      <c r="S2418" s="276"/>
      <c r="T2418" s="276"/>
      <c r="U2418" s="276"/>
      <c r="V2418" s="276"/>
      <c r="W2418" s="276"/>
      <c r="X2418" s="276"/>
    </row>
    <row r="2419" spans="1:24" ht="15" customHeight="1" x14ac:dyDescent="0.3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</row>
    <row r="2420" spans="1:24" ht="15" customHeight="1" x14ac:dyDescent="0.3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</row>
    <row r="2421" spans="1:24" ht="15" customHeight="1" x14ac:dyDescent="0.25">
      <c r="A2421" s="1"/>
      <c r="B2421" s="1"/>
      <c r="M2421" s="1"/>
      <c r="N2421" s="1"/>
    </row>
    <row r="2422" spans="1:24" ht="15" customHeight="1" x14ac:dyDescent="0.25">
      <c r="A2422" s="1" t="s">
        <v>7</v>
      </c>
      <c r="B2422" s="1"/>
      <c r="M2422" s="1" t="s">
        <v>7</v>
      </c>
      <c r="N2422" s="1"/>
    </row>
    <row r="2423" spans="1:24" ht="15" customHeight="1" x14ac:dyDescent="0.25">
      <c r="A2423" s="1"/>
      <c r="B2423" s="1"/>
      <c r="M2423" s="1"/>
      <c r="N2423" s="1"/>
    </row>
    <row r="2424" spans="1:24" ht="15" customHeight="1" x14ac:dyDescent="0.25">
      <c r="A2424" s="1" t="s">
        <v>8</v>
      </c>
      <c r="C2424" s="9" t="s">
        <v>1</v>
      </c>
      <c r="D2424" s="92" t="s">
        <v>96</v>
      </c>
      <c r="E2424" s="76"/>
      <c r="F2424" s="76"/>
      <c r="G2424" s="76"/>
      <c r="H2424" s="76"/>
      <c r="M2424" s="1" t="s">
        <v>8</v>
      </c>
      <c r="O2424" s="9" t="s">
        <v>1</v>
      </c>
      <c r="P2424" s="92" t="s">
        <v>96</v>
      </c>
      <c r="Q2424" s="76"/>
      <c r="R2424" s="76"/>
      <c r="S2424" s="76"/>
      <c r="T2424" s="76"/>
    </row>
    <row r="2425" spans="1:24" ht="15" customHeight="1" x14ac:dyDescent="0.25">
      <c r="A2425" s="1" t="s">
        <v>9</v>
      </c>
      <c r="C2425" s="9" t="s">
        <v>1</v>
      </c>
      <c r="D2425" s="57" t="s">
        <v>200</v>
      </c>
      <c r="E2425" s="76"/>
      <c r="F2425" s="76"/>
      <c r="G2425" s="76"/>
      <c r="H2425" s="76"/>
      <c r="M2425" s="1" t="s">
        <v>9</v>
      </c>
      <c r="O2425" s="9" t="s">
        <v>1</v>
      </c>
      <c r="P2425" s="57" t="s">
        <v>200</v>
      </c>
      <c r="Q2425" s="76"/>
      <c r="R2425" s="76"/>
      <c r="S2425" s="76"/>
      <c r="T2425" s="76"/>
    </row>
    <row r="2426" spans="1:24" ht="15" customHeight="1" x14ac:dyDescent="0.2">
      <c r="A2426" s="50" t="s">
        <v>10</v>
      </c>
      <c r="B2426" s="76"/>
      <c r="C2426" s="91" t="s">
        <v>1</v>
      </c>
      <c r="D2426" s="50" t="s">
        <v>203</v>
      </c>
      <c r="E2426" s="76"/>
      <c r="F2426" s="76"/>
      <c r="G2426" s="76"/>
      <c r="H2426" s="76"/>
      <c r="I2426" s="76"/>
      <c r="J2426" s="76"/>
      <c r="K2426" s="76"/>
      <c r="L2426" s="76"/>
      <c r="M2426" s="50" t="s">
        <v>10</v>
      </c>
      <c r="N2426" s="76"/>
      <c r="O2426" s="91" t="s">
        <v>1</v>
      </c>
      <c r="P2426" s="50" t="s">
        <v>203</v>
      </c>
      <c r="Q2426" s="76"/>
      <c r="R2426" s="76"/>
      <c r="S2426" s="76"/>
      <c r="T2426" s="76"/>
      <c r="U2426" s="76"/>
      <c r="V2426" s="76"/>
      <c r="W2426" s="76"/>
      <c r="X2426" s="76"/>
    </row>
    <row r="2427" spans="1:24" ht="15" customHeight="1" x14ac:dyDescent="0.25">
      <c r="A2427" s="1"/>
      <c r="B2427" s="1"/>
      <c r="D2427" s="1"/>
      <c r="M2427" s="1"/>
      <c r="N2427" s="1"/>
      <c r="P2427" s="1"/>
    </row>
    <row r="2428" spans="1:24" ht="32.25" customHeight="1" x14ac:dyDescent="0.2">
      <c r="A2428" s="277" t="s">
        <v>408</v>
      </c>
      <c r="B2428" s="277"/>
      <c r="C2428" s="277"/>
      <c r="D2428" s="277"/>
      <c r="E2428" s="277"/>
      <c r="F2428" s="277"/>
      <c r="G2428" s="277"/>
      <c r="H2428" s="277"/>
      <c r="I2428" s="277"/>
      <c r="J2428" s="277"/>
      <c r="K2428" s="277"/>
      <c r="L2428" s="277"/>
      <c r="M2428" s="277" t="s">
        <v>408</v>
      </c>
      <c r="N2428" s="277"/>
      <c r="O2428" s="277"/>
      <c r="P2428" s="277"/>
      <c r="Q2428" s="277"/>
      <c r="R2428" s="277"/>
      <c r="S2428" s="277"/>
      <c r="T2428" s="277"/>
      <c r="U2428" s="277"/>
      <c r="V2428" s="277"/>
      <c r="W2428" s="277"/>
      <c r="X2428" s="277"/>
    </row>
    <row r="2429" spans="1:24" ht="15" customHeight="1" x14ac:dyDescent="0.25">
      <c r="A2429" s="1"/>
      <c r="B2429" s="1"/>
      <c r="M2429" s="1"/>
      <c r="N2429" s="1"/>
    </row>
    <row r="2430" spans="1:24" ht="33" customHeight="1" thickBot="1" x14ac:dyDescent="0.25">
      <c r="A2430" s="10" t="s">
        <v>0</v>
      </c>
      <c r="B2430" s="278" t="s">
        <v>91</v>
      </c>
      <c r="C2430" s="278"/>
      <c r="D2430" s="278"/>
      <c r="E2430" s="278"/>
      <c r="F2430" s="278"/>
      <c r="G2430" s="278"/>
      <c r="H2430" s="278"/>
      <c r="I2430" s="278"/>
      <c r="J2430" s="278"/>
      <c r="K2430" s="278"/>
      <c r="L2430" s="278"/>
      <c r="M2430" s="10" t="s">
        <v>0</v>
      </c>
      <c r="N2430" s="278" t="s">
        <v>91</v>
      </c>
      <c r="O2430" s="278"/>
      <c r="P2430" s="278"/>
      <c r="Q2430" s="278"/>
      <c r="R2430" s="278"/>
      <c r="S2430" s="278"/>
      <c r="T2430" s="278"/>
      <c r="U2430" s="278"/>
      <c r="V2430" s="278"/>
      <c r="W2430" s="278"/>
      <c r="X2430" s="278"/>
    </row>
    <row r="2431" spans="1:24" ht="15" customHeight="1" thickTop="1" x14ac:dyDescent="0.25">
      <c r="A2431" s="1"/>
      <c r="B2431" s="11" t="s">
        <v>3</v>
      </c>
      <c r="C2431" s="12" t="s">
        <v>4</v>
      </c>
      <c r="D2431" s="13"/>
      <c r="E2431" s="13"/>
      <c r="F2431" s="13"/>
      <c r="G2431" s="13"/>
      <c r="H2431" s="14"/>
      <c r="I2431" s="15" t="s">
        <v>5</v>
      </c>
      <c r="J2431" s="12" t="s">
        <v>17</v>
      </c>
      <c r="K2431" s="13"/>
      <c r="L2431" s="14"/>
      <c r="M2431" s="1"/>
      <c r="N2431" s="11" t="s">
        <v>3</v>
      </c>
      <c r="O2431" s="12" t="s">
        <v>4</v>
      </c>
      <c r="P2431" s="13"/>
      <c r="Q2431" s="13"/>
      <c r="R2431" s="13"/>
      <c r="S2431" s="13"/>
      <c r="T2431" s="14"/>
      <c r="U2431" s="15" t="s">
        <v>5</v>
      </c>
      <c r="V2431" s="12" t="s">
        <v>17</v>
      </c>
      <c r="W2431" s="13"/>
      <c r="X2431" s="14"/>
    </row>
    <row r="2432" spans="1:24" ht="21.75" customHeight="1" x14ac:dyDescent="0.2">
      <c r="A2432" s="50"/>
      <c r="B2432" s="143">
        <v>1</v>
      </c>
      <c r="C2432" s="284" t="s">
        <v>303</v>
      </c>
      <c r="D2432" s="285"/>
      <c r="E2432" s="285"/>
      <c r="F2432" s="285"/>
      <c r="G2432" s="76"/>
      <c r="H2432" s="79"/>
      <c r="I2432" s="56">
        <v>250000</v>
      </c>
      <c r="J2432" s="76"/>
      <c r="K2432" s="76"/>
      <c r="L2432" s="79"/>
      <c r="M2432" s="50"/>
      <c r="N2432" s="143">
        <v>1</v>
      </c>
      <c r="O2432" s="140" t="s">
        <v>238</v>
      </c>
      <c r="P2432" s="76"/>
      <c r="Q2432" s="150">
        <v>622000</v>
      </c>
      <c r="R2432" s="316" t="s">
        <v>239</v>
      </c>
      <c r="S2432" s="314"/>
      <c r="T2432" s="315"/>
      <c r="U2432" s="80">
        <f>Q2432*30/100*1</f>
        <v>186600</v>
      </c>
      <c r="V2432" s="76" t="s">
        <v>409</v>
      </c>
      <c r="W2432" s="76"/>
      <c r="X2432" s="79"/>
    </row>
    <row r="2433" spans="1:24" ht="18.75" customHeight="1" x14ac:dyDescent="0.2">
      <c r="B2433" s="142"/>
      <c r="C2433" s="140"/>
      <c r="D2433" s="76"/>
      <c r="E2433" s="150"/>
      <c r="F2433" s="316"/>
      <c r="G2433" s="314"/>
      <c r="H2433" s="315"/>
      <c r="I2433" s="80"/>
      <c r="J2433" s="76"/>
      <c r="K2433" s="76"/>
      <c r="L2433" s="79"/>
      <c r="N2433" s="142"/>
      <c r="O2433" s="140"/>
      <c r="P2433" s="76"/>
      <c r="Q2433" s="150"/>
      <c r="R2433" s="316"/>
      <c r="S2433" s="314"/>
      <c r="T2433" s="315"/>
      <c r="U2433" s="80"/>
      <c r="V2433" s="76"/>
      <c r="W2433" s="76"/>
      <c r="X2433" s="79"/>
    </row>
    <row r="2434" spans="1:24" ht="18.75" customHeight="1" x14ac:dyDescent="0.2">
      <c r="B2434" s="142"/>
      <c r="C2434" s="76"/>
      <c r="D2434" s="76"/>
      <c r="E2434" s="150"/>
      <c r="F2434" s="157"/>
      <c r="G2434" s="119"/>
      <c r="H2434" s="119"/>
      <c r="I2434" s="80"/>
      <c r="J2434" s="76"/>
      <c r="K2434" s="76"/>
      <c r="L2434" s="79"/>
      <c r="N2434" s="142"/>
      <c r="O2434" s="76"/>
      <c r="P2434" s="76"/>
      <c r="Q2434" s="150"/>
      <c r="R2434" s="157"/>
      <c r="S2434" s="119"/>
      <c r="T2434" s="119"/>
      <c r="U2434" s="80"/>
      <c r="V2434" s="76"/>
      <c r="W2434" s="76"/>
      <c r="X2434" s="79"/>
    </row>
    <row r="2435" spans="1:24" ht="15" customHeight="1" x14ac:dyDescent="0.25">
      <c r="A2435" s="1"/>
      <c r="B2435" s="39"/>
      <c r="C2435" s="1"/>
      <c r="D2435" s="1"/>
      <c r="E2435" s="1"/>
      <c r="F2435" s="40" t="s">
        <v>5</v>
      </c>
      <c r="G2435" s="40"/>
      <c r="H2435" s="1"/>
      <c r="I2435" s="41">
        <f>SUM(I2432:I2433)</f>
        <v>250000</v>
      </c>
      <c r="J2435" s="1"/>
      <c r="K2435" s="1"/>
      <c r="L2435" s="42"/>
      <c r="M2435" s="1"/>
      <c r="N2435" s="39"/>
      <c r="O2435" s="1"/>
      <c r="P2435" s="1"/>
      <c r="Q2435" s="1"/>
      <c r="R2435" s="40" t="s">
        <v>5</v>
      </c>
      <c r="S2435" s="40"/>
      <c r="T2435" s="1"/>
      <c r="U2435" s="41">
        <f>SUM(U2432:U2433)</f>
        <v>186600</v>
      </c>
      <c r="V2435" s="1"/>
      <c r="W2435" s="1"/>
      <c r="X2435" s="42"/>
    </row>
    <row r="2436" spans="1:24" ht="12" customHeight="1" thickBot="1" x14ac:dyDescent="0.3">
      <c r="A2436" s="1"/>
      <c r="B2436" s="43"/>
      <c r="C2436" s="44"/>
      <c r="D2436" s="44"/>
      <c r="E2436" s="44"/>
      <c r="F2436" s="45"/>
      <c r="G2436" s="45"/>
      <c r="H2436" s="44"/>
      <c r="I2436" s="46"/>
      <c r="J2436" s="44"/>
      <c r="K2436" s="44"/>
      <c r="L2436" s="47"/>
      <c r="M2436" s="1"/>
      <c r="N2436" s="43"/>
      <c r="O2436" s="44"/>
      <c r="P2436" s="44"/>
      <c r="Q2436" s="44"/>
      <c r="R2436" s="45"/>
      <c r="S2436" s="45"/>
      <c r="T2436" s="44"/>
      <c r="U2436" s="46"/>
      <c r="V2436" s="44"/>
      <c r="W2436" s="44"/>
      <c r="X2436" s="47"/>
    </row>
    <row r="2437" spans="1:24" ht="15" customHeight="1" thickTop="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1:24" ht="45" customHeight="1" x14ac:dyDescent="0.2">
      <c r="A2438" s="10" t="s">
        <v>2</v>
      </c>
      <c r="B2438" s="279" t="s">
        <v>11</v>
      </c>
      <c r="C2438" s="279"/>
      <c r="D2438" s="279"/>
      <c r="E2438" s="279"/>
      <c r="F2438" s="279"/>
      <c r="G2438" s="279"/>
      <c r="H2438" s="279"/>
      <c r="I2438" s="279"/>
      <c r="J2438" s="279"/>
      <c r="K2438" s="279"/>
      <c r="L2438" s="279"/>
      <c r="M2438" s="10" t="s">
        <v>2</v>
      </c>
      <c r="N2438" s="279" t="s">
        <v>11</v>
      </c>
      <c r="O2438" s="279"/>
      <c r="P2438" s="279"/>
      <c r="Q2438" s="279"/>
      <c r="R2438" s="279"/>
      <c r="S2438" s="279"/>
      <c r="T2438" s="279"/>
      <c r="U2438" s="279"/>
      <c r="V2438" s="279"/>
      <c r="W2438" s="279"/>
      <c r="X2438" s="279"/>
    </row>
    <row r="2439" spans="1:24" ht="15" customHeight="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1:24" ht="15" customHeight="1" x14ac:dyDescent="0.2">
      <c r="A2440" s="280" t="s">
        <v>12</v>
      </c>
      <c r="B2440" s="280"/>
      <c r="C2440" s="280"/>
      <c r="D2440" s="280"/>
      <c r="E2440" s="280"/>
      <c r="F2440" s="280"/>
      <c r="G2440" s="280"/>
      <c r="H2440" s="280"/>
      <c r="I2440" s="280"/>
      <c r="J2440" s="280"/>
      <c r="K2440" s="280"/>
      <c r="L2440" s="280"/>
      <c r="M2440" s="280" t="s">
        <v>12</v>
      </c>
      <c r="N2440" s="280"/>
      <c r="O2440" s="280"/>
      <c r="P2440" s="280"/>
      <c r="Q2440" s="280"/>
      <c r="R2440" s="280"/>
      <c r="S2440" s="280"/>
      <c r="T2440" s="280"/>
      <c r="U2440" s="280"/>
      <c r="V2440" s="280"/>
      <c r="W2440" s="280"/>
      <c r="X2440" s="280"/>
    </row>
    <row r="2441" spans="1:24" ht="11.25" customHeight="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1:24" ht="15" customHeight="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1:24" ht="15" customHeight="1" x14ac:dyDescent="0.25">
      <c r="A2443" s="1"/>
      <c r="B2443" s="1"/>
      <c r="C2443" s="1"/>
      <c r="D2443" s="1"/>
      <c r="E2443" s="1"/>
      <c r="F2443" s="1"/>
      <c r="G2443" s="1"/>
      <c r="H2443" s="4" t="s">
        <v>199</v>
      </c>
      <c r="J2443" s="286" t="s">
        <v>407</v>
      </c>
      <c r="K2443" s="286"/>
      <c r="L2443" s="286"/>
      <c r="M2443" s="1"/>
      <c r="N2443" s="1"/>
      <c r="O2443" s="1"/>
      <c r="P2443" s="1"/>
      <c r="Q2443" s="1"/>
      <c r="R2443" s="1"/>
      <c r="S2443" s="1"/>
      <c r="T2443" s="4" t="s">
        <v>199</v>
      </c>
      <c r="V2443" s="286" t="s">
        <v>407</v>
      </c>
      <c r="W2443" s="286"/>
      <c r="X2443" s="286"/>
    </row>
    <row r="2444" spans="1:24" ht="15" customHeight="1" x14ac:dyDescent="0.25">
      <c r="A2444" s="1"/>
      <c r="B2444" s="1" t="s">
        <v>15</v>
      </c>
      <c r="C2444" s="1"/>
      <c r="D2444" s="1"/>
      <c r="E2444" s="1"/>
      <c r="F2444" s="1"/>
      <c r="G2444" s="1"/>
      <c r="H2444" s="4" t="s">
        <v>13</v>
      </c>
      <c r="M2444" s="1"/>
      <c r="N2444" s="1" t="s">
        <v>15</v>
      </c>
      <c r="O2444" s="1"/>
      <c r="P2444" s="1"/>
      <c r="Q2444" s="1"/>
      <c r="R2444" s="1"/>
      <c r="S2444" s="1"/>
      <c r="T2444" s="4" t="s">
        <v>13</v>
      </c>
    </row>
    <row r="2445" spans="1:24" ht="15" customHeight="1" x14ac:dyDescent="0.25">
      <c r="A2445" s="1"/>
      <c r="B2445" s="1" t="s">
        <v>18</v>
      </c>
      <c r="C2445" s="1"/>
      <c r="D2445" s="1"/>
      <c r="E2445" s="1"/>
      <c r="F2445" s="1"/>
      <c r="G2445" s="1"/>
      <c r="H2445" s="4" t="s">
        <v>14</v>
      </c>
      <c r="M2445" s="1"/>
      <c r="N2445" s="1" t="s">
        <v>18</v>
      </c>
      <c r="O2445" s="1"/>
      <c r="P2445" s="1"/>
      <c r="Q2445" s="1"/>
      <c r="R2445" s="1"/>
      <c r="S2445" s="1"/>
      <c r="T2445" s="4" t="s">
        <v>14</v>
      </c>
    </row>
    <row r="2446" spans="1:24" ht="15" customHeight="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1:24" ht="12" customHeight="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1:24" ht="15" customHeight="1" x14ac:dyDescent="0.25">
      <c r="A2448" s="1"/>
      <c r="B2448" s="103"/>
      <c r="C2448" s="103"/>
      <c r="D2448" s="103"/>
      <c r="E2448" s="103"/>
      <c r="F2448" s="103"/>
      <c r="G2448" s="103"/>
      <c r="H2448" s="103"/>
      <c r="I2448" s="103"/>
      <c r="J2448" s="103"/>
      <c r="K2448" s="103"/>
      <c r="L2448" s="1"/>
      <c r="M2448" s="1"/>
      <c r="N2448" s="103"/>
      <c r="O2448" s="103"/>
      <c r="P2448" s="103"/>
      <c r="Q2448" s="103"/>
      <c r="R2448" s="103"/>
      <c r="S2448" s="103"/>
      <c r="T2448" s="103"/>
      <c r="U2448" s="103"/>
      <c r="V2448" s="103"/>
      <c r="W2448" s="103"/>
      <c r="X2448" s="1"/>
    </row>
    <row r="2449" spans="1:24" ht="15" customHeight="1" x14ac:dyDescent="0.25">
      <c r="A2449" s="1"/>
      <c r="K2449" s="103"/>
      <c r="L2449" s="1"/>
      <c r="M2449" s="1"/>
      <c r="W2449" s="103"/>
      <c r="X2449" s="1"/>
    </row>
    <row r="2450" spans="1:24" ht="15" customHeight="1" x14ac:dyDescent="0.25">
      <c r="A2450" s="1"/>
      <c r="B2450" s="95" t="s">
        <v>77</v>
      </c>
      <c r="H2450" s="95" t="s">
        <v>96</v>
      </c>
      <c r="I2450" s="95"/>
      <c r="J2450" s="92"/>
      <c r="K2450" s="103"/>
      <c r="L2450" s="1"/>
      <c r="M2450" s="1"/>
      <c r="N2450" s="95" t="s">
        <v>77</v>
      </c>
      <c r="T2450" s="95" t="s">
        <v>96</v>
      </c>
      <c r="U2450" s="95"/>
      <c r="V2450" s="92"/>
      <c r="W2450" s="103"/>
      <c r="X2450" s="1"/>
    </row>
    <row r="2451" spans="1:24" ht="15" customHeight="1" x14ac:dyDescent="0.25">
      <c r="A2451" s="1"/>
      <c r="B2451" s="99" t="s">
        <v>27</v>
      </c>
      <c r="C2451" s="57"/>
      <c r="H2451" s="99" t="s">
        <v>100</v>
      </c>
      <c r="K2451" s="103"/>
      <c r="M2451" s="1"/>
      <c r="N2451" s="99" t="s">
        <v>27</v>
      </c>
      <c r="O2451" s="57"/>
      <c r="T2451" s="99" t="s">
        <v>100</v>
      </c>
      <c r="W2451" s="103"/>
    </row>
    <row r="2452" spans="1:24" ht="15" customHeight="1" x14ac:dyDescent="0.2"/>
    <row r="2453" spans="1:24" ht="15" customHeight="1" x14ac:dyDescent="0.2"/>
    <row r="2454" spans="1:24" ht="15" customHeight="1" x14ac:dyDescent="0.2"/>
    <row r="2455" spans="1:24" ht="15" customHeight="1" x14ac:dyDescent="0.25">
      <c r="A2455" s="3" t="s">
        <v>22</v>
      </c>
      <c r="M2455" s="3" t="s">
        <v>22</v>
      </c>
    </row>
    <row r="2456" spans="1:24" ht="15" customHeight="1" x14ac:dyDescent="0.2">
      <c r="A2456" s="122" t="s">
        <v>20</v>
      </c>
      <c r="M2456" s="122" t="s">
        <v>20</v>
      </c>
    </row>
    <row r="2457" spans="1:24" ht="15" customHeight="1" x14ac:dyDescent="0.2">
      <c r="A2457" s="122" t="s">
        <v>21</v>
      </c>
      <c r="M2457" s="122" t="s">
        <v>21</v>
      </c>
    </row>
    <row r="2458" spans="1:24" ht="15" customHeight="1" x14ac:dyDescent="0.2"/>
    <row r="2459" spans="1:24" ht="15" customHeight="1" x14ac:dyDescent="0.2"/>
    <row r="2460" spans="1:24" ht="15" customHeight="1" x14ac:dyDescent="0.2"/>
    <row r="2461" spans="1:24" ht="15" customHeight="1" x14ac:dyDescent="0.3">
      <c r="A2461" s="276" t="s">
        <v>6</v>
      </c>
      <c r="B2461" s="276"/>
      <c r="C2461" s="276"/>
      <c r="D2461" s="276"/>
      <c r="E2461" s="276"/>
      <c r="F2461" s="276"/>
      <c r="G2461" s="276"/>
      <c r="H2461" s="276"/>
      <c r="I2461" s="276"/>
      <c r="J2461" s="276"/>
      <c r="K2461" s="276"/>
      <c r="L2461" s="276"/>
      <c r="M2461" s="276" t="s">
        <v>6</v>
      </c>
      <c r="N2461" s="276"/>
      <c r="O2461" s="276"/>
      <c r="P2461" s="276"/>
      <c r="Q2461" s="276"/>
      <c r="R2461" s="276"/>
      <c r="S2461" s="276"/>
      <c r="T2461" s="276"/>
      <c r="U2461" s="276"/>
      <c r="V2461" s="276"/>
      <c r="W2461" s="276"/>
      <c r="X2461" s="276"/>
    </row>
    <row r="2462" spans="1:24" ht="15" customHeight="1" x14ac:dyDescent="0.3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</row>
    <row r="2463" spans="1:24" ht="15" customHeight="1" x14ac:dyDescent="0.3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</row>
    <row r="2464" spans="1:24" ht="15" customHeight="1" x14ac:dyDescent="0.25">
      <c r="A2464" s="1"/>
      <c r="B2464" s="1"/>
      <c r="M2464" s="1"/>
      <c r="N2464" s="1"/>
    </row>
    <row r="2465" spans="1:24" ht="15" customHeight="1" x14ac:dyDescent="0.25">
      <c r="A2465" s="1" t="s">
        <v>7</v>
      </c>
      <c r="B2465" s="1"/>
      <c r="M2465" s="1" t="s">
        <v>7</v>
      </c>
      <c r="N2465" s="1"/>
    </row>
    <row r="2466" spans="1:24" ht="15" customHeight="1" x14ac:dyDescent="0.25">
      <c r="A2466" s="1"/>
      <c r="B2466" s="1"/>
      <c r="M2466" s="1"/>
      <c r="N2466" s="1"/>
    </row>
    <row r="2467" spans="1:24" ht="15" customHeight="1" x14ac:dyDescent="0.25">
      <c r="A2467" s="1" t="s">
        <v>8</v>
      </c>
      <c r="C2467" s="9" t="s">
        <v>1</v>
      </c>
      <c r="D2467" s="92" t="s">
        <v>77</v>
      </c>
      <c r="E2467" s="76"/>
      <c r="F2467" s="76"/>
      <c r="G2467" s="76"/>
      <c r="H2467" s="76"/>
      <c r="M2467" s="1" t="s">
        <v>8</v>
      </c>
      <c r="O2467" s="9" t="s">
        <v>1</v>
      </c>
      <c r="P2467" s="92" t="s">
        <v>77</v>
      </c>
      <c r="Q2467" s="76"/>
      <c r="R2467" s="76"/>
      <c r="S2467" s="76"/>
      <c r="T2467" s="76"/>
    </row>
    <row r="2468" spans="1:24" ht="14.25" customHeight="1" x14ac:dyDescent="0.25">
      <c r="A2468" s="1" t="s">
        <v>9</v>
      </c>
      <c r="C2468" s="9" t="s">
        <v>1</v>
      </c>
      <c r="D2468" s="57" t="s">
        <v>201</v>
      </c>
      <c r="E2468" s="76"/>
      <c r="F2468" s="76"/>
      <c r="G2468" s="76"/>
      <c r="H2468" s="76"/>
      <c r="M2468" s="1" t="s">
        <v>9</v>
      </c>
      <c r="O2468" s="9" t="s">
        <v>1</v>
      </c>
      <c r="P2468" s="57" t="s">
        <v>201</v>
      </c>
      <c r="Q2468" s="76"/>
      <c r="R2468" s="76"/>
      <c r="S2468" s="76"/>
      <c r="T2468" s="76"/>
    </row>
    <row r="2469" spans="1:24" ht="15" customHeight="1" x14ac:dyDescent="0.2">
      <c r="A2469" s="50" t="s">
        <v>10</v>
      </c>
      <c r="B2469" s="76"/>
      <c r="C2469" s="91" t="s">
        <v>1</v>
      </c>
      <c r="D2469" s="50" t="s">
        <v>265</v>
      </c>
      <c r="E2469" s="76"/>
      <c r="F2469" s="76"/>
      <c r="G2469" s="76"/>
      <c r="H2469" s="76"/>
      <c r="I2469" s="76"/>
      <c r="J2469" s="76"/>
      <c r="K2469" s="76"/>
      <c r="L2469" s="76"/>
      <c r="M2469" s="50" t="s">
        <v>10</v>
      </c>
      <c r="N2469" s="76"/>
      <c r="O2469" s="91" t="s">
        <v>1</v>
      </c>
      <c r="P2469" s="50" t="s">
        <v>265</v>
      </c>
      <c r="Q2469" s="76"/>
      <c r="R2469" s="76"/>
      <c r="S2469" s="76"/>
      <c r="T2469" s="76"/>
      <c r="U2469" s="76"/>
      <c r="V2469" s="76"/>
      <c r="W2469" s="76"/>
      <c r="X2469" s="76"/>
    </row>
    <row r="2470" spans="1:24" ht="29.25" customHeight="1" x14ac:dyDescent="0.25">
      <c r="A2470" s="1"/>
      <c r="B2470" s="1"/>
      <c r="D2470" s="1"/>
      <c r="M2470" s="1"/>
      <c r="N2470" s="1"/>
      <c r="P2470" s="1"/>
    </row>
    <row r="2471" spans="1:24" ht="36" customHeight="1" x14ac:dyDescent="0.2">
      <c r="A2471" s="277" t="s">
        <v>408</v>
      </c>
      <c r="B2471" s="277"/>
      <c r="C2471" s="277"/>
      <c r="D2471" s="277"/>
      <c r="E2471" s="277"/>
      <c r="F2471" s="277"/>
      <c r="G2471" s="277"/>
      <c r="H2471" s="277"/>
      <c r="I2471" s="277"/>
      <c r="J2471" s="277"/>
      <c r="K2471" s="277"/>
      <c r="L2471" s="277"/>
      <c r="M2471" s="277" t="s">
        <v>408</v>
      </c>
      <c r="N2471" s="277"/>
      <c r="O2471" s="277"/>
      <c r="P2471" s="277"/>
      <c r="Q2471" s="277"/>
      <c r="R2471" s="277"/>
      <c r="S2471" s="277"/>
      <c r="T2471" s="277"/>
      <c r="U2471" s="277"/>
      <c r="V2471" s="277"/>
      <c r="W2471" s="277"/>
      <c r="X2471" s="277"/>
    </row>
    <row r="2472" spans="1:24" ht="15" customHeight="1" x14ac:dyDescent="0.25">
      <c r="A2472" s="1"/>
      <c r="B2472" s="1"/>
      <c r="M2472" s="1"/>
      <c r="N2472" s="1"/>
    </row>
    <row r="2473" spans="1:24" ht="32.25" customHeight="1" thickBot="1" x14ac:dyDescent="0.25">
      <c r="A2473" s="10" t="s">
        <v>0</v>
      </c>
      <c r="B2473" s="278" t="s">
        <v>91</v>
      </c>
      <c r="C2473" s="278"/>
      <c r="D2473" s="278"/>
      <c r="E2473" s="278"/>
      <c r="F2473" s="278"/>
      <c r="G2473" s="278"/>
      <c r="H2473" s="278"/>
      <c r="I2473" s="278"/>
      <c r="J2473" s="278"/>
      <c r="K2473" s="278"/>
      <c r="L2473" s="278"/>
      <c r="M2473" s="10" t="s">
        <v>0</v>
      </c>
      <c r="N2473" s="278" t="s">
        <v>91</v>
      </c>
      <c r="O2473" s="278"/>
      <c r="P2473" s="278"/>
      <c r="Q2473" s="278"/>
      <c r="R2473" s="278"/>
      <c r="S2473" s="278"/>
      <c r="T2473" s="278"/>
      <c r="U2473" s="278"/>
      <c r="V2473" s="278"/>
      <c r="W2473" s="278"/>
      <c r="X2473" s="278"/>
    </row>
    <row r="2474" spans="1:24" ht="15" customHeight="1" thickTop="1" x14ac:dyDescent="0.25">
      <c r="A2474" s="1"/>
      <c r="B2474" s="11" t="s">
        <v>3</v>
      </c>
      <c r="C2474" s="12" t="s">
        <v>4</v>
      </c>
      <c r="D2474" s="13"/>
      <c r="E2474" s="13"/>
      <c r="F2474" s="13"/>
      <c r="G2474" s="13"/>
      <c r="H2474" s="14"/>
      <c r="I2474" s="15" t="s">
        <v>5</v>
      </c>
      <c r="J2474" s="12" t="s">
        <v>17</v>
      </c>
      <c r="K2474" s="13"/>
      <c r="L2474" s="14"/>
      <c r="M2474" s="1"/>
      <c r="N2474" s="11" t="s">
        <v>3</v>
      </c>
      <c r="O2474" s="12" t="s">
        <v>4</v>
      </c>
      <c r="P2474" s="13"/>
      <c r="Q2474" s="13"/>
      <c r="R2474" s="13"/>
      <c r="S2474" s="13"/>
      <c r="T2474" s="14"/>
      <c r="U2474" s="15" t="s">
        <v>5</v>
      </c>
      <c r="V2474" s="12" t="s">
        <v>17</v>
      </c>
      <c r="W2474" s="13"/>
      <c r="X2474" s="14"/>
    </row>
    <row r="2475" spans="1:24" ht="15" customHeight="1" x14ac:dyDescent="0.2">
      <c r="A2475" s="50"/>
      <c r="B2475" s="143">
        <v>1</v>
      </c>
      <c r="C2475" s="284" t="s">
        <v>303</v>
      </c>
      <c r="D2475" s="285"/>
      <c r="E2475" s="285"/>
      <c r="F2475" s="285"/>
      <c r="G2475" s="76"/>
      <c r="H2475" s="79"/>
      <c r="I2475" s="56">
        <v>250000</v>
      </c>
      <c r="J2475" s="76"/>
      <c r="K2475" s="76"/>
      <c r="L2475" s="79"/>
      <c r="M2475" s="50"/>
      <c r="N2475" s="143">
        <v>1</v>
      </c>
      <c r="O2475" s="321" t="s">
        <v>238</v>
      </c>
      <c r="P2475" s="297"/>
      <c r="Q2475" s="150">
        <v>1957000</v>
      </c>
      <c r="R2475" s="319" t="s">
        <v>239</v>
      </c>
      <c r="S2475" s="297"/>
      <c r="T2475" s="320"/>
      <c r="U2475" s="56">
        <f>Q2475*30/100*1</f>
        <v>587100</v>
      </c>
      <c r="V2475" s="50" t="s">
        <v>240</v>
      </c>
      <c r="W2475" s="76"/>
      <c r="X2475" s="79"/>
    </row>
    <row r="2476" spans="1:24" ht="22.5" customHeight="1" x14ac:dyDescent="0.25">
      <c r="A2476" s="50"/>
      <c r="B2476" s="96"/>
      <c r="C2476" s="321"/>
      <c r="D2476" s="297"/>
      <c r="E2476" s="150"/>
      <c r="F2476" s="319"/>
      <c r="G2476" s="297"/>
      <c r="H2476" s="320"/>
      <c r="I2476" s="56"/>
      <c r="J2476" s="50"/>
      <c r="K2476" s="1"/>
      <c r="L2476" s="17"/>
      <c r="M2476" s="50"/>
      <c r="N2476" s="96"/>
      <c r="U2476" s="163"/>
      <c r="W2476" s="1"/>
      <c r="X2476" s="17"/>
    </row>
    <row r="2477" spans="1:24" ht="22.5" customHeight="1" x14ac:dyDescent="0.25">
      <c r="A2477" s="50"/>
      <c r="B2477" s="96"/>
      <c r="C2477" s="124"/>
      <c r="D2477" s="124"/>
      <c r="E2477" s="150"/>
      <c r="F2477" s="125"/>
      <c r="G2477" s="124"/>
      <c r="H2477" s="124"/>
      <c r="I2477" s="56"/>
      <c r="J2477" s="50"/>
      <c r="K2477" s="1"/>
      <c r="L2477" s="17"/>
      <c r="M2477" s="50"/>
      <c r="N2477" s="96"/>
      <c r="O2477" s="124"/>
      <c r="P2477" s="124"/>
      <c r="Q2477" s="150"/>
      <c r="R2477" s="125"/>
      <c r="S2477" s="124"/>
      <c r="T2477" s="124"/>
      <c r="U2477" s="56"/>
      <c r="V2477" s="50"/>
      <c r="W2477" s="1"/>
      <c r="X2477" s="17"/>
    </row>
    <row r="2478" spans="1:24" ht="15" customHeight="1" x14ac:dyDescent="0.25">
      <c r="A2478" s="1"/>
      <c r="B2478" s="39"/>
      <c r="C2478" s="1"/>
      <c r="D2478" s="1"/>
      <c r="E2478" s="1"/>
      <c r="F2478" s="40" t="s">
        <v>5</v>
      </c>
      <c r="G2478" s="40"/>
      <c r="H2478" s="1"/>
      <c r="I2478" s="41">
        <f>SUM(I2475:I2476)</f>
        <v>250000</v>
      </c>
      <c r="J2478" s="1"/>
      <c r="K2478" s="1"/>
      <c r="L2478" s="42"/>
      <c r="M2478" s="1"/>
      <c r="N2478" s="39"/>
      <c r="O2478" s="1"/>
      <c r="P2478" s="1"/>
      <c r="Q2478" s="1"/>
      <c r="R2478" s="40" t="s">
        <v>5</v>
      </c>
      <c r="S2478" s="40"/>
      <c r="T2478" s="1"/>
      <c r="U2478" s="41">
        <f>SUM(U2475:U2475)</f>
        <v>587100</v>
      </c>
      <c r="V2478" s="1"/>
      <c r="W2478" s="1"/>
      <c r="X2478" s="42"/>
    </row>
    <row r="2479" spans="1:24" ht="15" customHeight="1" thickBot="1" x14ac:dyDescent="0.3">
      <c r="A2479" s="1"/>
      <c r="B2479" s="43"/>
      <c r="C2479" s="44"/>
      <c r="D2479" s="44"/>
      <c r="E2479" s="44"/>
      <c r="F2479" s="45"/>
      <c r="G2479" s="45"/>
      <c r="H2479" s="44"/>
      <c r="I2479" s="46"/>
      <c r="J2479" s="44"/>
      <c r="K2479" s="44"/>
      <c r="L2479" s="47"/>
      <c r="M2479" s="1"/>
      <c r="N2479" s="43"/>
      <c r="O2479" s="44"/>
      <c r="P2479" s="44"/>
      <c r="Q2479" s="44"/>
      <c r="R2479" s="45"/>
      <c r="S2479" s="45"/>
      <c r="T2479" s="44"/>
      <c r="U2479" s="46"/>
      <c r="V2479" s="44"/>
      <c r="W2479" s="44"/>
      <c r="X2479" s="47"/>
    </row>
    <row r="2480" spans="1:24" ht="15" customHeight="1" thickTop="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1:24" ht="46.5" customHeight="1" x14ac:dyDescent="0.2">
      <c r="A2481" s="10" t="s">
        <v>2</v>
      </c>
      <c r="B2481" s="279" t="s">
        <v>11</v>
      </c>
      <c r="C2481" s="279"/>
      <c r="D2481" s="279"/>
      <c r="E2481" s="279"/>
      <c r="F2481" s="279"/>
      <c r="G2481" s="279"/>
      <c r="H2481" s="279"/>
      <c r="I2481" s="279"/>
      <c r="J2481" s="279"/>
      <c r="K2481" s="279"/>
      <c r="L2481" s="279"/>
      <c r="M2481" s="10" t="s">
        <v>2</v>
      </c>
      <c r="N2481" s="279" t="s">
        <v>11</v>
      </c>
      <c r="O2481" s="279"/>
      <c r="P2481" s="279"/>
      <c r="Q2481" s="279"/>
      <c r="R2481" s="279"/>
      <c r="S2481" s="279"/>
      <c r="T2481" s="279"/>
      <c r="U2481" s="279"/>
      <c r="V2481" s="279"/>
      <c r="W2481" s="279"/>
      <c r="X2481" s="279"/>
    </row>
    <row r="2482" spans="1:24" ht="12" customHeight="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1:24" ht="15" customHeight="1" x14ac:dyDescent="0.2">
      <c r="A2483" s="280" t="s">
        <v>12</v>
      </c>
      <c r="B2483" s="280"/>
      <c r="C2483" s="280"/>
      <c r="D2483" s="280"/>
      <c r="E2483" s="280"/>
      <c r="F2483" s="280"/>
      <c r="G2483" s="280"/>
      <c r="H2483" s="280"/>
      <c r="I2483" s="280"/>
      <c r="J2483" s="280"/>
      <c r="K2483" s="280"/>
      <c r="L2483" s="280"/>
      <c r="M2483" s="280" t="s">
        <v>12</v>
      </c>
      <c r="N2483" s="280"/>
      <c r="O2483" s="280"/>
      <c r="P2483" s="280"/>
      <c r="Q2483" s="280"/>
      <c r="R2483" s="280"/>
      <c r="S2483" s="280"/>
      <c r="T2483" s="280"/>
      <c r="U2483" s="280"/>
      <c r="V2483" s="280"/>
      <c r="W2483" s="280"/>
      <c r="X2483" s="280"/>
    </row>
    <row r="2484" spans="1:24" ht="15" customHeight="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1:24" ht="15" customHeight="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1:24" ht="15" customHeight="1" x14ac:dyDescent="0.25">
      <c r="A2486" s="1"/>
      <c r="B2486" s="1"/>
      <c r="C2486" s="1"/>
      <c r="D2486" s="1"/>
      <c r="E2486" s="1"/>
      <c r="F2486" s="1"/>
      <c r="G2486" s="1"/>
      <c r="H2486" s="4" t="s">
        <v>199</v>
      </c>
      <c r="J2486" s="286" t="s">
        <v>407</v>
      </c>
      <c r="K2486" s="286"/>
      <c r="L2486" s="286"/>
      <c r="M2486" s="1"/>
      <c r="N2486" s="1"/>
      <c r="O2486" s="1"/>
      <c r="P2486" s="1"/>
      <c r="Q2486" s="1"/>
      <c r="R2486" s="1"/>
      <c r="S2486" s="1"/>
      <c r="T2486" s="4" t="s">
        <v>199</v>
      </c>
      <c r="V2486" s="286" t="s">
        <v>407</v>
      </c>
      <c r="W2486" s="286"/>
      <c r="X2486" s="286"/>
    </row>
    <row r="2487" spans="1:24" ht="15" customHeight="1" x14ac:dyDescent="0.25">
      <c r="A2487" s="1"/>
      <c r="B2487" s="1" t="s">
        <v>15</v>
      </c>
      <c r="C2487" s="1"/>
      <c r="D2487" s="1"/>
      <c r="E2487" s="1"/>
      <c r="F2487" s="1"/>
      <c r="G2487" s="1"/>
      <c r="H2487" s="4" t="s">
        <v>13</v>
      </c>
      <c r="M2487" s="1"/>
      <c r="N2487" s="1" t="s">
        <v>15</v>
      </c>
      <c r="O2487" s="1"/>
      <c r="P2487" s="1"/>
      <c r="Q2487" s="1"/>
      <c r="R2487" s="1"/>
      <c r="S2487" s="1"/>
      <c r="T2487" s="4" t="s">
        <v>13</v>
      </c>
    </row>
    <row r="2488" spans="1:24" ht="15" customHeight="1" x14ac:dyDescent="0.25">
      <c r="A2488" s="1"/>
      <c r="B2488" s="1" t="s">
        <v>18</v>
      </c>
      <c r="C2488" s="1"/>
      <c r="D2488" s="1"/>
      <c r="E2488" s="1"/>
      <c r="F2488" s="1"/>
      <c r="G2488" s="1"/>
      <c r="H2488" s="4" t="s">
        <v>14</v>
      </c>
      <c r="M2488" s="1"/>
      <c r="N2488" s="1" t="s">
        <v>18</v>
      </c>
      <c r="O2488" s="1"/>
      <c r="P2488" s="1"/>
      <c r="Q2488" s="1"/>
      <c r="R2488" s="1"/>
      <c r="S2488" s="1"/>
      <c r="T2488" s="4" t="s">
        <v>14</v>
      </c>
    </row>
    <row r="2489" spans="1:24" ht="15" customHeight="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1:24" ht="15" customHeight="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1:24" ht="15" customHeight="1" x14ac:dyDescent="0.25">
      <c r="A2491" s="1"/>
      <c r="B2491" s="103"/>
      <c r="C2491" s="103"/>
      <c r="D2491" s="103"/>
      <c r="E2491" s="103"/>
      <c r="F2491" s="103"/>
      <c r="G2491" s="103"/>
      <c r="H2491" s="103"/>
      <c r="I2491" s="103"/>
      <c r="J2491" s="103"/>
      <c r="K2491" s="103"/>
      <c r="L2491" s="1"/>
      <c r="M2491" s="1"/>
      <c r="N2491" s="103"/>
      <c r="O2491" s="103"/>
      <c r="P2491" s="103"/>
      <c r="Q2491" s="103"/>
      <c r="R2491" s="103"/>
      <c r="S2491" s="103"/>
      <c r="T2491" s="103"/>
      <c r="U2491" s="103"/>
      <c r="V2491" s="103"/>
      <c r="W2491" s="103"/>
      <c r="X2491" s="1"/>
    </row>
    <row r="2492" spans="1:24" ht="15" customHeight="1" x14ac:dyDescent="0.25">
      <c r="A2492" s="1"/>
      <c r="K2492" s="103"/>
      <c r="L2492" s="1"/>
      <c r="M2492" s="1"/>
      <c r="W2492" s="103"/>
      <c r="X2492" s="1"/>
    </row>
    <row r="2493" spans="1:24" ht="15" customHeight="1" x14ac:dyDescent="0.25">
      <c r="A2493" s="1"/>
      <c r="B2493" s="95" t="s">
        <v>77</v>
      </c>
      <c r="H2493" s="95" t="s">
        <v>77</v>
      </c>
      <c r="I2493" s="95"/>
      <c r="J2493" s="92"/>
      <c r="K2493" s="103"/>
      <c r="L2493" s="1"/>
      <c r="M2493" s="1"/>
      <c r="N2493" s="95" t="s">
        <v>77</v>
      </c>
      <c r="T2493" s="95" t="s">
        <v>77</v>
      </c>
      <c r="U2493" s="95"/>
      <c r="V2493" s="92"/>
      <c r="W2493" s="103"/>
      <c r="X2493" s="1"/>
    </row>
    <row r="2494" spans="1:24" ht="15" customHeight="1" x14ac:dyDescent="0.25">
      <c r="A2494" s="1"/>
      <c r="B2494" s="99" t="s">
        <v>27</v>
      </c>
      <c r="C2494" s="57"/>
      <c r="H2494" s="99" t="s">
        <v>27</v>
      </c>
      <c r="K2494" s="103"/>
      <c r="M2494" s="1"/>
      <c r="N2494" s="99" t="s">
        <v>27</v>
      </c>
      <c r="O2494" s="57"/>
      <c r="T2494" s="99" t="s">
        <v>27</v>
      </c>
      <c r="W2494" s="103"/>
    </row>
    <row r="2495" spans="1:24" ht="15" customHeight="1" x14ac:dyDescent="0.2"/>
    <row r="2496" spans="1:24" ht="15" customHeight="1" x14ac:dyDescent="0.2"/>
    <row r="2497" spans="1:24" ht="15" customHeight="1" x14ac:dyDescent="0.2"/>
    <row r="2498" spans="1:24" ht="15" customHeight="1" x14ac:dyDescent="0.2"/>
    <row r="2499" spans="1:24" ht="15" customHeight="1" x14ac:dyDescent="0.2"/>
    <row r="2500" spans="1:24" ht="15" customHeight="1" x14ac:dyDescent="0.2"/>
    <row r="2501" spans="1:24" ht="15" customHeight="1" x14ac:dyDescent="0.2"/>
    <row r="2502" spans="1:24" ht="15" customHeight="1" x14ac:dyDescent="0.2"/>
    <row r="2505" spans="1:24" ht="13.5" customHeight="1" x14ac:dyDescent="0.25">
      <c r="A2505" s="3" t="s">
        <v>22</v>
      </c>
      <c r="M2505" s="3" t="s">
        <v>22</v>
      </c>
    </row>
    <row r="2506" spans="1:24" ht="18.75" customHeight="1" x14ac:dyDescent="0.2">
      <c r="A2506" s="122" t="s">
        <v>20</v>
      </c>
      <c r="M2506" s="122" t="s">
        <v>20</v>
      </c>
    </row>
    <row r="2507" spans="1:24" ht="16.5" customHeight="1" x14ac:dyDescent="0.2">
      <c r="A2507" s="122" t="s">
        <v>21</v>
      </c>
      <c r="M2507" s="122" t="s">
        <v>21</v>
      </c>
    </row>
    <row r="2508" spans="1:24" ht="19.5" customHeight="1" x14ac:dyDescent="0.2"/>
    <row r="2509" spans="1:24" ht="30" customHeight="1" x14ac:dyDescent="0.2"/>
    <row r="2510" spans="1:24" ht="30" customHeight="1" x14ac:dyDescent="0.2"/>
    <row r="2511" spans="1:24" ht="30" customHeight="1" x14ac:dyDescent="0.3">
      <c r="A2511" s="276" t="s">
        <v>6</v>
      </c>
      <c r="B2511" s="276"/>
      <c r="C2511" s="276"/>
      <c r="D2511" s="276"/>
      <c r="E2511" s="276"/>
      <c r="F2511" s="276"/>
      <c r="G2511" s="276"/>
      <c r="H2511" s="276"/>
      <c r="I2511" s="276"/>
      <c r="J2511" s="276"/>
      <c r="K2511" s="276"/>
      <c r="L2511" s="276"/>
      <c r="M2511" s="276" t="s">
        <v>6</v>
      </c>
      <c r="N2511" s="276"/>
      <c r="O2511" s="276"/>
      <c r="P2511" s="276"/>
      <c r="Q2511" s="276"/>
      <c r="R2511" s="276"/>
      <c r="S2511" s="276"/>
      <c r="T2511" s="276"/>
      <c r="U2511" s="276"/>
      <c r="V2511" s="276"/>
      <c r="W2511" s="276"/>
      <c r="X2511" s="276"/>
    </row>
    <row r="2512" spans="1:24" ht="17.25" customHeight="1" x14ac:dyDescent="0.3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</row>
    <row r="2513" spans="1:24" ht="7.5" customHeight="1" x14ac:dyDescent="0.3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</row>
    <row r="2514" spans="1:24" ht="9.75" customHeight="1" x14ac:dyDescent="0.25">
      <c r="A2514" s="1"/>
      <c r="B2514" s="1"/>
      <c r="M2514" s="1"/>
      <c r="N2514" s="1"/>
    </row>
    <row r="2515" spans="1:24" ht="11.25" customHeight="1" x14ac:dyDescent="0.25">
      <c r="A2515" s="1" t="s">
        <v>7</v>
      </c>
      <c r="B2515" s="1"/>
      <c r="M2515" s="1" t="s">
        <v>7</v>
      </c>
      <c r="N2515" s="1"/>
    </row>
    <row r="2516" spans="1:24" ht="10.5" customHeight="1" x14ac:dyDescent="0.25">
      <c r="A2516" s="1"/>
      <c r="B2516" s="1"/>
      <c r="M2516" s="1"/>
      <c r="N2516" s="1"/>
    </row>
    <row r="2517" spans="1:24" ht="10.5" customHeight="1" x14ac:dyDescent="0.25">
      <c r="A2517" s="1" t="s">
        <v>8</v>
      </c>
      <c r="C2517" s="9" t="s">
        <v>1</v>
      </c>
      <c r="D2517" s="126" t="s">
        <v>64</v>
      </c>
      <c r="E2517" s="76"/>
      <c r="F2517" s="76"/>
      <c r="G2517" s="76"/>
      <c r="H2517" s="76"/>
      <c r="M2517" s="1" t="s">
        <v>8</v>
      </c>
      <c r="O2517" s="9" t="s">
        <v>1</v>
      </c>
      <c r="P2517" s="126" t="s">
        <v>64</v>
      </c>
      <c r="Q2517" s="76"/>
      <c r="R2517" s="76"/>
      <c r="S2517" s="76"/>
      <c r="T2517" s="76"/>
    </row>
    <row r="2518" spans="1:24" ht="18.75" customHeight="1" x14ac:dyDescent="0.25">
      <c r="A2518" s="1" t="s">
        <v>9</v>
      </c>
      <c r="C2518" s="9" t="s">
        <v>1</v>
      </c>
      <c r="D2518" s="119" t="s">
        <v>236</v>
      </c>
      <c r="E2518" s="76"/>
      <c r="F2518" s="76"/>
      <c r="G2518" s="76"/>
      <c r="H2518" s="76"/>
      <c r="M2518" s="1" t="s">
        <v>9</v>
      </c>
      <c r="O2518" s="9" t="s">
        <v>1</v>
      </c>
      <c r="P2518" s="119" t="s">
        <v>236</v>
      </c>
      <c r="Q2518" s="76"/>
      <c r="R2518" s="76"/>
      <c r="S2518" s="76"/>
      <c r="T2518" s="76"/>
    </row>
    <row r="2519" spans="1:24" ht="16.5" customHeight="1" x14ac:dyDescent="0.2">
      <c r="A2519" s="50" t="s">
        <v>10</v>
      </c>
      <c r="B2519" s="76"/>
      <c r="C2519" s="91" t="s">
        <v>1</v>
      </c>
      <c r="D2519" s="124" t="s">
        <v>235</v>
      </c>
      <c r="E2519" s="76"/>
      <c r="F2519" s="76"/>
      <c r="G2519" s="76"/>
      <c r="H2519" s="76"/>
      <c r="I2519" s="76"/>
      <c r="J2519" s="76"/>
      <c r="K2519" s="76"/>
      <c r="L2519" s="76"/>
      <c r="M2519" s="50" t="s">
        <v>10</v>
      </c>
      <c r="N2519" s="76"/>
      <c r="O2519" s="91" t="s">
        <v>1</v>
      </c>
      <c r="P2519" s="124" t="s">
        <v>235</v>
      </c>
      <c r="Q2519" s="76"/>
      <c r="R2519" s="76"/>
      <c r="S2519" s="76"/>
      <c r="T2519" s="76"/>
      <c r="U2519" s="76"/>
      <c r="V2519" s="76"/>
      <c r="W2519" s="76"/>
      <c r="X2519" s="76"/>
    </row>
    <row r="2520" spans="1:24" ht="17.25" customHeight="1" x14ac:dyDescent="0.25">
      <c r="A2520" s="1"/>
      <c r="B2520" s="1"/>
      <c r="D2520" s="1"/>
      <c r="M2520" s="1"/>
      <c r="N2520" s="1"/>
      <c r="P2520" s="1"/>
    </row>
    <row r="2521" spans="1:24" ht="32.25" customHeight="1" x14ac:dyDescent="0.2">
      <c r="A2521" s="277" t="s">
        <v>408</v>
      </c>
      <c r="B2521" s="277"/>
      <c r="C2521" s="277"/>
      <c r="D2521" s="277"/>
      <c r="E2521" s="277"/>
      <c r="F2521" s="277"/>
      <c r="G2521" s="277"/>
      <c r="H2521" s="277"/>
      <c r="I2521" s="277"/>
      <c r="J2521" s="277"/>
      <c r="K2521" s="277"/>
      <c r="L2521" s="277"/>
      <c r="M2521" s="277" t="s">
        <v>408</v>
      </c>
      <c r="N2521" s="277"/>
      <c r="O2521" s="277"/>
      <c r="P2521" s="277"/>
      <c r="Q2521" s="277"/>
      <c r="R2521" s="277"/>
      <c r="S2521" s="277"/>
      <c r="T2521" s="277"/>
      <c r="U2521" s="277"/>
      <c r="V2521" s="277"/>
      <c r="W2521" s="277"/>
      <c r="X2521" s="277"/>
    </row>
    <row r="2522" spans="1:24" ht="15" customHeight="1" x14ac:dyDescent="0.25">
      <c r="A2522" s="1"/>
      <c r="B2522" s="1"/>
      <c r="M2522" s="1"/>
      <c r="N2522" s="1"/>
    </row>
    <row r="2523" spans="1:24" ht="33" customHeight="1" thickBot="1" x14ac:dyDescent="0.25">
      <c r="A2523" s="10" t="s">
        <v>0</v>
      </c>
      <c r="B2523" s="278" t="s">
        <v>91</v>
      </c>
      <c r="C2523" s="278"/>
      <c r="D2523" s="278"/>
      <c r="E2523" s="278"/>
      <c r="F2523" s="278"/>
      <c r="G2523" s="278"/>
      <c r="H2523" s="278"/>
      <c r="I2523" s="278"/>
      <c r="J2523" s="278"/>
      <c r="K2523" s="278"/>
      <c r="L2523" s="278"/>
      <c r="M2523" s="10" t="s">
        <v>0</v>
      </c>
      <c r="N2523" s="278" t="s">
        <v>91</v>
      </c>
      <c r="O2523" s="278"/>
      <c r="P2523" s="278"/>
      <c r="Q2523" s="278"/>
      <c r="R2523" s="278"/>
      <c r="S2523" s="278"/>
      <c r="T2523" s="278"/>
      <c r="U2523" s="278"/>
      <c r="V2523" s="278"/>
      <c r="W2523" s="278"/>
      <c r="X2523" s="278"/>
    </row>
    <row r="2524" spans="1:24" ht="15" customHeight="1" thickTop="1" x14ac:dyDescent="0.25">
      <c r="A2524" s="1"/>
      <c r="B2524" s="11" t="s">
        <v>3</v>
      </c>
      <c r="C2524" s="12" t="s">
        <v>4</v>
      </c>
      <c r="D2524" s="13"/>
      <c r="E2524" s="13"/>
      <c r="F2524" s="13"/>
      <c r="G2524" s="13"/>
      <c r="H2524" s="14"/>
      <c r="I2524" s="15" t="s">
        <v>5</v>
      </c>
      <c r="J2524" s="12" t="s">
        <v>17</v>
      </c>
      <c r="K2524" s="13"/>
      <c r="L2524" s="14"/>
      <c r="M2524" s="1"/>
      <c r="N2524" s="11" t="s">
        <v>3</v>
      </c>
      <c r="O2524" s="12" t="s">
        <v>4</v>
      </c>
      <c r="P2524" s="13"/>
      <c r="Q2524" s="13"/>
      <c r="R2524" s="13"/>
      <c r="S2524" s="13"/>
      <c r="T2524" s="14"/>
      <c r="U2524" s="15" t="s">
        <v>5</v>
      </c>
      <c r="V2524" s="12" t="s">
        <v>17</v>
      </c>
      <c r="W2524" s="13"/>
      <c r="X2524" s="14"/>
    </row>
    <row r="2525" spans="1:24" ht="21.75" customHeight="1" x14ac:dyDescent="0.2">
      <c r="A2525" s="50"/>
      <c r="B2525" s="143">
        <v>1</v>
      </c>
      <c r="C2525" s="284" t="s">
        <v>303</v>
      </c>
      <c r="D2525" s="285"/>
      <c r="E2525" s="285"/>
      <c r="F2525" s="285"/>
      <c r="G2525" s="76"/>
      <c r="H2525" s="79"/>
      <c r="I2525" s="56">
        <v>250000</v>
      </c>
      <c r="J2525" s="76"/>
      <c r="K2525" s="76"/>
      <c r="L2525" s="79"/>
      <c r="M2525" s="50"/>
      <c r="N2525" s="143">
        <v>1</v>
      </c>
      <c r="O2525" s="140" t="s">
        <v>238</v>
      </c>
      <c r="P2525" s="76"/>
      <c r="Q2525" s="150">
        <v>622000</v>
      </c>
      <c r="R2525" s="316" t="s">
        <v>239</v>
      </c>
      <c r="S2525" s="314"/>
      <c r="T2525" s="315"/>
      <c r="U2525" s="80">
        <f>Q2525*30/100*1</f>
        <v>186600</v>
      </c>
      <c r="V2525" s="76" t="s">
        <v>240</v>
      </c>
      <c r="W2525" s="76"/>
      <c r="X2525" s="79"/>
    </row>
    <row r="2526" spans="1:24" ht="18.75" customHeight="1" x14ac:dyDescent="0.2">
      <c r="B2526" s="142"/>
      <c r="C2526" s="140"/>
      <c r="D2526" s="76"/>
      <c r="E2526" s="150"/>
      <c r="F2526" s="316"/>
      <c r="G2526" s="314"/>
      <c r="H2526" s="315"/>
      <c r="I2526" s="80"/>
      <c r="J2526" s="76"/>
      <c r="K2526" s="76"/>
      <c r="L2526" s="79"/>
      <c r="N2526" s="142"/>
      <c r="O2526" s="140"/>
      <c r="P2526" s="76"/>
      <c r="Q2526" s="150"/>
      <c r="R2526" s="316"/>
      <c r="S2526" s="314"/>
      <c r="T2526" s="315"/>
      <c r="U2526" s="80"/>
      <c r="V2526" s="76"/>
      <c r="W2526" s="76"/>
      <c r="X2526" s="79"/>
    </row>
    <row r="2527" spans="1:24" ht="18.75" customHeight="1" x14ac:dyDescent="0.2">
      <c r="B2527" s="142"/>
      <c r="C2527" s="76"/>
      <c r="D2527" s="76"/>
      <c r="E2527" s="150"/>
      <c r="F2527" s="157"/>
      <c r="G2527" s="119"/>
      <c r="H2527" s="119"/>
      <c r="I2527" s="80"/>
      <c r="J2527" s="76"/>
      <c r="K2527" s="76"/>
      <c r="L2527" s="79"/>
      <c r="N2527" s="142"/>
      <c r="O2527" s="76"/>
      <c r="P2527" s="76"/>
      <c r="Q2527" s="150"/>
      <c r="R2527" s="157"/>
      <c r="S2527" s="119"/>
      <c r="T2527" s="119"/>
      <c r="U2527" s="80"/>
      <c r="V2527" s="76"/>
      <c r="W2527" s="76"/>
      <c r="X2527" s="79"/>
    </row>
    <row r="2528" spans="1:24" ht="15" customHeight="1" x14ac:dyDescent="0.25">
      <c r="A2528" s="1"/>
      <c r="B2528" s="39"/>
      <c r="C2528" s="1"/>
      <c r="D2528" s="1"/>
      <c r="E2528" s="1"/>
      <c r="F2528" s="40" t="s">
        <v>5</v>
      </c>
      <c r="G2528" s="40"/>
      <c r="H2528" s="1"/>
      <c r="I2528" s="41">
        <f>SUM(I2525:I2526)</f>
        <v>250000</v>
      </c>
      <c r="J2528" s="1"/>
      <c r="K2528" s="1"/>
      <c r="L2528" s="42"/>
      <c r="M2528" s="1"/>
      <c r="N2528" s="39"/>
      <c r="O2528" s="1"/>
      <c r="P2528" s="1"/>
      <c r="Q2528" s="1"/>
      <c r="R2528" s="40" t="s">
        <v>5</v>
      </c>
      <c r="S2528" s="40"/>
      <c r="T2528" s="1"/>
      <c r="U2528" s="41">
        <f>SUM(U2525:U2526)</f>
        <v>186600</v>
      </c>
      <c r="V2528" s="1"/>
      <c r="W2528" s="1"/>
      <c r="X2528" s="42"/>
    </row>
    <row r="2529" spans="1:24" ht="12.75" customHeight="1" thickBot="1" x14ac:dyDescent="0.3">
      <c r="A2529" s="1"/>
      <c r="B2529" s="43"/>
      <c r="C2529" s="44"/>
      <c r="D2529" s="44"/>
      <c r="E2529" s="44"/>
      <c r="F2529" s="45"/>
      <c r="G2529" s="45"/>
      <c r="H2529" s="44"/>
      <c r="I2529" s="46"/>
      <c r="J2529" s="44"/>
      <c r="K2529" s="44"/>
      <c r="L2529" s="47"/>
      <c r="M2529" s="1"/>
      <c r="N2529" s="43"/>
      <c r="O2529" s="44"/>
      <c r="P2529" s="44"/>
      <c r="Q2529" s="44"/>
      <c r="R2529" s="45"/>
      <c r="S2529" s="45"/>
      <c r="T2529" s="44"/>
      <c r="U2529" s="46"/>
      <c r="V2529" s="44"/>
      <c r="W2529" s="44"/>
      <c r="X2529" s="47"/>
    </row>
    <row r="2530" spans="1:24" ht="12.75" customHeight="1" thickTop="1" x14ac:dyDescent="0.25">
      <c r="A2530" s="1"/>
      <c r="B2530" s="7"/>
      <c r="C2530" s="1"/>
      <c r="D2530" s="1"/>
      <c r="E2530" s="1"/>
      <c r="F2530" s="40"/>
      <c r="G2530" s="40"/>
      <c r="H2530" s="1"/>
      <c r="I2530" s="160"/>
      <c r="J2530" s="1"/>
      <c r="K2530" s="1"/>
      <c r="L2530" s="1"/>
      <c r="M2530" s="1"/>
      <c r="N2530" s="7"/>
      <c r="O2530" s="1"/>
      <c r="P2530" s="1"/>
      <c r="Q2530" s="1"/>
      <c r="R2530" s="40"/>
      <c r="S2530" s="40"/>
      <c r="T2530" s="1"/>
      <c r="U2530" s="160"/>
      <c r="V2530" s="1"/>
      <c r="W2530" s="1"/>
      <c r="X2530" s="1"/>
    </row>
    <row r="2531" spans="1:24" s="99" customFormat="1" ht="50.25" customHeight="1" x14ac:dyDescent="0.2">
      <c r="A2531" s="10" t="s">
        <v>2</v>
      </c>
      <c r="B2531" s="279" t="s">
        <v>11</v>
      </c>
      <c r="C2531" s="279"/>
      <c r="D2531" s="279"/>
      <c r="E2531" s="279"/>
      <c r="F2531" s="279"/>
      <c r="G2531" s="279"/>
      <c r="H2531" s="279"/>
      <c r="I2531" s="279"/>
      <c r="J2531" s="279"/>
      <c r="K2531" s="279"/>
      <c r="L2531" s="279"/>
      <c r="M2531" s="10" t="s">
        <v>2</v>
      </c>
      <c r="N2531" s="279" t="s">
        <v>11</v>
      </c>
      <c r="O2531" s="279"/>
      <c r="P2531" s="279"/>
      <c r="Q2531" s="279"/>
      <c r="R2531" s="279"/>
      <c r="S2531" s="279"/>
      <c r="T2531" s="279"/>
      <c r="U2531" s="279"/>
      <c r="V2531" s="279"/>
      <c r="W2531" s="279"/>
      <c r="X2531" s="279"/>
    </row>
    <row r="2532" spans="1:24" ht="16.5" customHeight="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1:24" ht="21" customHeight="1" x14ac:dyDescent="0.2">
      <c r="A2533" s="280" t="s">
        <v>12</v>
      </c>
      <c r="B2533" s="280"/>
      <c r="C2533" s="280"/>
      <c r="D2533" s="280"/>
      <c r="E2533" s="280"/>
      <c r="F2533" s="280"/>
      <c r="G2533" s="280"/>
      <c r="H2533" s="280"/>
      <c r="I2533" s="280"/>
      <c r="J2533" s="280"/>
      <c r="K2533" s="280"/>
      <c r="L2533" s="280"/>
      <c r="M2533" s="280" t="s">
        <v>12</v>
      </c>
      <c r="N2533" s="280"/>
      <c r="O2533" s="280"/>
      <c r="P2533" s="280"/>
      <c r="Q2533" s="280"/>
      <c r="R2533" s="280"/>
      <c r="S2533" s="280"/>
      <c r="T2533" s="280"/>
      <c r="U2533" s="280"/>
      <c r="V2533" s="280"/>
      <c r="W2533" s="280"/>
      <c r="X2533" s="280"/>
    </row>
    <row r="2534" spans="1:24" ht="12" customHeight="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1:24" ht="15" customHeight="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 spans="1:24" ht="15" customHeight="1" x14ac:dyDescent="0.25">
      <c r="A2536" s="1"/>
      <c r="B2536" s="1"/>
      <c r="C2536" s="1"/>
      <c r="D2536" s="1"/>
      <c r="E2536" s="1"/>
      <c r="F2536" s="1"/>
      <c r="G2536" s="1"/>
      <c r="H2536" s="4" t="s">
        <v>199</v>
      </c>
      <c r="J2536" s="286" t="s">
        <v>407</v>
      </c>
      <c r="K2536" s="286"/>
      <c r="L2536" s="286"/>
      <c r="M2536" s="1"/>
      <c r="N2536" s="1"/>
      <c r="O2536" s="1"/>
      <c r="P2536" s="1"/>
      <c r="Q2536" s="1"/>
      <c r="R2536" s="1"/>
      <c r="S2536" s="1"/>
      <c r="T2536" s="4" t="s">
        <v>199</v>
      </c>
      <c r="V2536" s="286" t="s">
        <v>407</v>
      </c>
      <c r="W2536" s="286"/>
      <c r="X2536" s="286"/>
    </row>
    <row r="2537" spans="1:24" ht="13.5" customHeight="1" x14ac:dyDescent="0.25">
      <c r="A2537" s="1"/>
      <c r="B2537" s="1" t="s">
        <v>15</v>
      </c>
      <c r="C2537" s="1"/>
      <c r="D2537" s="1"/>
      <c r="E2537" s="1"/>
      <c r="F2537" s="1"/>
      <c r="G2537" s="1"/>
      <c r="H2537" s="4" t="s">
        <v>13</v>
      </c>
      <c r="M2537" s="1"/>
      <c r="N2537" s="1" t="s">
        <v>15</v>
      </c>
      <c r="O2537" s="1"/>
      <c r="P2537" s="1"/>
      <c r="Q2537" s="1"/>
      <c r="R2537" s="1"/>
      <c r="S2537" s="1"/>
      <c r="T2537" s="4" t="s">
        <v>13</v>
      </c>
    </row>
    <row r="2538" spans="1:24" ht="15" customHeight="1" x14ac:dyDescent="0.25">
      <c r="A2538" s="1"/>
      <c r="B2538" s="1" t="s">
        <v>18</v>
      </c>
      <c r="C2538" s="1"/>
      <c r="D2538" s="1"/>
      <c r="E2538" s="1"/>
      <c r="F2538" s="1"/>
      <c r="G2538" s="1"/>
      <c r="H2538" s="4" t="s">
        <v>14</v>
      </c>
      <c r="M2538" s="1"/>
      <c r="N2538" s="1" t="s">
        <v>18</v>
      </c>
      <c r="O2538" s="1"/>
      <c r="P2538" s="1"/>
      <c r="Q2538" s="1"/>
      <c r="R2538" s="1"/>
      <c r="S2538" s="1"/>
      <c r="T2538" s="4" t="s">
        <v>14</v>
      </c>
    </row>
    <row r="2539" spans="1:24" ht="15" customHeight="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1:24" ht="15" customHeight="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1:24" ht="15" customHeight="1" x14ac:dyDescent="0.25">
      <c r="A2541" s="1"/>
      <c r="B2541" s="103"/>
      <c r="C2541" s="103"/>
      <c r="D2541" s="103"/>
      <c r="E2541" s="103"/>
      <c r="F2541" s="103"/>
      <c r="G2541" s="103"/>
      <c r="H2541" s="103"/>
      <c r="I2541" s="103"/>
      <c r="J2541" s="103"/>
      <c r="K2541" s="103"/>
      <c r="L2541" s="1"/>
      <c r="M2541" s="1"/>
      <c r="N2541" s="103"/>
      <c r="O2541" s="103"/>
      <c r="P2541" s="103"/>
      <c r="Q2541" s="103"/>
      <c r="R2541" s="103"/>
      <c r="S2541" s="103"/>
      <c r="T2541" s="103"/>
      <c r="U2541" s="103"/>
      <c r="V2541" s="103"/>
      <c r="W2541" s="103"/>
      <c r="X2541" s="1"/>
    </row>
    <row r="2542" spans="1:24" ht="15" customHeight="1" x14ac:dyDescent="0.25">
      <c r="A2542" s="1"/>
      <c r="K2542" s="103"/>
      <c r="L2542" s="1"/>
      <c r="M2542" s="1"/>
      <c r="W2542" s="103"/>
      <c r="X2542" s="1"/>
    </row>
    <row r="2543" spans="1:24" ht="15" customHeight="1" x14ac:dyDescent="0.25">
      <c r="A2543" s="1"/>
      <c r="B2543" s="95" t="s">
        <v>77</v>
      </c>
      <c r="H2543" s="95" t="s">
        <v>64</v>
      </c>
      <c r="I2543" s="95"/>
      <c r="J2543" s="92"/>
      <c r="K2543" s="103"/>
      <c r="L2543" s="1"/>
      <c r="M2543" s="1"/>
      <c r="N2543" s="95" t="s">
        <v>77</v>
      </c>
      <c r="T2543" s="95" t="s">
        <v>64</v>
      </c>
      <c r="U2543" s="95"/>
      <c r="V2543" s="92"/>
      <c r="W2543" s="103"/>
      <c r="X2543" s="1"/>
    </row>
    <row r="2544" spans="1:24" ht="15" customHeight="1" x14ac:dyDescent="0.25">
      <c r="A2544" s="1"/>
      <c r="B2544" s="99" t="s">
        <v>27</v>
      </c>
      <c r="C2544" s="57"/>
      <c r="H2544" s="99" t="s">
        <v>46</v>
      </c>
      <c r="K2544" s="103"/>
      <c r="M2544" s="1"/>
      <c r="N2544" s="99" t="s">
        <v>27</v>
      </c>
      <c r="O2544" s="57"/>
      <c r="T2544" s="99" t="s">
        <v>46</v>
      </c>
      <c r="W2544" s="103"/>
    </row>
    <row r="2545" spans="1:24" ht="30" customHeight="1" x14ac:dyDescent="0.2"/>
    <row r="2546" spans="1:24" ht="30" customHeight="1" x14ac:dyDescent="0.2"/>
    <row r="2547" spans="1:24" ht="30" customHeight="1" x14ac:dyDescent="0.2"/>
    <row r="2548" spans="1:24" ht="30" customHeight="1" x14ac:dyDescent="0.25">
      <c r="A2548" s="3" t="s">
        <v>22</v>
      </c>
      <c r="M2548" s="3" t="s">
        <v>22</v>
      </c>
    </row>
    <row r="2549" spans="1:24" ht="23.25" customHeight="1" x14ac:dyDescent="0.2">
      <c r="A2549" s="122" t="s">
        <v>20</v>
      </c>
      <c r="M2549" s="122" t="s">
        <v>20</v>
      </c>
    </row>
    <row r="2550" spans="1:24" ht="30" customHeight="1" x14ac:dyDescent="0.2">
      <c r="A2550" s="122" t="s">
        <v>21</v>
      </c>
      <c r="M2550" s="122" t="s">
        <v>21</v>
      </c>
    </row>
    <row r="2551" spans="1:24" ht="15" customHeight="1" x14ac:dyDescent="0.2"/>
    <row r="2552" spans="1:24" ht="15" customHeight="1" x14ac:dyDescent="0.2"/>
    <row r="2553" spans="1:24" ht="15" customHeight="1" x14ac:dyDescent="0.2"/>
    <row r="2554" spans="1:24" ht="15" customHeight="1" x14ac:dyDescent="0.3">
      <c r="A2554" s="276" t="s">
        <v>6</v>
      </c>
      <c r="B2554" s="276"/>
      <c r="C2554" s="276"/>
      <c r="D2554" s="276"/>
      <c r="E2554" s="276"/>
      <c r="F2554" s="276"/>
      <c r="G2554" s="276"/>
      <c r="H2554" s="276"/>
      <c r="I2554" s="276"/>
      <c r="J2554" s="276"/>
      <c r="K2554" s="276"/>
      <c r="L2554" s="276"/>
      <c r="M2554" s="276" t="s">
        <v>6</v>
      </c>
      <c r="N2554" s="276"/>
      <c r="O2554" s="276"/>
      <c r="P2554" s="276"/>
      <c r="Q2554" s="276"/>
      <c r="R2554" s="276"/>
      <c r="S2554" s="276"/>
      <c r="T2554" s="276"/>
      <c r="U2554" s="276"/>
      <c r="V2554" s="276"/>
      <c r="W2554" s="276"/>
      <c r="X2554" s="276"/>
    </row>
    <row r="2555" spans="1:24" ht="15" customHeight="1" x14ac:dyDescent="0.3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</row>
    <row r="2556" spans="1:24" ht="15" customHeight="1" x14ac:dyDescent="0.3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4"/>
      <c r="X2556" s="24"/>
    </row>
    <row r="2557" spans="1:24" ht="15" customHeight="1" x14ac:dyDescent="0.25">
      <c r="A2557" s="1"/>
      <c r="B2557" s="1"/>
      <c r="M2557" s="1"/>
      <c r="N2557" s="1"/>
    </row>
    <row r="2558" spans="1:24" ht="15" customHeight="1" x14ac:dyDescent="0.25">
      <c r="A2558" s="1" t="s">
        <v>7</v>
      </c>
      <c r="B2558" s="1"/>
      <c r="M2558" s="1" t="s">
        <v>7</v>
      </c>
      <c r="N2558" s="1"/>
    </row>
    <row r="2559" spans="1:24" ht="15" customHeight="1" x14ac:dyDescent="0.25">
      <c r="A2559" s="1"/>
      <c r="B2559" s="1"/>
      <c r="M2559" s="1"/>
      <c r="N2559" s="1"/>
    </row>
    <row r="2560" spans="1:24" ht="15" customHeight="1" x14ac:dyDescent="0.25">
      <c r="A2560" s="1" t="s">
        <v>8</v>
      </c>
      <c r="C2560" s="9" t="s">
        <v>1</v>
      </c>
      <c r="D2560" s="123" t="s">
        <v>78</v>
      </c>
      <c r="E2560" s="76"/>
      <c r="F2560" s="76"/>
      <c r="G2560" s="76"/>
      <c r="H2560" s="76"/>
      <c r="M2560" s="1" t="s">
        <v>8</v>
      </c>
      <c r="O2560" s="9" t="s">
        <v>1</v>
      </c>
      <c r="P2560" s="123" t="s">
        <v>78</v>
      </c>
      <c r="Q2560" s="76"/>
      <c r="R2560" s="76"/>
      <c r="S2560" s="76"/>
      <c r="T2560" s="76"/>
    </row>
    <row r="2561" spans="1:24" ht="15" customHeight="1" x14ac:dyDescent="0.25">
      <c r="A2561" s="1" t="s">
        <v>9</v>
      </c>
      <c r="C2561" s="9" t="s">
        <v>1</v>
      </c>
      <c r="D2561" s="76" t="s">
        <v>234</v>
      </c>
      <c r="E2561" s="76"/>
      <c r="F2561" s="76"/>
      <c r="G2561" s="76"/>
      <c r="H2561" s="76"/>
      <c r="M2561" s="1" t="s">
        <v>9</v>
      </c>
      <c r="O2561" s="9" t="s">
        <v>1</v>
      </c>
      <c r="P2561" s="76" t="s">
        <v>234</v>
      </c>
      <c r="Q2561" s="76"/>
      <c r="R2561" s="76"/>
      <c r="S2561" s="76"/>
      <c r="T2561" s="76"/>
    </row>
    <row r="2562" spans="1:24" ht="15" customHeight="1" x14ac:dyDescent="0.2">
      <c r="A2562" s="50" t="s">
        <v>10</v>
      </c>
      <c r="B2562" s="76"/>
      <c r="C2562" s="91" t="s">
        <v>1</v>
      </c>
      <c r="D2562" s="50" t="s">
        <v>235</v>
      </c>
      <c r="E2562" s="76"/>
      <c r="F2562" s="76"/>
      <c r="G2562" s="76"/>
      <c r="H2562" s="76"/>
      <c r="I2562" s="76"/>
      <c r="J2562" s="76"/>
      <c r="K2562" s="76"/>
      <c r="L2562" s="76"/>
      <c r="M2562" s="50" t="s">
        <v>10</v>
      </c>
      <c r="N2562" s="76"/>
      <c r="O2562" s="91" t="s">
        <v>1</v>
      </c>
      <c r="P2562" s="50" t="s">
        <v>235</v>
      </c>
      <c r="Q2562" s="76"/>
      <c r="R2562" s="76"/>
      <c r="S2562" s="76"/>
      <c r="T2562" s="76"/>
      <c r="U2562" s="76"/>
      <c r="V2562" s="76"/>
      <c r="W2562" s="76"/>
      <c r="X2562" s="76"/>
    </row>
    <row r="2563" spans="1:24" ht="15" customHeight="1" x14ac:dyDescent="0.25">
      <c r="A2563" s="1"/>
      <c r="B2563" s="1"/>
      <c r="D2563" s="1"/>
      <c r="M2563" s="1"/>
      <c r="N2563" s="1"/>
      <c r="P2563" s="1"/>
    </row>
    <row r="2564" spans="1:24" ht="33.75" customHeight="1" x14ac:dyDescent="0.2">
      <c r="A2564" s="277" t="s">
        <v>408</v>
      </c>
      <c r="B2564" s="277"/>
      <c r="C2564" s="277"/>
      <c r="D2564" s="277"/>
      <c r="E2564" s="277"/>
      <c r="F2564" s="277"/>
      <c r="G2564" s="277"/>
      <c r="H2564" s="277"/>
      <c r="I2564" s="277"/>
      <c r="J2564" s="277"/>
      <c r="K2564" s="277"/>
      <c r="L2564" s="277"/>
      <c r="M2564" s="277" t="s">
        <v>408</v>
      </c>
      <c r="N2564" s="277"/>
      <c r="O2564" s="277"/>
      <c r="P2564" s="277"/>
      <c r="Q2564" s="277"/>
      <c r="R2564" s="277"/>
      <c r="S2564" s="277"/>
      <c r="T2564" s="277"/>
      <c r="U2564" s="277"/>
      <c r="V2564" s="277"/>
      <c r="W2564" s="277"/>
      <c r="X2564" s="277"/>
    </row>
    <row r="2565" spans="1:24" ht="15" customHeight="1" x14ac:dyDescent="0.25">
      <c r="A2565" s="1"/>
      <c r="B2565" s="1"/>
      <c r="M2565" s="1"/>
      <c r="N2565" s="1"/>
    </row>
    <row r="2566" spans="1:24" ht="31.5" customHeight="1" thickBot="1" x14ac:dyDescent="0.25">
      <c r="A2566" s="10" t="s">
        <v>0</v>
      </c>
      <c r="B2566" s="278" t="s">
        <v>91</v>
      </c>
      <c r="C2566" s="278"/>
      <c r="D2566" s="278"/>
      <c r="E2566" s="278"/>
      <c r="F2566" s="278"/>
      <c r="G2566" s="278"/>
      <c r="H2566" s="278"/>
      <c r="I2566" s="278"/>
      <c r="J2566" s="278"/>
      <c r="K2566" s="278"/>
      <c r="L2566" s="278"/>
      <c r="M2566" s="10" t="s">
        <v>0</v>
      </c>
      <c r="N2566" s="278" t="s">
        <v>91</v>
      </c>
      <c r="O2566" s="278"/>
      <c r="P2566" s="278"/>
      <c r="Q2566" s="278"/>
      <c r="R2566" s="278"/>
      <c r="S2566" s="278"/>
      <c r="T2566" s="278"/>
      <c r="U2566" s="278"/>
      <c r="V2566" s="278"/>
      <c r="W2566" s="278"/>
      <c r="X2566" s="278"/>
    </row>
    <row r="2567" spans="1:24" ht="23.25" customHeight="1" thickTop="1" x14ac:dyDescent="0.25">
      <c r="A2567" s="1"/>
      <c r="B2567" s="11" t="s">
        <v>3</v>
      </c>
      <c r="C2567" s="12" t="s">
        <v>4</v>
      </c>
      <c r="D2567" s="13"/>
      <c r="E2567" s="13"/>
      <c r="F2567" s="13"/>
      <c r="G2567" s="13"/>
      <c r="H2567" s="14"/>
      <c r="I2567" s="15" t="s">
        <v>5</v>
      </c>
      <c r="J2567" s="12" t="s">
        <v>17</v>
      </c>
      <c r="K2567" s="13"/>
      <c r="L2567" s="14"/>
      <c r="M2567" s="1"/>
      <c r="N2567" s="11" t="s">
        <v>3</v>
      </c>
      <c r="O2567" s="12" t="s">
        <v>4</v>
      </c>
      <c r="P2567" s="13"/>
      <c r="Q2567" s="13"/>
      <c r="R2567" s="13"/>
      <c r="S2567" s="13"/>
      <c r="T2567" s="14"/>
      <c r="U2567" s="15" t="s">
        <v>5</v>
      </c>
      <c r="V2567" s="12" t="s">
        <v>17</v>
      </c>
      <c r="W2567" s="13"/>
      <c r="X2567" s="14"/>
    </row>
    <row r="2568" spans="1:24" ht="15" customHeight="1" x14ac:dyDescent="0.2">
      <c r="A2568" s="50"/>
      <c r="B2568" s="143">
        <v>1</v>
      </c>
      <c r="C2568" s="284" t="s">
        <v>303</v>
      </c>
      <c r="D2568" s="285"/>
      <c r="E2568" s="285"/>
      <c r="F2568" s="285"/>
      <c r="G2568" s="76"/>
      <c r="H2568" s="79"/>
      <c r="I2568" s="56">
        <v>250000</v>
      </c>
      <c r="J2568" s="76"/>
      <c r="K2568" s="76"/>
      <c r="L2568" s="79"/>
      <c r="M2568" s="50"/>
      <c r="N2568" s="143">
        <v>1</v>
      </c>
      <c r="O2568" s="140" t="s">
        <v>238</v>
      </c>
      <c r="P2568" s="76"/>
      <c r="Q2568" s="150">
        <v>622000</v>
      </c>
      <c r="R2568" s="157" t="s">
        <v>239</v>
      </c>
      <c r="S2568" s="119"/>
      <c r="T2568" s="162"/>
      <c r="U2568" s="80">
        <f>Q2568*30/100*1</f>
        <v>186600</v>
      </c>
      <c r="V2568" s="76" t="s">
        <v>240</v>
      </c>
      <c r="W2568" s="76"/>
      <c r="X2568" s="79"/>
    </row>
    <row r="2569" spans="1:24" ht="24.75" customHeight="1" x14ac:dyDescent="0.2">
      <c r="B2569" s="142"/>
      <c r="C2569" s="140"/>
      <c r="D2569" s="76"/>
      <c r="E2569" s="150"/>
      <c r="F2569" s="316"/>
      <c r="G2569" s="314"/>
      <c r="H2569" s="315"/>
      <c r="I2569" s="80"/>
      <c r="J2569" s="76"/>
      <c r="K2569" s="76"/>
      <c r="L2569" s="79"/>
      <c r="N2569" s="142"/>
      <c r="O2569" s="140"/>
      <c r="P2569" s="76"/>
      <c r="Q2569" s="150"/>
      <c r="R2569" s="316"/>
      <c r="S2569" s="314"/>
      <c r="T2569" s="315"/>
      <c r="U2569" s="80"/>
      <c r="V2569" s="76"/>
      <c r="W2569" s="76"/>
      <c r="X2569" s="79"/>
    </row>
    <row r="2570" spans="1:24" ht="25.5" customHeight="1" x14ac:dyDescent="0.2">
      <c r="B2570" s="142"/>
      <c r="C2570" s="76"/>
      <c r="D2570" s="76"/>
      <c r="E2570" s="150"/>
      <c r="F2570" s="157"/>
      <c r="G2570" s="119"/>
      <c r="H2570" s="119"/>
      <c r="I2570" s="80"/>
      <c r="J2570" s="76"/>
      <c r="K2570" s="76"/>
      <c r="L2570" s="79"/>
      <c r="N2570" s="142"/>
      <c r="O2570" s="76"/>
      <c r="P2570" s="76"/>
      <c r="Q2570" s="150"/>
      <c r="R2570" s="157"/>
      <c r="S2570" s="119"/>
      <c r="T2570" s="119"/>
      <c r="U2570" s="80"/>
      <c r="V2570" s="76"/>
      <c r="W2570" s="76"/>
      <c r="X2570" s="79"/>
    </row>
    <row r="2571" spans="1:24" ht="17.25" customHeight="1" x14ac:dyDescent="0.25">
      <c r="A2571" s="1"/>
      <c r="B2571" s="39"/>
      <c r="C2571" s="1"/>
      <c r="D2571" s="1"/>
      <c r="E2571" s="1"/>
      <c r="F2571" s="40" t="s">
        <v>5</v>
      </c>
      <c r="G2571" s="40"/>
      <c r="H2571" s="1"/>
      <c r="I2571" s="41">
        <f>SUM(I2568:I2569)</f>
        <v>250000</v>
      </c>
      <c r="J2571" s="1"/>
      <c r="K2571" s="1"/>
      <c r="L2571" s="42"/>
      <c r="M2571" s="1"/>
      <c r="N2571" s="39"/>
      <c r="O2571" s="1"/>
      <c r="P2571" s="1"/>
      <c r="Q2571" s="1"/>
      <c r="R2571" s="40" t="s">
        <v>5</v>
      </c>
      <c r="S2571" s="40"/>
      <c r="T2571" s="1"/>
      <c r="U2571" s="41">
        <f>SUM(U2568:U2569)</f>
        <v>186600</v>
      </c>
      <c r="V2571" s="1"/>
      <c r="W2571" s="1"/>
      <c r="X2571" s="42"/>
    </row>
    <row r="2572" spans="1:24" ht="9.75" customHeight="1" thickBot="1" x14ac:dyDescent="0.3">
      <c r="A2572" s="1"/>
      <c r="B2572" s="43"/>
      <c r="C2572" s="44"/>
      <c r="D2572" s="44"/>
      <c r="E2572" s="44"/>
      <c r="F2572" s="45"/>
      <c r="G2572" s="45"/>
      <c r="H2572" s="44"/>
      <c r="I2572" s="46"/>
      <c r="J2572" s="44"/>
      <c r="K2572" s="44"/>
      <c r="L2572" s="47"/>
      <c r="M2572" s="1"/>
      <c r="N2572" s="43"/>
      <c r="O2572" s="44"/>
      <c r="P2572" s="44"/>
      <c r="Q2572" s="44"/>
      <c r="R2572" s="45"/>
      <c r="S2572" s="45"/>
      <c r="T2572" s="44"/>
      <c r="U2572" s="46"/>
      <c r="V2572" s="44"/>
      <c r="W2572" s="44"/>
      <c r="X2572" s="47"/>
    </row>
    <row r="2573" spans="1:24" ht="9.75" customHeight="1" thickTop="1" x14ac:dyDescent="0.25">
      <c r="A2573" s="1"/>
      <c r="B2573" s="7"/>
      <c r="C2573" s="1"/>
      <c r="D2573" s="1"/>
      <c r="E2573" s="1"/>
      <c r="F2573" s="40"/>
      <c r="G2573" s="40"/>
      <c r="H2573" s="1"/>
      <c r="I2573" s="160"/>
      <c r="J2573" s="1"/>
      <c r="K2573" s="1"/>
      <c r="L2573" s="1"/>
      <c r="M2573" s="1"/>
      <c r="N2573" s="7"/>
      <c r="O2573" s="1"/>
      <c r="P2573" s="1"/>
      <c r="Q2573" s="1"/>
      <c r="R2573" s="40"/>
      <c r="S2573" s="40"/>
      <c r="T2573" s="1"/>
      <c r="U2573" s="160"/>
      <c r="V2573" s="1"/>
      <c r="W2573" s="1"/>
      <c r="X2573" s="1"/>
    </row>
    <row r="2574" spans="1:24" ht="44.25" customHeight="1" x14ac:dyDescent="0.2">
      <c r="A2574" s="10" t="s">
        <v>2</v>
      </c>
      <c r="B2574" s="279" t="s">
        <v>11</v>
      </c>
      <c r="C2574" s="279"/>
      <c r="D2574" s="279"/>
      <c r="E2574" s="279"/>
      <c r="F2574" s="279"/>
      <c r="G2574" s="279"/>
      <c r="H2574" s="279"/>
      <c r="I2574" s="279"/>
      <c r="J2574" s="279"/>
      <c r="K2574" s="279"/>
      <c r="L2574" s="279"/>
      <c r="M2574" s="10" t="s">
        <v>2</v>
      </c>
      <c r="N2574" s="279" t="s">
        <v>11</v>
      </c>
      <c r="O2574" s="279"/>
      <c r="P2574" s="279"/>
      <c r="Q2574" s="279"/>
      <c r="R2574" s="279"/>
      <c r="S2574" s="279"/>
      <c r="T2574" s="279"/>
      <c r="U2574" s="279"/>
      <c r="V2574" s="279"/>
      <c r="W2574" s="279"/>
      <c r="X2574" s="279"/>
    </row>
    <row r="2575" spans="1:24" ht="15" customHeight="1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1:24" ht="15" customHeight="1" x14ac:dyDescent="0.2">
      <c r="A2576" s="280" t="s">
        <v>12</v>
      </c>
      <c r="B2576" s="280"/>
      <c r="C2576" s="280"/>
      <c r="D2576" s="280"/>
      <c r="E2576" s="280"/>
      <c r="F2576" s="280"/>
      <c r="G2576" s="280"/>
      <c r="H2576" s="280"/>
      <c r="I2576" s="280"/>
      <c r="J2576" s="280"/>
      <c r="K2576" s="280"/>
      <c r="L2576" s="280"/>
      <c r="M2576" s="280" t="s">
        <v>12</v>
      </c>
      <c r="N2576" s="280"/>
      <c r="O2576" s="280"/>
      <c r="P2576" s="280"/>
      <c r="Q2576" s="280"/>
      <c r="R2576" s="280"/>
      <c r="S2576" s="280"/>
      <c r="T2576" s="280"/>
      <c r="U2576" s="280"/>
      <c r="V2576" s="280"/>
      <c r="W2576" s="280"/>
      <c r="X2576" s="280"/>
    </row>
    <row r="2577" spans="1:24" ht="15" customHeight="1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 spans="1:24" ht="15" customHeight="1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1:24" ht="15" customHeight="1" x14ac:dyDescent="0.25">
      <c r="A2579" s="1"/>
      <c r="B2579" s="1"/>
      <c r="C2579" s="1"/>
      <c r="D2579" s="1"/>
      <c r="E2579" s="1"/>
      <c r="F2579" s="1"/>
      <c r="G2579" s="1"/>
      <c r="H2579" s="4" t="s">
        <v>199</v>
      </c>
      <c r="J2579" s="286" t="s">
        <v>407</v>
      </c>
      <c r="K2579" s="286"/>
      <c r="L2579" s="286"/>
      <c r="M2579" s="1"/>
      <c r="N2579" s="1"/>
      <c r="O2579" s="1"/>
      <c r="P2579" s="1"/>
      <c r="Q2579" s="1"/>
      <c r="R2579" s="1"/>
      <c r="S2579" s="1"/>
      <c r="T2579" s="4" t="s">
        <v>199</v>
      </c>
      <c r="V2579" s="286" t="s">
        <v>407</v>
      </c>
      <c r="W2579" s="286"/>
      <c r="X2579" s="286"/>
    </row>
    <row r="2580" spans="1:24" ht="15" customHeight="1" x14ac:dyDescent="0.25">
      <c r="A2580" s="1"/>
      <c r="B2580" s="1" t="s">
        <v>15</v>
      </c>
      <c r="C2580" s="1"/>
      <c r="D2580" s="1"/>
      <c r="E2580" s="1"/>
      <c r="F2580" s="1"/>
      <c r="G2580" s="1"/>
      <c r="H2580" s="4" t="s">
        <v>13</v>
      </c>
      <c r="M2580" s="1"/>
      <c r="N2580" s="1" t="s">
        <v>15</v>
      </c>
      <c r="O2580" s="1"/>
      <c r="P2580" s="1"/>
      <c r="Q2580" s="1"/>
      <c r="R2580" s="1"/>
      <c r="S2580" s="1"/>
      <c r="T2580" s="4" t="s">
        <v>13</v>
      </c>
    </row>
    <row r="2581" spans="1:24" ht="13.5" customHeight="1" x14ac:dyDescent="0.25">
      <c r="A2581" s="1"/>
      <c r="B2581" s="1" t="s">
        <v>18</v>
      </c>
      <c r="C2581" s="1"/>
      <c r="D2581" s="1"/>
      <c r="E2581" s="1"/>
      <c r="F2581" s="1"/>
      <c r="G2581" s="1"/>
      <c r="H2581" s="4" t="s">
        <v>14</v>
      </c>
      <c r="M2581" s="1"/>
      <c r="N2581" s="1" t="s">
        <v>18</v>
      </c>
      <c r="O2581" s="1"/>
      <c r="P2581" s="1"/>
      <c r="Q2581" s="1"/>
      <c r="R2581" s="1"/>
      <c r="S2581" s="1"/>
      <c r="T2581" s="4" t="s">
        <v>14</v>
      </c>
    </row>
    <row r="2582" spans="1:24" ht="15" customHeight="1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 spans="1:24" ht="15" customHeight="1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1:24" ht="15" customHeight="1" x14ac:dyDescent="0.25">
      <c r="A2584" s="1"/>
      <c r="B2584" s="103"/>
      <c r="C2584" s="103"/>
      <c r="D2584" s="103"/>
      <c r="E2584" s="103"/>
      <c r="F2584" s="103"/>
      <c r="G2584" s="103"/>
      <c r="H2584" s="103"/>
      <c r="I2584" s="103"/>
      <c r="J2584" s="103"/>
      <c r="K2584" s="103"/>
      <c r="L2584" s="1"/>
      <c r="M2584" s="1"/>
      <c r="N2584" s="103"/>
      <c r="O2584" s="103"/>
      <c r="P2584" s="103"/>
      <c r="Q2584" s="103"/>
      <c r="R2584" s="103"/>
      <c r="S2584" s="103"/>
      <c r="T2584" s="103"/>
      <c r="U2584" s="103"/>
      <c r="V2584" s="103"/>
      <c r="W2584" s="103"/>
      <c r="X2584" s="1"/>
    </row>
    <row r="2585" spans="1:24" ht="15" customHeight="1" x14ac:dyDescent="0.25">
      <c r="A2585" s="1"/>
      <c r="K2585" s="103"/>
      <c r="L2585" s="1"/>
      <c r="M2585" s="1"/>
      <c r="W2585" s="103"/>
      <c r="X2585" s="1"/>
    </row>
    <row r="2586" spans="1:24" ht="15" customHeight="1" x14ac:dyDescent="0.25">
      <c r="A2586" s="1"/>
      <c r="B2586" s="95" t="s">
        <v>77</v>
      </c>
      <c r="H2586" s="95" t="s">
        <v>78</v>
      </c>
      <c r="I2586" s="95"/>
      <c r="J2586" s="92"/>
      <c r="K2586" s="103"/>
      <c r="L2586" s="1"/>
      <c r="M2586" s="1"/>
      <c r="N2586" s="95" t="s">
        <v>77</v>
      </c>
      <c r="T2586" s="95" t="s">
        <v>78</v>
      </c>
      <c r="U2586" s="95"/>
      <c r="V2586" s="92"/>
      <c r="W2586" s="103"/>
      <c r="X2586" s="1"/>
    </row>
    <row r="2587" spans="1:24" ht="15" customHeight="1" x14ac:dyDescent="0.25">
      <c r="A2587" s="1"/>
      <c r="B2587" s="99" t="s">
        <v>27</v>
      </c>
      <c r="C2587" s="57"/>
      <c r="H2587" s="99" t="s">
        <v>79</v>
      </c>
      <c r="K2587" s="103"/>
      <c r="M2587" s="1"/>
      <c r="N2587" s="99" t="s">
        <v>27</v>
      </c>
      <c r="O2587" s="57"/>
      <c r="T2587" s="99" t="s">
        <v>79</v>
      </c>
      <c r="W2587" s="103"/>
    </row>
    <row r="2588" spans="1:24" ht="15" customHeight="1" x14ac:dyDescent="0.2"/>
    <row r="2589" spans="1:24" ht="15" customHeight="1" x14ac:dyDescent="0.2"/>
    <row r="2590" spans="1:24" ht="15" customHeight="1" x14ac:dyDescent="0.2"/>
    <row r="2591" spans="1:24" ht="15" customHeight="1" x14ac:dyDescent="0.25">
      <c r="A2591" s="3" t="s">
        <v>22</v>
      </c>
    </row>
    <row r="2592" spans="1:24" ht="15" customHeight="1" x14ac:dyDescent="0.2">
      <c r="A2592" s="122" t="s">
        <v>20</v>
      </c>
    </row>
    <row r="2593" spans="1:12" ht="15" customHeight="1" x14ac:dyDescent="0.2">
      <c r="A2593" s="122" t="s">
        <v>21</v>
      </c>
    </row>
    <row r="2594" spans="1:12" ht="15" customHeight="1" x14ac:dyDescent="0.2"/>
    <row r="2595" spans="1:12" ht="15" customHeight="1" x14ac:dyDescent="0.2"/>
    <row r="2596" spans="1:12" ht="15" customHeight="1" x14ac:dyDescent="0.2"/>
    <row r="2597" spans="1:12" ht="15" customHeight="1" x14ac:dyDescent="0.3">
      <c r="A2597" s="276" t="s">
        <v>6</v>
      </c>
      <c r="B2597" s="276"/>
      <c r="C2597" s="276"/>
      <c r="D2597" s="276"/>
      <c r="E2597" s="276"/>
      <c r="F2597" s="276"/>
      <c r="G2597" s="276"/>
      <c r="H2597" s="276"/>
      <c r="I2597" s="276"/>
      <c r="J2597" s="276"/>
      <c r="K2597" s="276"/>
      <c r="L2597" s="276"/>
    </row>
    <row r="2598" spans="1:12" ht="15" customHeight="1" x14ac:dyDescent="0.3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</row>
    <row r="2599" spans="1:12" ht="15" customHeight="1" x14ac:dyDescent="0.3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</row>
    <row r="2600" spans="1:12" ht="12" customHeight="1" x14ac:dyDescent="0.25">
      <c r="A2600" s="1"/>
      <c r="B2600" s="1"/>
    </row>
    <row r="2601" spans="1:12" ht="12.75" customHeight="1" x14ac:dyDescent="0.25">
      <c r="A2601" s="1" t="s">
        <v>7</v>
      </c>
      <c r="B2601" s="1"/>
    </row>
    <row r="2602" spans="1:12" ht="9.75" customHeight="1" x14ac:dyDescent="0.25">
      <c r="A2602" s="1"/>
      <c r="B2602" s="1"/>
    </row>
    <row r="2603" spans="1:12" ht="30" customHeight="1" x14ac:dyDescent="0.25">
      <c r="A2603" s="1" t="s">
        <v>8</v>
      </c>
      <c r="C2603" s="9" t="s">
        <v>1</v>
      </c>
      <c r="D2603" s="92" t="s">
        <v>96</v>
      </c>
      <c r="E2603" s="76"/>
      <c r="F2603" s="76"/>
      <c r="G2603" s="76"/>
      <c r="H2603" s="76"/>
    </row>
    <row r="2604" spans="1:12" ht="17.25" customHeight="1" x14ac:dyDescent="0.25">
      <c r="A2604" s="1" t="s">
        <v>9</v>
      </c>
      <c r="C2604" s="9" t="s">
        <v>1</v>
      </c>
      <c r="D2604" s="57" t="s">
        <v>200</v>
      </c>
      <c r="E2604" s="76"/>
      <c r="F2604" s="76"/>
      <c r="G2604" s="76"/>
      <c r="H2604" s="76"/>
    </row>
    <row r="2605" spans="1:12" ht="16.5" customHeight="1" x14ac:dyDescent="0.2">
      <c r="A2605" s="50" t="s">
        <v>10</v>
      </c>
      <c r="B2605" s="76"/>
      <c r="C2605" s="91" t="s">
        <v>1</v>
      </c>
      <c r="D2605" s="50" t="s">
        <v>203</v>
      </c>
      <c r="E2605" s="76"/>
      <c r="F2605" s="76"/>
      <c r="G2605" s="76"/>
      <c r="H2605" s="76"/>
      <c r="I2605" s="76"/>
      <c r="J2605" s="76"/>
      <c r="K2605" s="76"/>
      <c r="L2605" s="76"/>
    </row>
    <row r="2606" spans="1:12" ht="13.5" customHeight="1" x14ac:dyDescent="0.25">
      <c r="A2606" s="1"/>
      <c r="B2606" s="1"/>
      <c r="D2606" s="1"/>
    </row>
    <row r="2607" spans="1:12" ht="33.75" customHeight="1" x14ac:dyDescent="0.2">
      <c r="A2607" s="277" t="s">
        <v>410</v>
      </c>
      <c r="B2607" s="277"/>
      <c r="C2607" s="277"/>
      <c r="D2607" s="277"/>
      <c r="E2607" s="277"/>
      <c r="F2607" s="277"/>
      <c r="G2607" s="277"/>
      <c r="H2607" s="277"/>
      <c r="I2607" s="277"/>
      <c r="J2607" s="277"/>
      <c r="K2607" s="277"/>
      <c r="L2607" s="277"/>
    </row>
    <row r="2608" spans="1:12" ht="10.5" customHeight="1" x14ac:dyDescent="0.25">
      <c r="A2608" s="1"/>
      <c r="B2608" s="1"/>
    </row>
    <row r="2609" spans="1:12" ht="37.5" customHeight="1" thickBot="1" x14ac:dyDescent="0.25">
      <c r="A2609" s="10" t="s">
        <v>0</v>
      </c>
      <c r="B2609" s="278" t="s">
        <v>91</v>
      </c>
      <c r="C2609" s="278"/>
      <c r="D2609" s="278"/>
      <c r="E2609" s="278"/>
      <c r="F2609" s="278"/>
      <c r="G2609" s="278"/>
      <c r="H2609" s="278"/>
      <c r="I2609" s="278"/>
      <c r="J2609" s="278"/>
      <c r="K2609" s="278"/>
      <c r="L2609" s="278"/>
    </row>
    <row r="2610" spans="1:12" ht="19.5" customHeight="1" thickTop="1" x14ac:dyDescent="0.25">
      <c r="A2610" s="1"/>
      <c r="B2610" s="11" t="s">
        <v>3</v>
      </c>
      <c r="C2610" s="12" t="s">
        <v>4</v>
      </c>
      <c r="D2610" s="13"/>
      <c r="E2610" s="13"/>
      <c r="F2610" s="13"/>
      <c r="G2610" s="13"/>
      <c r="H2610" s="14"/>
      <c r="I2610" s="15" t="s">
        <v>5</v>
      </c>
      <c r="J2610" s="12" t="s">
        <v>17</v>
      </c>
      <c r="K2610" s="13"/>
      <c r="L2610" s="14"/>
    </row>
    <row r="2611" spans="1:12" ht="21" customHeight="1" x14ac:dyDescent="0.2">
      <c r="A2611" s="50"/>
      <c r="B2611" s="143">
        <v>1</v>
      </c>
      <c r="C2611" s="284" t="s">
        <v>303</v>
      </c>
      <c r="D2611" s="285"/>
      <c r="E2611" s="285"/>
      <c r="F2611" s="285"/>
      <c r="G2611" s="76"/>
      <c r="H2611" s="79"/>
      <c r="I2611" s="56">
        <v>250000</v>
      </c>
      <c r="J2611" s="76"/>
      <c r="K2611" s="76"/>
      <c r="L2611" s="79"/>
    </row>
    <row r="2612" spans="1:12" ht="30" customHeight="1" x14ac:dyDescent="0.2">
      <c r="B2612" s="142">
        <v>2</v>
      </c>
      <c r="C2612" s="140" t="s">
        <v>238</v>
      </c>
      <c r="D2612" s="76"/>
      <c r="E2612" s="150">
        <v>622000</v>
      </c>
      <c r="F2612" s="157" t="s">
        <v>239</v>
      </c>
      <c r="G2612" s="119"/>
      <c r="H2612" s="162"/>
      <c r="I2612" s="80">
        <f>E2612*30/100*2</f>
        <v>373200</v>
      </c>
      <c r="J2612" s="76" t="s">
        <v>281</v>
      </c>
      <c r="K2612" s="76"/>
      <c r="L2612" s="79"/>
    </row>
    <row r="2613" spans="1:12" ht="11.25" customHeight="1" x14ac:dyDescent="0.2">
      <c r="B2613" s="142"/>
      <c r="C2613" s="76"/>
      <c r="D2613" s="76"/>
      <c r="E2613" s="150"/>
      <c r="F2613" s="157"/>
      <c r="G2613" s="119"/>
      <c r="H2613" s="119"/>
      <c r="I2613" s="80"/>
      <c r="J2613" s="76"/>
      <c r="K2613" s="76"/>
      <c r="L2613" s="79"/>
    </row>
    <row r="2614" spans="1:12" ht="13.5" customHeight="1" x14ac:dyDescent="0.25">
      <c r="A2614" s="1"/>
      <c r="B2614" s="39"/>
      <c r="C2614" s="1"/>
      <c r="D2614" s="1"/>
      <c r="E2614" s="1"/>
      <c r="F2614" s="40" t="s">
        <v>5</v>
      </c>
      <c r="G2614" s="40"/>
      <c r="H2614" s="1"/>
      <c r="I2614" s="41">
        <f>SUM(I2611:I2612)</f>
        <v>623200</v>
      </c>
      <c r="J2614" s="1"/>
      <c r="K2614" s="1"/>
      <c r="L2614" s="42"/>
    </row>
    <row r="2615" spans="1:12" ht="11.25" customHeight="1" thickBot="1" x14ac:dyDescent="0.3">
      <c r="A2615" s="1"/>
      <c r="B2615" s="43"/>
      <c r="C2615" s="44"/>
      <c r="D2615" s="44"/>
      <c r="E2615" s="44"/>
      <c r="F2615" s="45"/>
      <c r="G2615" s="45"/>
      <c r="H2615" s="44"/>
      <c r="I2615" s="46"/>
      <c r="J2615" s="44"/>
      <c r="K2615" s="44"/>
      <c r="L2615" s="47"/>
    </row>
    <row r="2616" spans="1:12" ht="15.75" customHeight="1" thickTop="1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</row>
    <row r="2617" spans="1:12" ht="44.25" customHeight="1" x14ac:dyDescent="0.2">
      <c r="A2617" s="10" t="s">
        <v>2</v>
      </c>
      <c r="B2617" s="279" t="s">
        <v>11</v>
      </c>
      <c r="C2617" s="279"/>
      <c r="D2617" s="279"/>
      <c r="E2617" s="279"/>
      <c r="F2617" s="279"/>
      <c r="G2617" s="279"/>
      <c r="H2617" s="279"/>
      <c r="I2617" s="279"/>
      <c r="J2617" s="279"/>
      <c r="K2617" s="279"/>
      <c r="L2617" s="279"/>
    </row>
    <row r="2618" spans="1:12" ht="12" customHeight="1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</row>
    <row r="2619" spans="1:12" ht="18.75" customHeight="1" x14ac:dyDescent="0.2">
      <c r="A2619" s="280" t="s">
        <v>12</v>
      </c>
      <c r="B2619" s="280"/>
      <c r="C2619" s="280"/>
      <c r="D2619" s="280"/>
      <c r="E2619" s="280"/>
      <c r="F2619" s="280"/>
      <c r="G2619" s="280"/>
      <c r="H2619" s="280"/>
      <c r="I2619" s="280"/>
      <c r="J2619" s="280"/>
      <c r="K2619" s="280"/>
      <c r="L2619" s="280"/>
    </row>
    <row r="2620" spans="1:12" ht="18.75" customHeight="1" x14ac:dyDescent="0.2">
      <c r="A2620" s="161"/>
      <c r="B2620" s="161"/>
      <c r="C2620" s="161"/>
      <c r="D2620" s="161"/>
      <c r="E2620" s="161"/>
      <c r="F2620" s="161"/>
      <c r="G2620" s="161"/>
      <c r="H2620" s="161"/>
      <c r="I2620" s="161"/>
      <c r="J2620" s="161"/>
      <c r="K2620" s="161"/>
      <c r="L2620" s="161"/>
    </row>
    <row r="2621" spans="1:12" ht="17.25" customHeight="1" x14ac:dyDescent="0.25">
      <c r="A2621" s="1"/>
      <c r="B2621" s="1"/>
      <c r="C2621" s="1"/>
      <c r="D2621" s="1"/>
      <c r="E2621" s="1"/>
      <c r="F2621" s="1"/>
      <c r="G2621" s="1"/>
      <c r="H2621" s="4" t="s">
        <v>199</v>
      </c>
      <c r="J2621" s="286" t="s">
        <v>407</v>
      </c>
      <c r="K2621" s="286"/>
      <c r="L2621" s="286"/>
    </row>
    <row r="2622" spans="1:12" ht="12" customHeight="1" x14ac:dyDescent="0.25">
      <c r="A2622" s="1"/>
      <c r="B2622" s="1" t="s">
        <v>15</v>
      </c>
      <c r="C2622" s="1"/>
      <c r="D2622" s="1"/>
      <c r="E2622" s="1"/>
      <c r="F2622" s="1"/>
      <c r="G2622" s="1"/>
      <c r="H2622" s="4" t="s">
        <v>13</v>
      </c>
    </row>
    <row r="2623" spans="1:12" ht="12" customHeight="1" x14ac:dyDescent="0.25">
      <c r="A2623" s="1"/>
      <c r="B2623" s="1" t="s">
        <v>18</v>
      </c>
      <c r="C2623" s="1"/>
      <c r="D2623" s="1"/>
      <c r="E2623" s="1"/>
      <c r="F2623" s="1"/>
      <c r="G2623" s="1"/>
      <c r="H2623" s="4" t="s">
        <v>14</v>
      </c>
    </row>
    <row r="2624" spans="1:12" ht="30" customHeight="1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</row>
    <row r="2625" spans="1:12" ht="30" customHeight="1" x14ac:dyDescent="0.25">
      <c r="A2625" s="1"/>
      <c r="K2625" s="103"/>
      <c r="L2625" s="1"/>
    </row>
    <row r="2626" spans="1:12" ht="16.5" customHeight="1" x14ac:dyDescent="0.25">
      <c r="A2626" s="1"/>
      <c r="B2626" s="95" t="s">
        <v>77</v>
      </c>
      <c r="H2626" s="95" t="s">
        <v>96</v>
      </c>
      <c r="I2626" s="95"/>
      <c r="J2626" s="92"/>
      <c r="K2626" s="103"/>
      <c r="L2626" s="1"/>
    </row>
    <row r="2627" spans="1:12" ht="30" customHeight="1" x14ac:dyDescent="0.25">
      <c r="A2627" s="1"/>
      <c r="B2627" s="99" t="s">
        <v>27</v>
      </c>
      <c r="C2627" s="57"/>
      <c r="H2627" s="99" t="s">
        <v>100</v>
      </c>
      <c r="K2627" s="103"/>
    </row>
    <row r="2628" spans="1:12" ht="30" customHeight="1" x14ac:dyDescent="0.2"/>
    <row r="2629" spans="1:12" ht="30" customHeight="1" x14ac:dyDescent="0.2"/>
    <row r="2630" spans="1:12" ht="30" customHeight="1" x14ac:dyDescent="0.2"/>
    <row r="2631" spans="1:12" ht="30" customHeight="1" x14ac:dyDescent="0.25">
      <c r="A2631" s="3" t="s">
        <v>22</v>
      </c>
    </row>
    <row r="2632" spans="1:12" ht="17.25" customHeight="1" x14ac:dyDescent="0.2">
      <c r="A2632" s="122" t="s">
        <v>20</v>
      </c>
    </row>
    <row r="2633" spans="1:12" ht="22.5" customHeight="1" x14ac:dyDescent="0.2">
      <c r="A2633" s="122" t="s">
        <v>21</v>
      </c>
    </row>
    <row r="2634" spans="1:12" ht="30" customHeight="1" x14ac:dyDescent="0.2"/>
    <row r="2635" spans="1:12" ht="30" customHeight="1" x14ac:dyDescent="0.2"/>
    <row r="2636" spans="1:12" ht="16.5" customHeight="1" x14ac:dyDescent="0.2"/>
    <row r="2637" spans="1:12" ht="30" customHeight="1" x14ac:dyDescent="0.3">
      <c r="A2637" s="276" t="s">
        <v>6</v>
      </c>
      <c r="B2637" s="276"/>
      <c r="C2637" s="276"/>
      <c r="D2637" s="276"/>
      <c r="E2637" s="276"/>
      <c r="F2637" s="276"/>
      <c r="G2637" s="276"/>
      <c r="H2637" s="276"/>
      <c r="I2637" s="276"/>
      <c r="J2637" s="276"/>
      <c r="K2637" s="276"/>
      <c r="L2637" s="276"/>
    </row>
    <row r="2638" spans="1:12" ht="17.25" customHeight="1" x14ac:dyDescent="0.3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</row>
    <row r="2639" spans="1:12" ht="13.5" customHeight="1" x14ac:dyDescent="0.3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</row>
    <row r="2640" spans="1:12" ht="16.5" customHeight="1" x14ac:dyDescent="0.25">
      <c r="A2640" s="1"/>
      <c r="B2640" s="1"/>
    </row>
    <row r="2641" spans="1:12" ht="30" customHeight="1" x14ac:dyDescent="0.25">
      <c r="A2641" s="1" t="s">
        <v>7</v>
      </c>
      <c r="B2641" s="1"/>
    </row>
    <row r="2642" spans="1:12" ht="11.25" customHeight="1" x14ac:dyDescent="0.25">
      <c r="A2642" s="1"/>
      <c r="B2642" s="1"/>
    </row>
    <row r="2643" spans="1:12" ht="18.75" customHeight="1" x14ac:dyDescent="0.25">
      <c r="A2643" s="1" t="s">
        <v>8</v>
      </c>
      <c r="C2643" s="9" t="s">
        <v>1</v>
      </c>
      <c r="D2643" s="92" t="s">
        <v>77</v>
      </c>
      <c r="E2643" s="76"/>
      <c r="F2643" s="76"/>
      <c r="G2643" s="76"/>
      <c r="H2643" s="76"/>
    </row>
    <row r="2644" spans="1:12" ht="16.5" customHeight="1" x14ac:dyDescent="0.25">
      <c r="A2644" s="1" t="s">
        <v>9</v>
      </c>
      <c r="C2644" s="9" t="s">
        <v>1</v>
      </c>
      <c r="D2644" s="57" t="s">
        <v>201</v>
      </c>
      <c r="E2644" s="76"/>
      <c r="F2644" s="76"/>
      <c r="G2644" s="76"/>
      <c r="H2644" s="76"/>
    </row>
    <row r="2645" spans="1:12" ht="17.25" customHeight="1" x14ac:dyDescent="0.2">
      <c r="A2645" s="50" t="s">
        <v>10</v>
      </c>
      <c r="B2645" s="76"/>
      <c r="C2645" s="91" t="s">
        <v>1</v>
      </c>
      <c r="D2645" s="50" t="s">
        <v>265</v>
      </c>
      <c r="E2645" s="76"/>
      <c r="F2645" s="76"/>
      <c r="G2645" s="76"/>
      <c r="H2645" s="76"/>
      <c r="I2645" s="76"/>
      <c r="J2645" s="76"/>
      <c r="K2645" s="76"/>
      <c r="L2645" s="76"/>
    </row>
    <row r="2646" spans="1:12" ht="12.75" customHeight="1" x14ac:dyDescent="0.25">
      <c r="A2646" s="1"/>
      <c r="B2646" s="1"/>
      <c r="D2646" s="1"/>
    </row>
    <row r="2647" spans="1:12" ht="33.75" customHeight="1" x14ac:dyDescent="0.2">
      <c r="A2647" s="277" t="s">
        <v>410</v>
      </c>
      <c r="B2647" s="277"/>
      <c r="C2647" s="277"/>
      <c r="D2647" s="277"/>
      <c r="E2647" s="277"/>
      <c r="F2647" s="277"/>
      <c r="G2647" s="277"/>
      <c r="H2647" s="277"/>
      <c r="I2647" s="277"/>
      <c r="J2647" s="277"/>
      <c r="K2647" s="277"/>
      <c r="L2647" s="277"/>
    </row>
    <row r="2648" spans="1:12" ht="12.75" customHeight="1" x14ac:dyDescent="0.25">
      <c r="A2648" s="1"/>
      <c r="B2648" s="1"/>
    </row>
    <row r="2649" spans="1:12" ht="30" customHeight="1" thickBot="1" x14ac:dyDescent="0.25">
      <c r="A2649" s="10" t="s">
        <v>0</v>
      </c>
      <c r="B2649" s="278" t="s">
        <v>91</v>
      </c>
      <c r="C2649" s="278"/>
      <c r="D2649" s="278"/>
      <c r="E2649" s="278"/>
      <c r="F2649" s="278"/>
      <c r="G2649" s="278"/>
      <c r="H2649" s="278"/>
      <c r="I2649" s="278"/>
      <c r="J2649" s="278"/>
      <c r="K2649" s="278"/>
      <c r="L2649" s="278"/>
    </row>
    <row r="2650" spans="1:12" ht="21.75" customHeight="1" thickTop="1" x14ac:dyDescent="0.25">
      <c r="A2650" s="1"/>
      <c r="B2650" s="164" t="s">
        <v>3</v>
      </c>
      <c r="C2650" s="12" t="s">
        <v>4</v>
      </c>
      <c r="D2650" s="13"/>
      <c r="E2650" s="13"/>
      <c r="F2650" s="13"/>
      <c r="G2650" s="13"/>
      <c r="H2650" s="14"/>
      <c r="I2650" s="15" t="s">
        <v>5</v>
      </c>
      <c r="J2650" s="12" t="s">
        <v>17</v>
      </c>
      <c r="K2650" s="13"/>
      <c r="L2650" s="14"/>
    </row>
    <row r="2651" spans="1:12" ht="30" customHeight="1" x14ac:dyDescent="0.2">
      <c r="A2651" s="50"/>
      <c r="B2651" s="100">
        <v>1</v>
      </c>
      <c r="C2651" s="285" t="s">
        <v>303</v>
      </c>
      <c r="D2651" s="285"/>
      <c r="E2651" s="285"/>
      <c r="F2651" s="285"/>
      <c r="G2651" s="76"/>
      <c r="H2651" s="79"/>
      <c r="I2651" s="56">
        <v>250000</v>
      </c>
      <c r="J2651" s="76"/>
      <c r="K2651" s="76"/>
      <c r="L2651" s="79"/>
    </row>
    <row r="2652" spans="1:12" ht="30" customHeight="1" x14ac:dyDescent="0.2">
      <c r="A2652" s="50"/>
      <c r="B2652" s="100">
        <v>2</v>
      </c>
      <c r="C2652" s="321" t="s">
        <v>238</v>
      </c>
      <c r="D2652" s="297"/>
      <c r="E2652" s="150">
        <v>1957000</v>
      </c>
      <c r="F2652" s="319" t="s">
        <v>239</v>
      </c>
      <c r="G2652" s="297"/>
      <c r="H2652" s="320"/>
      <c r="I2652" s="56">
        <f>E2652*30/100*2</f>
        <v>1174200</v>
      </c>
      <c r="J2652" s="50" t="s">
        <v>281</v>
      </c>
      <c r="K2652" s="76"/>
      <c r="L2652" s="17"/>
    </row>
    <row r="2653" spans="1:12" ht="19.5" customHeight="1" x14ac:dyDescent="0.25">
      <c r="A2653" s="50"/>
      <c r="B2653" s="96"/>
      <c r="C2653" s="124"/>
      <c r="D2653" s="124"/>
      <c r="E2653" s="150"/>
      <c r="F2653" s="125"/>
      <c r="G2653" s="124"/>
      <c r="H2653" s="124"/>
      <c r="I2653" s="56"/>
      <c r="J2653" s="50"/>
      <c r="K2653" s="1"/>
      <c r="L2653" s="17"/>
    </row>
    <row r="2654" spans="1:12" ht="17.25" customHeight="1" x14ac:dyDescent="0.25">
      <c r="A2654" s="1"/>
      <c r="B2654" s="39"/>
      <c r="C2654" s="1"/>
      <c r="D2654" s="1"/>
      <c r="E2654" s="1"/>
      <c r="F2654" s="40" t="s">
        <v>5</v>
      </c>
      <c r="G2654" s="40"/>
      <c r="H2654" s="1"/>
      <c r="I2654" s="41">
        <f>SUM(I2651:I2652)</f>
        <v>1424200</v>
      </c>
      <c r="J2654" s="1"/>
      <c r="K2654" s="1"/>
      <c r="L2654" s="42"/>
    </row>
    <row r="2655" spans="1:12" ht="10.5" customHeight="1" thickBot="1" x14ac:dyDescent="0.3">
      <c r="A2655" s="1"/>
      <c r="B2655" s="43"/>
      <c r="C2655" s="44"/>
      <c r="D2655" s="44"/>
      <c r="E2655" s="44"/>
      <c r="F2655" s="45"/>
      <c r="G2655" s="45"/>
      <c r="H2655" s="44"/>
      <c r="I2655" s="46"/>
      <c r="J2655" s="44"/>
      <c r="K2655" s="44"/>
      <c r="L2655" s="47"/>
    </row>
    <row r="2656" spans="1:12" ht="13.5" customHeight="1" thickTop="1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</row>
    <row r="2657" spans="1:12" ht="47.25" customHeight="1" x14ac:dyDescent="0.2">
      <c r="A2657" s="10" t="s">
        <v>2</v>
      </c>
      <c r="B2657" s="279" t="s">
        <v>11</v>
      </c>
      <c r="C2657" s="279"/>
      <c r="D2657" s="279"/>
      <c r="E2657" s="279"/>
      <c r="F2657" s="279"/>
      <c r="G2657" s="279"/>
      <c r="H2657" s="279"/>
      <c r="I2657" s="279"/>
      <c r="J2657" s="279"/>
      <c r="K2657" s="279"/>
      <c r="L2657" s="279"/>
    </row>
    <row r="2658" spans="1:12" ht="14.25" customHeight="1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</row>
    <row r="2659" spans="1:12" ht="17.25" customHeight="1" x14ac:dyDescent="0.2">
      <c r="A2659" s="280" t="s">
        <v>12</v>
      </c>
      <c r="B2659" s="280"/>
      <c r="C2659" s="280"/>
      <c r="D2659" s="280"/>
      <c r="E2659" s="280"/>
      <c r="F2659" s="280"/>
      <c r="G2659" s="280"/>
      <c r="H2659" s="280"/>
      <c r="I2659" s="280"/>
      <c r="J2659" s="280"/>
      <c r="K2659" s="280"/>
      <c r="L2659" s="280"/>
    </row>
    <row r="2660" spans="1:12" ht="15.75" customHeight="1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</row>
    <row r="2661" spans="1:12" ht="8.25" customHeight="1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 ht="10.5" customHeight="1" x14ac:dyDescent="0.25">
      <c r="A2662" s="1"/>
      <c r="B2662" s="1"/>
      <c r="C2662" s="1"/>
      <c r="D2662" s="1"/>
      <c r="E2662" s="1"/>
      <c r="F2662" s="1"/>
      <c r="G2662" s="1"/>
      <c r="H2662" s="4" t="s">
        <v>199</v>
      </c>
      <c r="J2662" s="286" t="s">
        <v>407</v>
      </c>
      <c r="K2662" s="286"/>
      <c r="L2662" s="286"/>
    </row>
    <row r="2663" spans="1:12" ht="16.5" customHeight="1" x14ac:dyDescent="0.25">
      <c r="A2663" s="1"/>
      <c r="B2663" s="1" t="s">
        <v>15</v>
      </c>
      <c r="C2663" s="1"/>
      <c r="D2663" s="1"/>
      <c r="E2663" s="1"/>
      <c r="F2663" s="1"/>
      <c r="G2663" s="1"/>
      <c r="H2663" s="4" t="s">
        <v>13</v>
      </c>
    </row>
    <row r="2664" spans="1:12" ht="10.5" customHeight="1" x14ac:dyDescent="0.25">
      <c r="A2664" s="1"/>
      <c r="B2664" s="1" t="s">
        <v>18</v>
      </c>
      <c r="C2664" s="1"/>
      <c r="D2664" s="1"/>
      <c r="E2664" s="1"/>
      <c r="F2664" s="1"/>
      <c r="G2664" s="1"/>
      <c r="H2664" s="4" t="s">
        <v>14</v>
      </c>
    </row>
    <row r="2665" spans="1:12" ht="30" customHeight="1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</row>
    <row r="2666" spans="1:12" ht="30" customHeight="1" x14ac:dyDescent="0.25">
      <c r="A2666" s="1"/>
      <c r="K2666" s="103"/>
      <c r="L2666" s="1"/>
    </row>
    <row r="2667" spans="1:12" ht="30" customHeight="1" x14ac:dyDescent="0.25">
      <c r="A2667" s="1"/>
      <c r="B2667" s="95" t="s">
        <v>77</v>
      </c>
      <c r="H2667" s="95" t="s">
        <v>77</v>
      </c>
      <c r="I2667" s="95"/>
      <c r="J2667" s="92"/>
      <c r="K2667" s="103"/>
      <c r="L2667" s="1"/>
    </row>
    <row r="2668" spans="1:12" ht="30" customHeight="1" x14ac:dyDescent="0.25">
      <c r="A2668" s="1"/>
      <c r="B2668" s="99" t="s">
        <v>27</v>
      </c>
      <c r="C2668" s="57"/>
      <c r="H2668" s="99" t="s">
        <v>27</v>
      </c>
      <c r="K2668" s="103"/>
    </row>
    <row r="2669" spans="1:12" ht="30" customHeight="1" x14ac:dyDescent="0.2"/>
    <row r="2670" spans="1:12" ht="30" customHeight="1" x14ac:dyDescent="0.2"/>
    <row r="2671" spans="1:12" ht="30" customHeight="1" x14ac:dyDescent="0.25">
      <c r="A2671" s="3" t="s">
        <v>22</v>
      </c>
    </row>
    <row r="2672" spans="1:12" ht="24" customHeight="1" x14ac:dyDescent="0.2">
      <c r="A2672" s="122" t="s">
        <v>20</v>
      </c>
    </row>
    <row r="2673" spans="1:12" ht="25.5" customHeight="1" x14ac:dyDescent="0.2">
      <c r="A2673" s="122" t="s">
        <v>21</v>
      </c>
    </row>
    <row r="2674" spans="1:12" ht="30" customHeight="1" x14ac:dyDescent="0.3">
      <c r="A2674" s="276" t="s">
        <v>6</v>
      </c>
      <c r="B2674" s="276"/>
      <c r="C2674" s="276"/>
      <c r="D2674" s="276"/>
      <c r="E2674" s="276"/>
      <c r="F2674" s="276"/>
      <c r="G2674" s="276"/>
      <c r="H2674" s="276"/>
      <c r="I2674" s="276"/>
      <c r="J2674" s="276"/>
      <c r="K2674" s="276"/>
      <c r="L2674" s="276"/>
    </row>
    <row r="2675" spans="1:12" ht="30" customHeight="1" x14ac:dyDescent="0.3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</row>
    <row r="2676" spans="1:12" ht="30" customHeight="1" x14ac:dyDescent="0.3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</row>
    <row r="2677" spans="1:12" ht="12" customHeight="1" x14ac:dyDescent="0.25">
      <c r="A2677" s="1"/>
      <c r="B2677" s="1"/>
    </row>
    <row r="2678" spans="1:12" ht="30" customHeight="1" x14ac:dyDescent="0.25">
      <c r="A2678" s="1" t="s">
        <v>7</v>
      </c>
      <c r="B2678" s="1"/>
    </row>
    <row r="2679" spans="1:12" ht="11.25" customHeight="1" x14ac:dyDescent="0.25">
      <c r="A2679" s="1"/>
      <c r="B2679" s="1"/>
    </row>
    <row r="2680" spans="1:12" ht="18.75" customHeight="1" x14ac:dyDescent="0.25">
      <c r="A2680" s="1" t="s">
        <v>8</v>
      </c>
      <c r="C2680" s="9" t="s">
        <v>1</v>
      </c>
      <c r="D2680" s="126" t="s">
        <v>64</v>
      </c>
      <c r="E2680" s="76"/>
      <c r="F2680" s="76"/>
      <c r="G2680" s="76"/>
      <c r="H2680" s="76"/>
    </row>
    <row r="2681" spans="1:12" ht="18.75" customHeight="1" x14ac:dyDescent="0.25">
      <c r="A2681" s="1" t="s">
        <v>9</v>
      </c>
      <c r="C2681" s="9" t="s">
        <v>1</v>
      </c>
      <c r="D2681" s="119" t="s">
        <v>236</v>
      </c>
      <c r="E2681" s="76"/>
      <c r="F2681" s="76"/>
      <c r="G2681" s="76"/>
      <c r="H2681" s="76"/>
    </row>
    <row r="2682" spans="1:12" ht="16.5" customHeight="1" x14ac:dyDescent="0.2">
      <c r="A2682" s="50" t="s">
        <v>10</v>
      </c>
      <c r="B2682" s="76"/>
      <c r="C2682" s="91" t="s">
        <v>1</v>
      </c>
      <c r="D2682" s="124" t="s">
        <v>235</v>
      </c>
      <c r="E2682" s="76"/>
      <c r="F2682" s="76"/>
      <c r="G2682" s="76"/>
      <c r="H2682" s="76"/>
      <c r="I2682" s="76"/>
      <c r="J2682" s="76"/>
      <c r="K2682" s="76"/>
      <c r="L2682" s="76"/>
    </row>
    <row r="2683" spans="1:12" ht="13.5" customHeight="1" x14ac:dyDescent="0.25">
      <c r="A2683" s="1"/>
      <c r="B2683" s="1"/>
      <c r="D2683" s="1"/>
    </row>
    <row r="2684" spans="1:12" ht="27.75" customHeight="1" x14ac:dyDescent="0.2">
      <c r="A2684" s="277" t="s">
        <v>410</v>
      </c>
      <c r="B2684" s="277"/>
      <c r="C2684" s="277"/>
      <c r="D2684" s="277"/>
      <c r="E2684" s="277"/>
      <c r="F2684" s="277"/>
      <c r="G2684" s="277"/>
      <c r="H2684" s="277"/>
      <c r="I2684" s="277"/>
      <c r="J2684" s="277"/>
      <c r="K2684" s="277"/>
      <c r="L2684" s="277"/>
    </row>
    <row r="2685" spans="1:12" ht="10.5" customHeight="1" x14ac:dyDescent="0.25">
      <c r="A2685" s="1"/>
      <c r="B2685" s="1"/>
    </row>
    <row r="2686" spans="1:12" ht="28.5" customHeight="1" thickBot="1" x14ac:dyDescent="0.25">
      <c r="A2686" s="10" t="s">
        <v>0</v>
      </c>
      <c r="B2686" s="278" t="s">
        <v>91</v>
      </c>
      <c r="C2686" s="278"/>
      <c r="D2686" s="278"/>
      <c r="E2686" s="278"/>
      <c r="F2686" s="278"/>
      <c r="G2686" s="278"/>
      <c r="H2686" s="278"/>
      <c r="I2686" s="278"/>
      <c r="J2686" s="278"/>
      <c r="K2686" s="278"/>
      <c r="L2686" s="278"/>
    </row>
    <row r="2687" spans="1:12" ht="19.5" customHeight="1" thickTop="1" x14ac:dyDescent="0.25">
      <c r="A2687" s="1"/>
      <c r="B2687" s="11" t="s">
        <v>3</v>
      </c>
      <c r="C2687" s="12" t="s">
        <v>4</v>
      </c>
      <c r="D2687" s="13"/>
      <c r="E2687" s="13"/>
      <c r="F2687" s="13"/>
      <c r="G2687" s="13"/>
      <c r="H2687" s="14"/>
      <c r="I2687" s="15" t="s">
        <v>5</v>
      </c>
      <c r="J2687" s="12" t="s">
        <v>17</v>
      </c>
      <c r="K2687" s="13"/>
      <c r="L2687" s="14"/>
    </row>
    <row r="2688" spans="1:12" ht="21" customHeight="1" x14ac:dyDescent="0.2">
      <c r="A2688" s="50"/>
      <c r="B2688" s="143">
        <v>1</v>
      </c>
      <c r="C2688" s="284" t="s">
        <v>303</v>
      </c>
      <c r="D2688" s="285"/>
      <c r="E2688" s="285"/>
      <c r="F2688" s="285"/>
      <c r="G2688" s="76"/>
      <c r="H2688" s="79"/>
      <c r="I2688" s="56">
        <v>250000</v>
      </c>
      <c r="J2688" s="76"/>
      <c r="K2688" s="76"/>
      <c r="L2688" s="79"/>
    </row>
    <row r="2689" spans="1:12" ht="30" customHeight="1" x14ac:dyDescent="0.2">
      <c r="B2689" s="142">
        <v>2</v>
      </c>
      <c r="C2689" s="140" t="s">
        <v>238</v>
      </c>
      <c r="D2689" s="76"/>
      <c r="E2689" s="150">
        <v>622000</v>
      </c>
      <c r="F2689" s="157" t="s">
        <v>239</v>
      </c>
      <c r="G2689" s="119"/>
      <c r="H2689" s="162"/>
      <c r="I2689" s="80">
        <f>E2689*30/100*2</f>
        <v>373200</v>
      </c>
      <c r="J2689" s="76" t="s">
        <v>281</v>
      </c>
      <c r="K2689" s="76"/>
      <c r="L2689" s="79"/>
    </row>
    <row r="2690" spans="1:12" ht="14.25" customHeight="1" x14ac:dyDescent="0.2">
      <c r="B2690" s="142"/>
      <c r="C2690" s="76"/>
      <c r="D2690" s="76"/>
      <c r="E2690" s="150"/>
      <c r="F2690" s="157"/>
      <c r="G2690" s="119"/>
      <c r="H2690" s="119"/>
      <c r="I2690" s="80"/>
      <c r="J2690" s="76"/>
      <c r="K2690" s="76"/>
      <c r="L2690" s="79"/>
    </row>
    <row r="2691" spans="1:12" ht="16.5" customHeight="1" x14ac:dyDescent="0.25">
      <c r="A2691" s="1"/>
      <c r="B2691" s="39"/>
      <c r="C2691" s="1"/>
      <c r="D2691" s="1"/>
      <c r="E2691" s="1"/>
      <c r="F2691" s="40" t="s">
        <v>5</v>
      </c>
      <c r="G2691" s="40"/>
      <c r="H2691" s="1"/>
      <c r="I2691" s="41">
        <f>SUM(I2688:I2689)</f>
        <v>623200</v>
      </c>
      <c r="J2691" s="1"/>
      <c r="K2691" s="1"/>
      <c r="L2691" s="42"/>
    </row>
    <row r="2692" spans="1:12" ht="16.5" customHeight="1" thickBot="1" x14ac:dyDescent="0.3">
      <c r="A2692" s="1"/>
      <c r="B2692" s="43"/>
      <c r="C2692" s="44"/>
      <c r="D2692" s="44"/>
      <c r="E2692" s="44"/>
      <c r="F2692" s="45"/>
      <c r="G2692" s="45"/>
      <c r="H2692" s="44"/>
      <c r="I2692" s="46"/>
      <c r="J2692" s="44"/>
      <c r="K2692" s="44"/>
      <c r="L2692" s="47"/>
    </row>
    <row r="2693" spans="1:12" ht="18.75" customHeight="1" thickTop="1" x14ac:dyDescent="0.25">
      <c r="A2693" s="1"/>
      <c r="B2693" s="7"/>
      <c r="C2693" s="1"/>
      <c r="D2693" s="1"/>
      <c r="E2693" s="1"/>
      <c r="F2693" s="40"/>
      <c r="G2693" s="40"/>
      <c r="H2693" s="1"/>
      <c r="I2693" s="160"/>
      <c r="J2693" s="1"/>
      <c r="K2693" s="1"/>
      <c r="L2693" s="1"/>
    </row>
    <row r="2694" spans="1:12" ht="45.75" customHeight="1" x14ac:dyDescent="0.2">
      <c r="A2694" s="10" t="s">
        <v>2</v>
      </c>
      <c r="B2694" s="279" t="s">
        <v>11</v>
      </c>
      <c r="C2694" s="279"/>
      <c r="D2694" s="279"/>
      <c r="E2694" s="279"/>
      <c r="F2694" s="279"/>
      <c r="G2694" s="279"/>
      <c r="H2694" s="279"/>
      <c r="I2694" s="279"/>
      <c r="J2694" s="279"/>
      <c r="K2694" s="279"/>
      <c r="L2694" s="279"/>
    </row>
    <row r="2695" spans="1:12" ht="13.5" customHeight="1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 spans="1:12" ht="20.25" customHeight="1" x14ac:dyDescent="0.2">
      <c r="A2696" s="280" t="s">
        <v>12</v>
      </c>
      <c r="B2696" s="280"/>
      <c r="C2696" s="280"/>
      <c r="D2696" s="280"/>
      <c r="E2696" s="280"/>
      <c r="F2696" s="280"/>
      <c r="G2696" s="280"/>
      <c r="H2696" s="280"/>
      <c r="I2696" s="280"/>
      <c r="J2696" s="280"/>
      <c r="K2696" s="280"/>
      <c r="L2696" s="280"/>
    </row>
    <row r="2697" spans="1:12" ht="18.75" customHeight="1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</row>
    <row r="2698" spans="1:12" ht="18.75" customHeight="1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</row>
    <row r="2699" spans="1:12" ht="13.5" customHeight="1" x14ac:dyDescent="0.25">
      <c r="A2699" s="1"/>
      <c r="B2699" s="1"/>
      <c r="C2699" s="1"/>
      <c r="D2699" s="1"/>
      <c r="E2699" s="1"/>
      <c r="F2699" s="1"/>
      <c r="G2699" s="1"/>
      <c r="H2699" s="4" t="s">
        <v>199</v>
      </c>
      <c r="J2699" s="286" t="s">
        <v>407</v>
      </c>
      <c r="K2699" s="286"/>
      <c r="L2699" s="286"/>
    </row>
    <row r="2700" spans="1:12" ht="15.75" customHeight="1" x14ac:dyDescent="0.25">
      <c r="A2700" s="1"/>
      <c r="B2700" s="1" t="s">
        <v>15</v>
      </c>
      <c r="C2700" s="1"/>
      <c r="D2700" s="1"/>
      <c r="E2700" s="1"/>
      <c r="F2700" s="1"/>
      <c r="G2700" s="1"/>
      <c r="H2700" s="4" t="s">
        <v>13</v>
      </c>
    </row>
    <row r="2701" spans="1:12" ht="14.25" customHeight="1" x14ac:dyDescent="0.25">
      <c r="A2701" s="1"/>
      <c r="B2701" s="1" t="s">
        <v>18</v>
      </c>
      <c r="C2701" s="1"/>
      <c r="D2701" s="1"/>
      <c r="E2701" s="1"/>
      <c r="F2701" s="1"/>
      <c r="G2701" s="1"/>
      <c r="H2701" s="4" t="s">
        <v>14</v>
      </c>
    </row>
    <row r="2702" spans="1:12" ht="30" customHeight="1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</row>
    <row r="2703" spans="1:12" ht="30" customHeight="1" x14ac:dyDescent="0.25">
      <c r="A2703" s="1"/>
      <c r="K2703" s="103"/>
      <c r="L2703" s="1"/>
    </row>
    <row r="2704" spans="1:12" ht="30" customHeight="1" x14ac:dyDescent="0.25">
      <c r="A2704" s="1"/>
      <c r="B2704" s="95" t="s">
        <v>77</v>
      </c>
      <c r="H2704" s="95" t="s">
        <v>64</v>
      </c>
      <c r="I2704" s="95"/>
      <c r="J2704" s="92"/>
      <c r="K2704" s="103"/>
      <c r="L2704" s="1"/>
    </row>
    <row r="2705" spans="1:12" ht="30" customHeight="1" x14ac:dyDescent="0.25">
      <c r="A2705" s="1"/>
      <c r="B2705" s="99" t="s">
        <v>27</v>
      </c>
      <c r="C2705" s="57"/>
      <c r="H2705" s="99" t="s">
        <v>46</v>
      </c>
      <c r="K2705" s="103"/>
    </row>
    <row r="2706" spans="1:12" ht="30" customHeight="1" x14ac:dyDescent="0.2"/>
    <row r="2707" spans="1:12" ht="30" customHeight="1" x14ac:dyDescent="0.2"/>
    <row r="2708" spans="1:12" ht="30" customHeight="1" x14ac:dyDescent="0.2"/>
    <row r="2709" spans="1:12" ht="30" customHeight="1" x14ac:dyDescent="0.25">
      <c r="A2709" s="3" t="s">
        <v>22</v>
      </c>
    </row>
    <row r="2710" spans="1:12" ht="18" customHeight="1" x14ac:dyDescent="0.2">
      <c r="A2710" s="122" t="s">
        <v>20</v>
      </c>
    </row>
    <row r="2711" spans="1:12" ht="23.25" customHeight="1" x14ac:dyDescent="0.2">
      <c r="A2711" s="122" t="s">
        <v>21</v>
      </c>
    </row>
    <row r="2712" spans="1:12" ht="22.5" customHeight="1" x14ac:dyDescent="0.2"/>
    <row r="2713" spans="1:12" ht="5.25" customHeight="1" x14ac:dyDescent="0.2"/>
    <row r="2714" spans="1:12" ht="30" customHeight="1" x14ac:dyDescent="0.2"/>
    <row r="2715" spans="1:12" ht="30" customHeight="1" x14ac:dyDescent="0.3">
      <c r="A2715" s="276" t="s">
        <v>6</v>
      </c>
      <c r="B2715" s="276"/>
      <c r="C2715" s="276"/>
      <c r="D2715" s="276"/>
      <c r="E2715" s="276"/>
      <c r="F2715" s="276"/>
      <c r="G2715" s="276"/>
      <c r="H2715" s="276"/>
      <c r="I2715" s="276"/>
      <c r="J2715" s="276"/>
      <c r="K2715" s="276"/>
      <c r="L2715" s="276"/>
    </row>
    <row r="2716" spans="1:12" ht="30" customHeight="1" x14ac:dyDescent="0.25">
      <c r="A2716" s="1"/>
      <c r="B2716" s="1"/>
    </row>
    <row r="2717" spans="1:12" ht="30" customHeight="1" x14ac:dyDescent="0.25">
      <c r="A2717" s="1" t="s">
        <v>7</v>
      </c>
      <c r="B2717" s="1"/>
    </row>
    <row r="2718" spans="1:12" ht="13.5" customHeight="1" x14ac:dyDescent="0.25">
      <c r="A2718" s="1"/>
      <c r="B2718" s="1"/>
    </row>
    <row r="2719" spans="1:12" ht="18" customHeight="1" x14ac:dyDescent="0.25">
      <c r="A2719" s="1" t="s">
        <v>8</v>
      </c>
      <c r="C2719" s="9" t="s">
        <v>1</v>
      </c>
      <c r="D2719" s="123" t="s">
        <v>78</v>
      </c>
      <c r="E2719" s="76"/>
      <c r="F2719" s="76"/>
      <c r="G2719" s="76"/>
      <c r="H2719" s="76"/>
    </row>
    <row r="2720" spans="1:12" ht="15.75" customHeight="1" x14ac:dyDescent="0.25">
      <c r="A2720" s="1" t="s">
        <v>9</v>
      </c>
      <c r="C2720" s="9" t="s">
        <v>1</v>
      </c>
      <c r="D2720" s="76" t="s">
        <v>234</v>
      </c>
      <c r="E2720" s="76"/>
      <c r="F2720" s="76"/>
      <c r="G2720" s="76"/>
      <c r="H2720" s="76"/>
    </row>
    <row r="2721" spans="1:12" ht="18.75" customHeight="1" x14ac:dyDescent="0.2">
      <c r="A2721" s="50" t="s">
        <v>10</v>
      </c>
      <c r="B2721" s="76"/>
      <c r="C2721" s="91" t="s">
        <v>1</v>
      </c>
      <c r="D2721" s="50" t="s">
        <v>235</v>
      </c>
      <c r="E2721" s="76"/>
      <c r="F2721" s="76"/>
      <c r="G2721" s="76"/>
      <c r="H2721" s="76"/>
      <c r="I2721" s="76"/>
      <c r="J2721" s="76"/>
      <c r="K2721" s="76"/>
      <c r="L2721" s="76"/>
    </row>
    <row r="2722" spans="1:12" ht="15" customHeight="1" x14ac:dyDescent="0.25">
      <c r="A2722" s="1"/>
      <c r="B2722" s="1"/>
      <c r="D2722" s="1"/>
    </row>
    <row r="2723" spans="1:12" ht="27.75" customHeight="1" x14ac:dyDescent="0.2">
      <c r="A2723" s="277" t="s">
        <v>410</v>
      </c>
      <c r="B2723" s="277"/>
      <c r="C2723" s="277"/>
      <c r="D2723" s="277"/>
      <c r="E2723" s="277"/>
      <c r="F2723" s="277"/>
      <c r="G2723" s="277"/>
      <c r="H2723" s="277"/>
      <c r="I2723" s="277"/>
      <c r="J2723" s="277"/>
      <c r="K2723" s="277"/>
      <c r="L2723" s="277"/>
    </row>
    <row r="2724" spans="1:12" ht="10.5" customHeight="1" x14ac:dyDescent="0.25">
      <c r="A2724" s="1"/>
      <c r="B2724" s="1"/>
    </row>
    <row r="2725" spans="1:12" ht="33" customHeight="1" thickBot="1" x14ac:dyDescent="0.25">
      <c r="A2725" s="10" t="s">
        <v>0</v>
      </c>
      <c r="B2725" s="278" t="s">
        <v>91</v>
      </c>
      <c r="C2725" s="278"/>
      <c r="D2725" s="278"/>
      <c r="E2725" s="278"/>
      <c r="F2725" s="278"/>
      <c r="G2725" s="278"/>
      <c r="H2725" s="278"/>
      <c r="I2725" s="278"/>
      <c r="J2725" s="278"/>
      <c r="K2725" s="278"/>
      <c r="L2725" s="278"/>
    </row>
    <row r="2726" spans="1:12" ht="19.5" customHeight="1" thickTop="1" x14ac:dyDescent="0.25">
      <c r="A2726" s="1"/>
      <c r="B2726" s="11" t="s">
        <v>3</v>
      </c>
      <c r="C2726" s="12" t="s">
        <v>4</v>
      </c>
      <c r="D2726" s="13"/>
      <c r="E2726" s="13"/>
      <c r="F2726" s="13"/>
      <c r="G2726" s="13"/>
      <c r="H2726" s="14"/>
      <c r="I2726" s="15" t="s">
        <v>5</v>
      </c>
      <c r="J2726" s="12" t="s">
        <v>17</v>
      </c>
      <c r="K2726" s="13"/>
      <c r="L2726" s="14"/>
    </row>
    <row r="2727" spans="1:12" ht="21" customHeight="1" x14ac:dyDescent="0.2">
      <c r="A2727" s="50"/>
      <c r="B2727" s="143">
        <v>1</v>
      </c>
      <c r="C2727" s="284" t="s">
        <v>303</v>
      </c>
      <c r="D2727" s="285"/>
      <c r="E2727" s="285"/>
      <c r="F2727" s="285"/>
      <c r="G2727" s="76"/>
      <c r="H2727" s="79"/>
      <c r="I2727" s="56">
        <v>250000</v>
      </c>
      <c r="J2727" s="76"/>
      <c r="K2727" s="76"/>
      <c r="L2727" s="79"/>
    </row>
    <row r="2728" spans="1:12" ht="30" customHeight="1" x14ac:dyDescent="0.2">
      <c r="B2728" s="142">
        <v>2</v>
      </c>
      <c r="C2728" s="140" t="s">
        <v>238</v>
      </c>
      <c r="D2728" s="76"/>
      <c r="E2728" s="150">
        <v>622000</v>
      </c>
      <c r="F2728" s="157" t="s">
        <v>239</v>
      </c>
      <c r="G2728" s="119"/>
      <c r="H2728" s="162"/>
      <c r="I2728" s="80">
        <f>E2728*30/100*2</f>
        <v>373200</v>
      </c>
      <c r="J2728" s="76" t="s">
        <v>281</v>
      </c>
      <c r="K2728" s="76"/>
      <c r="L2728" s="79"/>
    </row>
    <row r="2729" spans="1:12" ht="14.25" customHeight="1" x14ac:dyDescent="0.2">
      <c r="B2729" s="142"/>
      <c r="C2729" s="76"/>
      <c r="D2729" s="76"/>
      <c r="E2729" s="150"/>
      <c r="F2729" s="157"/>
      <c r="G2729" s="119"/>
      <c r="H2729" s="119"/>
      <c r="I2729" s="80"/>
      <c r="J2729" s="76"/>
      <c r="K2729" s="76"/>
      <c r="L2729" s="79"/>
    </row>
    <row r="2730" spans="1:12" ht="16.5" customHeight="1" x14ac:dyDescent="0.25">
      <c r="A2730" s="1"/>
      <c r="B2730" s="39"/>
      <c r="C2730" s="1"/>
      <c r="D2730" s="1"/>
      <c r="E2730" s="1"/>
      <c r="F2730" s="40" t="s">
        <v>5</v>
      </c>
      <c r="G2730" s="40"/>
      <c r="H2730" s="1"/>
      <c r="I2730" s="41">
        <f>SUM(I2727:I2728)</f>
        <v>623200</v>
      </c>
      <c r="J2730" s="1"/>
      <c r="K2730" s="1"/>
      <c r="L2730" s="42"/>
    </row>
    <row r="2731" spans="1:12" ht="8.25" customHeight="1" thickBot="1" x14ac:dyDescent="0.3">
      <c r="A2731" s="1"/>
      <c r="B2731" s="43"/>
      <c r="C2731" s="44"/>
      <c r="D2731" s="44"/>
      <c r="E2731" s="44"/>
      <c r="F2731" s="45"/>
      <c r="G2731" s="45"/>
      <c r="H2731" s="44"/>
      <c r="I2731" s="46"/>
      <c r="J2731" s="44"/>
      <c r="K2731" s="44"/>
      <c r="L2731" s="47"/>
    </row>
    <row r="2732" spans="1:12" ht="11.25" customHeight="1" thickTop="1" x14ac:dyDescent="0.25">
      <c r="A2732" s="1"/>
      <c r="B2732" s="7"/>
      <c r="C2732" s="1"/>
      <c r="D2732" s="1"/>
      <c r="E2732" s="1"/>
      <c r="F2732" s="40"/>
      <c r="G2732" s="40"/>
      <c r="H2732" s="1"/>
      <c r="I2732" s="160"/>
      <c r="J2732" s="1"/>
      <c r="K2732" s="1"/>
      <c r="L2732" s="1"/>
    </row>
    <row r="2733" spans="1:12" ht="48" customHeight="1" x14ac:dyDescent="0.2">
      <c r="A2733" s="10" t="s">
        <v>2</v>
      </c>
      <c r="B2733" s="279" t="s">
        <v>11</v>
      </c>
      <c r="C2733" s="279"/>
      <c r="D2733" s="279"/>
      <c r="E2733" s="279"/>
      <c r="F2733" s="279"/>
      <c r="G2733" s="279"/>
      <c r="H2733" s="279"/>
      <c r="I2733" s="279"/>
      <c r="J2733" s="279"/>
      <c r="K2733" s="279"/>
      <c r="L2733" s="279"/>
    </row>
    <row r="2734" spans="1:12" ht="9.75" customHeight="1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ht="18.75" customHeight="1" x14ac:dyDescent="0.2">
      <c r="A2735" s="280" t="s">
        <v>12</v>
      </c>
      <c r="B2735" s="280"/>
      <c r="C2735" s="280"/>
      <c r="D2735" s="280"/>
      <c r="E2735" s="280"/>
      <c r="F2735" s="280"/>
      <c r="G2735" s="280"/>
      <c r="H2735" s="280"/>
      <c r="I2735" s="280"/>
      <c r="J2735" s="280"/>
      <c r="K2735" s="280"/>
      <c r="L2735" s="280"/>
    </row>
    <row r="2736" spans="1:12" ht="11.25" customHeight="1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ht="6" customHeight="1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ht="20.25" customHeight="1" x14ac:dyDescent="0.25">
      <c r="A2738" s="1"/>
      <c r="B2738" s="1"/>
      <c r="C2738" s="1"/>
      <c r="D2738" s="1"/>
      <c r="E2738" s="1"/>
      <c r="F2738" s="1"/>
      <c r="G2738" s="1"/>
      <c r="H2738" s="4" t="s">
        <v>199</v>
      </c>
      <c r="J2738" s="286" t="s">
        <v>407</v>
      </c>
      <c r="K2738" s="286"/>
      <c r="L2738" s="286"/>
    </row>
    <row r="2739" spans="1:12" ht="13.5" customHeight="1" x14ac:dyDescent="0.25">
      <c r="A2739" s="1"/>
      <c r="B2739" s="1" t="s">
        <v>15</v>
      </c>
      <c r="C2739" s="1"/>
      <c r="D2739" s="1"/>
      <c r="E2739" s="1"/>
      <c r="F2739" s="1"/>
      <c r="G2739" s="1"/>
      <c r="H2739" s="4" t="s">
        <v>13</v>
      </c>
    </row>
    <row r="2740" spans="1:12" ht="15" customHeight="1" x14ac:dyDescent="0.25">
      <c r="A2740" s="1"/>
      <c r="B2740" s="1" t="s">
        <v>18</v>
      </c>
      <c r="C2740" s="1"/>
      <c r="D2740" s="1"/>
      <c r="E2740" s="1"/>
      <c r="F2740" s="1"/>
      <c r="G2740" s="1"/>
      <c r="H2740" s="4" t="s">
        <v>14</v>
      </c>
    </row>
    <row r="2741" spans="1:12" ht="22.5" customHeight="1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 ht="18.75" customHeight="1" x14ac:dyDescent="0.25">
      <c r="A2742" s="1"/>
      <c r="K2742" s="103"/>
      <c r="L2742" s="1"/>
    </row>
    <row r="2743" spans="1:12" ht="30" customHeight="1" x14ac:dyDescent="0.25">
      <c r="A2743" s="1"/>
      <c r="B2743" s="95" t="s">
        <v>77</v>
      </c>
      <c r="H2743" s="95" t="s">
        <v>78</v>
      </c>
      <c r="I2743" s="95"/>
      <c r="J2743" s="92"/>
      <c r="K2743" s="103"/>
      <c r="L2743" s="1"/>
    </row>
    <row r="2744" spans="1:12" ht="30" customHeight="1" x14ac:dyDescent="0.25">
      <c r="A2744" s="1"/>
      <c r="B2744" s="99" t="s">
        <v>27</v>
      </c>
      <c r="C2744" s="57"/>
      <c r="H2744" s="99" t="s">
        <v>79</v>
      </c>
      <c r="K2744" s="103"/>
    </row>
    <row r="2745" spans="1:12" ht="30" customHeight="1" x14ac:dyDescent="0.2"/>
    <row r="2746" spans="1:12" ht="30" customHeight="1" x14ac:dyDescent="0.2"/>
    <row r="2747" spans="1:12" ht="30" customHeight="1" x14ac:dyDescent="0.2"/>
    <row r="2748" spans="1:12" ht="30" customHeight="1" x14ac:dyDescent="0.2"/>
    <row r="2749" spans="1:12" ht="30" customHeight="1" x14ac:dyDescent="0.2"/>
    <row r="2750" spans="1:12" ht="30" customHeight="1" x14ac:dyDescent="0.2"/>
    <row r="2751" spans="1:12" ht="30" customHeight="1" x14ac:dyDescent="0.2"/>
    <row r="2752" spans="1:12" ht="30" customHeight="1" x14ac:dyDescent="0.2"/>
    <row r="2753" ht="30" customHeight="1" x14ac:dyDescent="0.2"/>
    <row r="2754" ht="30" customHeight="1" x14ac:dyDescent="0.2"/>
    <row r="2755" ht="30" customHeight="1" x14ac:dyDescent="0.2"/>
    <row r="2756" ht="30" customHeight="1" x14ac:dyDescent="0.2"/>
    <row r="2757" ht="30" customHeight="1" x14ac:dyDescent="0.2"/>
    <row r="2758" ht="30" customHeight="1" x14ac:dyDescent="0.2"/>
    <row r="2759" ht="30" customHeight="1" x14ac:dyDescent="0.2"/>
    <row r="2760" ht="30" customHeight="1" x14ac:dyDescent="0.2"/>
  </sheetData>
  <mergeCells count="488">
    <mergeCell ref="R2526:T2526"/>
    <mergeCell ref="N2531:X2531"/>
    <mergeCell ref="M2533:X2533"/>
    <mergeCell ref="V2536:X2536"/>
    <mergeCell ref="M2554:X2554"/>
    <mergeCell ref="M2564:X2564"/>
    <mergeCell ref="M2511:X2511"/>
    <mergeCell ref="M2418:X2418"/>
    <mergeCell ref="M2428:X2428"/>
    <mergeCell ref="N2430:X2430"/>
    <mergeCell ref="R2433:T2433"/>
    <mergeCell ref="N2438:X2438"/>
    <mergeCell ref="M2440:X2440"/>
    <mergeCell ref="V2443:X2443"/>
    <mergeCell ref="M2471:X2471"/>
    <mergeCell ref="N2473:X2473"/>
    <mergeCell ref="O2475:P2475"/>
    <mergeCell ref="R2475:T2475"/>
    <mergeCell ref="N2481:X2481"/>
    <mergeCell ref="M2483:X2483"/>
    <mergeCell ref="V2486:X2486"/>
    <mergeCell ref="R2525:T2525"/>
    <mergeCell ref="M2521:X2521"/>
    <mergeCell ref="N2523:X2523"/>
    <mergeCell ref="J2579:L2579"/>
    <mergeCell ref="B2574:L2574"/>
    <mergeCell ref="A2576:L2576"/>
    <mergeCell ref="A2418:L2418"/>
    <mergeCell ref="A2428:L2428"/>
    <mergeCell ref="B2430:L2430"/>
    <mergeCell ref="C2432:F2432"/>
    <mergeCell ref="A2461:L2461"/>
    <mergeCell ref="A2471:L2471"/>
    <mergeCell ref="C2476:D2476"/>
    <mergeCell ref="A2521:L2521"/>
    <mergeCell ref="B2523:L2523"/>
    <mergeCell ref="C2525:F2525"/>
    <mergeCell ref="B2438:L2438"/>
    <mergeCell ref="A2440:L2440"/>
    <mergeCell ref="J2443:L2443"/>
    <mergeCell ref="N2566:X2566"/>
    <mergeCell ref="R2569:T2569"/>
    <mergeCell ref="N2574:X2574"/>
    <mergeCell ref="M2576:X2576"/>
    <mergeCell ref="V2579:X2579"/>
    <mergeCell ref="M2461:X2461"/>
    <mergeCell ref="R2432:T2432"/>
    <mergeCell ref="F2433:H2433"/>
    <mergeCell ref="F2526:H2526"/>
    <mergeCell ref="F2569:H2569"/>
    <mergeCell ref="F2476:H2476"/>
    <mergeCell ref="B2531:L2531"/>
    <mergeCell ref="A2533:L2533"/>
    <mergeCell ref="J2536:L2536"/>
    <mergeCell ref="A2554:L2554"/>
    <mergeCell ref="A2564:L2564"/>
    <mergeCell ref="B2566:L2566"/>
    <mergeCell ref="C2568:F2568"/>
    <mergeCell ref="B2473:L2473"/>
    <mergeCell ref="C2475:F2475"/>
    <mergeCell ref="B2481:L2481"/>
    <mergeCell ref="A2483:L2483"/>
    <mergeCell ref="J2486:L2486"/>
    <mergeCell ref="A2511:L2511"/>
    <mergeCell ref="A2395:L2395"/>
    <mergeCell ref="J2398:L2398"/>
    <mergeCell ref="F2346:H2346"/>
    <mergeCell ref="B2350:L2350"/>
    <mergeCell ref="A2352:L2352"/>
    <mergeCell ref="J2355:L2355"/>
    <mergeCell ref="A2374:L2374"/>
    <mergeCell ref="A2384:L2384"/>
    <mergeCell ref="B2386:L2386"/>
    <mergeCell ref="C2388:F2388"/>
    <mergeCell ref="B2393:L2393"/>
    <mergeCell ref="B2301:L2301"/>
    <mergeCell ref="C2303:F2303"/>
    <mergeCell ref="B2308:L2308"/>
    <mergeCell ref="A2310:L2310"/>
    <mergeCell ref="J2313:L2313"/>
    <mergeCell ref="A2331:L2331"/>
    <mergeCell ref="A2341:L2341"/>
    <mergeCell ref="B2343:L2343"/>
    <mergeCell ref="C2345:F2345"/>
    <mergeCell ref="A2240:L2240"/>
    <mergeCell ref="A2250:L2250"/>
    <mergeCell ref="B2252:L2252"/>
    <mergeCell ref="C2254:F2254"/>
    <mergeCell ref="B2259:L2259"/>
    <mergeCell ref="A2261:L2261"/>
    <mergeCell ref="J2264:L2264"/>
    <mergeCell ref="A2289:L2289"/>
    <mergeCell ref="A2299:L2299"/>
    <mergeCell ref="B1786:L1786"/>
    <mergeCell ref="C1788:F1788"/>
    <mergeCell ref="B1793:L1793"/>
    <mergeCell ref="A1795:L1795"/>
    <mergeCell ref="J1798:L1798"/>
    <mergeCell ref="A1734:L1734"/>
    <mergeCell ref="A1744:L1744"/>
    <mergeCell ref="B1746:L1746"/>
    <mergeCell ref="C1748:F1748"/>
    <mergeCell ref="B1753:L1753"/>
    <mergeCell ref="A1755:L1755"/>
    <mergeCell ref="J1758:L1758"/>
    <mergeCell ref="A1774:L1774"/>
    <mergeCell ref="A1784:L1784"/>
    <mergeCell ref="A1657:L1657"/>
    <mergeCell ref="J1660:L1660"/>
    <mergeCell ref="A1679:L1679"/>
    <mergeCell ref="A1689:L1689"/>
    <mergeCell ref="B1691:L1691"/>
    <mergeCell ref="C1693:F1693"/>
    <mergeCell ref="B1698:L1698"/>
    <mergeCell ref="A1700:L1700"/>
    <mergeCell ref="J1703:L1703"/>
    <mergeCell ref="B1613:L1613"/>
    <mergeCell ref="A1615:L1615"/>
    <mergeCell ref="J1618:L1618"/>
    <mergeCell ref="A1636:L1636"/>
    <mergeCell ref="A1646:L1646"/>
    <mergeCell ref="B1648:L1648"/>
    <mergeCell ref="C1650:F1650"/>
    <mergeCell ref="F1651:H1651"/>
    <mergeCell ref="B1655:L1655"/>
    <mergeCell ref="C1565:F1565"/>
    <mergeCell ref="F1566:H1566"/>
    <mergeCell ref="B1570:L1570"/>
    <mergeCell ref="A1572:L1572"/>
    <mergeCell ref="J1575:L1575"/>
    <mergeCell ref="A1594:L1594"/>
    <mergeCell ref="A1604:L1604"/>
    <mergeCell ref="B1606:L1606"/>
    <mergeCell ref="C1608:F1608"/>
    <mergeCell ref="A1519:L1519"/>
    <mergeCell ref="B1521:L1521"/>
    <mergeCell ref="C1523:D1523"/>
    <mergeCell ref="B1528:L1528"/>
    <mergeCell ref="A1530:L1530"/>
    <mergeCell ref="J1533:L1533"/>
    <mergeCell ref="A1551:L1551"/>
    <mergeCell ref="A1561:L1561"/>
    <mergeCell ref="B1563:L1563"/>
    <mergeCell ref="A1468:L1468"/>
    <mergeCell ref="A1478:L1478"/>
    <mergeCell ref="B1480:L1480"/>
    <mergeCell ref="B1487:L1487"/>
    <mergeCell ref="A1489:L1489"/>
    <mergeCell ref="J1492:L1492"/>
    <mergeCell ref="C1482:D1482"/>
    <mergeCell ref="A1509:L1509"/>
    <mergeCell ref="C1439:F1439"/>
    <mergeCell ref="F1440:H1440"/>
    <mergeCell ref="B1444:L1444"/>
    <mergeCell ref="A1446:L1446"/>
    <mergeCell ref="J1449:L1449"/>
    <mergeCell ref="B1395:L1395"/>
    <mergeCell ref="C1397:F1397"/>
    <mergeCell ref="F1398:H1398"/>
    <mergeCell ref="B1402:L1402"/>
    <mergeCell ref="A1404:L1404"/>
    <mergeCell ref="J1407:L1407"/>
    <mergeCell ref="A1425:L1425"/>
    <mergeCell ref="A1435:L1435"/>
    <mergeCell ref="B1437:L1437"/>
    <mergeCell ref="A1341:L1341"/>
    <mergeCell ref="A1351:L1351"/>
    <mergeCell ref="B1353:L1353"/>
    <mergeCell ref="C1355:F1355"/>
    <mergeCell ref="B1360:L1360"/>
    <mergeCell ref="A1362:L1362"/>
    <mergeCell ref="J1365:L1365"/>
    <mergeCell ref="A1383:L1383"/>
    <mergeCell ref="A1393:L1393"/>
    <mergeCell ref="B1088:L1088"/>
    <mergeCell ref="C1090:F1090"/>
    <mergeCell ref="B1095:L1095"/>
    <mergeCell ref="A1097:L1097"/>
    <mergeCell ref="J1100:L1100"/>
    <mergeCell ref="A1034:L1034"/>
    <mergeCell ref="A1044:L1044"/>
    <mergeCell ref="B1046:L1046"/>
    <mergeCell ref="C1048:F1048"/>
    <mergeCell ref="B1053:L1053"/>
    <mergeCell ref="A1055:L1055"/>
    <mergeCell ref="J1058:L1058"/>
    <mergeCell ref="A1076:L1076"/>
    <mergeCell ref="A1086:L1086"/>
    <mergeCell ref="C549:F549"/>
    <mergeCell ref="B554:L554"/>
    <mergeCell ref="A556:L556"/>
    <mergeCell ref="J559:L559"/>
    <mergeCell ref="B511:L511"/>
    <mergeCell ref="A513:L513"/>
    <mergeCell ref="J516:L516"/>
    <mergeCell ref="A535:L535"/>
    <mergeCell ref="A545:L545"/>
    <mergeCell ref="B547:L547"/>
    <mergeCell ref="F550:H550"/>
    <mergeCell ref="A468:L468"/>
    <mergeCell ref="J471:L471"/>
    <mergeCell ref="A492:L492"/>
    <mergeCell ref="A502:L502"/>
    <mergeCell ref="B504:L504"/>
    <mergeCell ref="C506:F506"/>
    <mergeCell ref="J426:L426"/>
    <mergeCell ref="A447:L447"/>
    <mergeCell ref="A457:L457"/>
    <mergeCell ref="B459:L459"/>
    <mergeCell ref="C461:F461"/>
    <mergeCell ref="B466:L466"/>
    <mergeCell ref="A402:L402"/>
    <mergeCell ref="A412:L412"/>
    <mergeCell ref="B414:L414"/>
    <mergeCell ref="C416:F416"/>
    <mergeCell ref="B421:L421"/>
    <mergeCell ref="A423:L423"/>
    <mergeCell ref="C196:F196"/>
    <mergeCell ref="B106:L106"/>
    <mergeCell ref="C108:F108"/>
    <mergeCell ref="B158:L158"/>
    <mergeCell ref="A160:L160"/>
    <mergeCell ref="A277:L277"/>
    <mergeCell ref="J163:L163"/>
    <mergeCell ref="A182:L182"/>
    <mergeCell ref="A192:L192"/>
    <mergeCell ref="A224:L224"/>
    <mergeCell ref="A234:L234"/>
    <mergeCell ref="B236:L236"/>
    <mergeCell ref="B201:L201"/>
    <mergeCell ref="A203:L203"/>
    <mergeCell ref="J206:L206"/>
    <mergeCell ref="B279:L279"/>
    <mergeCell ref="C281:F281"/>
    <mergeCell ref="B286:L286"/>
    <mergeCell ref="J33:L33"/>
    <mergeCell ref="A94:L94"/>
    <mergeCell ref="A104:L104"/>
    <mergeCell ref="B194:L194"/>
    <mergeCell ref="B113:L113"/>
    <mergeCell ref="A115:L115"/>
    <mergeCell ref="J118:L118"/>
    <mergeCell ref="A9:L9"/>
    <mergeCell ref="A19:L19"/>
    <mergeCell ref="B21:L21"/>
    <mergeCell ref="C23:F23"/>
    <mergeCell ref="B28:L28"/>
    <mergeCell ref="J76:L76"/>
    <mergeCell ref="A30:L30"/>
    <mergeCell ref="A52:L52"/>
    <mergeCell ref="A62:L62"/>
    <mergeCell ref="B64:L64"/>
    <mergeCell ref="C66:F66"/>
    <mergeCell ref="B71:L71"/>
    <mergeCell ref="A73:L73"/>
    <mergeCell ref="A139:L139"/>
    <mergeCell ref="A149:L149"/>
    <mergeCell ref="B151:L151"/>
    <mergeCell ref="C153:F153"/>
    <mergeCell ref="A288:L288"/>
    <mergeCell ref="J291:L291"/>
    <mergeCell ref="C238:F238"/>
    <mergeCell ref="B243:L243"/>
    <mergeCell ref="A245:L245"/>
    <mergeCell ref="J248:L248"/>
    <mergeCell ref="A267:L267"/>
    <mergeCell ref="A309:L309"/>
    <mergeCell ref="A319:L319"/>
    <mergeCell ref="B321:L321"/>
    <mergeCell ref="C323:F323"/>
    <mergeCell ref="B328:L328"/>
    <mergeCell ref="A330:L330"/>
    <mergeCell ref="A371:L371"/>
    <mergeCell ref="J374:L374"/>
    <mergeCell ref="J333:L333"/>
    <mergeCell ref="A350:L350"/>
    <mergeCell ref="A360:L360"/>
    <mergeCell ref="B362:L362"/>
    <mergeCell ref="C364:F364"/>
    <mergeCell ref="B369:L369"/>
    <mergeCell ref="A586:L586"/>
    <mergeCell ref="A596:L596"/>
    <mergeCell ref="B598:L598"/>
    <mergeCell ref="C600:F600"/>
    <mergeCell ref="B605:L605"/>
    <mergeCell ref="A607:L607"/>
    <mergeCell ref="J610:L610"/>
    <mergeCell ref="A635:L635"/>
    <mergeCell ref="A645:L645"/>
    <mergeCell ref="B647:L647"/>
    <mergeCell ref="C649:F649"/>
    <mergeCell ref="B654:L654"/>
    <mergeCell ref="B698:L698"/>
    <mergeCell ref="A700:L700"/>
    <mergeCell ref="J703:L703"/>
    <mergeCell ref="A656:L656"/>
    <mergeCell ref="J659:L659"/>
    <mergeCell ref="A679:L679"/>
    <mergeCell ref="A689:L689"/>
    <mergeCell ref="B691:L691"/>
    <mergeCell ref="C693:F693"/>
    <mergeCell ref="A722:L722"/>
    <mergeCell ref="A732:L732"/>
    <mergeCell ref="B734:L734"/>
    <mergeCell ref="C736:F736"/>
    <mergeCell ref="B741:L741"/>
    <mergeCell ref="A743:L743"/>
    <mergeCell ref="J746:L746"/>
    <mergeCell ref="A769:L769"/>
    <mergeCell ref="A779:L779"/>
    <mergeCell ref="F737:H737"/>
    <mergeCell ref="B781:L781"/>
    <mergeCell ref="C783:F783"/>
    <mergeCell ref="B788:L788"/>
    <mergeCell ref="A790:L790"/>
    <mergeCell ref="J793:L793"/>
    <mergeCell ref="A809:L809"/>
    <mergeCell ref="A819:L819"/>
    <mergeCell ref="B821:L821"/>
    <mergeCell ref="C823:F823"/>
    <mergeCell ref="F784:H784"/>
    <mergeCell ref="J875:L875"/>
    <mergeCell ref="B828:L828"/>
    <mergeCell ref="A830:L830"/>
    <mergeCell ref="J833:L833"/>
    <mergeCell ref="A851:L851"/>
    <mergeCell ref="A861:L861"/>
    <mergeCell ref="B863:L863"/>
    <mergeCell ref="C865:F865"/>
    <mergeCell ref="B870:L870"/>
    <mergeCell ref="A872:L872"/>
    <mergeCell ref="A896:L896"/>
    <mergeCell ref="A906:L906"/>
    <mergeCell ref="B908:L908"/>
    <mergeCell ref="C910:F910"/>
    <mergeCell ref="B915:L915"/>
    <mergeCell ref="A917:L917"/>
    <mergeCell ref="J920:L920"/>
    <mergeCell ref="A937:L937"/>
    <mergeCell ref="A947:L947"/>
    <mergeCell ref="B1010:L1010"/>
    <mergeCell ref="A1012:L1012"/>
    <mergeCell ref="J1015:L1015"/>
    <mergeCell ref="B949:L949"/>
    <mergeCell ref="C951:F951"/>
    <mergeCell ref="B956:L956"/>
    <mergeCell ref="A958:L958"/>
    <mergeCell ref="J961:L961"/>
    <mergeCell ref="A991:L991"/>
    <mergeCell ref="A1001:L1001"/>
    <mergeCell ref="B1003:L1003"/>
    <mergeCell ref="C1005:F1005"/>
    <mergeCell ref="A1119:L1119"/>
    <mergeCell ref="A1129:L1129"/>
    <mergeCell ref="B1131:L1131"/>
    <mergeCell ref="C1133:F1133"/>
    <mergeCell ref="B1138:L1138"/>
    <mergeCell ref="A1140:L1140"/>
    <mergeCell ref="J1143:L1143"/>
    <mergeCell ref="A1174:L1174"/>
    <mergeCell ref="A1184:L1184"/>
    <mergeCell ref="B1186:L1186"/>
    <mergeCell ref="C1188:F1188"/>
    <mergeCell ref="B1193:L1193"/>
    <mergeCell ref="A1195:L1195"/>
    <mergeCell ref="J1198:L1198"/>
    <mergeCell ref="A1214:L1214"/>
    <mergeCell ref="A1224:L1224"/>
    <mergeCell ref="B1226:L1226"/>
    <mergeCell ref="C1228:F1228"/>
    <mergeCell ref="J1281:L1281"/>
    <mergeCell ref="A1300:L1300"/>
    <mergeCell ref="A1310:L1310"/>
    <mergeCell ref="B1312:L1312"/>
    <mergeCell ref="C1314:F1314"/>
    <mergeCell ref="B1319:L1319"/>
    <mergeCell ref="A1321:L1321"/>
    <mergeCell ref="J1324:L1324"/>
    <mergeCell ref="B1233:L1233"/>
    <mergeCell ref="A1235:L1235"/>
    <mergeCell ref="J1238:L1238"/>
    <mergeCell ref="A1257:L1257"/>
    <mergeCell ref="A1267:L1267"/>
    <mergeCell ref="B1269:L1269"/>
    <mergeCell ref="C1271:F1271"/>
    <mergeCell ref="B1276:L1276"/>
    <mergeCell ref="A1278:L1278"/>
    <mergeCell ref="A1823:L1823"/>
    <mergeCell ref="A1833:L1833"/>
    <mergeCell ref="B1835:L1835"/>
    <mergeCell ref="C1837:F1837"/>
    <mergeCell ref="B1842:L1842"/>
    <mergeCell ref="A1844:L1844"/>
    <mergeCell ref="J1847:L1847"/>
    <mergeCell ref="A1865:L1865"/>
    <mergeCell ref="A1875:L1875"/>
    <mergeCell ref="B1877:L1877"/>
    <mergeCell ref="C1879:F1879"/>
    <mergeCell ref="F1880:H1880"/>
    <mergeCell ref="B1884:L1884"/>
    <mergeCell ref="A1886:L1886"/>
    <mergeCell ref="J1889:L1889"/>
    <mergeCell ref="A1908:L1908"/>
    <mergeCell ref="A1918:L1918"/>
    <mergeCell ref="B1920:L1920"/>
    <mergeCell ref="C1922:F1922"/>
    <mergeCell ref="B1927:L1927"/>
    <mergeCell ref="A1929:L1929"/>
    <mergeCell ref="J1932:L1932"/>
    <mergeCell ref="A1950:L1950"/>
    <mergeCell ref="A1960:L1960"/>
    <mergeCell ref="B1962:L1962"/>
    <mergeCell ref="C1964:F1964"/>
    <mergeCell ref="B1969:L1969"/>
    <mergeCell ref="A1971:L1971"/>
    <mergeCell ref="J1974:L1974"/>
    <mergeCell ref="A1994:L1994"/>
    <mergeCell ref="A2004:L2004"/>
    <mergeCell ref="B2006:L2006"/>
    <mergeCell ref="C2008:F2008"/>
    <mergeCell ref="B2013:L2013"/>
    <mergeCell ref="A2015:L2015"/>
    <mergeCell ref="J2018:L2018"/>
    <mergeCell ref="B2087:L2087"/>
    <mergeCell ref="C2089:F2089"/>
    <mergeCell ref="B2094:L2094"/>
    <mergeCell ref="A2096:L2096"/>
    <mergeCell ref="J2099:L2099"/>
    <mergeCell ref="A2036:L2036"/>
    <mergeCell ref="A2045:L2045"/>
    <mergeCell ref="B2047:L2047"/>
    <mergeCell ref="C2049:F2049"/>
    <mergeCell ref="B2054:L2054"/>
    <mergeCell ref="A2056:L2056"/>
    <mergeCell ref="J2059:L2059"/>
    <mergeCell ref="A2076:L2076"/>
    <mergeCell ref="A2085:L2085"/>
    <mergeCell ref="A2117:L2117"/>
    <mergeCell ref="A2127:L2127"/>
    <mergeCell ref="B2129:L2129"/>
    <mergeCell ref="C2131:D2131"/>
    <mergeCell ref="B2136:L2136"/>
    <mergeCell ref="A2138:L2138"/>
    <mergeCell ref="J2141:L2141"/>
    <mergeCell ref="A2158:L2158"/>
    <mergeCell ref="A2168:L2168"/>
    <mergeCell ref="B2218:L2218"/>
    <mergeCell ref="A2220:L2220"/>
    <mergeCell ref="J2223:L2223"/>
    <mergeCell ref="B2170:L2170"/>
    <mergeCell ref="C2172:D2172"/>
    <mergeCell ref="B2177:L2177"/>
    <mergeCell ref="A2179:L2179"/>
    <mergeCell ref="J2182:L2182"/>
    <mergeCell ref="A2199:L2199"/>
    <mergeCell ref="A2209:L2209"/>
    <mergeCell ref="B2211:L2211"/>
    <mergeCell ref="C2213:D2213"/>
    <mergeCell ref="A2696:L2696"/>
    <mergeCell ref="B2694:L2694"/>
    <mergeCell ref="C2688:F2688"/>
    <mergeCell ref="B2686:L2686"/>
    <mergeCell ref="A2684:L2684"/>
    <mergeCell ref="A2674:L2674"/>
    <mergeCell ref="J2662:L2662"/>
    <mergeCell ref="A2659:L2659"/>
    <mergeCell ref="J2738:L2738"/>
    <mergeCell ref="A2735:L2735"/>
    <mergeCell ref="B2733:L2733"/>
    <mergeCell ref="C2727:F2727"/>
    <mergeCell ref="B2725:L2725"/>
    <mergeCell ref="A2723:L2723"/>
    <mergeCell ref="A2715:L2715"/>
    <mergeCell ref="J2699:L2699"/>
    <mergeCell ref="B2617:L2617"/>
    <mergeCell ref="C2611:F2611"/>
    <mergeCell ref="B2609:L2609"/>
    <mergeCell ref="A2607:L2607"/>
    <mergeCell ref="A2597:L2597"/>
    <mergeCell ref="B2657:L2657"/>
    <mergeCell ref="F2652:H2652"/>
    <mergeCell ref="C2652:D2652"/>
    <mergeCell ref="C2651:F2651"/>
    <mergeCell ref="B2649:L2649"/>
    <mergeCell ref="A2647:L2647"/>
    <mergeCell ref="A2637:L2637"/>
    <mergeCell ref="J2621:L2621"/>
    <mergeCell ref="A2619:L2619"/>
  </mergeCells>
  <pageMargins left="0.5" right="0.2" top="0.75" bottom="1" header="0.5" footer="0.5"/>
  <pageSetup paperSize="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57"/>
  <sheetViews>
    <sheetView topLeftCell="A1782"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3.28515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8554687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5" customHeight="1" x14ac:dyDescent="0.2"/>
    <row r="2" spans="1:12" ht="9" customHeight="1" x14ac:dyDescent="0.2"/>
    <row r="3" spans="1:12" ht="15.75" customHeight="1" x14ac:dyDescent="0.25">
      <c r="A3" s="3" t="s">
        <v>22</v>
      </c>
    </row>
    <row r="4" spans="1:12" ht="17.25" customHeight="1" x14ac:dyDescent="0.2">
      <c r="A4" s="122" t="s">
        <v>20</v>
      </c>
    </row>
    <row r="5" spans="1:12" ht="18.75" customHeight="1" x14ac:dyDescent="0.2">
      <c r="A5" s="122" t="s">
        <v>21</v>
      </c>
    </row>
    <row r="6" spans="1:12" ht="6" customHeight="1" x14ac:dyDescent="0.2"/>
    <row r="7" spans="1:12" ht="6.75" customHeight="1" x14ac:dyDescent="0.2"/>
    <row r="8" spans="1:12" ht="12.75" customHeight="1" x14ac:dyDescent="0.2"/>
    <row r="9" spans="1:12" ht="1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1.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3.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" customHeight="1" x14ac:dyDescent="0.25">
      <c r="A12" s="1"/>
      <c r="B12" s="1"/>
    </row>
    <row r="13" spans="1:12" ht="13.5" customHeight="1" x14ac:dyDescent="0.25">
      <c r="A13" s="1" t="s">
        <v>7</v>
      </c>
      <c r="B13" s="1"/>
    </row>
    <row r="14" spans="1:12" s="76" customFormat="1" ht="15" customHeight="1" x14ac:dyDescent="0.25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6.5" customHeight="1" x14ac:dyDescent="0.25">
      <c r="A15" s="1" t="s">
        <v>8</v>
      </c>
      <c r="C15" s="9" t="s">
        <v>1</v>
      </c>
      <c r="D15" s="92" t="s">
        <v>96</v>
      </c>
      <c r="E15" s="76"/>
      <c r="F15" s="76"/>
      <c r="G15" s="76"/>
      <c r="H15" s="76"/>
    </row>
    <row r="16" spans="1:12" ht="15.75" customHeight="1" x14ac:dyDescent="0.25">
      <c r="A16" s="1" t="s">
        <v>9</v>
      </c>
      <c r="C16" s="9" t="s">
        <v>1</v>
      </c>
      <c r="D16" s="57" t="s">
        <v>200</v>
      </c>
      <c r="E16" s="76"/>
      <c r="F16" s="76"/>
      <c r="G16" s="76"/>
      <c r="H16" s="76"/>
    </row>
    <row r="17" spans="1:12" ht="18.75" customHeight="1" x14ac:dyDescent="0.2">
      <c r="A17" s="50" t="s">
        <v>10</v>
      </c>
      <c r="B17" s="76"/>
      <c r="C17" s="91" t="s">
        <v>1</v>
      </c>
      <c r="D17" s="50" t="s">
        <v>203</v>
      </c>
      <c r="E17" s="76"/>
      <c r="F17" s="76"/>
      <c r="G17" s="76"/>
      <c r="H17" s="76"/>
      <c r="I17" s="76"/>
      <c r="J17" s="76"/>
      <c r="K17" s="76"/>
      <c r="L17" s="76"/>
    </row>
    <row r="18" spans="1:12" ht="20.25" customHeight="1" x14ac:dyDescent="0.25">
      <c r="A18" s="1"/>
      <c r="B18" s="1"/>
      <c r="D18" s="1"/>
    </row>
    <row r="19" spans="1:12" s="148" customFormat="1" ht="37.5" customHeight="1" x14ac:dyDescent="0.2">
      <c r="A19" s="317" t="s">
        <v>334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</row>
    <row r="20" spans="1:12" ht="14.25" customHeight="1" x14ac:dyDescent="0.25">
      <c r="A20" s="1"/>
      <c r="B20" s="1"/>
    </row>
    <row r="21" spans="1:12" ht="34.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18.7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36" customHeight="1" x14ac:dyDescent="0.2">
      <c r="A23" s="50"/>
      <c r="B23" s="143">
        <v>1</v>
      </c>
      <c r="C23" s="284" t="s">
        <v>303</v>
      </c>
      <c r="D23" s="285"/>
      <c r="E23" s="285"/>
      <c r="F23" s="285"/>
      <c r="G23" s="76"/>
      <c r="H23" s="79"/>
      <c r="I23" s="56">
        <v>250000</v>
      </c>
      <c r="J23" s="76"/>
      <c r="K23" s="76"/>
      <c r="L23" s="79"/>
    </row>
    <row r="24" spans="1:12" ht="21.75" customHeight="1" x14ac:dyDescent="0.2">
      <c r="B24" s="96"/>
      <c r="C24" s="124"/>
      <c r="D24" s="124"/>
      <c r="E24" s="127"/>
      <c r="F24" s="125"/>
      <c r="G24" s="124"/>
      <c r="H24" s="124"/>
      <c r="I24" s="23"/>
      <c r="L24" s="17"/>
    </row>
    <row r="25" spans="1:12" ht="22.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f>SUM(I23:I23)</f>
        <v>250000</v>
      </c>
      <c r="J25" s="1"/>
      <c r="K25" s="1"/>
      <c r="L25" s="42"/>
    </row>
    <row r="26" spans="1:12" ht="11.2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</row>
    <row r="27" spans="1:12" ht="11.2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7.2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</row>
    <row r="29" spans="1:12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</row>
    <row r="31" spans="1:12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 x14ac:dyDescent="0.25">
      <c r="A33" s="1"/>
      <c r="B33" s="1"/>
      <c r="C33" s="1"/>
      <c r="D33" s="1"/>
      <c r="E33" s="1"/>
      <c r="F33" s="1"/>
      <c r="G33" s="1"/>
      <c r="H33" s="4" t="s">
        <v>199</v>
      </c>
      <c r="J33" s="286" t="s">
        <v>335</v>
      </c>
      <c r="K33" s="286"/>
      <c r="L33" s="286"/>
    </row>
    <row r="34" spans="1:12" ht="15" x14ac:dyDescent="0.25">
      <c r="A34" s="1"/>
      <c r="B34" s="1" t="s">
        <v>15</v>
      </c>
      <c r="C34" s="1"/>
      <c r="D34" s="1"/>
      <c r="E34" s="1"/>
      <c r="F34" s="1"/>
      <c r="G34" s="1"/>
      <c r="H34" s="4" t="s">
        <v>13</v>
      </c>
    </row>
    <row r="35" spans="1:12" ht="11.25" customHeight="1" x14ac:dyDescent="0.25">
      <c r="A35" s="1"/>
      <c r="B35" s="1" t="s">
        <v>18</v>
      </c>
      <c r="C35" s="1"/>
      <c r="D35" s="1"/>
      <c r="E35" s="1"/>
      <c r="F35" s="1"/>
      <c r="G35" s="1"/>
      <c r="H35" s="4" t="s">
        <v>14</v>
      </c>
    </row>
    <row r="36" spans="1:12" ht="8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0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x14ac:dyDescent="0.25">
      <c r="A38" s="1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"/>
    </row>
    <row r="39" spans="1:12" ht="15" x14ac:dyDescent="0.25">
      <c r="A39" s="1"/>
      <c r="K39" s="103"/>
      <c r="L39" s="1"/>
    </row>
    <row r="40" spans="1:12" ht="15" x14ac:dyDescent="0.25">
      <c r="A40" s="1"/>
      <c r="B40" s="95" t="s">
        <v>77</v>
      </c>
      <c r="H40" s="95" t="s">
        <v>96</v>
      </c>
      <c r="I40" s="95"/>
      <c r="J40" s="92"/>
      <c r="K40" s="103"/>
      <c r="L40" s="1"/>
    </row>
    <row r="41" spans="1:12" ht="15" x14ac:dyDescent="0.25">
      <c r="A41" s="1"/>
      <c r="B41" s="99" t="s">
        <v>27</v>
      </c>
      <c r="C41" s="57"/>
      <c r="H41" s="99" t="s">
        <v>100</v>
      </c>
      <c r="K41" s="103"/>
    </row>
    <row r="42" spans="1:12" ht="14.25" customHeight="1" x14ac:dyDescent="0.2"/>
    <row r="43" spans="1:12" ht="14.25" customHeight="1" x14ac:dyDescent="0.2"/>
    <row r="44" spans="1:12" ht="15" customHeight="1" x14ac:dyDescent="0.2"/>
    <row r="45" spans="1:12" ht="15" customHeight="1" x14ac:dyDescent="0.2"/>
    <row r="46" spans="1:12" ht="18.75" customHeight="1" x14ac:dyDescent="0.2"/>
    <row r="47" spans="1:12" ht="15" customHeight="1" x14ac:dyDescent="0.25">
      <c r="A47" s="3" t="s">
        <v>22</v>
      </c>
    </row>
    <row r="48" spans="1:12" ht="15" customHeight="1" x14ac:dyDescent="0.2">
      <c r="A48" s="122" t="s">
        <v>20</v>
      </c>
    </row>
    <row r="49" spans="1:12" ht="15" customHeight="1" x14ac:dyDescent="0.2">
      <c r="A49" s="122" t="s">
        <v>21</v>
      </c>
    </row>
    <row r="50" spans="1:12" ht="18.75" customHeight="1" x14ac:dyDescent="0.2"/>
    <row r="51" spans="1:12" ht="15" customHeight="1" x14ac:dyDescent="0.2"/>
    <row r="52" spans="1:12" ht="15" customHeight="1" x14ac:dyDescent="0.2"/>
    <row r="53" spans="1:12" ht="21.75" customHeight="1" x14ac:dyDescent="0.3">
      <c r="A53" s="276" t="s">
        <v>6</v>
      </c>
      <c r="B53" s="276"/>
      <c r="C53" s="276"/>
      <c r="D53" s="276"/>
      <c r="E53" s="276"/>
      <c r="F53" s="276"/>
      <c r="G53" s="276"/>
      <c r="H53" s="276"/>
      <c r="I53" s="276"/>
      <c r="J53" s="276"/>
      <c r="K53" s="276"/>
      <c r="L53" s="276"/>
    </row>
    <row r="54" spans="1:12" ht="18.75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12.75" customHeight="1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spans="1:12" ht="16.5" customHeight="1" x14ac:dyDescent="0.25">
      <c r="A56" s="1"/>
      <c r="B56" s="1"/>
    </row>
    <row r="57" spans="1:12" ht="18.75" customHeight="1" x14ac:dyDescent="0.25">
      <c r="A57" s="1" t="s">
        <v>7</v>
      </c>
      <c r="B57" s="1"/>
    </row>
    <row r="58" spans="1:12" ht="14.25" customHeight="1" x14ac:dyDescent="0.25">
      <c r="A58" s="1"/>
      <c r="B58" s="1"/>
    </row>
    <row r="59" spans="1:12" ht="12.75" customHeight="1" x14ac:dyDescent="0.25">
      <c r="A59" s="1" t="s">
        <v>8</v>
      </c>
      <c r="C59" s="9" t="s">
        <v>1</v>
      </c>
      <c r="D59" s="92" t="s">
        <v>77</v>
      </c>
      <c r="E59" s="76"/>
      <c r="F59" s="76"/>
      <c r="G59" s="76"/>
      <c r="H59" s="76"/>
    </row>
    <row r="60" spans="1:12" ht="15" x14ac:dyDescent="0.25">
      <c r="A60" s="1" t="s">
        <v>9</v>
      </c>
      <c r="C60" s="9" t="s">
        <v>1</v>
      </c>
      <c r="D60" s="57" t="s">
        <v>201</v>
      </c>
      <c r="E60" s="76"/>
      <c r="F60" s="76"/>
      <c r="G60" s="76"/>
      <c r="H60" s="76"/>
    </row>
    <row r="61" spans="1:12" ht="19.5" customHeight="1" x14ac:dyDescent="0.2">
      <c r="A61" s="50" t="s">
        <v>10</v>
      </c>
      <c r="B61" s="76"/>
      <c r="C61" s="91" t="s">
        <v>1</v>
      </c>
      <c r="D61" s="50" t="s">
        <v>265</v>
      </c>
      <c r="E61" s="76"/>
      <c r="F61" s="76"/>
      <c r="G61" s="76"/>
      <c r="H61" s="76"/>
      <c r="I61" s="76"/>
      <c r="J61" s="76"/>
      <c r="K61" s="76"/>
      <c r="L61" s="76"/>
    </row>
    <row r="62" spans="1:12" ht="18.75" customHeight="1" x14ac:dyDescent="0.25">
      <c r="A62" s="1"/>
      <c r="B62" s="1"/>
      <c r="D62" s="1"/>
    </row>
    <row r="63" spans="1:12" ht="38.25" customHeight="1" x14ac:dyDescent="0.2">
      <c r="A63" s="317" t="s">
        <v>334</v>
      </c>
      <c r="B63" s="317"/>
      <c r="C63" s="317"/>
      <c r="D63" s="317"/>
      <c r="E63" s="317"/>
      <c r="F63" s="317"/>
      <c r="G63" s="317"/>
      <c r="H63" s="317"/>
      <c r="I63" s="317"/>
      <c r="J63" s="317"/>
      <c r="K63" s="317"/>
      <c r="L63" s="317"/>
    </row>
    <row r="64" spans="1:12" ht="7.5" customHeight="1" x14ac:dyDescent="0.25">
      <c r="A64" s="1"/>
      <c r="B64" s="1"/>
    </row>
    <row r="65" spans="1:12" ht="36" customHeight="1" thickBot="1" x14ac:dyDescent="0.25">
      <c r="A65" s="10" t="s">
        <v>0</v>
      </c>
      <c r="B65" s="278" t="s">
        <v>91</v>
      </c>
      <c r="C65" s="278"/>
      <c r="D65" s="278"/>
      <c r="E65" s="278"/>
      <c r="F65" s="278"/>
      <c r="G65" s="278"/>
      <c r="H65" s="278"/>
      <c r="I65" s="278"/>
      <c r="J65" s="278"/>
      <c r="K65" s="278"/>
      <c r="L65" s="278"/>
    </row>
    <row r="66" spans="1:12" ht="20.25" customHeight="1" thickTop="1" x14ac:dyDescent="0.25">
      <c r="A66" s="1"/>
      <c r="B66" s="11" t="s">
        <v>3</v>
      </c>
      <c r="C66" s="12" t="s">
        <v>4</v>
      </c>
      <c r="D66" s="13"/>
      <c r="E66" s="13"/>
      <c r="F66" s="13"/>
      <c r="G66" s="13"/>
      <c r="H66" s="14"/>
      <c r="I66" s="15" t="s">
        <v>5</v>
      </c>
      <c r="J66" s="12" t="s">
        <v>17</v>
      </c>
      <c r="K66" s="13"/>
      <c r="L66" s="14"/>
    </row>
    <row r="67" spans="1:12" ht="18" customHeight="1" x14ac:dyDescent="0.2">
      <c r="A67" s="50"/>
      <c r="B67" s="143">
        <v>1</v>
      </c>
      <c r="C67" s="284" t="s">
        <v>303</v>
      </c>
      <c r="D67" s="285"/>
      <c r="E67" s="285"/>
      <c r="F67" s="285"/>
      <c r="G67" s="76"/>
      <c r="H67" s="79"/>
      <c r="I67" s="56">
        <v>250000</v>
      </c>
      <c r="J67" s="76"/>
      <c r="K67" s="76"/>
      <c r="L67" s="79"/>
    </row>
    <row r="68" spans="1:12" ht="34.5" customHeight="1" x14ac:dyDescent="0.2">
      <c r="B68" s="96"/>
      <c r="C68" s="124"/>
      <c r="D68" s="124"/>
      <c r="E68" s="127"/>
      <c r="F68" s="125"/>
      <c r="G68" s="124"/>
      <c r="H68" s="124"/>
      <c r="I68" s="23"/>
      <c r="L68" s="17"/>
    </row>
    <row r="69" spans="1:12" ht="16.5" customHeight="1" x14ac:dyDescent="0.25">
      <c r="A69" s="1"/>
      <c r="B69" s="39"/>
      <c r="C69" s="1"/>
      <c r="D69" s="1"/>
      <c r="E69" s="1"/>
      <c r="F69" s="40" t="s">
        <v>5</v>
      </c>
      <c r="G69" s="40"/>
      <c r="H69" s="1"/>
      <c r="I69" s="41">
        <f>SUM(I67:I67)</f>
        <v>250000</v>
      </c>
      <c r="J69" s="1"/>
      <c r="K69" s="1"/>
      <c r="L69" s="42"/>
    </row>
    <row r="70" spans="1:12" ht="10.5" customHeight="1" thickBot="1" x14ac:dyDescent="0.3">
      <c r="A70" s="1"/>
      <c r="B70" s="43"/>
      <c r="C70" s="44"/>
      <c r="D70" s="44"/>
      <c r="E70" s="44"/>
      <c r="F70" s="45"/>
      <c r="G70" s="45"/>
      <c r="H70" s="44"/>
      <c r="I70" s="46"/>
      <c r="J70" s="44"/>
      <c r="K70" s="44"/>
      <c r="L70" s="47"/>
    </row>
    <row r="71" spans="1:12" ht="15.75" thickTop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48" customHeight="1" x14ac:dyDescent="0.2">
      <c r="A72" s="10" t="s">
        <v>2</v>
      </c>
      <c r="B72" s="279" t="s">
        <v>11</v>
      </c>
      <c r="C72" s="279"/>
      <c r="D72" s="279"/>
      <c r="E72" s="279"/>
      <c r="F72" s="279"/>
      <c r="G72" s="279"/>
      <c r="H72" s="279"/>
      <c r="I72" s="279"/>
      <c r="J72" s="279"/>
      <c r="K72" s="279"/>
      <c r="L72" s="279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2" customHeight="1" x14ac:dyDescent="0.2">
      <c r="A74" s="280" t="s">
        <v>12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</row>
    <row r="75" spans="1:12" ht="1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customHeight="1" x14ac:dyDescent="0.25">
      <c r="A77" s="1"/>
      <c r="B77" s="1"/>
      <c r="C77" s="1"/>
      <c r="D77" s="1"/>
      <c r="E77" s="1"/>
      <c r="F77" s="1"/>
      <c r="G77" s="1"/>
      <c r="H77" s="4" t="s">
        <v>199</v>
      </c>
      <c r="J77" s="286" t="s">
        <v>335</v>
      </c>
      <c r="K77" s="286"/>
      <c r="L77" s="286"/>
    </row>
    <row r="78" spans="1:12" ht="15" x14ac:dyDescent="0.25">
      <c r="A78" s="1"/>
      <c r="B78" s="1" t="s">
        <v>15</v>
      </c>
      <c r="C78" s="1"/>
      <c r="D78" s="1"/>
      <c r="E78" s="1"/>
      <c r="F78" s="1"/>
      <c r="G78" s="1"/>
      <c r="H78" s="4" t="s">
        <v>13</v>
      </c>
    </row>
    <row r="79" spans="1:12" ht="15" customHeight="1" x14ac:dyDescent="0.25">
      <c r="A79" s="1"/>
      <c r="B79" s="1" t="s">
        <v>18</v>
      </c>
      <c r="C79" s="1"/>
      <c r="D79" s="1"/>
      <c r="E79" s="1"/>
      <c r="F79" s="1"/>
      <c r="G79" s="1"/>
      <c r="H79" s="4" t="s">
        <v>14</v>
      </c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"/>
    </row>
    <row r="83" spans="1:12" ht="15" x14ac:dyDescent="0.25">
      <c r="A83" s="1"/>
      <c r="K83" s="103"/>
      <c r="L83" s="1"/>
    </row>
    <row r="84" spans="1:12" ht="15" x14ac:dyDescent="0.25">
      <c r="A84" s="1"/>
      <c r="B84" s="95" t="s">
        <v>77</v>
      </c>
      <c r="H84" s="95" t="s">
        <v>77</v>
      </c>
      <c r="I84" s="95"/>
      <c r="J84" s="92"/>
      <c r="K84" s="103"/>
      <c r="L84" s="1"/>
    </row>
    <row r="85" spans="1:12" ht="15" x14ac:dyDescent="0.25">
      <c r="A85" s="1"/>
      <c r="B85" s="99" t="s">
        <v>27</v>
      </c>
      <c r="C85" s="57"/>
      <c r="H85" s="99" t="s">
        <v>27</v>
      </c>
      <c r="K85" s="103"/>
    </row>
    <row r="86" spans="1:12" ht="12.75" x14ac:dyDescent="0.2"/>
    <row r="87" spans="1:12" ht="12.75" x14ac:dyDescent="0.2"/>
    <row r="88" spans="1:12" ht="12.75" x14ac:dyDescent="0.2"/>
    <row r="89" spans="1:12" ht="12.75" x14ac:dyDescent="0.2"/>
    <row r="90" spans="1:12" ht="12.75" x14ac:dyDescent="0.2"/>
    <row r="91" spans="1:12" ht="18" customHeight="1" x14ac:dyDescent="0.2"/>
    <row r="92" spans="1:12" ht="23.25" customHeight="1" x14ac:dyDescent="0.25">
      <c r="A92" s="3" t="s">
        <v>22</v>
      </c>
    </row>
    <row r="93" spans="1:12" ht="18.75" customHeight="1" x14ac:dyDescent="0.2">
      <c r="A93" s="122" t="s">
        <v>20</v>
      </c>
    </row>
    <row r="94" spans="1:12" ht="14.25" customHeight="1" x14ac:dyDescent="0.2">
      <c r="A94" s="122" t="s">
        <v>21</v>
      </c>
    </row>
    <row r="95" spans="1:12" ht="21" customHeight="1" x14ac:dyDescent="0.2"/>
    <row r="96" spans="1:12" ht="15" customHeight="1" x14ac:dyDescent="0.2"/>
    <row r="97" spans="1:12" ht="18.75" customHeight="1" x14ac:dyDescent="0.2"/>
    <row r="98" spans="1:12" ht="19.5" customHeight="1" x14ac:dyDescent="0.3">
      <c r="A98" s="276" t="s">
        <v>6</v>
      </c>
      <c r="B98" s="276"/>
      <c r="C98" s="276"/>
      <c r="D98" s="276"/>
      <c r="E98" s="276"/>
      <c r="F98" s="276"/>
      <c r="G98" s="276"/>
      <c r="H98" s="276"/>
      <c r="I98" s="276"/>
      <c r="J98" s="276"/>
      <c r="K98" s="276"/>
      <c r="L98" s="276"/>
    </row>
    <row r="99" spans="1:12" ht="4.5" customHeight="1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</row>
    <row r="100" spans="1:12" ht="17.25" hidden="1" customHeight="1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</row>
    <row r="101" spans="1:12" ht="15" customHeight="1" x14ac:dyDescent="0.25">
      <c r="A101" s="1"/>
      <c r="B101" s="1"/>
    </row>
    <row r="102" spans="1:12" ht="13.5" customHeight="1" x14ac:dyDescent="0.25">
      <c r="A102" s="1" t="s">
        <v>7</v>
      </c>
      <c r="B102" s="1"/>
    </row>
    <row r="103" spans="1:12" ht="16.5" customHeight="1" x14ac:dyDescent="0.25">
      <c r="A103" s="1"/>
      <c r="B103" s="1"/>
    </row>
    <row r="104" spans="1:12" ht="17.25" customHeight="1" x14ac:dyDescent="0.25">
      <c r="A104" s="1" t="s">
        <v>8</v>
      </c>
      <c r="C104" s="9" t="s">
        <v>1</v>
      </c>
      <c r="D104" s="126" t="s">
        <v>64</v>
      </c>
      <c r="E104" s="76"/>
      <c r="F104" s="76"/>
      <c r="G104" s="76"/>
      <c r="H104" s="76"/>
    </row>
    <row r="105" spans="1:12" ht="13.5" customHeight="1" x14ac:dyDescent="0.25">
      <c r="A105" s="1" t="s">
        <v>9</v>
      </c>
      <c r="C105" s="9" t="s">
        <v>1</v>
      </c>
      <c r="D105" s="119" t="s">
        <v>236</v>
      </c>
      <c r="E105" s="76"/>
      <c r="F105" s="76"/>
      <c r="G105" s="76"/>
      <c r="H105" s="76"/>
    </row>
    <row r="106" spans="1:12" ht="15" customHeight="1" x14ac:dyDescent="0.2">
      <c r="A106" s="50" t="s">
        <v>10</v>
      </c>
      <c r="B106" s="76"/>
      <c r="C106" s="91" t="s">
        <v>1</v>
      </c>
      <c r="D106" s="124" t="s">
        <v>235</v>
      </c>
      <c r="E106" s="76"/>
      <c r="F106" s="76"/>
      <c r="G106" s="76"/>
      <c r="H106" s="76"/>
      <c r="I106" s="76"/>
      <c r="J106" s="76"/>
      <c r="K106" s="76"/>
      <c r="L106" s="76"/>
    </row>
    <row r="107" spans="1:12" ht="9.75" customHeight="1" x14ac:dyDescent="0.25">
      <c r="A107" s="1"/>
      <c r="B107" s="1"/>
      <c r="D107" s="1"/>
    </row>
    <row r="108" spans="1:12" ht="24.75" customHeight="1" x14ac:dyDescent="0.2">
      <c r="A108" s="317" t="s">
        <v>334</v>
      </c>
      <c r="B108" s="317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</row>
    <row r="109" spans="1:12" ht="21" customHeight="1" x14ac:dyDescent="0.25">
      <c r="A109" s="1"/>
      <c r="B109" s="1"/>
    </row>
    <row r="110" spans="1:12" ht="33.75" customHeight="1" thickBot="1" x14ac:dyDescent="0.25">
      <c r="A110" s="10" t="s">
        <v>0</v>
      </c>
      <c r="B110" s="278" t="s">
        <v>91</v>
      </c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</row>
    <row r="111" spans="1:12" ht="24.75" customHeight="1" thickTop="1" x14ac:dyDescent="0.25">
      <c r="A111" s="1"/>
      <c r="B111" s="11" t="s">
        <v>3</v>
      </c>
      <c r="C111" s="12" t="s">
        <v>4</v>
      </c>
      <c r="D111" s="13"/>
      <c r="E111" s="13"/>
      <c r="F111" s="13"/>
      <c r="G111" s="13"/>
      <c r="H111" s="14"/>
      <c r="I111" s="15" t="s">
        <v>5</v>
      </c>
      <c r="J111" s="12" t="s">
        <v>17</v>
      </c>
      <c r="K111" s="13"/>
      <c r="L111" s="14"/>
    </row>
    <row r="112" spans="1:12" ht="21" customHeight="1" x14ac:dyDescent="0.2">
      <c r="A112" s="50"/>
      <c r="B112" s="143">
        <v>1</v>
      </c>
      <c r="C112" s="284" t="s">
        <v>303</v>
      </c>
      <c r="D112" s="285"/>
      <c r="E112" s="285"/>
      <c r="F112" s="285"/>
      <c r="G112" s="76"/>
      <c r="H112" s="79"/>
      <c r="I112" s="56">
        <v>250000</v>
      </c>
      <c r="J112" s="76"/>
      <c r="K112" s="76"/>
      <c r="L112" s="79"/>
    </row>
    <row r="113" spans="1:12" ht="34.5" customHeight="1" x14ac:dyDescent="0.2">
      <c r="B113" s="96"/>
      <c r="C113" s="124"/>
      <c r="D113" s="124"/>
      <c r="E113" s="127"/>
      <c r="F113" s="125"/>
      <c r="G113" s="124"/>
      <c r="H113" s="124"/>
      <c r="I113" s="23"/>
      <c r="L113" s="17"/>
    </row>
    <row r="114" spans="1:12" ht="17.25" customHeight="1" x14ac:dyDescent="0.25">
      <c r="A114" s="1"/>
      <c r="B114" s="39"/>
      <c r="C114" s="1"/>
      <c r="D114" s="1"/>
      <c r="E114" s="1"/>
      <c r="F114" s="40" t="s">
        <v>5</v>
      </c>
      <c r="G114" s="40"/>
      <c r="H114" s="1"/>
      <c r="I114" s="41">
        <f>SUM(I112:I112)</f>
        <v>250000</v>
      </c>
      <c r="J114" s="1"/>
      <c r="K114" s="1"/>
      <c r="L114" s="42"/>
    </row>
    <row r="115" spans="1:12" ht="11.25" customHeight="1" thickBot="1" x14ac:dyDescent="0.3">
      <c r="A115" s="1"/>
      <c r="B115" s="43"/>
      <c r="C115" s="44"/>
      <c r="D115" s="44"/>
      <c r="E115" s="44"/>
      <c r="F115" s="45"/>
      <c r="G115" s="45"/>
      <c r="H115" s="44"/>
      <c r="I115" s="46"/>
      <c r="J115" s="44"/>
      <c r="K115" s="44"/>
      <c r="L115" s="47"/>
    </row>
    <row r="116" spans="1:12" ht="12.75" customHeight="1" thickTop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48" customHeight="1" x14ac:dyDescent="0.2">
      <c r="A117" s="10" t="s">
        <v>2</v>
      </c>
      <c r="B117" s="279" t="s">
        <v>11</v>
      </c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</row>
    <row r="118" spans="1:12" ht="19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3.5" customHeight="1" x14ac:dyDescent="0.2">
      <c r="A119" s="280" t="s">
        <v>12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</row>
    <row r="120" spans="1:12" ht="11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hidden="1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customHeight="1" x14ac:dyDescent="0.25">
      <c r="A122" s="1"/>
      <c r="B122" s="1"/>
      <c r="C122" s="1"/>
      <c r="D122" s="1"/>
      <c r="E122" s="1"/>
      <c r="F122" s="1"/>
      <c r="G122" s="1"/>
      <c r="H122" s="4" t="s">
        <v>199</v>
      </c>
      <c r="J122" s="286" t="s">
        <v>335</v>
      </c>
      <c r="K122" s="286"/>
      <c r="L122" s="286"/>
    </row>
    <row r="123" spans="1:12" ht="15.75" customHeight="1" x14ac:dyDescent="0.25">
      <c r="A123" s="1"/>
      <c r="B123" s="1" t="s">
        <v>15</v>
      </c>
      <c r="C123" s="1"/>
      <c r="D123" s="1"/>
      <c r="E123" s="1"/>
      <c r="F123" s="1"/>
      <c r="G123" s="1"/>
      <c r="H123" s="4" t="s">
        <v>13</v>
      </c>
    </row>
    <row r="124" spans="1:12" ht="15" x14ac:dyDescent="0.25">
      <c r="A124" s="1"/>
      <c r="B124" s="1" t="s">
        <v>18</v>
      </c>
      <c r="C124" s="1"/>
      <c r="D124" s="1"/>
      <c r="E124" s="1"/>
      <c r="F124" s="1"/>
      <c r="G124" s="1"/>
      <c r="H124" s="4" t="s">
        <v>14</v>
      </c>
    </row>
    <row r="125" spans="1:12" ht="33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7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hidden="1" customHeight="1" x14ac:dyDescent="0.25">
      <c r="A127" s="1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"/>
    </row>
    <row r="128" spans="1:12" ht="15" x14ac:dyDescent="0.25">
      <c r="A128" s="1"/>
      <c r="K128" s="103"/>
      <c r="L128" s="1"/>
    </row>
    <row r="129" spans="1:12" ht="15" customHeight="1" x14ac:dyDescent="0.25">
      <c r="A129" s="1"/>
      <c r="B129" s="95" t="s">
        <v>77</v>
      </c>
      <c r="H129" s="95" t="s">
        <v>64</v>
      </c>
      <c r="I129" s="95"/>
      <c r="J129" s="92"/>
      <c r="K129" s="103"/>
      <c r="L129" s="1"/>
    </row>
    <row r="130" spans="1:12" ht="14.25" customHeight="1" x14ac:dyDescent="0.25">
      <c r="A130" s="1"/>
      <c r="B130" s="99" t="s">
        <v>27</v>
      </c>
      <c r="C130" s="57"/>
      <c r="H130" s="99" t="s">
        <v>46</v>
      </c>
      <c r="K130" s="103"/>
    </row>
    <row r="131" spans="1:12" ht="12.75" x14ac:dyDescent="0.2"/>
    <row r="132" spans="1:12" ht="12.75" x14ac:dyDescent="0.2"/>
    <row r="133" spans="1:12" ht="14.25" customHeight="1" x14ac:dyDescent="0.2"/>
    <row r="134" spans="1:12" ht="29.25" customHeight="1" x14ac:dyDescent="0.25">
      <c r="A134" s="3" t="s">
        <v>22</v>
      </c>
    </row>
    <row r="135" spans="1:12" ht="16.5" customHeight="1" x14ac:dyDescent="0.2">
      <c r="A135" s="122" t="s">
        <v>20</v>
      </c>
    </row>
    <row r="136" spans="1:12" ht="21" customHeight="1" x14ac:dyDescent="0.2">
      <c r="A136" s="122" t="s">
        <v>21</v>
      </c>
    </row>
    <row r="137" spans="1:12" ht="15.75" customHeight="1" x14ac:dyDescent="0.2"/>
    <row r="138" spans="1:12" ht="3.75" customHeight="1" x14ac:dyDescent="0.2"/>
    <row r="139" spans="1:12" ht="18.75" customHeight="1" x14ac:dyDescent="0.2"/>
    <row r="140" spans="1:12" s="76" customFormat="1" ht="15" customHeight="1" x14ac:dyDescent="0.3">
      <c r="A140" s="276" t="s">
        <v>6</v>
      </c>
      <c r="B140" s="276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</row>
    <row r="141" spans="1:12" ht="17.2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18.75" x14ac:dyDescent="0.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</row>
    <row r="143" spans="1:12" ht="18.75" customHeight="1" x14ac:dyDescent="0.25">
      <c r="A143" s="1"/>
      <c r="B143" s="1"/>
    </row>
    <row r="144" spans="1:12" ht="15" x14ac:dyDescent="0.25">
      <c r="A144" s="1" t="s">
        <v>7</v>
      </c>
      <c r="B144" s="1"/>
    </row>
    <row r="145" spans="1:12" ht="13.5" customHeight="1" x14ac:dyDescent="0.25">
      <c r="A145" s="1"/>
      <c r="B145" s="1"/>
    </row>
    <row r="146" spans="1:12" ht="16.5" customHeight="1" x14ac:dyDescent="0.25">
      <c r="A146" s="1" t="s">
        <v>8</v>
      </c>
      <c r="C146" s="9" t="s">
        <v>1</v>
      </c>
      <c r="D146" s="123" t="s">
        <v>78</v>
      </c>
      <c r="E146" s="76"/>
      <c r="F146" s="76"/>
      <c r="G146" s="76"/>
      <c r="H146" s="76"/>
    </row>
    <row r="147" spans="1:12" ht="12" customHeight="1" x14ac:dyDescent="0.25">
      <c r="A147" s="1" t="s">
        <v>9</v>
      </c>
      <c r="C147" s="9" t="s">
        <v>1</v>
      </c>
      <c r="D147" s="76" t="s">
        <v>234</v>
      </c>
      <c r="E147" s="76"/>
      <c r="F147" s="76"/>
      <c r="G147" s="76"/>
      <c r="H147" s="76"/>
    </row>
    <row r="148" spans="1:12" ht="20.25" customHeight="1" x14ac:dyDescent="0.2">
      <c r="A148" s="50" t="s">
        <v>10</v>
      </c>
      <c r="B148" s="76"/>
      <c r="C148" s="91" t="s">
        <v>1</v>
      </c>
      <c r="D148" s="50" t="s">
        <v>235</v>
      </c>
      <c r="E148" s="76"/>
      <c r="F148" s="76"/>
      <c r="G148" s="76"/>
      <c r="H148" s="76"/>
      <c r="I148" s="76"/>
      <c r="J148" s="76"/>
      <c r="K148" s="76"/>
      <c r="L148" s="76"/>
    </row>
    <row r="149" spans="1:12" ht="15" customHeight="1" x14ac:dyDescent="0.25">
      <c r="A149" s="1"/>
      <c r="B149" s="1"/>
      <c r="D149" s="1"/>
    </row>
    <row r="150" spans="1:12" ht="33" customHeight="1" x14ac:dyDescent="0.2">
      <c r="A150" s="317" t="s">
        <v>334</v>
      </c>
      <c r="B150" s="317"/>
      <c r="C150" s="317"/>
      <c r="D150" s="317"/>
      <c r="E150" s="317"/>
      <c r="F150" s="317"/>
      <c r="G150" s="317"/>
      <c r="H150" s="317"/>
      <c r="I150" s="317"/>
      <c r="J150" s="317"/>
      <c r="K150" s="317"/>
      <c r="L150" s="317"/>
    </row>
    <row r="151" spans="1:12" ht="14.25" customHeight="1" x14ac:dyDescent="0.25">
      <c r="A151" s="1"/>
      <c r="B151" s="1"/>
    </row>
    <row r="152" spans="1:12" ht="34.5" customHeight="1" thickBot="1" x14ac:dyDescent="0.25">
      <c r="A152" s="10" t="s">
        <v>0</v>
      </c>
      <c r="B152" s="278" t="s">
        <v>91</v>
      </c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</row>
    <row r="153" spans="1:12" ht="13.5" customHeight="1" thickTop="1" x14ac:dyDescent="0.25">
      <c r="A153" s="1"/>
      <c r="B153" s="11" t="s">
        <v>3</v>
      </c>
      <c r="C153" s="12" t="s">
        <v>4</v>
      </c>
      <c r="D153" s="13"/>
      <c r="E153" s="13"/>
      <c r="F153" s="13"/>
      <c r="G153" s="13"/>
      <c r="H153" s="14"/>
      <c r="I153" s="15" t="s">
        <v>5</v>
      </c>
      <c r="J153" s="12" t="s">
        <v>17</v>
      </c>
      <c r="K153" s="13"/>
      <c r="L153" s="14"/>
    </row>
    <row r="154" spans="1:12" ht="36.75" customHeight="1" x14ac:dyDescent="0.2">
      <c r="A154" s="50"/>
      <c r="B154" s="143">
        <v>1</v>
      </c>
      <c r="C154" s="284" t="s">
        <v>303</v>
      </c>
      <c r="D154" s="285"/>
      <c r="E154" s="285"/>
      <c r="F154" s="285"/>
      <c r="G154" s="76"/>
      <c r="H154" s="79"/>
      <c r="I154" s="56">
        <v>250000</v>
      </c>
      <c r="J154" s="76"/>
      <c r="K154" s="76"/>
      <c r="L154" s="79"/>
    </row>
    <row r="155" spans="1:12" ht="45" customHeight="1" x14ac:dyDescent="0.2">
      <c r="B155" s="96"/>
      <c r="C155" s="124"/>
      <c r="D155" s="124"/>
      <c r="E155" s="127"/>
      <c r="F155" s="125"/>
      <c r="G155" s="124"/>
      <c r="H155" s="124"/>
      <c r="I155" s="23"/>
      <c r="L155" s="17"/>
    </row>
    <row r="156" spans="1:12" ht="17.25" customHeight="1" x14ac:dyDescent="0.25">
      <c r="A156" s="1"/>
      <c r="B156" s="39"/>
      <c r="C156" s="1"/>
      <c r="D156" s="1"/>
      <c r="E156" s="1"/>
      <c r="F156" s="40" t="s">
        <v>5</v>
      </c>
      <c r="G156" s="40"/>
      <c r="H156" s="1"/>
      <c r="I156" s="41">
        <f>SUM(I154:I154)</f>
        <v>250000</v>
      </c>
      <c r="J156" s="1"/>
      <c r="K156" s="1"/>
      <c r="L156" s="42"/>
    </row>
    <row r="157" spans="1:12" ht="18" customHeight="1" thickBot="1" x14ac:dyDescent="0.3">
      <c r="A157" s="1"/>
      <c r="B157" s="43"/>
      <c r="C157" s="44"/>
      <c r="D157" s="44"/>
      <c r="E157" s="44"/>
      <c r="F157" s="45"/>
      <c r="G157" s="45"/>
      <c r="H157" s="44"/>
      <c r="I157" s="46"/>
      <c r="J157" s="44"/>
      <c r="K157" s="44"/>
      <c r="L157" s="47"/>
    </row>
    <row r="158" spans="1:12" ht="18" customHeight="1" thickTop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45" customHeight="1" x14ac:dyDescent="0.2">
      <c r="A159" s="10" t="s">
        <v>2</v>
      </c>
      <c r="B159" s="279" t="s">
        <v>11</v>
      </c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</row>
    <row r="160" spans="1:1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3.5" customHeight="1" x14ac:dyDescent="0.2">
      <c r="A161" s="280" t="s">
        <v>12</v>
      </c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</row>
    <row r="162" spans="1:12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6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5">
      <c r="A164" s="1"/>
      <c r="B164" s="1"/>
      <c r="C164" s="1"/>
      <c r="D164" s="1"/>
      <c r="E164" s="1"/>
      <c r="F164" s="1"/>
      <c r="G164" s="1"/>
      <c r="H164" s="4" t="s">
        <v>199</v>
      </c>
      <c r="J164" s="286" t="s">
        <v>335</v>
      </c>
      <c r="K164" s="286"/>
      <c r="L164" s="286"/>
    </row>
    <row r="165" spans="1:12" s="76" customFormat="1" ht="15" customHeight="1" x14ac:dyDescent="0.25">
      <c r="A165" s="1"/>
      <c r="B165" s="1" t="s">
        <v>15</v>
      </c>
      <c r="C165" s="1"/>
      <c r="D165" s="1"/>
      <c r="E165" s="1"/>
      <c r="F165" s="1"/>
      <c r="G165" s="1"/>
      <c r="H165" s="4" t="s">
        <v>13</v>
      </c>
      <c r="I165" s="4"/>
      <c r="J165" s="4"/>
      <c r="K165" s="4"/>
      <c r="L165" s="4"/>
    </row>
    <row r="166" spans="1:12" ht="15" customHeight="1" x14ac:dyDescent="0.25">
      <c r="A166" s="1"/>
      <c r="B166" s="1" t="s">
        <v>18</v>
      </c>
      <c r="C166" s="1"/>
      <c r="D166" s="1"/>
      <c r="E166" s="1"/>
      <c r="F166" s="1"/>
      <c r="G166" s="1"/>
      <c r="H166" s="4" t="s">
        <v>14</v>
      </c>
    </row>
    <row r="167" spans="1:12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9.5" customHeight="1" x14ac:dyDescent="0.25">
      <c r="A169" s="1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"/>
    </row>
    <row r="170" spans="1:12" ht="16.5" customHeight="1" x14ac:dyDescent="0.25">
      <c r="A170" s="1"/>
      <c r="K170" s="103"/>
      <c r="L170" s="1"/>
    </row>
    <row r="171" spans="1:12" ht="15.75" customHeight="1" x14ac:dyDescent="0.25">
      <c r="A171" s="1"/>
      <c r="B171" s="95" t="s">
        <v>77</v>
      </c>
      <c r="H171" s="95" t="s">
        <v>78</v>
      </c>
      <c r="I171" s="95"/>
      <c r="J171" s="92"/>
      <c r="K171" s="103"/>
      <c r="L171" s="1"/>
    </row>
    <row r="172" spans="1:12" ht="14.25" customHeight="1" x14ac:dyDescent="0.25">
      <c r="A172" s="1"/>
      <c r="B172" s="99" t="s">
        <v>27</v>
      </c>
      <c r="C172" s="57"/>
      <c r="H172" s="99" t="s">
        <v>79</v>
      </c>
      <c r="K172" s="103"/>
    </row>
    <row r="173" spans="1:12" ht="12.75" x14ac:dyDescent="0.2"/>
    <row r="174" spans="1:12" ht="15" customHeight="1" x14ac:dyDescent="0.2"/>
    <row r="175" spans="1:12" ht="19.5" customHeight="1" x14ac:dyDescent="0.2"/>
    <row r="176" spans="1:12" ht="15.75" customHeight="1" x14ac:dyDescent="0.2"/>
    <row r="177" spans="1:12" ht="18" customHeight="1" x14ac:dyDescent="0.25">
      <c r="A177" s="3" t="s">
        <v>22</v>
      </c>
    </row>
    <row r="178" spans="1:12" ht="19.5" customHeight="1" x14ac:dyDescent="0.2">
      <c r="A178" s="122" t="s">
        <v>20</v>
      </c>
    </row>
    <row r="179" spans="1:12" ht="16.5" customHeight="1" x14ac:dyDescent="0.2">
      <c r="A179" s="122" t="s">
        <v>21</v>
      </c>
    </row>
    <row r="180" spans="1:12" ht="22.5" customHeight="1" x14ac:dyDescent="0.2"/>
    <row r="181" spans="1:12" ht="14.25" customHeight="1" x14ac:dyDescent="0.2"/>
    <row r="182" spans="1:12" ht="18.75" customHeight="1" x14ac:dyDescent="0.2"/>
    <row r="183" spans="1:12" ht="18.75" x14ac:dyDescent="0.3">
      <c r="A183" s="276" t="s">
        <v>6</v>
      </c>
      <c r="B183" s="276"/>
      <c r="C183" s="276"/>
      <c r="D183" s="276"/>
      <c r="E183" s="276"/>
      <c r="F183" s="276"/>
      <c r="G183" s="276"/>
      <c r="H183" s="276"/>
      <c r="I183" s="276"/>
      <c r="J183" s="276"/>
      <c r="K183" s="276"/>
      <c r="L183" s="276"/>
    </row>
    <row r="184" spans="1:12" s="76" customFormat="1" ht="17.25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</row>
    <row r="185" spans="1:12" ht="26.25" customHeigh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</row>
    <row r="186" spans="1:12" ht="17.25" customHeight="1" x14ac:dyDescent="0.25">
      <c r="A186" s="1"/>
      <c r="B186" s="1"/>
    </row>
    <row r="187" spans="1:12" ht="22.5" customHeight="1" x14ac:dyDescent="0.25">
      <c r="A187" s="1" t="s">
        <v>7</v>
      </c>
      <c r="B187" s="1"/>
    </row>
    <row r="188" spans="1:12" ht="17.25" customHeight="1" x14ac:dyDescent="0.25">
      <c r="A188" s="1"/>
      <c r="B188" s="1"/>
    </row>
    <row r="189" spans="1:12" ht="17.25" customHeight="1" x14ac:dyDescent="0.25">
      <c r="A189" s="1" t="s">
        <v>8</v>
      </c>
      <c r="C189" s="9" t="s">
        <v>1</v>
      </c>
      <c r="D189" s="92" t="s">
        <v>96</v>
      </c>
      <c r="E189" s="76"/>
      <c r="F189" s="76"/>
      <c r="G189" s="76"/>
      <c r="H189" s="76"/>
    </row>
    <row r="190" spans="1:12" ht="24" customHeight="1" x14ac:dyDescent="0.25">
      <c r="A190" s="1" t="s">
        <v>9</v>
      </c>
      <c r="C190" s="9" t="s">
        <v>1</v>
      </c>
      <c r="D190" s="57" t="s">
        <v>200</v>
      </c>
      <c r="E190" s="76"/>
      <c r="F190" s="76"/>
      <c r="G190" s="76"/>
      <c r="H190" s="76"/>
    </row>
    <row r="191" spans="1:12" ht="15" x14ac:dyDescent="0.2">
      <c r="A191" s="50" t="s">
        <v>10</v>
      </c>
      <c r="B191" s="76"/>
      <c r="C191" s="91" t="s">
        <v>1</v>
      </c>
      <c r="D191" s="50" t="s">
        <v>203</v>
      </c>
      <c r="E191" s="76"/>
      <c r="F191" s="76"/>
      <c r="G191" s="76"/>
      <c r="H191" s="76"/>
      <c r="I191" s="76"/>
      <c r="J191" s="76"/>
      <c r="K191" s="76"/>
      <c r="L191" s="76"/>
    </row>
    <row r="192" spans="1:12" ht="10.5" customHeight="1" x14ac:dyDescent="0.25">
      <c r="A192" s="1"/>
      <c r="B192" s="1"/>
      <c r="D192" s="1"/>
    </row>
    <row r="193" spans="1:12" ht="27.75" customHeight="1" x14ac:dyDescent="0.2">
      <c r="A193" s="277" t="s">
        <v>336</v>
      </c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</row>
    <row r="194" spans="1:12" ht="12.75" customHeight="1" x14ac:dyDescent="0.25">
      <c r="A194" s="1"/>
      <c r="B194" s="1"/>
    </row>
    <row r="195" spans="1:12" ht="33" customHeight="1" thickBot="1" x14ac:dyDescent="0.25">
      <c r="A195" s="10" t="s">
        <v>0</v>
      </c>
      <c r="B195" s="278" t="s">
        <v>91</v>
      </c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</row>
    <row r="196" spans="1:12" ht="21" customHeight="1" thickTop="1" x14ac:dyDescent="0.25">
      <c r="A196" s="1"/>
      <c r="B196" s="11" t="s">
        <v>3</v>
      </c>
      <c r="C196" s="12" t="s">
        <v>4</v>
      </c>
      <c r="D196" s="13"/>
      <c r="E196" s="13"/>
      <c r="F196" s="13"/>
      <c r="G196" s="13"/>
      <c r="H196" s="14"/>
      <c r="I196" s="15" t="s">
        <v>5</v>
      </c>
      <c r="J196" s="12" t="s">
        <v>17</v>
      </c>
      <c r="K196" s="13"/>
      <c r="L196" s="14"/>
    </row>
    <row r="197" spans="1:12" ht="15" customHeight="1" x14ac:dyDescent="0.2">
      <c r="A197" s="76"/>
      <c r="B197" s="149">
        <v>1</v>
      </c>
      <c r="C197" s="284" t="s">
        <v>303</v>
      </c>
      <c r="D197" s="285"/>
      <c r="E197" s="285"/>
      <c r="F197" s="285"/>
      <c r="G197" s="76"/>
      <c r="H197" s="79"/>
      <c r="I197" s="80">
        <v>250000</v>
      </c>
      <c r="J197" s="76"/>
      <c r="K197" s="76"/>
      <c r="L197" s="79"/>
    </row>
    <row r="198" spans="1:12" ht="31.5" customHeight="1" x14ac:dyDescent="0.2">
      <c r="B198" s="142">
        <v>2</v>
      </c>
      <c r="C198" s="313" t="s">
        <v>238</v>
      </c>
      <c r="D198" s="314"/>
      <c r="E198" s="150">
        <v>622000</v>
      </c>
      <c r="F198" s="316" t="s">
        <v>239</v>
      </c>
      <c r="G198" s="314"/>
      <c r="H198" s="315"/>
      <c r="I198" s="80">
        <f>E198*30/100</f>
        <v>186600</v>
      </c>
      <c r="J198" s="76" t="s">
        <v>240</v>
      </c>
      <c r="K198" s="76"/>
      <c r="L198" s="79"/>
    </row>
    <row r="199" spans="1:12" ht="16.5" customHeight="1" x14ac:dyDescent="0.2">
      <c r="B199" s="96"/>
      <c r="C199" s="124"/>
      <c r="D199" s="124"/>
      <c r="E199" s="127"/>
      <c r="F199" s="125"/>
      <c r="G199" s="124"/>
      <c r="H199" s="124"/>
      <c r="I199" s="56"/>
      <c r="J199" s="76"/>
      <c r="K199" s="76"/>
      <c r="L199" s="79"/>
    </row>
    <row r="200" spans="1:12" ht="24.75" customHeight="1" x14ac:dyDescent="0.25">
      <c r="A200" s="1"/>
      <c r="B200" s="39"/>
      <c r="C200" s="1"/>
      <c r="D200" s="1"/>
      <c r="E200" s="1"/>
      <c r="F200" s="40" t="s">
        <v>5</v>
      </c>
      <c r="G200" s="40"/>
      <c r="H200" s="1"/>
      <c r="I200" s="41">
        <f>SUM(I197:I198)</f>
        <v>436600</v>
      </c>
      <c r="J200" s="1"/>
      <c r="K200" s="1"/>
      <c r="L200" s="42"/>
    </row>
    <row r="201" spans="1:12" ht="15.75" customHeight="1" thickBot="1" x14ac:dyDescent="0.3">
      <c r="A201" s="1"/>
      <c r="B201" s="43"/>
      <c r="C201" s="44"/>
      <c r="D201" s="44"/>
      <c r="E201" s="44"/>
      <c r="F201" s="45"/>
      <c r="G201" s="45"/>
      <c r="H201" s="44"/>
      <c r="I201" s="46"/>
      <c r="J201" s="44"/>
      <c r="K201" s="44"/>
      <c r="L201" s="47"/>
    </row>
    <row r="202" spans="1:12" ht="15.75" customHeight="1" thickTop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45.75" customHeight="1" x14ac:dyDescent="0.2">
      <c r="A203" s="10" t="s">
        <v>2</v>
      </c>
      <c r="B203" s="279" t="s">
        <v>11</v>
      </c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</row>
    <row r="204" spans="1:12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6.5" customHeight="1" x14ac:dyDescent="0.2">
      <c r="A205" s="280" t="s">
        <v>12</v>
      </c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</row>
    <row r="206" spans="1:1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24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7.25" customHeight="1" x14ac:dyDescent="0.25">
      <c r="A208" s="1"/>
      <c r="B208" s="1"/>
      <c r="C208" s="1"/>
      <c r="D208" s="1"/>
      <c r="E208" s="1"/>
      <c r="F208" s="1"/>
      <c r="G208" s="1"/>
      <c r="H208" s="4" t="s">
        <v>199</v>
      </c>
      <c r="J208" s="286" t="s">
        <v>335</v>
      </c>
      <c r="K208" s="286"/>
      <c r="L208" s="286"/>
    </row>
    <row r="209" spans="1:12" ht="15" customHeight="1" x14ac:dyDescent="0.25">
      <c r="A209" s="1"/>
      <c r="B209" s="1" t="s">
        <v>15</v>
      </c>
      <c r="C209" s="1"/>
      <c r="D209" s="1"/>
      <c r="E209" s="1"/>
      <c r="F209" s="1"/>
      <c r="G209" s="1"/>
      <c r="H209" s="4" t="s">
        <v>13</v>
      </c>
    </row>
    <row r="210" spans="1:12" ht="15" customHeight="1" x14ac:dyDescent="0.25">
      <c r="A210" s="1"/>
      <c r="B210" s="1" t="s">
        <v>18</v>
      </c>
      <c r="C210" s="1"/>
      <c r="D210" s="1"/>
      <c r="E210" s="1"/>
      <c r="F210" s="1"/>
      <c r="G210" s="1"/>
      <c r="H210" s="4" t="s">
        <v>14</v>
      </c>
    </row>
    <row r="211" spans="1:1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6" customHeight="1" x14ac:dyDescent="0.25">
      <c r="A213" s="1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"/>
    </row>
    <row r="214" spans="1:12" ht="14.25" customHeight="1" x14ac:dyDescent="0.25">
      <c r="A214" s="1"/>
      <c r="K214" s="103"/>
      <c r="L214" s="1"/>
    </row>
    <row r="215" spans="1:12" ht="15" x14ac:dyDescent="0.25">
      <c r="A215" s="1"/>
      <c r="B215" s="95" t="s">
        <v>77</v>
      </c>
      <c r="H215" s="95" t="s">
        <v>96</v>
      </c>
      <c r="I215" s="95"/>
      <c r="J215" s="92"/>
      <c r="K215" s="103"/>
      <c r="L215" s="1"/>
    </row>
    <row r="216" spans="1:12" ht="18" customHeight="1" x14ac:dyDescent="0.25">
      <c r="A216" s="1"/>
      <c r="B216" s="99" t="s">
        <v>27</v>
      </c>
      <c r="C216" s="57"/>
      <c r="H216" s="99" t="s">
        <v>100</v>
      </c>
      <c r="K216" s="103"/>
    </row>
    <row r="217" spans="1:12" ht="0.75" customHeight="1" x14ac:dyDescent="0.2"/>
    <row r="218" spans="1:12" ht="19.5" customHeight="1" x14ac:dyDescent="0.2"/>
    <row r="219" spans="1:12" ht="15.75" customHeight="1" x14ac:dyDescent="0.2"/>
    <row r="220" spans="1:12" ht="15.75" customHeight="1" x14ac:dyDescent="0.2"/>
    <row r="221" spans="1:12" ht="19.5" customHeight="1" x14ac:dyDescent="0.2"/>
    <row r="222" spans="1:12" ht="15.75" customHeight="1" x14ac:dyDescent="0.25">
      <c r="A222" s="3" t="s">
        <v>22</v>
      </c>
    </row>
    <row r="223" spans="1:12" s="119" customFormat="1" ht="18" customHeight="1" x14ac:dyDescent="0.2">
      <c r="A223" s="122" t="s">
        <v>20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5.75" x14ac:dyDescent="0.2">
      <c r="A224" s="122" t="s">
        <v>21</v>
      </c>
    </row>
    <row r="225" spans="1:12" ht="12.75" customHeight="1" x14ac:dyDescent="0.2"/>
    <row r="226" spans="1:12" s="99" customFormat="1" ht="19.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9.5" customHeight="1" x14ac:dyDescent="0.2"/>
    <row r="228" spans="1:12" ht="16.5" customHeight="1" x14ac:dyDescent="0.3">
      <c r="A228" s="276" t="s">
        <v>6</v>
      </c>
      <c r="B228" s="276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</row>
    <row r="229" spans="1:12" ht="10.5" customHeight="1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</row>
    <row r="230" spans="1:12" ht="21" customHeight="1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</row>
    <row r="231" spans="1:12" ht="21.75" customHeight="1" x14ac:dyDescent="0.25">
      <c r="A231" s="1"/>
      <c r="B231" s="1"/>
    </row>
    <row r="232" spans="1:12" s="76" customFormat="1" ht="21" customHeight="1" x14ac:dyDescent="0.25">
      <c r="A232" s="1" t="s">
        <v>7</v>
      </c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9.5" customHeight="1" x14ac:dyDescent="0.25">
      <c r="A233" s="1"/>
      <c r="B233" s="1"/>
    </row>
    <row r="234" spans="1:12" ht="17.25" customHeight="1" x14ac:dyDescent="0.25">
      <c r="A234" s="1" t="s">
        <v>8</v>
      </c>
      <c r="C234" s="9" t="s">
        <v>1</v>
      </c>
      <c r="D234" s="92" t="s">
        <v>77</v>
      </c>
      <c r="E234" s="76"/>
      <c r="F234" s="76"/>
      <c r="G234" s="76"/>
      <c r="H234" s="76"/>
    </row>
    <row r="235" spans="1:12" ht="17.25" customHeight="1" x14ac:dyDescent="0.25">
      <c r="A235" s="1" t="s">
        <v>9</v>
      </c>
      <c r="C235" s="9" t="s">
        <v>1</v>
      </c>
      <c r="D235" s="57" t="s">
        <v>201</v>
      </c>
      <c r="E235" s="76"/>
      <c r="F235" s="76"/>
      <c r="G235" s="76"/>
      <c r="H235" s="76"/>
    </row>
    <row r="236" spans="1:12" ht="17.25" customHeight="1" x14ac:dyDescent="0.2">
      <c r="A236" s="50" t="s">
        <v>10</v>
      </c>
      <c r="B236" s="76"/>
      <c r="C236" s="91" t="s">
        <v>1</v>
      </c>
      <c r="D236" s="50" t="s">
        <v>265</v>
      </c>
      <c r="E236" s="76"/>
      <c r="F236" s="76"/>
      <c r="G236" s="76"/>
      <c r="H236" s="76"/>
      <c r="I236" s="76"/>
      <c r="J236" s="76"/>
      <c r="K236" s="76"/>
      <c r="L236" s="76"/>
    </row>
    <row r="237" spans="1:12" ht="19.5" customHeight="1" x14ac:dyDescent="0.25">
      <c r="A237" s="1"/>
      <c r="B237" s="1"/>
      <c r="D237" s="1"/>
    </row>
    <row r="238" spans="1:12" ht="30" customHeight="1" x14ac:dyDescent="0.2">
      <c r="A238" s="277" t="s">
        <v>336</v>
      </c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</row>
    <row r="239" spans="1:12" ht="16.5" customHeight="1" x14ac:dyDescent="0.25">
      <c r="A239" s="1"/>
      <c r="B239" s="1"/>
    </row>
    <row r="240" spans="1:12" ht="35.25" customHeight="1" thickBot="1" x14ac:dyDescent="0.25">
      <c r="A240" s="10" t="s">
        <v>0</v>
      </c>
      <c r="B240" s="278" t="s">
        <v>91</v>
      </c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</row>
    <row r="241" spans="1:12" ht="23.25" customHeight="1" thickTop="1" x14ac:dyDescent="0.25">
      <c r="A241" s="1"/>
      <c r="B241" s="11" t="s">
        <v>3</v>
      </c>
      <c r="C241" s="12" t="s">
        <v>4</v>
      </c>
      <c r="D241" s="13"/>
      <c r="E241" s="13"/>
      <c r="F241" s="13"/>
      <c r="G241" s="13"/>
      <c r="H241" s="14"/>
      <c r="I241" s="15" t="s">
        <v>5</v>
      </c>
      <c r="J241" s="12" t="s">
        <v>17</v>
      </c>
      <c r="K241" s="13"/>
      <c r="L241" s="14"/>
    </row>
    <row r="242" spans="1:12" ht="19.5" customHeight="1" x14ac:dyDescent="0.2">
      <c r="A242" s="50"/>
      <c r="B242" s="143">
        <v>1</v>
      </c>
      <c r="C242" s="284" t="s">
        <v>303</v>
      </c>
      <c r="D242" s="285"/>
      <c r="E242" s="285"/>
      <c r="F242" s="285"/>
      <c r="G242" s="76"/>
      <c r="H242" s="79"/>
      <c r="I242" s="56">
        <v>250000</v>
      </c>
      <c r="J242" s="76"/>
      <c r="K242" s="76"/>
      <c r="L242" s="79"/>
    </row>
    <row r="243" spans="1:12" ht="24.75" customHeight="1" x14ac:dyDescent="0.25">
      <c r="A243" s="50"/>
      <c r="B243" s="96">
        <v>2</v>
      </c>
      <c r="C243" s="321" t="s">
        <v>238</v>
      </c>
      <c r="D243" s="297"/>
      <c r="E243" s="127">
        <v>1957000</v>
      </c>
      <c r="F243" s="319" t="s">
        <v>239</v>
      </c>
      <c r="G243" s="297"/>
      <c r="H243" s="320"/>
      <c r="I243" s="56">
        <f>E243*30/100*1</f>
        <v>587100</v>
      </c>
      <c r="J243" s="50" t="s">
        <v>240</v>
      </c>
      <c r="K243" s="1"/>
      <c r="L243" s="17"/>
    </row>
    <row r="244" spans="1:12" ht="24.75" customHeight="1" x14ac:dyDescent="0.25">
      <c r="A244" s="50"/>
      <c r="B244" s="96"/>
      <c r="C244" s="124"/>
      <c r="D244" s="124"/>
      <c r="E244" s="127"/>
      <c r="F244" s="125"/>
      <c r="G244" s="124"/>
      <c r="H244" s="124"/>
      <c r="I244" s="56"/>
      <c r="J244" s="50"/>
      <c r="K244" s="1"/>
      <c r="L244" s="17"/>
    </row>
    <row r="245" spans="1:12" ht="22.5" customHeight="1" x14ac:dyDescent="0.25">
      <c r="A245" s="1"/>
      <c r="B245" s="39"/>
      <c r="C245" s="1"/>
      <c r="D245" s="1"/>
      <c r="E245" s="1"/>
      <c r="F245" s="40" t="s">
        <v>5</v>
      </c>
      <c r="G245" s="40"/>
      <c r="H245" s="1"/>
      <c r="I245" s="41">
        <f>SUM(I242:I243)</f>
        <v>837100</v>
      </c>
      <c r="J245" s="1"/>
      <c r="K245" s="1"/>
      <c r="L245" s="42"/>
    </row>
    <row r="246" spans="1:12" ht="12" customHeight="1" thickBot="1" x14ac:dyDescent="0.3">
      <c r="A246" s="1"/>
      <c r="B246" s="43"/>
      <c r="C246" s="44"/>
      <c r="D246" s="44"/>
      <c r="E246" s="44"/>
      <c r="F246" s="45"/>
      <c r="G246" s="45"/>
      <c r="H246" s="44"/>
      <c r="I246" s="46"/>
      <c r="J246" s="44"/>
      <c r="K246" s="44"/>
      <c r="L246" s="47"/>
    </row>
    <row r="247" spans="1:12" ht="18.75" customHeight="1" thickTop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50.25" customHeight="1" x14ac:dyDescent="0.2">
      <c r="A248" s="10" t="s">
        <v>2</v>
      </c>
      <c r="B248" s="279" t="s">
        <v>11</v>
      </c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</row>
    <row r="249" spans="1:12" ht="1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" customHeight="1" x14ac:dyDescent="0.2">
      <c r="A250" s="280" t="s">
        <v>12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</row>
    <row r="251" spans="1:1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5">
      <c r="A253" s="1"/>
      <c r="B253" s="1"/>
      <c r="C253" s="1"/>
      <c r="D253" s="1"/>
      <c r="E253" s="1"/>
      <c r="F253" s="1"/>
      <c r="G253" s="1"/>
      <c r="H253" s="4" t="s">
        <v>199</v>
      </c>
      <c r="J253" s="286" t="s">
        <v>335</v>
      </c>
      <c r="K253" s="286"/>
      <c r="L253" s="286"/>
    </row>
    <row r="254" spans="1:12" ht="14.25" customHeight="1" x14ac:dyDescent="0.25">
      <c r="A254" s="1"/>
      <c r="B254" s="1" t="s">
        <v>15</v>
      </c>
      <c r="C254" s="1"/>
      <c r="D254" s="1"/>
      <c r="E254" s="1"/>
      <c r="F254" s="1"/>
      <c r="G254" s="1"/>
      <c r="H254" s="4" t="s">
        <v>13</v>
      </c>
    </row>
    <row r="255" spans="1:12" ht="19.5" customHeight="1" x14ac:dyDescent="0.25">
      <c r="A255" s="1"/>
      <c r="B255" s="1" t="s">
        <v>18</v>
      </c>
      <c r="C255" s="1"/>
      <c r="D255" s="1"/>
      <c r="E255" s="1"/>
      <c r="F255" s="1"/>
      <c r="G255" s="1"/>
      <c r="H255" s="4" t="s">
        <v>14</v>
      </c>
    </row>
    <row r="256" spans="1:12" ht="18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9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.5" customHeight="1" x14ac:dyDescent="0.25">
      <c r="A258" s="1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"/>
    </row>
    <row r="259" spans="1:12" ht="18" customHeight="1" x14ac:dyDescent="0.25">
      <c r="A259" s="1"/>
      <c r="K259" s="103"/>
      <c r="L259" s="1"/>
    </row>
    <row r="260" spans="1:12" ht="15" customHeight="1" x14ac:dyDescent="0.25">
      <c r="A260" s="1"/>
      <c r="B260" s="95" t="s">
        <v>77</v>
      </c>
      <c r="H260" s="95" t="s">
        <v>77</v>
      </c>
      <c r="I260" s="95"/>
      <c r="J260" s="92"/>
      <c r="K260" s="103"/>
      <c r="L260" s="1"/>
    </row>
    <row r="261" spans="1:12" ht="15" customHeight="1" x14ac:dyDescent="0.25">
      <c r="A261" s="1"/>
      <c r="B261" s="99" t="s">
        <v>27</v>
      </c>
      <c r="C261" s="57"/>
      <c r="H261" s="99" t="s">
        <v>27</v>
      </c>
      <c r="K261" s="103"/>
    </row>
    <row r="262" spans="1:12" ht="11.25" customHeight="1" x14ac:dyDescent="0.2"/>
    <row r="263" spans="1:12" ht="15.75" customHeight="1" x14ac:dyDescent="0.2"/>
    <row r="264" spans="1:12" ht="12.75" customHeight="1" x14ac:dyDescent="0.2"/>
    <row r="265" spans="1:12" ht="13.5" customHeight="1" x14ac:dyDescent="0.2"/>
    <row r="266" spans="1:12" ht="15.75" customHeight="1" x14ac:dyDescent="0.2"/>
    <row r="267" spans="1:12" ht="15" customHeight="1" x14ac:dyDescent="0.2"/>
    <row r="268" spans="1:12" s="99" customFormat="1" ht="20.25" customHeight="1" x14ac:dyDescent="0.25">
      <c r="A268" s="3" t="s">
        <v>22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24" customHeight="1" x14ac:dyDescent="0.2">
      <c r="A269" s="122" t="s">
        <v>20</v>
      </c>
    </row>
    <row r="270" spans="1:12" ht="24" customHeight="1" x14ac:dyDescent="0.2">
      <c r="A270" s="122" t="s">
        <v>21</v>
      </c>
    </row>
    <row r="271" spans="1:12" ht="19.5" customHeight="1" x14ac:dyDescent="0.2"/>
    <row r="272" spans="1:12" ht="33.75" customHeight="1" x14ac:dyDescent="0.2"/>
    <row r="273" spans="1:12" ht="15.75" customHeight="1" x14ac:dyDescent="0.2"/>
    <row r="274" spans="1:12" ht="25.5" customHeight="1" x14ac:dyDescent="0.3">
      <c r="A274" s="276" t="s">
        <v>6</v>
      </c>
      <c r="B274" s="276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</row>
    <row r="275" spans="1:12" ht="18.75" customHeight="1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</row>
    <row r="276" spans="1:12" ht="18" customHeight="1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</row>
    <row r="277" spans="1:12" ht="13.5" customHeight="1" x14ac:dyDescent="0.25">
      <c r="A277" s="1"/>
      <c r="B277" s="1"/>
    </row>
    <row r="278" spans="1:12" ht="15.75" customHeight="1" x14ac:dyDescent="0.25">
      <c r="A278" s="1" t="s">
        <v>7</v>
      </c>
      <c r="B278" s="1"/>
    </row>
    <row r="279" spans="1:12" ht="14.25" customHeight="1" x14ac:dyDescent="0.25">
      <c r="A279" s="1"/>
      <c r="B279" s="1"/>
    </row>
    <row r="280" spans="1:12" ht="14.25" customHeight="1" x14ac:dyDescent="0.25">
      <c r="A280" s="1" t="s">
        <v>8</v>
      </c>
      <c r="C280" s="9" t="s">
        <v>1</v>
      </c>
      <c r="D280" s="126" t="s">
        <v>64</v>
      </c>
      <c r="E280" s="76"/>
      <c r="F280" s="76"/>
      <c r="G280" s="76"/>
      <c r="H280" s="76"/>
    </row>
    <row r="281" spans="1:12" ht="18" customHeight="1" x14ac:dyDescent="0.25">
      <c r="A281" s="1" t="s">
        <v>9</v>
      </c>
      <c r="C281" s="9" t="s">
        <v>1</v>
      </c>
      <c r="D281" s="119" t="s">
        <v>236</v>
      </c>
      <c r="E281" s="76"/>
      <c r="F281" s="76"/>
      <c r="G281" s="76"/>
      <c r="H281" s="76"/>
    </row>
    <row r="282" spans="1:12" ht="18" customHeight="1" x14ac:dyDescent="0.2">
      <c r="A282" s="50" t="s">
        <v>10</v>
      </c>
      <c r="B282" s="76"/>
      <c r="C282" s="91" t="s">
        <v>1</v>
      </c>
      <c r="D282" s="124" t="s">
        <v>235</v>
      </c>
      <c r="E282" s="76"/>
      <c r="F282" s="76"/>
      <c r="G282" s="76"/>
      <c r="H282" s="76"/>
      <c r="I282" s="76"/>
      <c r="J282" s="76"/>
      <c r="K282" s="76"/>
      <c r="L282" s="76"/>
    </row>
    <row r="283" spans="1:12" ht="17.25" customHeight="1" x14ac:dyDescent="0.25">
      <c r="A283" s="1"/>
      <c r="B283" s="1"/>
      <c r="D283" s="1"/>
    </row>
    <row r="284" spans="1:12" ht="32.25" customHeight="1" x14ac:dyDescent="0.2">
      <c r="A284" s="277" t="s">
        <v>336</v>
      </c>
      <c r="B284" s="277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</row>
    <row r="285" spans="1:12" ht="12.75" customHeight="1" x14ac:dyDescent="0.25">
      <c r="A285" s="1"/>
      <c r="B285" s="1"/>
    </row>
    <row r="286" spans="1:12" ht="36" customHeight="1" thickBot="1" x14ac:dyDescent="0.25">
      <c r="A286" s="10" t="s">
        <v>0</v>
      </c>
      <c r="B286" s="278" t="s">
        <v>91</v>
      </c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</row>
    <row r="287" spans="1:12" ht="13.5" customHeight="1" thickTop="1" x14ac:dyDescent="0.25">
      <c r="A287" s="1"/>
      <c r="B287" s="11" t="s">
        <v>3</v>
      </c>
      <c r="C287" s="12" t="s">
        <v>4</v>
      </c>
      <c r="D287" s="13"/>
      <c r="E287" s="13"/>
      <c r="F287" s="13"/>
      <c r="G287" s="13"/>
      <c r="H287" s="14"/>
      <c r="I287" s="15" t="s">
        <v>5</v>
      </c>
      <c r="J287" s="12" t="s">
        <v>17</v>
      </c>
      <c r="K287" s="13"/>
      <c r="L287" s="14"/>
    </row>
    <row r="288" spans="1:12" ht="21.75" customHeight="1" x14ac:dyDescent="0.2">
      <c r="A288" s="50"/>
      <c r="B288" s="143">
        <v>1</v>
      </c>
      <c r="C288" s="284" t="s">
        <v>303</v>
      </c>
      <c r="D288" s="285"/>
      <c r="E288" s="285"/>
      <c r="F288" s="285"/>
      <c r="G288" s="76"/>
      <c r="H288" s="79"/>
      <c r="I288" s="56">
        <v>250000</v>
      </c>
      <c r="J288" s="76"/>
      <c r="K288" s="76"/>
      <c r="L288" s="79"/>
    </row>
    <row r="289" spans="1:12" s="99" customFormat="1" ht="30" customHeight="1" x14ac:dyDescent="0.2">
      <c r="B289" s="151">
        <v>2</v>
      </c>
      <c r="C289" s="322" t="s">
        <v>238</v>
      </c>
      <c r="D289" s="323"/>
      <c r="E289" s="152">
        <v>622000</v>
      </c>
      <c r="F289" s="324" t="s">
        <v>239</v>
      </c>
      <c r="G289" s="323"/>
      <c r="H289" s="325"/>
      <c r="I289" s="153">
        <f>E289*30/100</f>
        <v>186600</v>
      </c>
      <c r="J289" s="99" t="s">
        <v>240</v>
      </c>
      <c r="L289" s="154"/>
    </row>
    <row r="290" spans="1:12" ht="21.75" customHeight="1" x14ac:dyDescent="0.25">
      <c r="A290" s="1"/>
      <c r="B290" s="39"/>
      <c r="C290" s="1"/>
      <c r="D290" s="1"/>
      <c r="E290" s="1"/>
      <c r="F290" s="40" t="s">
        <v>5</v>
      </c>
      <c r="G290" s="40"/>
      <c r="H290" s="1"/>
      <c r="I290" s="41">
        <f>SUM(I288:I289)</f>
        <v>436600</v>
      </c>
      <c r="J290" s="1"/>
      <c r="K290" s="1"/>
      <c r="L290" s="42"/>
    </row>
    <row r="291" spans="1:12" ht="15.75" thickBot="1" x14ac:dyDescent="0.3">
      <c r="A291" s="1"/>
      <c r="B291" s="43"/>
      <c r="C291" s="44"/>
      <c r="D291" s="44"/>
      <c r="E291" s="44"/>
      <c r="F291" s="45"/>
      <c r="G291" s="45"/>
      <c r="H291" s="44"/>
      <c r="I291" s="46"/>
      <c r="J291" s="44"/>
      <c r="K291" s="44"/>
      <c r="L291" s="47"/>
    </row>
    <row r="292" spans="1:12" ht="23.25" customHeight="1" thickTop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51" customHeight="1" x14ac:dyDescent="0.2">
      <c r="A293" s="10" t="s">
        <v>2</v>
      </c>
      <c r="B293" s="279" t="s">
        <v>11</v>
      </c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</row>
    <row r="294" spans="1:12" ht="20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21" customHeight="1" x14ac:dyDescent="0.2">
      <c r="A295" s="280" t="s">
        <v>12</v>
      </c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</row>
    <row r="296" spans="1:1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4.25" customHeight="1" x14ac:dyDescent="0.25">
      <c r="A298" s="1"/>
      <c r="B298" s="1"/>
      <c r="C298" s="1"/>
      <c r="D298" s="1"/>
      <c r="E298" s="1"/>
      <c r="F298" s="1"/>
      <c r="G298" s="1"/>
      <c r="H298" s="4" t="s">
        <v>199</v>
      </c>
      <c r="J298" s="286" t="s">
        <v>335</v>
      </c>
      <c r="K298" s="286"/>
      <c r="L298" s="286"/>
    </row>
    <row r="299" spans="1:12" ht="18" customHeight="1" x14ac:dyDescent="0.25">
      <c r="A299" s="1"/>
      <c r="B299" s="1" t="s">
        <v>15</v>
      </c>
      <c r="C299" s="1"/>
      <c r="D299" s="1"/>
      <c r="E299" s="1"/>
      <c r="F299" s="1"/>
      <c r="G299" s="1"/>
      <c r="H299" s="4" t="s">
        <v>13</v>
      </c>
    </row>
    <row r="300" spans="1:12" ht="17.25" customHeight="1" x14ac:dyDescent="0.25">
      <c r="A300" s="1"/>
      <c r="B300" s="1" t="s">
        <v>18</v>
      </c>
      <c r="C300" s="1"/>
      <c r="D300" s="1"/>
      <c r="E300" s="1"/>
      <c r="F300" s="1"/>
      <c r="G300" s="1"/>
      <c r="H300" s="4" t="s">
        <v>14</v>
      </c>
    </row>
    <row r="301" spans="1:12" ht="17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hidden="1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9.5" customHeight="1" x14ac:dyDescent="0.25">
      <c r="A303" s="1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"/>
    </row>
    <row r="304" spans="1:12" ht="15" x14ac:dyDescent="0.25">
      <c r="A304" s="1"/>
      <c r="K304" s="103"/>
      <c r="L304" s="1"/>
    </row>
    <row r="305" spans="1:12" ht="16.5" customHeight="1" x14ac:dyDescent="0.25">
      <c r="A305" s="1"/>
      <c r="B305" s="95" t="s">
        <v>77</v>
      </c>
      <c r="H305" s="95" t="s">
        <v>64</v>
      </c>
      <c r="I305" s="95"/>
      <c r="J305" s="92"/>
      <c r="K305" s="103"/>
      <c r="L305" s="1"/>
    </row>
    <row r="306" spans="1:12" ht="15.75" customHeight="1" x14ac:dyDescent="0.25">
      <c r="A306" s="1"/>
      <c r="B306" s="99" t="s">
        <v>27</v>
      </c>
      <c r="C306" s="57"/>
      <c r="H306" s="99" t="s">
        <v>46</v>
      </c>
      <c r="K306" s="103"/>
    </row>
    <row r="307" spans="1:12" ht="15.75" customHeight="1" x14ac:dyDescent="0.2"/>
    <row r="308" spans="1:12" ht="19.5" customHeight="1" x14ac:dyDescent="0.2"/>
    <row r="309" spans="1:12" ht="1.5" customHeight="1" x14ac:dyDescent="0.2"/>
    <row r="310" spans="1:12" ht="15.75" x14ac:dyDescent="0.25">
      <c r="A310" s="3" t="s">
        <v>22</v>
      </c>
    </row>
    <row r="311" spans="1:12" ht="16.5" customHeight="1" x14ac:dyDescent="0.2">
      <c r="A311" s="122" t="s">
        <v>20</v>
      </c>
    </row>
    <row r="312" spans="1:12" ht="23.25" customHeight="1" x14ac:dyDescent="0.2">
      <c r="A312" s="122" t="s">
        <v>21</v>
      </c>
    </row>
    <row r="313" spans="1:12" ht="11.25" customHeight="1" x14ac:dyDescent="0.2"/>
    <row r="314" spans="1:12" ht="33" customHeight="1" x14ac:dyDescent="0.2"/>
    <row r="315" spans="1:12" ht="6.75" customHeight="1" x14ac:dyDescent="0.2"/>
    <row r="316" spans="1:12" ht="15" customHeight="1" x14ac:dyDescent="0.3">
      <c r="A316" s="276" t="s">
        <v>6</v>
      </c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</row>
    <row r="317" spans="1:12" ht="15" customHeight="1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2" ht="23.25" customHeight="1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</row>
    <row r="319" spans="1:12" ht="28.5" customHeight="1" x14ac:dyDescent="0.25">
      <c r="A319" s="1"/>
      <c r="B319" s="1"/>
    </row>
    <row r="320" spans="1:12" ht="30" customHeight="1" x14ac:dyDescent="0.25">
      <c r="A320" s="1" t="s">
        <v>7</v>
      </c>
      <c r="B320" s="1"/>
    </row>
    <row r="321" spans="1:12" ht="13.5" customHeight="1" x14ac:dyDescent="0.25">
      <c r="A321" s="1"/>
      <c r="B321" s="1"/>
    </row>
    <row r="322" spans="1:12" ht="12" customHeight="1" x14ac:dyDescent="0.25">
      <c r="A322" s="1" t="s">
        <v>8</v>
      </c>
      <c r="C322" s="9" t="s">
        <v>1</v>
      </c>
      <c r="D322" s="123" t="s">
        <v>78</v>
      </c>
      <c r="E322" s="76"/>
      <c r="F322" s="76"/>
      <c r="G322" s="76"/>
      <c r="H322" s="76"/>
    </row>
    <row r="323" spans="1:12" ht="15.75" customHeight="1" x14ac:dyDescent="0.25">
      <c r="A323" s="1" t="s">
        <v>9</v>
      </c>
      <c r="C323" s="9" t="s">
        <v>1</v>
      </c>
      <c r="D323" s="76" t="s">
        <v>234</v>
      </c>
      <c r="E323" s="76"/>
      <c r="F323" s="76"/>
      <c r="G323" s="76"/>
      <c r="H323" s="76"/>
    </row>
    <row r="324" spans="1:12" ht="23.25" customHeight="1" x14ac:dyDescent="0.2">
      <c r="A324" s="50" t="s">
        <v>10</v>
      </c>
      <c r="B324" s="76"/>
      <c r="C324" s="91" t="s">
        <v>1</v>
      </c>
      <c r="D324" s="50" t="s">
        <v>235</v>
      </c>
      <c r="E324" s="76"/>
      <c r="F324" s="76"/>
      <c r="G324" s="76"/>
      <c r="H324" s="76"/>
      <c r="I324" s="76"/>
      <c r="J324" s="76"/>
      <c r="K324" s="76"/>
      <c r="L324" s="76"/>
    </row>
    <row r="325" spans="1:12" ht="17.25" customHeight="1" x14ac:dyDescent="0.25">
      <c r="A325" s="1"/>
      <c r="B325" s="1"/>
      <c r="D325" s="1"/>
    </row>
    <row r="326" spans="1:12" ht="26.25" customHeight="1" x14ac:dyDescent="0.2">
      <c r="A326" s="277" t="s">
        <v>336</v>
      </c>
      <c r="B326" s="277"/>
      <c r="C326" s="277"/>
      <c r="D326" s="277"/>
      <c r="E326" s="277"/>
      <c r="F326" s="277"/>
      <c r="G326" s="277"/>
      <c r="H326" s="277"/>
      <c r="I326" s="277"/>
      <c r="J326" s="277"/>
      <c r="K326" s="277"/>
      <c r="L326" s="277"/>
    </row>
    <row r="327" spans="1:12" ht="13.5" customHeight="1" x14ac:dyDescent="0.25">
      <c r="A327" s="1"/>
      <c r="B327" s="1"/>
    </row>
    <row r="328" spans="1:12" ht="33.75" customHeight="1" thickBot="1" x14ac:dyDescent="0.25">
      <c r="A328" s="10" t="s">
        <v>0</v>
      </c>
      <c r="B328" s="278" t="s">
        <v>91</v>
      </c>
      <c r="C328" s="278"/>
      <c r="D328" s="278"/>
      <c r="E328" s="278"/>
      <c r="F328" s="278"/>
      <c r="G328" s="278"/>
      <c r="H328" s="278"/>
      <c r="I328" s="278"/>
      <c r="J328" s="278"/>
      <c r="K328" s="278"/>
      <c r="L328" s="278"/>
    </row>
    <row r="329" spans="1:12" ht="15.75" thickTop="1" x14ac:dyDescent="0.25">
      <c r="A329" s="1"/>
      <c r="B329" s="11" t="s">
        <v>3</v>
      </c>
      <c r="C329" s="12" t="s">
        <v>4</v>
      </c>
      <c r="D329" s="13"/>
      <c r="E329" s="13"/>
      <c r="F329" s="13"/>
      <c r="G329" s="13"/>
      <c r="H329" s="14"/>
      <c r="I329" s="15" t="s">
        <v>5</v>
      </c>
      <c r="J329" s="12" t="s">
        <v>17</v>
      </c>
      <c r="K329" s="13"/>
      <c r="L329" s="14"/>
    </row>
    <row r="330" spans="1:12" ht="20.25" customHeight="1" x14ac:dyDescent="0.2">
      <c r="A330" s="50"/>
      <c r="B330" s="143">
        <v>1</v>
      </c>
      <c r="C330" s="284" t="s">
        <v>303</v>
      </c>
      <c r="D330" s="285"/>
      <c r="E330" s="285"/>
      <c r="F330" s="285"/>
      <c r="G330" s="76"/>
      <c r="H330" s="79"/>
      <c r="I330" s="56">
        <v>250000</v>
      </c>
      <c r="J330" s="76"/>
      <c r="K330" s="76"/>
      <c r="L330" s="79"/>
    </row>
    <row r="331" spans="1:12" s="99" customFormat="1" ht="30" customHeight="1" x14ac:dyDescent="0.2">
      <c r="B331" s="151">
        <v>2</v>
      </c>
      <c r="C331" s="322" t="s">
        <v>238</v>
      </c>
      <c r="D331" s="323"/>
      <c r="E331" s="152">
        <v>622000</v>
      </c>
      <c r="F331" s="324" t="s">
        <v>239</v>
      </c>
      <c r="G331" s="323"/>
      <c r="H331" s="325"/>
      <c r="I331" s="153">
        <f>E331*30/100</f>
        <v>186600</v>
      </c>
      <c r="J331" s="99" t="s">
        <v>240</v>
      </c>
      <c r="L331" s="154"/>
    </row>
    <row r="332" spans="1:12" ht="14.25" customHeight="1" x14ac:dyDescent="0.25">
      <c r="A332" s="1"/>
      <c r="B332" s="39"/>
      <c r="C332" s="1"/>
      <c r="D332" s="1"/>
      <c r="E332" s="1"/>
      <c r="F332" s="40" t="s">
        <v>5</v>
      </c>
      <c r="G332" s="40"/>
      <c r="H332" s="1"/>
      <c r="I332" s="41">
        <f>SUM(I330:I331)</f>
        <v>436600</v>
      </c>
      <c r="J332" s="1"/>
      <c r="K332" s="1"/>
      <c r="L332" s="42"/>
    </row>
    <row r="333" spans="1:12" ht="17.25" customHeight="1" thickBot="1" x14ac:dyDescent="0.3">
      <c r="A333" s="1"/>
      <c r="B333" s="43"/>
      <c r="C333" s="44"/>
      <c r="D333" s="44"/>
      <c r="E333" s="44"/>
      <c r="F333" s="45"/>
      <c r="G333" s="45"/>
      <c r="H333" s="44"/>
      <c r="I333" s="46"/>
      <c r="J333" s="44"/>
      <c r="K333" s="44"/>
      <c r="L333" s="47"/>
    </row>
    <row r="334" spans="1:12" ht="18.75" customHeight="1" thickTop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51" customHeight="1" x14ac:dyDescent="0.2">
      <c r="A335" s="10" t="s">
        <v>2</v>
      </c>
      <c r="B335" s="279" t="s">
        <v>11</v>
      </c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</row>
    <row r="336" spans="1:12" ht="11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" x14ac:dyDescent="0.2">
      <c r="A337" s="280" t="s">
        <v>12</v>
      </c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</row>
    <row r="338" spans="1:12" ht="1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" customHeight="1" x14ac:dyDescent="0.25">
      <c r="A340" s="1"/>
      <c r="B340" s="1"/>
      <c r="C340" s="1"/>
      <c r="D340" s="1"/>
      <c r="E340" s="1"/>
      <c r="F340" s="1"/>
      <c r="G340" s="1"/>
      <c r="H340" s="4" t="s">
        <v>199</v>
      </c>
      <c r="J340" s="286" t="s">
        <v>335</v>
      </c>
      <c r="K340" s="286"/>
      <c r="L340" s="286"/>
    </row>
    <row r="341" spans="1:12" ht="15" x14ac:dyDescent="0.25">
      <c r="A341" s="1"/>
      <c r="B341" s="1" t="s">
        <v>15</v>
      </c>
      <c r="C341" s="1"/>
      <c r="D341" s="1"/>
      <c r="E341" s="1"/>
      <c r="F341" s="1"/>
      <c r="G341" s="1"/>
      <c r="H341" s="4" t="s">
        <v>13</v>
      </c>
    </row>
    <row r="342" spans="1:12" ht="13.5" customHeight="1" x14ac:dyDescent="0.25">
      <c r="A342" s="1"/>
      <c r="B342" s="1" t="s">
        <v>18</v>
      </c>
      <c r="C342" s="1"/>
      <c r="D342" s="1"/>
      <c r="E342" s="1"/>
      <c r="F342" s="1"/>
      <c r="G342" s="1"/>
      <c r="H342" s="4" t="s">
        <v>14</v>
      </c>
    </row>
    <row r="343" spans="1:12" ht="21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20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2.75" customHeight="1" x14ac:dyDescent="0.25">
      <c r="A345" s="1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"/>
    </row>
    <row r="346" spans="1:12" ht="15.75" customHeight="1" x14ac:dyDescent="0.25">
      <c r="A346" s="1"/>
      <c r="K346" s="103"/>
      <c r="L346" s="1"/>
    </row>
    <row r="347" spans="1:12" ht="21" customHeight="1" x14ac:dyDescent="0.25">
      <c r="A347" s="1"/>
      <c r="B347" s="95" t="s">
        <v>77</v>
      </c>
      <c r="H347" s="95" t="s">
        <v>78</v>
      </c>
      <c r="I347" s="95"/>
      <c r="J347" s="92"/>
      <c r="K347" s="103"/>
      <c r="L347" s="1"/>
    </row>
    <row r="348" spans="1:12" ht="15" customHeight="1" x14ac:dyDescent="0.25">
      <c r="A348" s="1"/>
      <c r="B348" s="99" t="s">
        <v>27</v>
      </c>
      <c r="C348" s="57"/>
      <c r="H348" s="99" t="s">
        <v>79</v>
      </c>
      <c r="K348" s="103"/>
    </row>
    <row r="349" spans="1:12" ht="44.25" customHeight="1" x14ac:dyDescent="0.2"/>
    <row r="350" spans="1:12" ht="13.5" customHeight="1" x14ac:dyDescent="0.2"/>
    <row r="351" spans="1:12" ht="15.75" x14ac:dyDescent="0.25">
      <c r="A351" s="3" t="s">
        <v>22</v>
      </c>
    </row>
    <row r="352" spans="1:12" ht="15" customHeight="1" x14ac:dyDescent="0.2">
      <c r="A352" s="122" t="s">
        <v>20</v>
      </c>
    </row>
    <row r="353" spans="1:12" ht="17.25" customHeight="1" x14ac:dyDescent="0.2">
      <c r="A353" s="122" t="s">
        <v>21</v>
      </c>
    </row>
    <row r="354" spans="1:12" ht="15" customHeight="1" x14ac:dyDescent="0.2"/>
    <row r="355" spans="1:12" ht="15" customHeight="1" x14ac:dyDescent="0.2"/>
    <row r="356" spans="1:12" ht="18" customHeight="1" x14ac:dyDescent="0.2"/>
    <row r="357" spans="1:12" ht="16.5" customHeight="1" x14ac:dyDescent="0.3">
      <c r="A357" s="276" t="s">
        <v>6</v>
      </c>
      <c r="B357" s="276"/>
      <c r="C357" s="276"/>
      <c r="D357" s="276"/>
      <c r="E357" s="276"/>
      <c r="F357" s="276"/>
      <c r="G357" s="276"/>
      <c r="H357" s="276"/>
      <c r="I357" s="276"/>
      <c r="J357" s="276"/>
      <c r="K357" s="276"/>
      <c r="L357" s="276"/>
    </row>
    <row r="358" spans="1:12" ht="15" customHeight="1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</row>
    <row r="359" spans="1:12" ht="1.5" customHeight="1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ht="15" x14ac:dyDescent="0.25">
      <c r="A360" s="1"/>
      <c r="B360" s="1"/>
    </row>
    <row r="361" spans="1:12" ht="21.75" customHeight="1" x14ac:dyDescent="0.25">
      <c r="A361" s="1" t="s">
        <v>7</v>
      </c>
      <c r="B361" s="1"/>
    </row>
    <row r="362" spans="1:12" ht="15" x14ac:dyDescent="0.25">
      <c r="A362" s="1"/>
      <c r="B362" s="1"/>
    </row>
    <row r="363" spans="1:12" ht="12" customHeight="1" x14ac:dyDescent="0.25">
      <c r="A363" s="1" t="s">
        <v>8</v>
      </c>
      <c r="C363" s="9" t="s">
        <v>1</v>
      </c>
      <c r="D363" s="123" t="s">
        <v>78</v>
      </c>
      <c r="E363" s="76"/>
      <c r="F363" s="76"/>
      <c r="G363" s="76"/>
      <c r="H363" s="76"/>
    </row>
    <row r="364" spans="1:12" ht="18.75" customHeight="1" x14ac:dyDescent="0.25">
      <c r="A364" s="1" t="s">
        <v>9</v>
      </c>
      <c r="C364" s="9" t="s">
        <v>1</v>
      </c>
      <c r="D364" s="76" t="s">
        <v>234</v>
      </c>
      <c r="E364" s="76"/>
      <c r="F364" s="76"/>
      <c r="G364" s="76"/>
      <c r="H364" s="76"/>
    </row>
    <row r="365" spans="1:12" ht="21.75" customHeight="1" x14ac:dyDescent="0.2">
      <c r="A365" s="50" t="s">
        <v>10</v>
      </c>
      <c r="B365" s="76"/>
      <c r="C365" s="91" t="s">
        <v>1</v>
      </c>
      <c r="D365" s="50" t="s">
        <v>235</v>
      </c>
      <c r="E365" s="76"/>
      <c r="F365" s="76"/>
      <c r="G365" s="76"/>
      <c r="H365" s="76"/>
      <c r="I365" s="76"/>
      <c r="J365" s="76"/>
      <c r="K365" s="76"/>
      <c r="L365" s="76"/>
    </row>
    <row r="366" spans="1:12" ht="18" customHeight="1" x14ac:dyDescent="0.25">
      <c r="A366" s="1"/>
      <c r="B366" s="1"/>
      <c r="D366" s="1"/>
    </row>
    <row r="367" spans="1:12" ht="28.5" customHeight="1" x14ac:dyDescent="0.2">
      <c r="A367" s="317" t="s">
        <v>337</v>
      </c>
      <c r="B367" s="317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</row>
    <row r="368" spans="1:12" ht="19.5" customHeight="1" x14ac:dyDescent="0.25">
      <c r="A368" s="1"/>
      <c r="B368" s="1"/>
    </row>
    <row r="369" spans="1:12" ht="34.5" customHeight="1" thickBot="1" x14ac:dyDescent="0.25">
      <c r="A369" s="10" t="s">
        <v>0</v>
      </c>
      <c r="B369" s="278" t="s">
        <v>91</v>
      </c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</row>
    <row r="370" spans="1:12" ht="15.75" customHeight="1" thickTop="1" x14ac:dyDescent="0.25">
      <c r="A370" s="1"/>
      <c r="B370" s="11" t="s">
        <v>3</v>
      </c>
      <c r="C370" s="12" t="s">
        <v>4</v>
      </c>
      <c r="D370" s="13"/>
      <c r="E370" s="13"/>
      <c r="F370" s="13"/>
      <c r="G370" s="13"/>
      <c r="H370" s="14"/>
      <c r="I370" s="15" t="s">
        <v>5</v>
      </c>
      <c r="J370" s="12" t="s">
        <v>17</v>
      </c>
      <c r="K370" s="13"/>
      <c r="L370" s="14"/>
    </row>
    <row r="371" spans="1:12" ht="19.5" customHeight="1" x14ac:dyDescent="0.2">
      <c r="A371" s="50"/>
      <c r="B371" s="143">
        <v>1</v>
      </c>
      <c r="C371" s="284" t="s">
        <v>324</v>
      </c>
      <c r="D371" s="285"/>
      <c r="E371" s="285"/>
      <c r="F371" s="285"/>
      <c r="G371" s="76"/>
      <c r="H371" s="79"/>
      <c r="I371" s="56">
        <v>275000</v>
      </c>
      <c r="J371" s="76"/>
      <c r="K371" s="76"/>
      <c r="L371" s="79"/>
    </row>
    <row r="372" spans="1:12" ht="15" customHeight="1" x14ac:dyDescent="0.2">
      <c r="A372" s="99"/>
      <c r="B372" s="151"/>
      <c r="C372" s="322"/>
      <c r="D372" s="323"/>
      <c r="E372" s="152"/>
      <c r="F372" s="324"/>
      <c r="G372" s="323"/>
      <c r="H372" s="325"/>
      <c r="I372" s="153"/>
      <c r="J372" s="99"/>
      <c r="K372" s="99"/>
      <c r="L372" s="154"/>
    </row>
    <row r="373" spans="1:12" ht="15" customHeight="1" x14ac:dyDescent="0.2">
      <c r="A373" s="99"/>
      <c r="B373" s="151"/>
      <c r="C373" s="155"/>
      <c r="D373" s="155"/>
      <c r="E373" s="152"/>
      <c r="F373" s="156"/>
      <c r="G373" s="155"/>
      <c r="H373" s="155"/>
      <c r="I373" s="153"/>
      <c r="J373" s="99"/>
      <c r="K373" s="99"/>
      <c r="L373" s="154"/>
    </row>
    <row r="374" spans="1:12" ht="18" customHeight="1" x14ac:dyDescent="0.25">
      <c r="A374" s="1"/>
      <c r="B374" s="39"/>
      <c r="C374" s="1"/>
      <c r="D374" s="1"/>
      <c r="E374" s="1"/>
      <c r="F374" s="40" t="s">
        <v>5</v>
      </c>
      <c r="G374" s="40"/>
      <c r="H374" s="1"/>
      <c r="I374" s="41">
        <f>SUM(I371:I372)</f>
        <v>275000</v>
      </c>
      <c r="J374" s="1"/>
      <c r="K374" s="1"/>
      <c r="L374" s="42"/>
    </row>
    <row r="375" spans="1:12" ht="17.25" customHeight="1" thickBot="1" x14ac:dyDescent="0.3">
      <c r="A375" s="1"/>
      <c r="B375" s="43"/>
      <c r="C375" s="44"/>
      <c r="D375" s="44"/>
      <c r="E375" s="44"/>
      <c r="F375" s="45"/>
      <c r="G375" s="45"/>
      <c r="H375" s="44"/>
      <c r="I375" s="46"/>
      <c r="J375" s="44"/>
      <c r="K375" s="44"/>
      <c r="L375" s="47"/>
    </row>
    <row r="376" spans="1:12" ht="15" customHeight="1" thickTop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47.25" customHeight="1" x14ac:dyDescent="0.2">
      <c r="A377" s="10" t="s">
        <v>2</v>
      </c>
      <c r="B377" s="279" t="s">
        <v>11</v>
      </c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</row>
    <row r="378" spans="1:12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" customHeight="1" x14ac:dyDescent="0.2">
      <c r="A379" s="280" t="s">
        <v>12</v>
      </c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</row>
    <row r="380" spans="1:12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" customHeight="1" x14ac:dyDescent="0.25">
      <c r="A382" s="1"/>
      <c r="B382" s="1"/>
      <c r="C382" s="1"/>
      <c r="D382" s="1"/>
      <c r="E382" s="1"/>
      <c r="F382" s="1"/>
      <c r="G382" s="1"/>
      <c r="H382" s="4" t="s">
        <v>199</v>
      </c>
      <c r="J382" s="286" t="s">
        <v>335</v>
      </c>
      <c r="K382" s="286"/>
      <c r="L382" s="286"/>
    </row>
    <row r="383" spans="1:12" ht="13.5" customHeight="1" x14ac:dyDescent="0.25">
      <c r="A383" s="1"/>
      <c r="B383" s="1" t="s">
        <v>15</v>
      </c>
      <c r="C383" s="1"/>
      <c r="D383" s="1"/>
      <c r="E383" s="1"/>
      <c r="F383" s="1"/>
      <c r="G383" s="1"/>
      <c r="H383" s="4" t="s">
        <v>13</v>
      </c>
    </row>
    <row r="384" spans="1:12" ht="15" x14ac:dyDescent="0.25">
      <c r="A384" s="1"/>
      <c r="B384" s="1" t="s">
        <v>18</v>
      </c>
      <c r="C384" s="1"/>
      <c r="D384" s="1"/>
      <c r="E384" s="1"/>
      <c r="F384" s="1"/>
      <c r="G384" s="1"/>
      <c r="H384" s="4" t="s">
        <v>14</v>
      </c>
    </row>
    <row r="385" spans="1:12" ht="33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20.25" hidden="1" customHeight="1" x14ac:dyDescent="0.25">
      <c r="A387" s="1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"/>
    </row>
    <row r="388" spans="1:12" ht="39.75" hidden="1" customHeight="1" x14ac:dyDescent="0.25">
      <c r="A388" s="1"/>
      <c r="K388" s="103"/>
      <c r="L388" s="1"/>
    </row>
    <row r="389" spans="1:12" ht="15.75" customHeight="1" x14ac:dyDescent="0.25">
      <c r="A389" s="1"/>
      <c r="B389" s="95" t="s">
        <v>77</v>
      </c>
      <c r="H389" s="95" t="s">
        <v>78</v>
      </c>
      <c r="I389" s="95"/>
      <c r="J389" s="92"/>
      <c r="K389" s="103"/>
      <c r="L389" s="1"/>
    </row>
    <row r="390" spans="1:12" ht="21" customHeight="1" x14ac:dyDescent="0.25">
      <c r="A390" s="1"/>
      <c r="B390" s="99" t="s">
        <v>27</v>
      </c>
      <c r="C390" s="57"/>
      <c r="H390" s="99" t="s">
        <v>79</v>
      </c>
      <c r="K390" s="103"/>
    </row>
    <row r="391" spans="1:12" ht="21.75" customHeight="1" x14ac:dyDescent="0.2"/>
    <row r="392" spans="1:12" ht="23.25" customHeight="1" x14ac:dyDescent="0.2"/>
    <row r="393" spans="1:12" ht="15.75" customHeight="1" x14ac:dyDescent="0.25">
      <c r="A393" s="3" t="s">
        <v>22</v>
      </c>
    </row>
    <row r="394" spans="1:12" ht="14.25" customHeight="1" x14ac:dyDescent="0.2">
      <c r="A394" s="122" t="s">
        <v>20</v>
      </c>
    </row>
    <row r="395" spans="1:12" ht="15.75" customHeight="1" x14ac:dyDescent="0.2">
      <c r="A395" s="122" t="s">
        <v>21</v>
      </c>
    </row>
    <row r="396" spans="1:12" ht="19.5" customHeight="1" x14ac:dyDescent="0.2"/>
    <row r="397" spans="1:12" ht="12.75" x14ac:dyDescent="0.2"/>
    <row r="398" spans="1:12" ht="12.75" x14ac:dyDescent="0.2"/>
    <row r="399" spans="1:12" ht="15" customHeight="1" x14ac:dyDescent="0.3">
      <c r="A399" s="276" t="s">
        <v>6</v>
      </c>
      <c r="B399" s="276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</row>
    <row r="400" spans="1:12" ht="18.75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</row>
    <row r="401" spans="1:12" ht="16.5" customHeight="1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</row>
    <row r="402" spans="1:12" ht="2.25" customHeight="1" x14ac:dyDescent="0.25">
      <c r="A402" s="1"/>
      <c r="B402" s="1"/>
    </row>
    <row r="403" spans="1:12" ht="21" customHeight="1" x14ac:dyDescent="0.25">
      <c r="A403" s="1" t="s">
        <v>7</v>
      </c>
      <c r="B403" s="1"/>
    </row>
    <row r="404" spans="1:12" ht="13.5" customHeight="1" x14ac:dyDescent="0.25">
      <c r="A404" s="1"/>
      <c r="B404" s="1"/>
    </row>
    <row r="405" spans="1:12" ht="14.25" customHeight="1" x14ac:dyDescent="0.25">
      <c r="A405" s="1" t="s">
        <v>8</v>
      </c>
      <c r="C405" s="9" t="s">
        <v>1</v>
      </c>
      <c r="D405" s="92" t="s">
        <v>96</v>
      </c>
      <c r="E405" s="76"/>
      <c r="F405" s="76"/>
      <c r="G405" s="76"/>
      <c r="H405" s="76"/>
    </row>
    <row r="406" spans="1:12" ht="17.25" customHeight="1" x14ac:dyDescent="0.25">
      <c r="A406" s="1" t="s">
        <v>9</v>
      </c>
      <c r="C406" s="9" t="s">
        <v>1</v>
      </c>
      <c r="D406" s="57" t="s">
        <v>200</v>
      </c>
      <c r="E406" s="76"/>
      <c r="F406" s="76"/>
      <c r="G406" s="76"/>
      <c r="H406" s="76"/>
    </row>
    <row r="407" spans="1:12" ht="15" x14ac:dyDescent="0.2">
      <c r="A407" s="50" t="s">
        <v>10</v>
      </c>
      <c r="B407" s="76"/>
      <c r="C407" s="91" t="s">
        <v>1</v>
      </c>
      <c r="D407" s="50" t="s">
        <v>203</v>
      </c>
      <c r="E407" s="76"/>
      <c r="F407" s="76"/>
      <c r="G407" s="76"/>
      <c r="H407" s="76"/>
      <c r="I407" s="76"/>
      <c r="J407" s="76"/>
      <c r="K407" s="76"/>
      <c r="L407" s="76"/>
    </row>
    <row r="408" spans="1:12" ht="18" customHeight="1" x14ac:dyDescent="0.25">
      <c r="A408" s="1"/>
      <c r="B408" s="1"/>
      <c r="D408" s="1"/>
    </row>
    <row r="409" spans="1:12" ht="28.5" customHeight="1" x14ac:dyDescent="0.2">
      <c r="A409" s="317" t="s">
        <v>337</v>
      </c>
      <c r="B409" s="317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</row>
    <row r="410" spans="1:12" ht="19.5" customHeight="1" x14ac:dyDescent="0.25">
      <c r="A410" s="1"/>
      <c r="B410" s="1"/>
    </row>
    <row r="411" spans="1:12" ht="34.5" customHeight="1" thickBot="1" x14ac:dyDescent="0.25">
      <c r="A411" s="10" t="s">
        <v>0</v>
      </c>
      <c r="B411" s="278" t="s">
        <v>91</v>
      </c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</row>
    <row r="412" spans="1:12" ht="15.75" customHeight="1" thickTop="1" x14ac:dyDescent="0.25">
      <c r="A412" s="1"/>
      <c r="B412" s="11" t="s">
        <v>3</v>
      </c>
      <c r="C412" s="12" t="s">
        <v>4</v>
      </c>
      <c r="D412" s="13"/>
      <c r="E412" s="13"/>
      <c r="F412" s="13"/>
      <c r="G412" s="13"/>
      <c r="H412" s="14"/>
      <c r="I412" s="15" t="s">
        <v>5</v>
      </c>
      <c r="J412" s="12" t="s">
        <v>17</v>
      </c>
      <c r="K412" s="13"/>
      <c r="L412" s="14"/>
    </row>
    <row r="413" spans="1:12" ht="19.5" customHeight="1" x14ac:dyDescent="0.2">
      <c r="A413" s="50"/>
      <c r="B413" s="143">
        <v>1</v>
      </c>
      <c r="C413" s="284" t="s">
        <v>324</v>
      </c>
      <c r="D413" s="285"/>
      <c r="E413" s="285"/>
      <c r="F413" s="285"/>
      <c r="G413" s="76"/>
      <c r="H413" s="79"/>
      <c r="I413" s="56">
        <v>275000</v>
      </c>
      <c r="J413" s="76"/>
      <c r="K413" s="76"/>
      <c r="L413" s="79"/>
    </row>
    <row r="414" spans="1:12" ht="15" customHeight="1" x14ac:dyDescent="0.2">
      <c r="A414" s="99"/>
      <c r="B414" s="151"/>
      <c r="C414" s="322"/>
      <c r="D414" s="323"/>
      <c r="E414" s="152"/>
      <c r="F414" s="324"/>
      <c r="G414" s="323"/>
      <c r="H414" s="325"/>
      <c r="I414" s="153"/>
      <c r="J414" s="99"/>
      <c r="K414" s="99"/>
      <c r="L414" s="154"/>
    </row>
    <row r="415" spans="1:12" ht="15" customHeight="1" x14ac:dyDescent="0.2">
      <c r="A415" s="99"/>
      <c r="B415" s="151"/>
      <c r="C415" s="155"/>
      <c r="D415" s="155"/>
      <c r="E415" s="152"/>
      <c r="F415" s="156"/>
      <c r="G415" s="155"/>
      <c r="H415" s="155"/>
      <c r="I415" s="153"/>
      <c r="J415" s="99"/>
      <c r="K415" s="99"/>
      <c r="L415" s="154"/>
    </row>
    <row r="416" spans="1:12" ht="18" customHeight="1" x14ac:dyDescent="0.25">
      <c r="A416" s="1"/>
      <c r="B416" s="39"/>
      <c r="C416" s="1"/>
      <c r="D416" s="1"/>
      <c r="E416" s="1"/>
      <c r="F416" s="40" t="s">
        <v>5</v>
      </c>
      <c r="G416" s="40"/>
      <c r="H416" s="1"/>
      <c r="I416" s="41">
        <f>SUM(I413:I414)</f>
        <v>275000</v>
      </c>
      <c r="J416" s="1"/>
      <c r="K416" s="1"/>
      <c r="L416" s="42"/>
    </row>
    <row r="417" spans="1:12" ht="15.75" customHeight="1" thickBot="1" x14ac:dyDescent="0.3">
      <c r="A417" s="1"/>
      <c r="B417" s="43"/>
      <c r="C417" s="44"/>
      <c r="D417" s="44"/>
      <c r="E417" s="44"/>
      <c r="F417" s="45"/>
      <c r="G417" s="45"/>
      <c r="H417" s="44"/>
      <c r="I417" s="46"/>
      <c r="J417" s="44"/>
      <c r="K417" s="44"/>
      <c r="L417" s="47"/>
    </row>
    <row r="418" spans="1:12" ht="21.75" customHeight="1" thickTop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47.25" customHeight="1" x14ac:dyDescent="0.2">
      <c r="A419" s="10" t="s">
        <v>2</v>
      </c>
      <c r="B419" s="279" t="s">
        <v>11</v>
      </c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</row>
    <row r="420" spans="1:12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7.25" customHeight="1" x14ac:dyDescent="0.2">
      <c r="A421" s="280" t="s">
        <v>12</v>
      </c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</row>
    <row r="422" spans="1:12" ht="16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2.75" customHeight="1" x14ac:dyDescent="0.25">
      <c r="A424" s="1"/>
      <c r="B424" s="1"/>
      <c r="C424" s="1"/>
      <c r="D424" s="1"/>
      <c r="E424" s="1"/>
      <c r="F424" s="1"/>
      <c r="G424" s="1"/>
      <c r="H424" s="4" t="s">
        <v>199</v>
      </c>
      <c r="J424" s="286" t="s">
        <v>335</v>
      </c>
      <c r="K424" s="286"/>
      <c r="L424" s="286"/>
    </row>
    <row r="425" spans="1:12" ht="15" x14ac:dyDescent="0.25">
      <c r="A425" s="1"/>
      <c r="B425" s="1" t="s">
        <v>15</v>
      </c>
      <c r="C425" s="1"/>
      <c r="D425" s="1"/>
      <c r="E425" s="1"/>
      <c r="F425" s="1"/>
      <c r="G425" s="1"/>
      <c r="H425" s="4" t="s">
        <v>13</v>
      </c>
    </row>
    <row r="426" spans="1:12" ht="12.75" customHeight="1" x14ac:dyDescent="0.25">
      <c r="A426" s="1"/>
      <c r="B426" s="1" t="s">
        <v>18</v>
      </c>
      <c r="C426" s="1"/>
      <c r="D426" s="1"/>
      <c r="E426" s="1"/>
      <c r="F426" s="1"/>
      <c r="G426" s="1"/>
      <c r="H426" s="4" t="s">
        <v>14</v>
      </c>
    </row>
    <row r="427" spans="1:12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1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5.25" customHeight="1" x14ac:dyDescent="0.25">
      <c r="A429" s="1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"/>
    </row>
    <row r="430" spans="1:12" ht="13.5" hidden="1" customHeight="1" x14ac:dyDescent="0.25">
      <c r="A430" s="1"/>
      <c r="K430" s="103"/>
      <c r="L430" s="1"/>
    </row>
    <row r="431" spans="1:12" ht="22.5" customHeight="1" x14ac:dyDescent="0.25">
      <c r="A431" s="1"/>
      <c r="B431" s="95" t="s">
        <v>77</v>
      </c>
      <c r="H431" s="95" t="s">
        <v>96</v>
      </c>
      <c r="I431" s="95"/>
      <c r="J431" s="92"/>
      <c r="K431" s="103"/>
      <c r="L431" s="1"/>
    </row>
    <row r="432" spans="1:12" ht="27.75" customHeight="1" x14ac:dyDescent="0.25">
      <c r="A432" s="1"/>
      <c r="B432" s="99" t="s">
        <v>27</v>
      </c>
      <c r="C432" s="57"/>
      <c r="H432" s="99" t="s">
        <v>100</v>
      </c>
      <c r="K432" s="103"/>
    </row>
    <row r="433" spans="1:12" ht="11.25" customHeight="1" x14ac:dyDescent="0.2"/>
    <row r="434" spans="1:12" ht="36.75" customHeight="1" x14ac:dyDescent="0.2"/>
    <row r="435" spans="1:12" ht="21.75" customHeight="1" x14ac:dyDescent="0.2"/>
    <row r="436" spans="1:12" ht="18" customHeight="1" x14ac:dyDescent="0.2"/>
    <row r="437" spans="1:12" ht="23.25" customHeight="1" x14ac:dyDescent="0.2"/>
    <row r="438" spans="1:12" ht="24" customHeight="1" x14ac:dyDescent="0.25">
      <c r="A438" s="3" t="s">
        <v>22</v>
      </c>
    </row>
    <row r="439" spans="1:12" ht="15.75" customHeight="1" x14ac:dyDescent="0.2">
      <c r="A439" s="122" t="s">
        <v>20</v>
      </c>
    </row>
    <row r="440" spans="1:12" ht="18.75" customHeight="1" x14ac:dyDescent="0.2">
      <c r="A440" s="122" t="s">
        <v>21</v>
      </c>
    </row>
    <row r="441" spans="1:12" ht="33" customHeight="1" x14ac:dyDescent="0.2"/>
    <row r="442" spans="1:12" ht="12.75" x14ac:dyDescent="0.2"/>
    <row r="443" spans="1:12" ht="12.75" x14ac:dyDescent="0.2"/>
    <row r="444" spans="1:12" ht="18.75" x14ac:dyDescent="0.3">
      <c r="A444" s="276" t="s">
        <v>6</v>
      </c>
      <c r="B444" s="276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</row>
    <row r="445" spans="1:12" ht="18.75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</row>
    <row r="446" spans="1:12" ht="18.75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</row>
    <row r="447" spans="1:12" ht="15" x14ac:dyDescent="0.25">
      <c r="A447" s="1"/>
      <c r="B447" s="1"/>
    </row>
    <row r="448" spans="1:12" ht="15.75" customHeight="1" x14ac:dyDescent="0.25">
      <c r="A448" s="1" t="s">
        <v>7</v>
      </c>
      <c r="B448" s="1"/>
    </row>
    <row r="449" spans="1:12" ht="11.25" customHeight="1" x14ac:dyDescent="0.25">
      <c r="A449" s="1"/>
      <c r="B449" s="1"/>
    </row>
    <row r="450" spans="1:12" ht="13.5" customHeight="1" x14ac:dyDescent="0.25">
      <c r="A450" s="1" t="s">
        <v>8</v>
      </c>
      <c r="C450" s="9" t="s">
        <v>1</v>
      </c>
      <c r="D450" s="92" t="s">
        <v>77</v>
      </c>
      <c r="E450" s="76"/>
      <c r="F450" s="76"/>
      <c r="G450" s="76"/>
      <c r="H450" s="76"/>
    </row>
    <row r="451" spans="1:12" ht="15" customHeight="1" x14ac:dyDescent="0.25">
      <c r="A451" s="1" t="s">
        <v>9</v>
      </c>
      <c r="C451" s="9" t="s">
        <v>1</v>
      </c>
      <c r="D451" s="57" t="s">
        <v>201</v>
      </c>
      <c r="E451" s="76"/>
      <c r="F451" s="76"/>
      <c r="G451" s="76"/>
      <c r="H451" s="76"/>
    </row>
    <row r="452" spans="1:12" ht="21" customHeight="1" x14ac:dyDescent="0.2">
      <c r="A452" s="50" t="s">
        <v>10</v>
      </c>
      <c r="B452" s="76"/>
      <c r="C452" s="91" t="s">
        <v>1</v>
      </c>
      <c r="D452" s="50" t="s">
        <v>265</v>
      </c>
      <c r="E452" s="76"/>
      <c r="F452" s="76"/>
      <c r="G452" s="76"/>
      <c r="H452" s="76"/>
      <c r="I452" s="76"/>
      <c r="J452" s="76"/>
      <c r="K452" s="76"/>
      <c r="L452" s="76"/>
    </row>
    <row r="453" spans="1:12" ht="14.25" customHeight="1" x14ac:dyDescent="0.25">
      <c r="A453" s="1"/>
      <c r="B453" s="1"/>
      <c r="D453" s="1"/>
    </row>
    <row r="454" spans="1:12" ht="28.5" customHeight="1" x14ac:dyDescent="0.2">
      <c r="A454" s="317" t="s">
        <v>337</v>
      </c>
      <c r="B454" s="317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</row>
    <row r="455" spans="1:12" ht="19.5" customHeight="1" x14ac:dyDescent="0.25">
      <c r="A455" s="1"/>
      <c r="B455" s="1"/>
    </row>
    <row r="456" spans="1:12" ht="34.5" customHeight="1" thickBot="1" x14ac:dyDescent="0.25">
      <c r="A456" s="10" t="s">
        <v>0</v>
      </c>
      <c r="B456" s="278" t="s">
        <v>91</v>
      </c>
      <c r="C456" s="278"/>
      <c r="D456" s="278"/>
      <c r="E456" s="278"/>
      <c r="F456" s="278"/>
      <c r="G456" s="278"/>
      <c r="H456" s="278"/>
      <c r="I456" s="278"/>
      <c r="J456" s="278"/>
      <c r="K456" s="278"/>
      <c r="L456" s="278"/>
    </row>
    <row r="457" spans="1:12" ht="15.75" customHeight="1" thickTop="1" x14ac:dyDescent="0.25">
      <c r="A457" s="1"/>
      <c r="B457" s="11" t="s">
        <v>3</v>
      </c>
      <c r="C457" s="12" t="s">
        <v>4</v>
      </c>
      <c r="D457" s="13"/>
      <c r="E457" s="13"/>
      <c r="F457" s="13"/>
      <c r="G457" s="13"/>
      <c r="H457" s="14"/>
      <c r="I457" s="15" t="s">
        <v>5</v>
      </c>
      <c r="J457" s="12" t="s">
        <v>17</v>
      </c>
      <c r="K457" s="13"/>
      <c r="L457" s="14"/>
    </row>
    <row r="458" spans="1:12" ht="19.5" customHeight="1" x14ac:dyDescent="0.2">
      <c r="A458" s="50"/>
      <c r="B458" s="143">
        <v>1</v>
      </c>
      <c r="C458" s="284" t="s">
        <v>324</v>
      </c>
      <c r="D458" s="285"/>
      <c r="E458" s="285"/>
      <c r="F458" s="285"/>
      <c r="G458" s="76"/>
      <c r="H458" s="79"/>
      <c r="I458" s="56">
        <v>275000</v>
      </c>
      <c r="J458" s="76"/>
      <c r="K458" s="76"/>
      <c r="L458" s="79"/>
    </row>
    <row r="459" spans="1:12" ht="15" customHeight="1" x14ac:dyDescent="0.2">
      <c r="A459" s="99"/>
      <c r="B459" s="151"/>
      <c r="C459" s="322"/>
      <c r="D459" s="323"/>
      <c r="E459" s="152"/>
      <c r="F459" s="324"/>
      <c r="G459" s="323"/>
      <c r="H459" s="325"/>
      <c r="I459" s="153"/>
      <c r="J459" s="99"/>
      <c r="K459" s="99"/>
      <c r="L459" s="154"/>
    </row>
    <row r="460" spans="1:12" ht="15" customHeight="1" x14ac:dyDescent="0.2">
      <c r="A460" s="99"/>
      <c r="B460" s="151"/>
      <c r="C460" s="155"/>
      <c r="D460" s="155"/>
      <c r="E460" s="152"/>
      <c r="F460" s="156"/>
      <c r="G460" s="155"/>
      <c r="H460" s="155"/>
      <c r="I460" s="153"/>
      <c r="J460" s="99"/>
      <c r="K460" s="99"/>
      <c r="L460" s="154"/>
    </row>
    <row r="461" spans="1:12" ht="18" customHeight="1" x14ac:dyDescent="0.25">
      <c r="A461" s="1"/>
      <c r="B461" s="39"/>
      <c r="C461" s="1"/>
      <c r="D461" s="1"/>
      <c r="E461" s="1"/>
      <c r="F461" s="40" t="s">
        <v>5</v>
      </c>
      <c r="G461" s="40"/>
      <c r="H461" s="1"/>
      <c r="I461" s="41">
        <f>SUM(I458:I459)</f>
        <v>275000</v>
      </c>
      <c r="J461" s="1"/>
      <c r="K461" s="1"/>
      <c r="L461" s="42"/>
    </row>
    <row r="462" spans="1:12" ht="14.25" customHeight="1" thickBot="1" x14ac:dyDescent="0.3">
      <c r="A462" s="1"/>
      <c r="B462" s="43"/>
      <c r="C462" s="44"/>
      <c r="D462" s="44"/>
      <c r="E462" s="44"/>
      <c r="F462" s="45"/>
      <c r="G462" s="45"/>
      <c r="H462" s="44"/>
      <c r="I462" s="46"/>
      <c r="J462" s="44"/>
      <c r="K462" s="44"/>
      <c r="L462" s="47"/>
    </row>
    <row r="463" spans="1:12" ht="20.25" customHeight="1" thickTop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43.5" customHeight="1" x14ac:dyDescent="0.2">
      <c r="A464" s="10" t="s">
        <v>2</v>
      </c>
      <c r="B464" s="279" t="s">
        <v>11</v>
      </c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</row>
    <row r="465" spans="1:12" ht="1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" customHeight="1" x14ac:dyDescent="0.2">
      <c r="A466" s="280" t="s">
        <v>12</v>
      </c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</row>
    <row r="467" spans="1:12" ht="18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2" customHeight="1" x14ac:dyDescent="0.25">
      <c r="A469" s="1"/>
      <c r="B469" s="1"/>
      <c r="C469" s="1"/>
      <c r="D469" s="1"/>
      <c r="E469" s="1"/>
      <c r="F469" s="1"/>
      <c r="G469" s="1"/>
      <c r="H469" s="4" t="s">
        <v>199</v>
      </c>
      <c r="J469" s="286" t="s">
        <v>335</v>
      </c>
      <c r="K469" s="286"/>
      <c r="L469" s="286"/>
    </row>
    <row r="470" spans="1:12" ht="15.75" customHeight="1" x14ac:dyDescent="0.25">
      <c r="A470" s="1"/>
      <c r="B470" s="1" t="s">
        <v>15</v>
      </c>
      <c r="C470" s="1"/>
      <c r="D470" s="1"/>
      <c r="E470" s="1"/>
      <c r="F470" s="1"/>
      <c r="G470" s="1"/>
      <c r="H470" s="4" t="s">
        <v>13</v>
      </c>
    </row>
    <row r="471" spans="1:12" ht="13.5" customHeight="1" x14ac:dyDescent="0.25">
      <c r="A471" s="1"/>
      <c r="B471" s="1" t="s">
        <v>18</v>
      </c>
      <c r="C471" s="1"/>
      <c r="D471" s="1"/>
      <c r="E471" s="1"/>
      <c r="F471" s="1"/>
      <c r="G471" s="1"/>
      <c r="H471" s="4" t="s">
        <v>14</v>
      </c>
    </row>
    <row r="472" spans="1:12" ht="20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33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" hidden="1" x14ac:dyDescent="0.25">
      <c r="A474" s="1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"/>
    </row>
    <row r="475" spans="1:12" ht="33" hidden="1" customHeight="1" x14ac:dyDescent="0.25">
      <c r="A475" s="1"/>
      <c r="K475" s="103"/>
      <c r="L475" s="1"/>
    </row>
    <row r="476" spans="1:12" ht="18.75" customHeight="1" x14ac:dyDescent="0.25">
      <c r="A476" s="1"/>
      <c r="B476" s="95" t="s">
        <v>77</v>
      </c>
      <c r="H476" s="95" t="s">
        <v>77</v>
      </c>
      <c r="I476" s="95"/>
      <c r="J476" s="92"/>
      <c r="K476" s="103"/>
      <c r="L476" s="1"/>
    </row>
    <row r="477" spans="1:12" ht="19.5" customHeight="1" x14ac:dyDescent="0.25">
      <c r="A477" s="1"/>
      <c r="B477" s="99" t="s">
        <v>27</v>
      </c>
      <c r="C477" s="57"/>
      <c r="H477" s="99" t="s">
        <v>27</v>
      </c>
      <c r="K477" s="103"/>
    </row>
    <row r="478" spans="1:12" ht="33" customHeight="1" x14ac:dyDescent="0.2"/>
    <row r="479" spans="1:12" ht="15" customHeight="1" x14ac:dyDescent="0.2"/>
    <row r="480" spans="1:12" ht="5.25" customHeight="1" x14ac:dyDescent="0.2"/>
    <row r="481" spans="1:12" ht="7.5" hidden="1" customHeight="1" x14ac:dyDescent="0.2"/>
    <row r="482" spans="1:12" ht="47.25" hidden="1" customHeight="1" x14ac:dyDescent="0.2"/>
    <row r="483" spans="1:12" ht="13.5" customHeight="1" x14ac:dyDescent="0.2"/>
    <row r="484" spans="1:12" ht="15" customHeight="1" x14ac:dyDescent="0.25">
      <c r="A484" s="3" t="s">
        <v>22</v>
      </c>
    </row>
    <row r="485" spans="1:12" ht="17.25" customHeight="1" x14ac:dyDescent="0.2">
      <c r="A485" s="122" t="s">
        <v>20</v>
      </c>
    </row>
    <row r="486" spans="1:12" ht="18.75" customHeight="1" x14ac:dyDescent="0.2">
      <c r="A486" s="122" t="s">
        <v>21</v>
      </c>
    </row>
    <row r="487" spans="1:12" ht="16.5" customHeight="1" x14ac:dyDescent="0.2"/>
    <row r="488" spans="1:12" ht="21" customHeight="1" x14ac:dyDescent="0.2"/>
    <row r="489" spans="1:12" ht="15" customHeight="1" x14ac:dyDescent="0.2"/>
    <row r="490" spans="1:12" ht="18.75" x14ac:dyDescent="0.3">
      <c r="A490" s="276" t="s">
        <v>6</v>
      </c>
      <c r="B490" s="276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</row>
    <row r="491" spans="1:12" ht="18.75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</row>
    <row r="492" spans="1:12" ht="11.25" customHeight="1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</row>
    <row r="493" spans="1:12" ht="19.5" hidden="1" customHeight="1" x14ac:dyDescent="0.25">
      <c r="A493" s="1"/>
      <c r="B493" s="1"/>
    </row>
    <row r="494" spans="1:12" ht="11.25" customHeight="1" x14ac:dyDescent="0.25">
      <c r="A494" s="1" t="s">
        <v>7</v>
      </c>
      <c r="B494" s="1"/>
    </row>
    <row r="495" spans="1:12" ht="9.75" customHeight="1" x14ac:dyDescent="0.25">
      <c r="A495" s="1"/>
      <c r="B495" s="1"/>
    </row>
    <row r="496" spans="1:12" ht="15" customHeight="1" x14ac:dyDescent="0.25">
      <c r="A496" s="1" t="s">
        <v>8</v>
      </c>
      <c r="C496" s="9" t="s">
        <v>1</v>
      </c>
      <c r="D496" s="126" t="s">
        <v>64</v>
      </c>
      <c r="E496" s="76"/>
      <c r="F496" s="76"/>
      <c r="G496" s="76"/>
      <c r="H496" s="76"/>
    </row>
    <row r="497" spans="1:12" ht="15.75" customHeight="1" x14ac:dyDescent="0.25">
      <c r="A497" s="1" t="s">
        <v>9</v>
      </c>
      <c r="C497" s="9" t="s">
        <v>1</v>
      </c>
      <c r="D497" s="119" t="s">
        <v>236</v>
      </c>
      <c r="E497" s="76"/>
      <c r="F497" s="76"/>
      <c r="G497" s="76"/>
      <c r="H497" s="76"/>
    </row>
    <row r="498" spans="1:12" ht="18.75" customHeight="1" x14ac:dyDescent="0.2">
      <c r="A498" s="50" t="s">
        <v>10</v>
      </c>
      <c r="B498" s="76"/>
      <c r="C498" s="91" t="s">
        <v>1</v>
      </c>
      <c r="D498" s="124" t="s">
        <v>235</v>
      </c>
      <c r="E498" s="76"/>
      <c r="F498" s="76"/>
      <c r="G498" s="76"/>
      <c r="H498" s="76"/>
      <c r="I498" s="76"/>
      <c r="J498" s="76"/>
      <c r="K498" s="76"/>
      <c r="L498" s="76"/>
    </row>
    <row r="499" spans="1:12" ht="15" customHeight="1" x14ac:dyDescent="0.25">
      <c r="A499" s="1"/>
      <c r="B499" s="1"/>
      <c r="D499" s="1"/>
    </row>
    <row r="500" spans="1:12" ht="33" customHeight="1" x14ac:dyDescent="0.2">
      <c r="A500" s="317" t="s">
        <v>337</v>
      </c>
      <c r="B500" s="317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</row>
    <row r="501" spans="1:12" ht="15" x14ac:dyDescent="0.25">
      <c r="A501" s="1"/>
      <c r="B501" s="1"/>
    </row>
    <row r="502" spans="1:12" ht="32.25" customHeight="1" thickBot="1" x14ac:dyDescent="0.25">
      <c r="A502" s="10" t="s">
        <v>0</v>
      </c>
      <c r="B502" s="278" t="s">
        <v>91</v>
      </c>
      <c r="C502" s="278"/>
      <c r="D502" s="278"/>
      <c r="E502" s="278"/>
      <c r="F502" s="278"/>
      <c r="G502" s="278"/>
      <c r="H502" s="278"/>
      <c r="I502" s="278"/>
      <c r="J502" s="278"/>
      <c r="K502" s="278"/>
      <c r="L502" s="278"/>
    </row>
    <row r="503" spans="1:12" ht="18" customHeight="1" thickTop="1" x14ac:dyDescent="0.25">
      <c r="A503" s="1"/>
      <c r="B503" s="11" t="s">
        <v>3</v>
      </c>
      <c r="C503" s="12" t="s">
        <v>4</v>
      </c>
      <c r="D503" s="13"/>
      <c r="E503" s="13"/>
      <c r="F503" s="13"/>
      <c r="G503" s="13"/>
      <c r="H503" s="14"/>
      <c r="I503" s="15" t="s">
        <v>5</v>
      </c>
      <c r="J503" s="12" t="s">
        <v>17</v>
      </c>
      <c r="K503" s="13"/>
      <c r="L503" s="14"/>
    </row>
    <row r="504" spans="1:12" ht="30" customHeight="1" x14ac:dyDescent="0.2">
      <c r="A504" s="50"/>
      <c r="B504" s="143">
        <v>1</v>
      </c>
      <c r="C504" s="284" t="s">
        <v>324</v>
      </c>
      <c r="D504" s="285"/>
      <c r="E504" s="285"/>
      <c r="F504" s="285"/>
      <c r="G504" s="76"/>
      <c r="H504" s="79"/>
      <c r="I504" s="56">
        <v>275000</v>
      </c>
      <c r="J504" s="76"/>
      <c r="K504" s="76"/>
      <c r="L504" s="79"/>
    </row>
    <row r="505" spans="1:12" ht="18.75" customHeight="1" x14ac:dyDescent="0.2">
      <c r="A505" s="50"/>
      <c r="B505" s="100"/>
      <c r="C505" s="119"/>
      <c r="D505" s="119"/>
      <c r="E505" s="119"/>
      <c r="F505" s="119"/>
      <c r="G505" s="76"/>
      <c r="H505" s="76"/>
      <c r="I505" s="56"/>
      <c r="J505" s="76"/>
      <c r="K505" s="76"/>
      <c r="L505" s="79"/>
    </row>
    <row r="506" spans="1:12" ht="21" customHeight="1" x14ac:dyDescent="0.25">
      <c r="A506" s="1"/>
      <c r="B506" s="39"/>
      <c r="C506" s="1"/>
      <c r="D506" s="1"/>
      <c r="E506" s="1"/>
      <c r="F506" s="40" t="s">
        <v>5</v>
      </c>
      <c r="G506" s="40"/>
      <c r="H506" s="1"/>
      <c r="I506" s="41">
        <f>SUM(I504:I504)</f>
        <v>275000</v>
      </c>
      <c r="J506" s="1"/>
      <c r="K506" s="1"/>
      <c r="L506" s="42"/>
    </row>
    <row r="507" spans="1:12" ht="9" customHeight="1" thickBot="1" x14ac:dyDescent="0.3">
      <c r="A507" s="1"/>
      <c r="B507" s="43"/>
      <c r="C507" s="44"/>
      <c r="D507" s="44"/>
      <c r="E507" s="44"/>
      <c r="F507" s="45"/>
      <c r="G507" s="45"/>
      <c r="H507" s="44"/>
      <c r="I507" s="46"/>
      <c r="J507" s="44"/>
      <c r="K507" s="44"/>
      <c r="L507" s="47"/>
    </row>
    <row r="508" spans="1:12" ht="22.5" customHeight="1" thickTop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45" customHeight="1" x14ac:dyDescent="0.2">
      <c r="A509" s="10" t="s">
        <v>2</v>
      </c>
      <c r="B509" s="279" t="s">
        <v>11</v>
      </c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</row>
    <row r="510" spans="1:12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6.5" customHeight="1" x14ac:dyDescent="0.2">
      <c r="A511" s="280" t="s">
        <v>12</v>
      </c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</row>
    <row r="512" spans="1:1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2" customHeight="1" x14ac:dyDescent="0.25">
      <c r="A514" s="1"/>
      <c r="B514" s="1"/>
      <c r="C514" s="1"/>
      <c r="D514" s="1"/>
      <c r="E514" s="1"/>
      <c r="F514" s="1"/>
      <c r="G514" s="1"/>
      <c r="H514" s="4" t="s">
        <v>199</v>
      </c>
      <c r="J514" s="286" t="s">
        <v>335</v>
      </c>
      <c r="K514" s="286"/>
      <c r="L514" s="286"/>
    </row>
    <row r="515" spans="1:12" ht="12" customHeight="1" x14ac:dyDescent="0.25">
      <c r="A515" s="1"/>
      <c r="B515" s="1" t="s">
        <v>15</v>
      </c>
      <c r="C515" s="1"/>
      <c r="D515" s="1"/>
      <c r="E515" s="1"/>
      <c r="F515" s="1"/>
      <c r="G515" s="1"/>
      <c r="H515" s="4" t="s">
        <v>13</v>
      </c>
    </row>
    <row r="516" spans="1:12" ht="16.5" customHeight="1" x14ac:dyDescent="0.25">
      <c r="A516" s="1"/>
      <c r="B516" s="1" t="s">
        <v>18</v>
      </c>
      <c r="C516" s="1"/>
      <c r="D516" s="1"/>
      <c r="E516" s="1"/>
      <c r="F516" s="1"/>
      <c r="G516" s="1"/>
      <c r="H516" s="4" t="s">
        <v>14</v>
      </c>
    </row>
    <row r="517" spans="1:12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21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8.25" customHeight="1" x14ac:dyDescent="0.25">
      <c r="A519" s="1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"/>
    </row>
    <row r="520" spans="1:12" ht="15" hidden="1" customHeight="1" x14ac:dyDescent="0.25">
      <c r="A520" s="1"/>
      <c r="K520" s="103"/>
      <c r="L520" s="1"/>
    </row>
    <row r="521" spans="1:12" ht="18.75" customHeight="1" x14ac:dyDescent="0.25">
      <c r="A521" s="1"/>
      <c r="B521" s="95" t="s">
        <v>77</v>
      </c>
      <c r="H521" s="95" t="s">
        <v>64</v>
      </c>
      <c r="I521" s="95"/>
      <c r="J521" s="92"/>
      <c r="K521" s="103"/>
      <c r="L521" s="1"/>
    </row>
    <row r="522" spans="1:12" ht="15" customHeight="1" x14ac:dyDescent="0.25">
      <c r="A522" s="1"/>
      <c r="B522" s="99" t="s">
        <v>27</v>
      </c>
      <c r="C522" s="57"/>
      <c r="H522" s="99" t="s">
        <v>46</v>
      </c>
      <c r="K522" s="103"/>
    </row>
    <row r="523" spans="1:12" ht="45.75" customHeight="1" x14ac:dyDescent="0.2"/>
    <row r="524" spans="1:12" ht="21.75" customHeight="1" x14ac:dyDescent="0.2"/>
    <row r="525" spans="1:12" ht="14.25" customHeight="1" x14ac:dyDescent="0.2"/>
    <row r="526" spans="1:12" ht="15.75" customHeight="1" x14ac:dyDescent="0.2"/>
    <row r="527" spans="1:12" ht="12" customHeight="1" x14ac:dyDescent="0.2"/>
    <row r="528" spans="1:12" ht="14.25" customHeight="1" x14ac:dyDescent="0.2"/>
    <row r="529" spans="1:12" ht="13.5" customHeight="1" x14ac:dyDescent="0.2"/>
    <row r="530" spans="1:12" ht="12.75" customHeight="1" x14ac:dyDescent="0.2"/>
    <row r="531" spans="1:12" ht="16.5" customHeight="1" x14ac:dyDescent="0.2"/>
    <row r="532" spans="1:12" ht="15" customHeight="1" x14ac:dyDescent="0.2"/>
    <row r="533" spans="1:12" ht="10.5" customHeight="1" x14ac:dyDescent="0.2"/>
    <row r="534" spans="1:12" ht="12" customHeight="1" x14ac:dyDescent="0.2"/>
    <row r="535" spans="1:12" ht="15.75" customHeight="1" x14ac:dyDescent="0.25">
      <c r="A535" s="3" t="s">
        <v>22</v>
      </c>
    </row>
    <row r="536" spans="1:12" ht="15.75" customHeight="1" x14ac:dyDescent="0.2">
      <c r="A536" s="122" t="s">
        <v>20</v>
      </c>
    </row>
    <row r="537" spans="1:12" ht="15.75" x14ac:dyDescent="0.2">
      <c r="A537" s="122" t="s">
        <v>21</v>
      </c>
    </row>
    <row r="538" spans="1:12" ht="12.75" x14ac:dyDescent="0.2"/>
    <row r="539" spans="1:12" ht="15" customHeight="1" x14ac:dyDescent="0.2"/>
    <row r="540" spans="1:12" ht="27.75" customHeight="1" x14ac:dyDescent="0.2"/>
    <row r="541" spans="1:12" ht="15" customHeight="1" x14ac:dyDescent="0.3">
      <c r="A541" s="276" t="s">
        <v>6</v>
      </c>
      <c r="B541" s="276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</row>
    <row r="542" spans="1:12" ht="16.5" customHeigh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</row>
    <row r="543" spans="1:12" ht="16.5" customHeight="1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</row>
    <row r="544" spans="1:12" ht="19.5" customHeight="1" x14ac:dyDescent="0.25">
      <c r="A544" s="1"/>
      <c r="B544" s="1"/>
    </row>
    <row r="545" spans="1:12" ht="29.25" customHeight="1" x14ac:dyDescent="0.25">
      <c r="A545" s="1" t="s">
        <v>7</v>
      </c>
      <c r="B545" s="1"/>
    </row>
    <row r="546" spans="1:12" ht="29.25" customHeight="1" x14ac:dyDescent="0.25">
      <c r="A546" s="1"/>
      <c r="B546" s="1"/>
    </row>
    <row r="547" spans="1:12" ht="15" x14ac:dyDescent="0.25">
      <c r="A547" s="1" t="s">
        <v>8</v>
      </c>
      <c r="C547" s="9" t="s">
        <v>1</v>
      </c>
      <c r="D547" s="67" t="s">
        <v>328</v>
      </c>
      <c r="E547" s="76"/>
      <c r="F547" s="76"/>
      <c r="G547" s="76"/>
      <c r="H547" s="76"/>
    </row>
    <row r="548" spans="1:12" ht="15" customHeight="1" x14ac:dyDescent="0.25">
      <c r="A548" s="1" t="s">
        <v>9</v>
      </c>
      <c r="C548" s="9" t="s">
        <v>1</v>
      </c>
      <c r="D548" s="68" t="s">
        <v>330</v>
      </c>
      <c r="E548" s="76"/>
      <c r="F548" s="76"/>
      <c r="G548" s="76"/>
      <c r="H548" s="76"/>
    </row>
    <row r="549" spans="1:12" s="76" customFormat="1" ht="18" customHeight="1" x14ac:dyDescent="0.2">
      <c r="A549" s="50" t="s">
        <v>10</v>
      </c>
      <c r="C549" s="91" t="s">
        <v>1</v>
      </c>
      <c r="D549" s="50" t="s">
        <v>81</v>
      </c>
    </row>
    <row r="550" spans="1:12" s="76" customFormat="1" ht="17.25" customHeight="1" x14ac:dyDescent="0.25">
      <c r="A550" s="1"/>
      <c r="B550" s="1"/>
      <c r="C550" s="4"/>
      <c r="D550" s="1"/>
      <c r="E550" s="4"/>
      <c r="F550" s="4"/>
      <c r="G550" s="4"/>
      <c r="H550" s="4"/>
      <c r="I550" s="4"/>
      <c r="J550" s="4"/>
      <c r="K550" s="4"/>
      <c r="L550" s="4"/>
    </row>
    <row r="551" spans="1:12" s="76" customFormat="1" ht="35.25" customHeight="1" x14ac:dyDescent="0.2">
      <c r="A551" s="317" t="s">
        <v>337</v>
      </c>
      <c r="B551" s="317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</row>
    <row r="552" spans="1:12" ht="10.5" customHeight="1" x14ac:dyDescent="0.25">
      <c r="A552" s="1"/>
      <c r="B552" s="1"/>
    </row>
    <row r="553" spans="1:12" ht="36.75" customHeight="1" thickBot="1" x14ac:dyDescent="0.25">
      <c r="A553" s="10" t="s">
        <v>0</v>
      </c>
      <c r="B553" s="278" t="s">
        <v>91</v>
      </c>
      <c r="C553" s="278"/>
      <c r="D553" s="278"/>
      <c r="E553" s="278"/>
      <c r="F553" s="278"/>
      <c r="G553" s="278"/>
      <c r="H553" s="278"/>
      <c r="I553" s="278"/>
      <c r="J553" s="278"/>
      <c r="K553" s="278"/>
      <c r="L553" s="278"/>
    </row>
    <row r="554" spans="1:12" ht="15" customHeight="1" thickTop="1" x14ac:dyDescent="0.25">
      <c r="A554" s="1"/>
      <c r="B554" s="11" t="s">
        <v>3</v>
      </c>
      <c r="C554" s="12" t="s">
        <v>4</v>
      </c>
      <c r="D554" s="13"/>
      <c r="E554" s="13"/>
      <c r="F554" s="13"/>
      <c r="G554" s="13"/>
      <c r="H554" s="14"/>
      <c r="I554" s="15" t="s">
        <v>5</v>
      </c>
      <c r="J554" s="12" t="s">
        <v>17</v>
      </c>
      <c r="K554" s="13"/>
      <c r="L554" s="14"/>
    </row>
    <row r="555" spans="1:12" ht="21.75" customHeight="1" x14ac:dyDescent="0.2">
      <c r="A555" s="50"/>
      <c r="B555" s="143">
        <v>1</v>
      </c>
      <c r="C555" s="284" t="s">
        <v>324</v>
      </c>
      <c r="D555" s="285"/>
      <c r="E555" s="285"/>
      <c r="F555" s="285"/>
      <c r="G555" s="76"/>
      <c r="H555" s="79"/>
      <c r="I555" s="56">
        <v>275000</v>
      </c>
      <c r="J555" s="76"/>
      <c r="K555" s="76"/>
      <c r="L555" s="79"/>
    </row>
    <row r="556" spans="1:12" ht="15" customHeight="1" x14ac:dyDescent="0.2">
      <c r="A556" s="50"/>
      <c r="B556" s="100"/>
      <c r="C556" s="119"/>
      <c r="D556" s="119"/>
      <c r="E556" s="119"/>
      <c r="F556" s="119"/>
      <c r="G556" s="76"/>
      <c r="H556" s="76"/>
      <c r="I556" s="56"/>
      <c r="J556" s="76"/>
      <c r="K556" s="76"/>
      <c r="L556" s="79"/>
    </row>
    <row r="557" spans="1:12" ht="23.25" customHeight="1" x14ac:dyDescent="0.25">
      <c r="A557" s="1"/>
      <c r="B557" s="39"/>
      <c r="C557" s="1"/>
      <c r="D557" s="1"/>
      <c r="E557" s="1"/>
      <c r="F557" s="40" t="s">
        <v>5</v>
      </c>
      <c r="G557" s="40"/>
      <c r="H557" s="1"/>
      <c r="I557" s="41">
        <f>SUM(I555:I555)</f>
        <v>275000</v>
      </c>
      <c r="J557" s="1"/>
      <c r="K557" s="1"/>
      <c r="L557" s="42"/>
    </row>
    <row r="558" spans="1:12" ht="23.25" customHeight="1" thickBot="1" x14ac:dyDescent="0.3">
      <c r="A558" s="1"/>
      <c r="B558" s="43"/>
      <c r="C558" s="44"/>
      <c r="D558" s="44"/>
      <c r="E558" s="44"/>
      <c r="F558" s="45"/>
      <c r="G558" s="45"/>
      <c r="H558" s="44"/>
      <c r="I558" s="46"/>
      <c r="J558" s="44"/>
      <c r="K558" s="44"/>
      <c r="L558" s="47"/>
    </row>
    <row r="559" spans="1:12" ht="16.5" customHeight="1" thickTop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46.5" customHeight="1" x14ac:dyDescent="0.2">
      <c r="A560" s="10" t="s">
        <v>2</v>
      </c>
      <c r="B560" s="279" t="s">
        <v>11</v>
      </c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</row>
    <row r="561" spans="1:12" ht="18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8.75" customHeight="1" x14ac:dyDescent="0.2">
      <c r="A562" s="280" t="s">
        <v>12</v>
      </c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</row>
    <row r="563" spans="1:12" ht="3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7.25" hidden="1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8" customHeight="1" x14ac:dyDescent="0.25">
      <c r="A565" s="1"/>
      <c r="B565" s="1"/>
      <c r="C565" s="1"/>
      <c r="D565" s="1"/>
      <c r="E565" s="1"/>
      <c r="F565" s="1"/>
      <c r="G565" s="1"/>
      <c r="H565" s="4" t="s">
        <v>199</v>
      </c>
      <c r="J565" s="286" t="s">
        <v>335</v>
      </c>
      <c r="K565" s="286"/>
      <c r="L565" s="286"/>
    </row>
    <row r="566" spans="1:12" ht="12" customHeight="1" x14ac:dyDescent="0.25">
      <c r="A566" s="1"/>
      <c r="B566" s="1" t="s">
        <v>15</v>
      </c>
      <c r="C566" s="1"/>
      <c r="D566" s="1"/>
      <c r="E566" s="1"/>
      <c r="F566" s="1"/>
      <c r="G566" s="1"/>
      <c r="H566" s="4" t="s">
        <v>13</v>
      </c>
    </row>
    <row r="567" spans="1:12" ht="15.75" customHeight="1" x14ac:dyDescent="0.25">
      <c r="A567" s="1"/>
      <c r="B567" s="1" t="s">
        <v>18</v>
      </c>
      <c r="C567" s="1"/>
      <c r="D567" s="1"/>
      <c r="E567" s="1"/>
      <c r="F567" s="1"/>
      <c r="G567" s="1"/>
      <c r="H567" s="4" t="s">
        <v>14</v>
      </c>
    </row>
    <row r="568" spans="1:1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7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5.25" customHeight="1" x14ac:dyDescent="0.25">
      <c r="A570" s="1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"/>
    </row>
    <row r="571" spans="1:12" ht="16.5" hidden="1" customHeight="1" x14ac:dyDescent="0.25">
      <c r="A571" s="1"/>
      <c r="K571" s="103"/>
      <c r="L571" s="1"/>
    </row>
    <row r="572" spans="1:12" ht="15" x14ac:dyDescent="0.25">
      <c r="A572" s="1"/>
      <c r="B572" s="95" t="s">
        <v>77</v>
      </c>
      <c r="H572" s="147" t="s">
        <v>328</v>
      </c>
      <c r="I572" s="95"/>
      <c r="J572" s="92"/>
      <c r="K572" s="103"/>
      <c r="L572" s="1"/>
    </row>
    <row r="573" spans="1:12" ht="15" customHeight="1" x14ac:dyDescent="0.2">
      <c r="A573" s="48"/>
      <c r="B573" s="99" t="s">
        <v>27</v>
      </c>
      <c r="C573" s="146"/>
      <c r="D573" s="99"/>
      <c r="E573" s="99"/>
      <c r="F573" s="99"/>
      <c r="G573" s="99"/>
      <c r="H573" s="48" t="s">
        <v>329</v>
      </c>
      <c r="I573" s="99"/>
      <c r="J573" s="99"/>
      <c r="K573" s="104"/>
      <c r="L573" s="99"/>
    </row>
    <row r="574" spans="1:12" ht="12.75" x14ac:dyDescent="0.2"/>
    <row r="575" spans="1:12" ht="15.75" customHeight="1" x14ac:dyDescent="0.2"/>
    <row r="576" spans="1:12" ht="18" hidden="1" customHeight="1" x14ac:dyDescent="0.2"/>
    <row r="577" spans="1:12" ht="15.75" customHeight="1" x14ac:dyDescent="0.2"/>
    <row r="578" spans="1:12" ht="17.25" customHeight="1" x14ac:dyDescent="0.2"/>
    <row r="579" spans="1:12" ht="3.75" customHeight="1" x14ac:dyDescent="0.2"/>
    <row r="580" spans="1:12" ht="29.25" customHeight="1" x14ac:dyDescent="0.25">
      <c r="A580" s="3" t="s">
        <v>22</v>
      </c>
    </row>
    <row r="581" spans="1:12" ht="13.5" customHeight="1" x14ac:dyDescent="0.2">
      <c r="A581" s="122" t="s">
        <v>20</v>
      </c>
    </row>
    <row r="582" spans="1:12" ht="19.5" customHeight="1" x14ac:dyDescent="0.2">
      <c r="A582" s="122" t="s">
        <v>21</v>
      </c>
    </row>
    <row r="583" spans="1:12" ht="9" customHeight="1" x14ac:dyDescent="0.2"/>
    <row r="584" spans="1:12" ht="28.5" customHeight="1" x14ac:dyDescent="0.2"/>
    <row r="585" spans="1:12" ht="17.25" customHeight="1" x14ac:dyDescent="0.2"/>
    <row r="586" spans="1:12" ht="13.5" customHeight="1" x14ac:dyDescent="0.3">
      <c r="A586" s="276" t="s">
        <v>6</v>
      </c>
      <c r="B586" s="276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</row>
    <row r="587" spans="1:12" ht="15" customHeight="1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</row>
    <row r="588" spans="1:12" ht="3.75" customHeight="1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</row>
    <row r="589" spans="1:12" ht="34.5" hidden="1" customHeight="1" x14ac:dyDescent="0.25">
      <c r="A589" s="1"/>
      <c r="B589" s="1"/>
    </row>
    <row r="590" spans="1:12" ht="34.5" customHeight="1" x14ac:dyDescent="0.25">
      <c r="A590" s="1" t="s">
        <v>7</v>
      </c>
      <c r="B590" s="1"/>
    </row>
    <row r="591" spans="1:12" ht="15" customHeight="1" x14ac:dyDescent="0.25">
      <c r="A591" s="1"/>
      <c r="B591" s="1"/>
    </row>
    <row r="592" spans="1:12" ht="15.75" customHeight="1" x14ac:dyDescent="0.25">
      <c r="A592" s="1" t="s">
        <v>8</v>
      </c>
      <c r="C592" s="9" t="s">
        <v>1</v>
      </c>
      <c r="D592" s="40" t="s">
        <v>107</v>
      </c>
      <c r="E592" s="76"/>
      <c r="F592" s="76"/>
      <c r="G592" s="76"/>
      <c r="H592" s="76"/>
    </row>
    <row r="593" spans="1:13" ht="17.25" customHeight="1" x14ac:dyDescent="0.25">
      <c r="A593" s="1" t="s">
        <v>9</v>
      </c>
      <c r="C593" s="9" t="s">
        <v>1</v>
      </c>
      <c r="D593" s="7" t="s">
        <v>249</v>
      </c>
      <c r="E593" s="76"/>
      <c r="F593" s="76"/>
      <c r="G593" s="76"/>
      <c r="H593" s="76"/>
    </row>
    <row r="594" spans="1:13" ht="12.75" customHeight="1" x14ac:dyDescent="0.25">
      <c r="A594" s="50" t="s">
        <v>10</v>
      </c>
      <c r="B594" s="76"/>
      <c r="C594" s="91" t="s">
        <v>1</v>
      </c>
      <c r="D594" s="1" t="s">
        <v>250</v>
      </c>
      <c r="E594" s="76"/>
      <c r="F594" s="76"/>
      <c r="G594" s="76"/>
      <c r="H594" s="76"/>
      <c r="I594" s="76"/>
      <c r="J594" s="76"/>
      <c r="K594" s="76"/>
      <c r="L594" s="76"/>
    </row>
    <row r="595" spans="1:13" ht="13.5" customHeight="1" x14ac:dyDescent="0.25">
      <c r="A595" s="1"/>
      <c r="B595" s="1"/>
      <c r="D595" s="1"/>
    </row>
    <row r="596" spans="1:13" ht="32.25" customHeight="1" x14ac:dyDescent="0.2">
      <c r="A596" s="317" t="s">
        <v>337</v>
      </c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</row>
    <row r="597" spans="1:13" ht="15" x14ac:dyDescent="0.25">
      <c r="A597" s="1"/>
      <c r="B597" s="1"/>
    </row>
    <row r="598" spans="1:13" ht="33" customHeight="1" thickBot="1" x14ac:dyDescent="0.25">
      <c r="A598" s="10" t="s">
        <v>0</v>
      </c>
      <c r="B598" s="278" t="s">
        <v>91</v>
      </c>
      <c r="C598" s="278"/>
      <c r="D598" s="278"/>
      <c r="E598" s="278"/>
      <c r="F598" s="278"/>
      <c r="G598" s="278"/>
      <c r="H598" s="278"/>
      <c r="I598" s="278"/>
      <c r="J598" s="278"/>
      <c r="K598" s="278"/>
      <c r="L598" s="278"/>
    </row>
    <row r="599" spans="1:13" ht="15.75" thickTop="1" x14ac:dyDescent="0.25">
      <c r="A599" s="1"/>
      <c r="B599" s="11" t="s">
        <v>3</v>
      </c>
      <c r="C599" s="12" t="s">
        <v>4</v>
      </c>
      <c r="D599" s="13"/>
      <c r="E599" s="13"/>
      <c r="F599" s="13"/>
      <c r="G599" s="13"/>
      <c r="H599" s="14"/>
      <c r="I599" s="15" t="s">
        <v>5</v>
      </c>
      <c r="J599" s="12" t="s">
        <v>17</v>
      </c>
      <c r="K599" s="13"/>
      <c r="L599" s="14"/>
    </row>
    <row r="600" spans="1:13" ht="15" x14ac:dyDescent="0.2">
      <c r="A600" s="50"/>
      <c r="B600" s="143">
        <v>1</v>
      </c>
      <c r="C600" s="284" t="s">
        <v>324</v>
      </c>
      <c r="D600" s="285"/>
      <c r="E600" s="285"/>
      <c r="F600" s="285"/>
      <c r="G600" s="76"/>
      <c r="H600" s="79"/>
      <c r="I600" s="56">
        <v>275000</v>
      </c>
      <c r="J600" s="76"/>
      <c r="K600" s="76"/>
      <c r="L600" s="79"/>
    </row>
    <row r="601" spans="1:13" ht="17.25" customHeight="1" x14ac:dyDescent="0.2">
      <c r="A601" s="50"/>
      <c r="B601" s="100"/>
      <c r="C601" s="119"/>
      <c r="D601" s="119"/>
      <c r="E601" s="119"/>
      <c r="F601" s="119"/>
      <c r="G601" s="76"/>
      <c r="H601" s="76"/>
      <c r="I601" s="56"/>
      <c r="J601" s="76"/>
      <c r="K601" s="76"/>
      <c r="L601" s="79"/>
    </row>
    <row r="602" spans="1:13" ht="13.5" customHeight="1" x14ac:dyDescent="0.25">
      <c r="A602" s="1"/>
      <c r="B602" s="39"/>
      <c r="C602" s="1"/>
      <c r="D602" s="1"/>
      <c r="E602" s="1"/>
      <c r="F602" s="40" t="s">
        <v>5</v>
      </c>
      <c r="G602" s="40"/>
      <c r="H602" s="1"/>
      <c r="I602" s="41">
        <f>SUM(I600:I600)</f>
        <v>275000</v>
      </c>
      <c r="J602" s="1"/>
      <c r="K602" s="1"/>
      <c r="L602" s="42"/>
    </row>
    <row r="603" spans="1:13" ht="31.5" customHeight="1" thickBot="1" x14ac:dyDescent="0.3">
      <c r="A603" s="1"/>
      <c r="B603" s="43"/>
      <c r="C603" s="44"/>
      <c r="D603" s="44"/>
      <c r="E603" s="44"/>
      <c r="F603" s="45"/>
      <c r="G603" s="45"/>
      <c r="H603" s="44"/>
      <c r="I603" s="46"/>
      <c r="J603" s="44"/>
      <c r="K603" s="44"/>
      <c r="L603" s="47"/>
    </row>
    <row r="604" spans="1:13" ht="13.5" customHeight="1" thickTop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3" ht="49.5" customHeight="1" x14ac:dyDescent="0.2">
      <c r="A605" s="10" t="s">
        <v>2</v>
      </c>
      <c r="B605" s="279" t="s">
        <v>11</v>
      </c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</row>
    <row r="606" spans="1:13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59"/>
    </row>
    <row r="607" spans="1:13" ht="12.75" customHeight="1" x14ac:dyDescent="0.2">
      <c r="A607" s="280" t="s">
        <v>12</v>
      </c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</row>
    <row r="608" spans="1:13" ht="20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" x14ac:dyDescent="0.25">
      <c r="A610" s="1"/>
      <c r="B610" s="1"/>
      <c r="C610" s="1"/>
      <c r="D610" s="1"/>
      <c r="E610" s="1"/>
      <c r="F610" s="1"/>
      <c r="G610" s="1"/>
      <c r="H610" s="4" t="s">
        <v>199</v>
      </c>
      <c r="J610" s="286" t="s">
        <v>335</v>
      </c>
      <c r="K610" s="286"/>
      <c r="L610" s="286"/>
    </row>
    <row r="611" spans="1:12" ht="15" customHeight="1" x14ac:dyDescent="0.25">
      <c r="A611" s="1"/>
      <c r="B611" s="1" t="s">
        <v>15</v>
      </c>
      <c r="C611" s="1"/>
      <c r="D611" s="1"/>
      <c r="E611" s="1"/>
      <c r="F611" s="1"/>
      <c r="G611" s="1"/>
      <c r="H611" s="4" t="s">
        <v>13</v>
      </c>
    </row>
    <row r="612" spans="1:12" ht="13.5" customHeight="1" x14ac:dyDescent="0.25">
      <c r="A612" s="1"/>
      <c r="B612" s="1" t="s">
        <v>18</v>
      </c>
      <c r="C612" s="1"/>
      <c r="D612" s="1"/>
      <c r="E612" s="1"/>
      <c r="F612" s="1"/>
      <c r="G612" s="1"/>
      <c r="H612" s="4" t="s">
        <v>14</v>
      </c>
    </row>
    <row r="613" spans="1:12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27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6" customHeight="1" x14ac:dyDescent="0.25">
      <c r="A615" s="1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"/>
    </row>
    <row r="616" spans="1:12" ht="11.25" customHeight="1" x14ac:dyDescent="0.25">
      <c r="A616" s="1"/>
      <c r="K616" s="103"/>
      <c r="L616" s="1"/>
    </row>
    <row r="617" spans="1:12" ht="11.25" customHeight="1" x14ac:dyDescent="0.25">
      <c r="A617" s="1"/>
      <c r="B617" s="95" t="s">
        <v>77</v>
      </c>
      <c r="H617" s="95" t="s">
        <v>107</v>
      </c>
      <c r="I617" s="95"/>
      <c r="J617" s="92"/>
      <c r="K617" s="103"/>
      <c r="L617" s="1"/>
    </row>
    <row r="618" spans="1:12" ht="15" x14ac:dyDescent="0.25">
      <c r="A618" s="1"/>
      <c r="B618" s="99" t="s">
        <v>27</v>
      </c>
      <c r="C618" s="57"/>
      <c r="H618" s="99" t="s">
        <v>72</v>
      </c>
      <c r="K618" s="103"/>
    </row>
    <row r="619" spans="1:12" ht="12.75" x14ac:dyDescent="0.2"/>
    <row r="620" spans="1:12" ht="20.25" customHeight="1" x14ac:dyDescent="0.2"/>
    <row r="621" spans="1:12" ht="21" hidden="1" customHeight="1" x14ac:dyDescent="0.2"/>
    <row r="622" spans="1:12" ht="30" customHeight="1" x14ac:dyDescent="0.25">
      <c r="A622" s="3" t="s">
        <v>22</v>
      </c>
    </row>
    <row r="623" spans="1:12" ht="21.75" customHeight="1" x14ac:dyDescent="0.2">
      <c r="A623" s="122" t="s">
        <v>20</v>
      </c>
    </row>
    <row r="624" spans="1:12" ht="15.75" x14ac:dyDescent="0.2">
      <c r="A624" s="122" t="s">
        <v>21</v>
      </c>
    </row>
    <row r="625" spans="1:12" ht="12.75" customHeight="1" x14ac:dyDescent="0.2"/>
    <row r="626" spans="1:12" ht="13.5" customHeight="1" x14ac:dyDescent="0.2"/>
    <row r="627" spans="1:12" ht="12.75" x14ac:dyDescent="0.2"/>
    <row r="628" spans="1:12" ht="18.75" customHeight="1" x14ac:dyDescent="0.3">
      <c r="A628" s="276" t="s">
        <v>6</v>
      </c>
      <c r="B628" s="276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</row>
    <row r="629" spans="1:12" ht="22.5" customHeight="1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</row>
    <row r="630" spans="1:12" ht="4.5" customHeight="1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</row>
    <row r="631" spans="1:12" ht="13.5" hidden="1" customHeight="1" x14ac:dyDescent="0.25">
      <c r="A631" s="1"/>
      <c r="B631" s="1"/>
    </row>
    <row r="632" spans="1:12" ht="20.25" customHeight="1" x14ac:dyDescent="0.25">
      <c r="A632" s="1" t="s">
        <v>7</v>
      </c>
      <c r="B632" s="1"/>
    </row>
    <row r="633" spans="1:12" ht="9" customHeight="1" x14ac:dyDescent="0.25">
      <c r="A633" s="1"/>
      <c r="B633" s="1"/>
    </row>
    <row r="634" spans="1:12" ht="16.5" customHeight="1" x14ac:dyDescent="0.25">
      <c r="A634" s="1" t="s">
        <v>8</v>
      </c>
      <c r="C634" s="9" t="s">
        <v>1</v>
      </c>
      <c r="D634" s="92" t="s">
        <v>96</v>
      </c>
      <c r="E634" s="76"/>
      <c r="F634" s="76"/>
      <c r="G634" s="76"/>
      <c r="H634" s="76"/>
    </row>
    <row r="635" spans="1:12" ht="14.25" customHeight="1" x14ac:dyDescent="0.25">
      <c r="A635" s="1" t="s">
        <v>9</v>
      </c>
      <c r="C635" s="9" t="s">
        <v>1</v>
      </c>
      <c r="D635" s="57" t="s">
        <v>200</v>
      </c>
      <c r="E635" s="76"/>
      <c r="F635" s="76"/>
      <c r="G635" s="76"/>
      <c r="H635" s="76"/>
    </row>
    <row r="636" spans="1:12" ht="19.5" customHeight="1" x14ac:dyDescent="0.2">
      <c r="A636" s="50" t="s">
        <v>10</v>
      </c>
      <c r="B636" s="76"/>
      <c r="C636" s="91" t="s">
        <v>1</v>
      </c>
      <c r="D636" s="50" t="s">
        <v>203</v>
      </c>
      <c r="E636" s="76"/>
      <c r="F636" s="76"/>
      <c r="G636" s="76"/>
      <c r="H636" s="76"/>
      <c r="I636" s="76"/>
      <c r="J636" s="76"/>
      <c r="K636" s="76"/>
      <c r="L636" s="76"/>
    </row>
    <row r="637" spans="1:12" ht="4.5" customHeight="1" x14ac:dyDescent="0.25">
      <c r="A637" s="1"/>
      <c r="B637" s="1"/>
      <c r="D637" s="1"/>
    </row>
    <row r="638" spans="1:12" ht="34.5" customHeight="1" x14ac:dyDescent="0.2">
      <c r="A638" s="277" t="s">
        <v>341</v>
      </c>
      <c r="B638" s="277"/>
      <c r="C638" s="277"/>
      <c r="D638" s="277"/>
      <c r="E638" s="277"/>
      <c r="F638" s="277"/>
      <c r="G638" s="277"/>
      <c r="H638" s="277"/>
      <c r="I638" s="277"/>
      <c r="J638" s="277"/>
      <c r="K638" s="277"/>
      <c r="L638" s="277"/>
    </row>
    <row r="639" spans="1:12" ht="14.25" customHeight="1" x14ac:dyDescent="0.25">
      <c r="A639" s="1"/>
      <c r="B639" s="1"/>
    </row>
    <row r="640" spans="1:12" ht="36" customHeight="1" thickBot="1" x14ac:dyDescent="0.25">
      <c r="A640" s="10" t="s">
        <v>0</v>
      </c>
      <c r="B640" s="278" t="s">
        <v>91</v>
      </c>
      <c r="C640" s="278"/>
      <c r="D640" s="278"/>
      <c r="E640" s="278"/>
      <c r="F640" s="278"/>
      <c r="G640" s="278"/>
      <c r="H640" s="278"/>
      <c r="I640" s="278"/>
      <c r="J640" s="278"/>
      <c r="K640" s="278"/>
      <c r="L640" s="278"/>
    </row>
    <row r="641" spans="1:12" ht="16.5" customHeight="1" thickTop="1" x14ac:dyDescent="0.25">
      <c r="A641" s="1"/>
      <c r="B641" s="11" t="s">
        <v>3</v>
      </c>
      <c r="C641" s="12" t="s">
        <v>4</v>
      </c>
      <c r="D641" s="13"/>
      <c r="E641" s="13"/>
      <c r="F641" s="13"/>
      <c r="G641" s="13"/>
      <c r="H641" s="14"/>
      <c r="I641" s="15" t="s">
        <v>5</v>
      </c>
      <c r="J641" s="12" t="s">
        <v>17</v>
      </c>
      <c r="K641" s="13"/>
      <c r="L641" s="14"/>
    </row>
    <row r="642" spans="1:12" ht="18.75" customHeight="1" x14ac:dyDescent="0.2">
      <c r="A642" s="50"/>
      <c r="B642" s="143">
        <v>1</v>
      </c>
      <c r="C642" s="284" t="s">
        <v>339</v>
      </c>
      <c r="D642" s="285"/>
      <c r="E642" s="285"/>
      <c r="F642" s="285"/>
      <c r="G642" s="76"/>
      <c r="H642" s="79"/>
      <c r="I642" s="56">
        <v>150000</v>
      </c>
      <c r="J642" s="76"/>
      <c r="K642" s="76"/>
      <c r="L642" s="79"/>
    </row>
    <row r="643" spans="1:12" ht="27" customHeight="1" x14ac:dyDescent="0.2">
      <c r="B643" s="96"/>
      <c r="C643" s="124"/>
      <c r="D643" s="124"/>
      <c r="E643" s="127"/>
      <c r="F643" s="125"/>
      <c r="G643" s="124"/>
      <c r="H643" s="124"/>
      <c r="I643" s="23"/>
      <c r="L643" s="17"/>
    </row>
    <row r="644" spans="1:12" ht="15" customHeight="1" x14ac:dyDescent="0.25">
      <c r="A644" s="1"/>
      <c r="B644" s="39"/>
      <c r="C644" s="1"/>
      <c r="D644" s="1"/>
      <c r="E644" s="1"/>
      <c r="F644" s="40" t="s">
        <v>5</v>
      </c>
      <c r="G644" s="40"/>
      <c r="H644" s="1"/>
      <c r="I644" s="41">
        <f>SUM(I642:I642)</f>
        <v>150000</v>
      </c>
      <c r="J644" s="1"/>
      <c r="K644" s="1"/>
      <c r="L644" s="42"/>
    </row>
    <row r="645" spans="1:12" ht="12" customHeight="1" thickBot="1" x14ac:dyDescent="0.3">
      <c r="A645" s="1"/>
      <c r="B645" s="43"/>
      <c r="C645" s="44"/>
      <c r="D645" s="44"/>
      <c r="E645" s="44"/>
      <c r="F645" s="45"/>
      <c r="G645" s="45"/>
      <c r="H645" s="44"/>
      <c r="I645" s="46"/>
      <c r="J645" s="44"/>
      <c r="K645" s="44"/>
      <c r="L645" s="47"/>
    </row>
    <row r="646" spans="1:12" ht="18.75" customHeight="1" thickTop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44.25" customHeight="1" x14ac:dyDescent="0.2">
      <c r="A647" s="10" t="s">
        <v>2</v>
      </c>
      <c r="B647" s="279" t="s">
        <v>11</v>
      </c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</row>
    <row r="648" spans="1:12" ht="11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" customHeight="1" x14ac:dyDescent="0.2">
      <c r="A649" s="280" t="s">
        <v>12</v>
      </c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</row>
    <row r="650" spans="1:12" ht="1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6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2" customHeight="1" x14ac:dyDescent="0.25">
      <c r="A652" s="1"/>
      <c r="B652" s="1"/>
      <c r="C652" s="1"/>
      <c r="D652" s="1"/>
      <c r="E652" s="1"/>
      <c r="F652" s="1"/>
      <c r="G652" s="1"/>
      <c r="H652" s="4" t="s">
        <v>199</v>
      </c>
      <c r="J652" s="286" t="s">
        <v>335</v>
      </c>
      <c r="K652" s="286"/>
      <c r="L652" s="286"/>
    </row>
    <row r="653" spans="1:12" ht="14.25" customHeight="1" x14ac:dyDescent="0.25">
      <c r="A653" s="1"/>
      <c r="B653" s="1" t="s">
        <v>15</v>
      </c>
      <c r="C653" s="1"/>
      <c r="D653" s="1"/>
      <c r="E653" s="1"/>
      <c r="F653" s="1"/>
      <c r="G653" s="1"/>
      <c r="H653" s="4" t="s">
        <v>13</v>
      </c>
    </row>
    <row r="654" spans="1:12" ht="17.25" customHeight="1" x14ac:dyDescent="0.25">
      <c r="A654" s="1"/>
      <c r="B654" s="1" t="s">
        <v>18</v>
      </c>
      <c r="C654" s="1"/>
      <c r="D654" s="1"/>
      <c r="E654" s="1"/>
      <c r="F654" s="1"/>
      <c r="G654" s="1"/>
      <c r="H654" s="4" t="s">
        <v>14</v>
      </c>
    </row>
    <row r="655" spans="1:1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9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hidden="1" customHeight="1" x14ac:dyDescent="0.25">
      <c r="A657" s="1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"/>
    </row>
    <row r="658" spans="1:12" ht="15.75" customHeight="1" x14ac:dyDescent="0.25">
      <c r="A658" s="1"/>
      <c r="K658" s="103"/>
      <c r="L658" s="1"/>
    </row>
    <row r="659" spans="1:12" ht="14.25" customHeight="1" x14ac:dyDescent="0.25">
      <c r="A659" s="1"/>
      <c r="B659" s="95" t="s">
        <v>77</v>
      </c>
      <c r="H659" s="95" t="s">
        <v>96</v>
      </c>
      <c r="I659" s="95"/>
      <c r="J659" s="92"/>
      <c r="K659" s="103"/>
      <c r="L659" s="1"/>
    </row>
    <row r="660" spans="1:12" ht="13.5" customHeight="1" x14ac:dyDescent="0.25">
      <c r="A660" s="1"/>
      <c r="B660" s="99" t="s">
        <v>27</v>
      </c>
      <c r="C660" s="57"/>
      <c r="H660" s="99" t="s">
        <v>100</v>
      </c>
      <c r="K660" s="103"/>
    </row>
    <row r="661" spans="1:12" ht="12.75" customHeight="1" x14ac:dyDescent="0.2"/>
    <row r="662" spans="1:12" ht="18" customHeight="1" x14ac:dyDescent="0.2"/>
    <row r="663" spans="1:12" ht="21.75" hidden="1" customHeight="1" x14ac:dyDescent="0.2"/>
    <row r="664" spans="1:12" ht="15.75" customHeight="1" x14ac:dyDescent="0.25">
      <c r="A664" s="3" t="s">
        <v>22</v>
      </c>
    </row>
    <row r="665" spans="1:12" ht="20.25" customHeight="1" x14ac:dyDescent="0.2">
      <c r="A665" s="122" t="s">
        <v>20</v>
      </c>
    </row>
    <row r="666" spans="1:12" ht="12.75" customHeight="1" x14ac:dyDescent="0.2">
      <c r="A666" s="122" t="s">
        <v>21</v>
      </c>
    </row>
    <row r="667" spans="1:12" ht="18.75" hidden="1" customHeight="1" x14ac:dyDescent="0.2"/>
    <row r="668" spans="1:12" ht="16.5" customHeight="1" x14ac:dyDescent="0.2"/>
    <row r="669" spans="1:12" ht="11.25" customHeight="1" x14ac:dyDescent="0.2"/>
    <row r="670" spans="1:12" ht="19.5" customHeight="1" x14ac:dyDescent="0.3">
      <c r="A670" s="276" t="s">
        <v>6</v>
      </c>
      <c r="B670" s="276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</row>
    <row r="671" spans="1:12" ht="15.75" customHeight="1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</row>
    <row r="672" spans="1:12" ht="24.75" customHeight="1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</row>
    <row r="673" spans="1:12" ht="15.75" customHeight="1" x14ac:dyDescent="0.25">
      <c r="A673" s="1"/>
      <c r="B673" s="1"/>
    </row>
    <row r="674" spans="1:12" ht="21" customHeight="1" x14ac:dyDescent="0.25">
      <c r="A674" s="1" t="s">
        <v>7</v>
      </c>
      <c r="B674" s="1"/>
    </row>
    <row r="675" spans="1:12" ht="12.75" customHeight="1" x14ac:dyDescent="0.25">
      <c r="A675" s="1"/>
      <c r="B675" s="1"/>
    </row>
    <row r="676" spans="1:12" ht="15.75" customHeight="1" x14ac:dyDescent="0.25">
      <c r="A676" s="1" t="s">
        <v>8</v>
      </c>
      <c r="C676" s="9" t="s">
        <v>1</v>
      </c>
      <c r="D676" s="92" t="s">
        <v>77</v>
      </c>
      <c r="E676" s="76"/>
      <c r="F676" s="76"/>
      <c r="G676" s="76"/>
      <c r="H676" s="76"/>
    </row>
    <row r="677" spans="1:12" ht="16.5" customHeight="1" x14ac:dyDescent="0.25">
      <c r="A677" s="1" t="s">
        <v>9</v>
      </c>
      <c r="C677" s="9" t="s">
        <v>1</v>
      </c>
      <c r="D677" s="57" t="s">
        <v>201</v>
      </c>
      <c r="E677" s="76"/>
      <c r="F677" s="76"/>
      <c r="G677" s="76"/>
      <c r="H677" s="76"/>
    </row>
    <row r="678" spans="1:12" ht="14.25" customHeight="1" x14ac:dyDescent="0.2">
      <c r="A678" s="50" t="s">
        <v>10</v>
      </c>
      <c r="B678" s="76"/>
      <c r="C678" s="91" t="s">
        <v>1</v>
      </c>
      <c r="D678" s="50" t="s">
        <v>265</v>
      </c>
      <c r="E678" s="76"/>
      <c r="F678" s="76"/>
      <c r="G678" s="76"/>
      <c r="H678" s="76"/>
      <c r="I678" s="76"/>
      <c r="J678" s="76"/>
      <c r="K678" s="76"/>
      <c r="L678" s="76"/>
    </row>
    <row r="679" spans="1:12" ht="14.25" customHeight="1" x14ac:dyDescent="0.25">
      <c r="A679" s="1"/>
      <c r="B679" s="1"/>
      <c r="D679" s="1"/>
    </row>
    <row r="680" spans="1:12" ht="35.25" customHeight="1" x14ac:dyDescent="0.2">
      <c r="A680" s="277" t="s">
        <v>341</v>
      </c>
      <c r="B680" s="277"/>
      <c r="C680" s="277"/>
      <c r="D680" s="277"/>
      <c r="E680" s="277"/>
      <c r="F680" s="277"/>
      <c r="G680" s="277"/>
      <c r="H680" s="277"/>
      <c r="I680" s="277"/>
      <c r="J680" s="277"/>
      <c r="K680" s="277"/>
      <c r="L680" s="277"/>
    </row>
    <row r="681" spans="1:12" ht="15" customHeight="1" x14ac:dyDescent="0.25">
      <c r="A681" s="1"/>
      <c r="B681" s="1"/>
    </row>
    <row r="682" spans="1:12" ht="35.25" customHeight="1" thickBot="1" x14ac:dyDescent="0.25">
      <c r="A682" s="10" t="s">
        <v>0</v>
      </c>
      <c r="B682" s="278" t="s">
        <v>91</v>
      </c>
      <c r="C682" s="278"/>
      <c r="D682" s="278"/>
      <c r="E682" s="278"/>
      <c r="F682" s="278"/>
      <c r="G682" s="278"/>
      <c r="H682" s="278"/>
      <c r="I682" s="278"/>
      <c r="J682" s="278"/>
      <c r="K682" s="278"/>
      <c r="L682" s="278"/>
    </row>
    <row r="683" spans="1:12" ht="15.75" customHeight="1" thickTop="1" x14ac:dyDescent="0.25">
      <c r="A683" s="1"/>
      <c r="B683" s="11" t="s">
        <v>3</v>
      </c>
      <c r="C683" s="12" t="s">
        <v>4</v>
      </c>
      <c r="D683" s="13"/>
      <c r="E683" s="13"/>
      <c r="F683" s="13"/>
      <c r="G683" s="13"/>
      <c r="H683" s="14"/>
      <c r="I683" s="15" t="s">
        <v>5</v>
      </c>
      <c r="J683" s="12" t="s">
        <v>17</v>
      </c>
      <c r="K683" s="13"/>
      <c r="L683" s="14"/>
    </row>
    <row r="684" spans="1:12" ht="23.25" customHeight="1" x14ac:dyDescent="0.2">
      <c r="A684" s="50"/>
      <c r="B684" s="143">
        <v>1</v>
      </c>
      <c r="C684" s="284" t="s">
        <v>339</v>
      </c>
      <c r="D684" s="285"/>
      <c r="E684" s="285"/>
      <c r="F684" s="285"/>
      <c r="G684" s="76"/>
      <c r="H684" s="79"/>
      <c r="I684" s="56">
        <v>150000</v>
      </c>
      <c r="J684" s="76"/>
      <c r="K684" s="76"/>
      <c r="L684" s="79"/>
    </row>
    <row r="685" spans="1:12" ht="16.5" customHeight="1" x14ac:dyDescent="0.2">
      <c r="B685" s="96"/>
      <c r="C685" s="124"/>
      <c r="D685" s="124"/>
      <c r="E685" s="127"/>
      <c r="F685" s="125"/>
      <c r="G685" s="124"/>
      <c r="H685" s="124"/>
      <c r="I685" s="23"/>
      <c r="L685" s="17"/>
    </row>
    <row r="686" spans="1:12" ht="30.75" customHeight="1" x14ac:dyDescent="0.25">
      <c r="A686" s="1"/>
      <c r="B686" s="39"/>
      <c r="C686" s="1"/>
      <c r="D686" s="1"/>
      <c r="E686" s="1"/>
      <c r="F686" s="40" t="s">
        <v>5</v>
      </c>
      <c r="G686" s="40"/>
      <c r="H686" s="1"/>
      <c r="I686" s="41">
        <f>SUM(I684:I684)</f>
        <v>150000</v>
      </c>
      <c r="J686" s="1"/>
      <c r="K686" s="1"/>
      <c r="L686" s="42"/>
    </row>
    <row r="687" spans="1:12" ht="20.25" customHeight="1" thickBot="1" x14ac:dyDescent="0.3">
      <c r="A687" s="1"/>
      <c r="B687" s="43"/>
      <c r="C687" s="44"/>
      <c r="D687" s="44"/>
      <c r="E687" s="44"/>
      <c r="F687" s="45"/>
      <c r="G687" s="45"/>
      <c r="H687" s="44"/>
      <c r="I687" s="46"/>
      <c r="J687" s="44"/>
      <c r="K687" s="44"/>
      <c r="L687" s="47"/>
    </row>
    <row r="688" spans="1:12" ht="10.5" customHeight="1" thickTop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49.5" customHeight="1" x14ac:dyDescent="0.2">
      <c r="A689" s="10" t="s">
        <v>2</v>
      </c>
      <c r="B689" s="279" t="s">
        <v>11</v>
      </c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</row>
    <row r="690" spans="1:12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2">
      <c r="A691" s="280" t="s">
        <v>12</v>
      </c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</row>
    <row r="692" spans="1:12" ht="18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2.75" hidden="1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5">
      <c r="A694" s="1"/>
      <c r="B694" s="1"/>
      <c r="C694" s="1"/>
      <c r="D694" s="1"/>
      <c r="E694" s="1"/>
      <c r="F694" s="1"/>
      <c r="G694" s="1"/>
      <c r="H694" s="4" t="s">
        <v>199</v>
      </c>
      <c r="J694" s="286" t="s">
        <v>335</v>
      </c>
      <c r="K694" s="286"/>
      <c r="L694" s="286"/>
    </row>
    <row r="695" spans="1:12" ht="15.75" customHeight="1" x14ac:dyDescent="0.25">
      <c r="A695" s="1"/>
      <c r="B695" s="1" t="s">
        <v>15</v>
      </c>
      <c r="C695" s="1"/>
      <c r="D695" s="1"/>
      <c r="E695" s="1"/>
      <c r="F695" s="1"/>
      <c r="G695" s="1"/>
      <c r="H695" s="4" t="s">
        <v>13</v>
      </c>
    </row>
    <row r="696" spans="1:12" ht="11.25" customHeight="1" x14ac:dyDescent="0.25">
      <c r="A696" s="1"/>
      <c r="B696" s="1" t="s">
        <v>18</v>
      </c>
      <c r="C696" s="1"/>
      <c r="D696" s="1"/>
      <c r="E696" s="1"/>
      <c r="F696" s="1"/>
      <c r="G696" s="1"/>
      <c r="H696" s="4" t="s">
        <v>14</v>
      </c>
    </row>
    <row r="697" spans="1:12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8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8" customHeight="1" x14ac:dyDescent="0.25">
      <c r="A699" s="1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"/>
    </row>
    <row r="700" spans="1:12" ht="15.75" hidden="1" customHeight="1" x14ac:dyDescent="0.25">
      <c r="A700" s="1"/>
      <c r="K700" s="103"/>
      <c r="L700" s="1"/>
    </row>
    <row r="701" spans="1:12" ht="35.25" customHeight="1" x14ac:dyDescent="0.25">
      <c r="A701" s="1"/>
      <c r="B701" s="95" t="s">
        <v>77</v>
      </c>
      <c r="H701" s="95" t="s">
        <v>77</v>
      </c>
      <c r="I701" s="95"/>
      <c r="J701" s="92"/>
      <c r="K701" s="103"/>
      <c r="L701" s="1"/>
    </row>
    <row r="702" spans="1:12" ht="12.75" customHeight="1" x14ac:dyDescent="0.25">
      <c r="A702" s="1"/>
      <c r="B702" s="99" t="s">
        <v>27</v>
      </c>
      <c r="C702" s="57"/>
      <c r="H702" s="99" t="s">
        <v>27</v>
      </c>
      <c r="K702" s="103"/>
    </row>
    <row r="703" spans="1:12" ht="15" customHeight="1" x14ac:dyDescent="0.2"/>
    <row r="704" spans="1:12" ht="12.75" x14ac:dyDescent="0.2"/>
    <row r="705" spans="1:12" ht="45.75" customHeight="1" x14ac:dyDescent="0.2"/>
    <row r="706" spans="1:12" ht="15.75" x14ac:dyDescent="0.25">
      <c r="A706" s="3" t="s">
        <v>22</v>
      </c>
    </row>
    <row r="707" spans="1:12" ht="15.75" customHeight="1" x14ac:dyDescent="0.2">
      <c r="A707" s="122" t="s">
        <v>20</v>
      </c>
    </row>
    <row r="708" spans="1:12" ht="20.25" customHeight="1" x14ac:dyDescent="0.2">
      <c r="A708" s="122" t="s">
        <v>21</v>
      </c>
    </row>
    <row r="709" spans="1:12" ht="13.5" customHeight="1" x14ac:dyDescent="0.2"/>
    <row r="710" spans="1:12" ht="19.5" customHeight="1" x14ac:dyDescent="0.2"/>
    <row r="711" spans="1:12" ht="17.25" customHeight="1" x14ac:dyDescent="0.2"/>
    <row r="712" spans="1:12" ht="18.75" x14ac:dyDescent="0.3">
      <c r="A712" s="276" t="s">
        <v>6</v>
      </c>
      <c r="B712" s="276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</row>
    <row r="713" spans="1:12" ht="21.75" customHeight="1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</row>
    <row r="714" spans="1:12" ht="6" customHeight="1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</row>
    <row r="715" spans="1:12" ht="18" hidden="1" customHeight="1" x14ac:dyDescent="0.25">
      <c r="A715" s="1"/>
      <c r="B715" s="1"/>
    </row>
    <row r="716" spans="1:12" ht="23.25" customHeight="1" x14ac:dyDescent="0.25">
      <c r="A716" s="1" t="s">
        <v>7</v>
      </c>
      <c r="B716" s="1"/>
    </row>
    <row r="717" spans="1:12" ht="24" customHeight="1" x14ac:dyDescent="0.25">
      <c r="A717" s="1"/>
      <c r="B717" s="1"/>
    </row>
    <row r="718" spans="1:12" ht="12.75" customHeight="1" x14ac:dyDescent="0.25">
      <c r="A718" s="1" t="s">
        <v>8</v>
      </c>
      <c r="C718" s="9" t="s">
        <v>1</v>
      </c>
      <c r="D718" s="92" t="s">
        <v>96</v>
      </c>
      <c r="E718" s="76"/>
      <c r="F718" s="76"/>
      <c r="G718" s="76"/>
      <c r="H718" s="76"/>
    </row>
    <row r="719" spans="1:12" ht="17.25" customHeight="1" x14ac:dyDescent="0.25">
      <c r="A719" s="1" t="s">
        <v>9</v>
      </c>
      <c r="C719" s="9" t="s">
        <v>1</v>
      </c>
      <c r="D719" s="57" t="s">
        <v>200</v>
      </c>
      <c r="E719" s="76"/>
      <c r="F719" s="76"/>
      <c r="G719" s="76"/>
      <c r="H719" s="76"/>
    </row>
    <row r="720" spans="1:12" ht="17.25" customHeight="1" x14ac:dyDescent="0.2">
      <c r="A720" s="50" t="s">
        <v>10</v>
      </c>
      <c r="B720" s="76"/>
      <c r="C720" s="91" t="s">
        <v>1</v>
      </c>
      <c r="D720" s="50" t="s">
        <v>203</v>
      </c>
      <c r="E720" s="76"/>
      <c r="F720" s="76"/>
      <c r="G720" s="76"/>
      <c r="H720" s="76"/>
      <c r="I720" s="76"/>
      <c r="J720" s="76"/>
      <c r="K720" s="76"/>
      <c r="L720" s="76"/>
    </row>
    <row r="721" spans="1:12" ht="15" x14ac:dyDescent="0.25">
      <c r="A721" s="1"/>
      <c r="B721" s="1"/>
      <c r="D721" s="1"/>
    </row>
    <row r="722" spans="1:12" ht="28.5" customHeight="1" x14ac:dyDescent="0.2">
      <c r="A722" s="277" t="s">
        <v>343</v>
      </c>
      <c r="B722" s="277"/>
      <c r="C722" s="277"/>
      <c r="D722" s="277"/>
      <c r="E722" s="277"/>
      <c r="F722" s="277"/>
      <c r="G722" s="277"/>
      <c r="H722" s="277"/>
      <c r="I722" s="277"/>
      <c r="J722" s="277"/>
      <c r="K722" s="277"/>
      <c r="L722" s="277"/>
    </row>
    <row r="723" spans="1:12" ht="17.25" customHeight="1" x14ac:dyDescent="0.25">
      <c r="A723" s="1"/>
      <c r="B723" s="1"/>
    </row>
    <row r="724" spans="1:12" ht="24" customHeight="1" thickBot="1" x14ac:dyDescent="0.25">
      <c r="A724" s="10" t="s">
        <v>0</v>
      </c>
      <c r="B724" s="278" t="s">
        <v>91</v>
      </c>
      <c r="C724" s="278"/>
      <c r="D724" s="278"/>
      <c r="E724" s="278"/>
      <c r="F724" s="278"/>
      <c r="G724" s="278"/>
      <c r="H724" s="278"/>
      <c r="I724" s="278"/>
      <c r="J724" s="278"/>
      <c r="K724" s="278"/>
      <c r="L724" s="278"/>
    </row>
    <row r="725" spans="1:12" ht="24" customHeight="1" thickTop="1" x14ac:dyDescent="0.25">
      <c r="A725" s="1"/>
      <c r="B725" s="11" t="s">
        <v>3</v>
      </c>
      <c r="C725" s="12" t="s">
        <v>4</v>
      </c>
      <c r="D725" s="13"/>
      <c r="E725" s="13"/>
      <c r="F725" s="13"/>
      <c r="G725" s="13"/>
      <c r="H725" s="14"/>
      <c r="I725" s="15" t="s">
        <v>5</v>
      </c>
      <c r="J725" s="12" t="s">
        <v>17</v>
      </c>
      <c r="K725" s="13"/>
      <c r="L725" s="14"/>
    </row>
    <row r="726" spans="1:12" ht="17.25" customHeight="1" x14ac:dyDescent="0.2">
      <c r="A726" s="76"/>
      <c r="B726" s="149">
        <v>1</v>
      </c>
      <c r="C726" s="284" t="s">
        <v>303</v>
      </c>
      <c r="D726" s="285"/>
      <c r="E726" s="285"/>
      <c r="F726" s="285"/>
      <c r="G726" s="76"/>
      <c r="H726" s="79"/>
      <c r="I726" s="80">
        <v>250000</v>
      </c>
      <c r="J726" s="76"/>
      <c r="K726" s="76"/>
      <c r="L726" s="79"/>
    </row>
    <row r="727" spans="1:12" ht="28.5" customHeight="1" x14ac:dyDescent="0.2">
      <c r="B727" s="142"/>
      <c r="C727" s="313"/>
      <c r="D727" s="314"/>
      <c r="E727" s="150"/>
      <c r="F727" s="316"/>
      <c r="G727" s="314"/>
      <c r="H727" s="315"/>
      <c r="I727" s="80"/>
      <c r="J727" s="76"/>
      <c r="K727" s="76"/>
      <c r="L727" s="79"/>
    </row>
    <row r="728" spans="1:12" ht="19.5" customHeight="1" x14ac:dyDescent="0.2">
      <c r="B728" s="96"/>
      <c r="C728" s="124"/>
      <c r="D728" s="124"/>
      <c r="E728" s="127"/>
      <c r="F728" s="125"/>
      <c r="G728" s="124"/>
      <c r="H728" s="124"/>
      <c r="I728" s="56"/>
      <c r="J728" s="76"/>
      <c r="K728" s="76"/>
      <c r="L728" s="79"/>
    </row>
    <row r="729" spans="1:12" ht="17.25" customHeight="1" x14ac:dyDescent="0.25">
      <c r="A729" s="1"/>
      <c r="B729" s="39"/>
      <c r="C729" s="1"/>
      <c r="D729" s="1"/>
      <c r="E729" s="1"/>
      <c r="F729" s="40" t="s">
        <v>5</v>
      </c>
      <c r="G729" s="40"/>
      <c r="H729" s="1"/>
      <c r="I729" s="41">
        <f>SUM(I726:I727)</f>
        <v>250000</v>
      </c>
      <c r="J729" s="1"/>
      <c r="K729" s="1"/>
      <c r="L729" s="42"/>
    </row>
    <row r="730" spans="1:12" ht="9.75" customHeight="1" thickBot="1" x14ac:dyDescent="0.3">
      <c r="A730" s="1"/>
      <c r="B730" s="43"/>
      <c r="C730" s="44"/>
      <c r="D730" s="44"/>
      <c r="E730" s="44"/>
      <c r="F730" s="45"/>
      <c r="G730" s="45"/>
      <c r="H730" s="44"/>
      <c r="I730" s="46"/>
      <c r="J730" s="44"/>
      <c r="K730" s="44"/>
      <c r="L730" s="47"/>
    </row>
    <row r="731" spans="1:12" ht="21.75" customHeight="1" thickTop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44.25" customHeight="1" x14ac:dyDescent="0.2">
      <c r="A732" s="10" t="s">
        <v>2</v>
      </c>
      <c r="B732" s="279" t="s">
        <v>11</v>
      </c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</row>
    <row r="733" spans="1:12" ht="9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24" customHeight="1" x14ac:dyDescent="0.2">
      <c r="A734" s="280" t="s">
        <v>12</v>
      </c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</row>
    <row r="735" spans="1:12" ht="10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20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2.75" customHeight="1" x14ac:dyDescent="0.25">
      <c r="A737" s="1"/>
      <c r="B737" s="1"/>
      <c r="C737" s="1"/>
      <c r="D737" s="1"/>
      <c r="E737" s="1"/>
      <c r="F737" s="1"/>
      <c r="G737" s="1"/>
      <c r="H737" s="4" t="s">
        <v>199</v>
      </c>
      <c r="J737" s="286" t="s">
        <v>335</v>
      </c>
      <c r="K737" s="286"/>
      <c r="L737" s="286"/>
    </row>
    <row r="738" spans="1:12" ht="11.25" customHeight="1" x14ac:dyDescent="0.25">
      <c r="A738" s="1"/>
      <c r="B738" s="1" t="s">
        <v>15</v>
      </c>
      <c r="C738" s="1"/>
      <c r="D738" s="1"/>
      <c r="E738" s="1"/>
      <c r="F738" s="1"/>
      <c r="G738" s="1"/>
      <c r="H738" s="4" t="s">
        <v>13</v>
      </c>
    </row>
    <row r="739" spans="1:12" ht="15" customHeight="1" x14ac:dyDescent="0.25">
      <c r="A739" s="1"/>
      <c r="B739" s="1" t="s">
        <v>18</v>
      </c>
      <c r="C739" s="1"/>
      <c r="D739" s="1"/>
      <c r="E739" s="1"/>
      <c r="F739" s="1"/>
      <c r="G739" s="1"/>
      <c r="H739" s="4" t="s">
        <v>14</v>
      </c>
    </row>
    <row r="740" spans="1:12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s="99" customFormat="1" ht="23.25" customHeight="1" x14ac:dyDescent="0.25">
      <c r="A742" s="1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"/>
    </row>
    <row r="743" spans="1:12" ht="23.25" customHeight="1" x14ac:dyDescent="0.25">
      <c r="A743" s="1"/>
      <c r="K743" s="103"/>
      <c r="L743" s="1"/>
    </row>
    <row r="744" spans="1:12" ht="15" x14ac:dyDescent="0.25">
      <c r="A744" s="1"/>
      <c r="B744" s="95" t="s">
        <v>77</v>
      </c>
      <c r="H744" s="95" t="s">
        <v>96</v>
      </c>
      <c r="I744" s="95"/>
      <c r="J744" s="92"/>
      <c r="K744" s="103"/>
      <c r="L744" s="1"/>
    </row>
    <row r="745" spans="1:12" ht="18.75" customHeight="1" x14ac:dyDescent="0.25">
      <c r="A745" s="1"/>
      <c r="B745" s="99" t="s">
        <v>27</v>
      </c>
      <c r="C745" s="57"/>
      <c r="H745" s="99" t="s">
        <v>100</v>
      </c>
      <c r="K745" s="103"/>
    </row>
    <row r="746" spans="1:12" ht="46.5" customHeight="1" x14ac:dyDescent="0.2"/>
    <row r="747" spans="1:12" ht="6" customHeight="1" x14ac:dyDescent="0.2"/>
    <row r="748" spans="1:12" ht="12" customHeight="1" x14ac:dyDescent="0.2"/>
    <row r="749" spans="1:12" ht="12.75" x14ac:dyDescent="0.2"/>
    <row r="750" spans="1:12" ht="15.75" customHeight="1" x14ac:dyDescent="0.2"/>
    <row r="751" spans="1:12" ht="20.25" customHeight="1" x14ac:dyDescent="0.25">
      <c r="A751" s="3" t="s">
        <v>22</v>
      </c>
    </row>
    <row r="752" spans="1:12" ht="15.75" x14ac:dyDescent="0.2">
      <c r="A752" s="122" t="s">
        <v>20</v>
      </c>
    </row>
    <row r="753" spans="1:12" ht="15.75" x14ac:dyDescent="0.2">
      <c r="A753" s="122" t="s">
        <v>21</v>
      </c>
    </row>
    <row r="754" spans="1:12" ht="12.75" x14ac:dyDescent="0.2"/>
    <row r="755" spans="1:12" ht="12.75" x14ac:dyDescent="0.2"/>
    <row r="756" spans="1:12" ht="9" customHeight="1" x14ac:dyDescent="0.2"/>
    <row r="757" spans="1:12" ht="18.75" hidden="1" x14ac:dyDescent="0.3">
      <c r="A757" s="276" t="s">
        <v>6</v>
      </c>
      <c r="B757" s="276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</row>
    <row r="758" spans="1:12" ht="38.25" customHeight="1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</row>
    <row r="759" spans="1:12" ht="14.25" customHeight="1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</row>
    <row r="760" spans="1:12" ht="24.75" hidden="1" customHeight="1" x14ac:dyDescent="0.25">
      <c r="A760" s="1"/>
      <c r="B760" s="1"/>
    </row>
    <row r="761" spans="1:12" ht="24.75" customHeight="1" x14ac:dyDescent="0.25">
      <c r="A761" s="1" t="s">
        <v>7</v>
      </c>
      <c r="B761" s="1"/>
    </row>
    <row r="762" spans="1:12" ht="16.5" customHeight="1" x14ac:dyDescent="0.25">
      <c r="A762" s="1"/>
      <c r="B762" s="1"/>
    </row>
    <row r="763" spans="1:12" ht="18.75" customHeight="1" x14ac:dyDescent="0.25">
      <c r="A763" s="1" t="s">
        <v>8</v>
      </c>
      <c r="C763" s="9" t="s">
        <v>1</v>
      </c>
      <c r="D763" s="92" t="s">
        <v>77</v>
      </c>
      <c r="E763" s="76"/>
      <c r="F763" s="76"/>
      <c r="G763" s="76"/>
      <c r="H763" s="76"/>
    </row>
    <row r="764" spans="1:12" ht="17.25" customHeight="1" x14ac:dyDescent="0.25">
      <c r="A764" s="1" t="s">
        <v>9</v>
      </c>
      <c r="C764" s="9" t="s">
        <v>1</v>
      </c>
      <c r="D764" s="57" t="s">
        <v>201</v>
      </c>
      <c r="E764" s="76"/>
      <c r="F764" s="76"/>
      <c r="G764" s="76"/>
      <c r="H764" s="76"/>
    </row>
    <row r="765" spans="1:12" ht="15" x14ac:dyDescent="0.2">
      <c r="A765" s="50" t="s">
        <v>10</v>
      </c>
      <c r="B765" s="76"/>
      <c r="C765" s="91" t="s">
        <v>1</v>
      </c>
      <c r="D765" s="50" t="s">
        <v>265</v>
      </c>
      <c r="E765" s="76"/>
      <c r="F765" s="76"/>
      <c r="G765" s="76"/>
      <c r="H765" s="76"/>
      <c r="I765" s="76"/>
      <c r="J765" s="76"/>
      <c r="K765" s="76"/>
      <c r="L765" s="76"/>
    </row>
    <row r="766" spans="1:12" ht="15" customHeight="1" x14ac:dyDescent="0.25">
      <c r="A766" s="1"/>
      <c r="B766" s="1"/>
      <c r="D766" s="1"/>
    </row>
    <row r="767" spans="1:12" ht="39" customHeight="1" x14ac:dyDescent="0.2">
      <c r="A767" s="277" t="s">
        <v>343</v>
      </c>
      <c r="B767" s="277"/>
      <c r="C767" s="277"/>
      <c r="D767" s="277"/>
      <c r="E767" s="277"/>
      <c r="F767" s="277"/>
      <c r="G767" s="277"/>
      <c r="H767" s="277"/>
      <c r="I767" s="277"/>
      <c r="J767" s="277"/>
      <c r="K767" s="277"/>
      <c r="L767" s="277"/>
    </row>
    <row r="768" spans="1:12" ht="17.25" customHeight="1" x14ac:dyDescent="0.25">
      <c r="A768" s="1"/>
      <c r="B768" s="1"/>
    </row>
    <row r="769" spans="1:12" ht="33.75" customHeight="1" thickBot="1" x14ac:dyDescent="0.25">
      <c r="A769" s="10" t="s">
        <v>0</v>
      </c>
      <c r="B769" s="278" t="s">
        <v>91</v>
      </c>
      <c r="C769" s="278"/>
      <c r="D769" s="278"/>
      <c r="E769" s="278"/>
      <c r="F769" s="278"/>
      <c r="G769" s="278"/>
      <c r="H769" s="278"/>
      <c r="I769" s="278"/>
      <c r="J769" s="278"/>
      <c r="K769" s="278"/>
      <c r="L769" s="278"/>
    </row>
    <row r="770" spans="1:12" ht="14.25" customHeight="1" thickTop="1" x14ac:dyDescent="0.25">
      <c r="A770" s="1"/>
      <c r="B770" s="11" t="s">
        <v>3</v>
      </c>
      <c r="C770" s="12" t="s">
        <v>4</v>
      </c>
      <c r="D770" s="13"/>
      <c r="E770" s="13"/>
      <c r="F770" s="13"/>
      <c r="G770" s="13"/>
      <c r="H770" s="14"/>
      <c r="I770" s="15" t="s">
        <v>5</v>
      </c>
      <c r="J770" s="12" t="s">
        <v>17</v>
      </c>
      <c r="K770" s="13"/>
      <c r="L770" s="14"/>
    </row>
    <row r="771" spans="1:12" ht="26.25" customHeight="1" x14ac:dyDescent="0.2">
      <c r="A771" s="50"/>
      <c r="B771" s="143">
        <v>1</v>
      </c>
      <c r="C771" s="284" t="s">
        <v>303</v>
      </c>
      <c r="D771" s="285"/>
      <c r="E771" s="285"/>
      <c r="F771" s="285"/>
      <c r="G771" s="76"/>
      <c r="H771" s="79"/>
      <c r="I771" s="56">
        <v>250000</v>
      </c>
      <c r="J771" s="76"/>
      <c r="K771" s="76"/>
      <c r="L771" s="79"/>
    </row>
    <row r="772" spans="1:12" ht="22.5" customHeight="1" x14ac:dyDescent="0.25">
      <c r="A772" s="50"/>
      <c r="B772" s="96"/>
      <c r="C772" s="321"/>
      <c r="D772" s="297"/>
      <c r="E772" s="127"/>
      <c r="F772" s="319"/>
      <c r="G772" s="297"/>
      <c r="H772" s="320"/>
      <c r="I772" s="56"/>
      <c r="J772" s="50"/>
      <c r="K772" s="1"/>
      <c r="L772" s="17"/>
    </row>
    <row r="773" spans="1:12" ht="14.25" customHeight="1" x14ac:dyDescent="0.25">
      <c r="A773" s="50"/>
      <c r="B773" s="96"/>
      <c r="C773" s="124"/>
      <c r="D773" s="124"/>
      <c r="E773" s="127"/>
      <c r="F773" s="125"/>
      <c r="G773" s="124"/>
      <c r="H773" s="124"/>
      <c r="I773" s="56"/>
      <c r="J773" s="50"/>
      <c r="K773" s="1"/>
      <c r="L773" s="17"/>
    </row>
    <row r="774" spans="1:12" ht="15" x14ac:dyDescent="0.25">
      <c r="A774" s="1"/>
      <c r="B774" s="39"/>
      <c r="C774" s="1"/>
      <c r="D774" s="1"/>
      <c r="E774" s="1"/>
      <c r="F774" s="40" t="s">
        <v>5</v>
      </c>
      <c r="G774" s="40"/>
      <c r="H774" s="1"/>
      <c r="I774" s="41">
        <f>SUM(I771:I772)</f>
        <v>250000</v>
      </c>
      <c r="J774" s="1"/>
      <c r="K774" s="1"/>
      <c r="L774" s="42"/>
    </row>
    <row r="775" spans="1:12" ht="14.25" customHeight="1" thickBot="1" x14ac:dyDescent="0.3">
      <c r="A775" s="1"/>
      <c r="B775" s="43"/>
      <c r="C775" s="44"/>
      <c r="D775" s="44"/>
      <c r="E775" s="44"/>
      <c r="F775" s="45"/>
      <c r="G775" s="45"/>
      <c r="H775" s="44"/>
      <c r="I775" s="46"/>
      <c r="J775" s="44"/>
      <c r="K775" s="44"/>
      <c r="L775" s="47"/>
    </row>
    <row r="776" spans="1:12" ht="15.75" thickTop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50.25" customHeight="1" x14ac:dyDescent="0.2">
      <c r="A777" s="10" t="s">
        <v>2</v>
      </c>
      <c r="B777" s="279" t="s">
        <v>11</v>
      </c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</row>
    <row r="778" spans="1:12" ht="11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" x14ac:dyDescent="0.2">
      <c r="A779" s="280" t="s">
        <v>12</v>
      </c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</row>
    <row r="780" spans="1:12" ht="17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7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2" customHeight="1" x14ac:dyDescent="0.25">
      <c r="A782" s="1"/>
      <c r="B782" s="1"/>
      <c r="C782" s="1"/>
      <c r="D782" s="1"/>
      <c r="E782" s="1"/>
      <c r="F782" s="1"/>
      <c r="G782" s="1"/>
      <c r="H782" s="4" t="s">
        <v>199</v>
      </c>
      <c r="J782" s="286" t="s">
        <v>335</v>
      </c>
      <c r="K782" s="286"/>
      <c r="L782" s="286"/>
    </row>
    <row r="783" spans="1:12" ht="11.25" customHeight="1" x14ac:dyDescent="0.25">
      <c r="A783" s="1"/>
      <c r="B783" s="1" t="s">
        <v>15</v>
      </c>
      <c r="C783" s="1"/>
      <c r="D783" s="1"/>
      <c r="E783" s="1"/>
      <c r="F783" s="1"/>
      <c r="G783" s="1"/>
      <c r="H783" s="4" t="s">
        <v>13</v>
      </c>
    </row>
    <row r="784" spans="1:12" ht="12" customHeight="1" x14ac:dyDescent="0.25">
      <c r="A784" s="1"/>
      <c r="B784" s="1" t="s">
        <v>18</v>
      </c>
      <c r="C784" s="1"/>
      <c r="D784" s="1"/>
      <c r="E784" s="1"/>
      <c r="F784" s="1"/>
      <c r="G784" s="1"/>
      <c r="H784" s="4" t="s">
        <v>14</v>
      </c>
    </row>
    <row r="785" spans="1:12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5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41.25" customHeight="1" x14ac:dyDescent="0.25">
      <c r="A787" s="1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"/>
    </row>
    <row r="788" spans="1:12" ht="12" customHeight="1" x14ac:dyDescent="0.25">
      <c r="A788" s="1"/>
      <c r="K788" s="103"/>
      <c r="L788" s="1"/>
    </row>
    <row r="789" spans="1:12" ht="17.25" customHeight="1" x14ac:dyDescent="0.25">
      <c r="A789" s="1"/>
      <c r="B789" s="95" t="s">
        <v>77</v>
      </c>
      <c r="H789" s="95" t="s">
        <v>77</v>
      </c>
      <c r="I789" s="95"/>
      <c r="J789" s="92"/>
      <c r="K789" s="103"/>
      <c r="L789" s="1"/>
    </row>
    <row r="790" spans="1:12" ht="14.25" customHeight="1" x14ac:dyDescent="0.25">
      <c r="A790" s="1"/>
      <c r="B790" s="99" t="s">
        <v>27</v>
      </c>
      <c r="C790" s="57"/>
      <c r="H790" s="99" t="s">
        <v>27</v>
      </c>
      <c r="K790" s="103"/>
    </row>
    <row r="791" spans="1:12" ht="12.75" x14ac:dyDescent="0.2"/>
    <row r="792" spans="1:12" ht="12.75" x14ac:dyDescent="0.2"/>
    <row r="793" spans="1:12" ht="12.75" x14ac:dyDescent="0.2"/>
    <row r="794" spans="1:12" ht="12.75" customHeight="1" x14ac:dyDescent="0.2"/>
    <row r="795" spans="1:12" ht="12.75" x14ac:dyDescent="0.2"/>
    <row r="796" spans="1:12" ht="21" customHeight="1" x14ac:dyDescent="0.2"/>
    <row r="797" spans="1:12" ht="16.5" customHeight="1" x14ac:dyDescent="0.25">
      <c r="A797" s="3" t="s">
        <v>22</v>
      </c>
    </row>
    <row r="798" spans="1:12" ht="16.5" customHeight="1" x14ac:dyDescent="0.2">
      <c r="A798" s="122" t="s">
        <v>20</v>
      </c>
    </row>
    <row r="799" spans="1:12" ht="27.75" customHeight="1" x14ac:dyDescent="0.2">
      <c r="A799" s="122" t="s">
        <v>21</v>
      </c>
    </row>
    <row r="800" spans="1:12" ht="12.75" x14ac:dyDescent="0.2"/>
    <row r="801" spans="1:12" ht="22.5" customHeight="1" x14ac:dyDescent="0.2"/>
    <row r="802" spans="1:12" ht="19.5" customHeight="1" x14ac:dyDescent="0.2"/>
    <row r="803" spans="1:12" ht="18.75" customHeight="1" x14ac:dyDescent="0.3">
      <c r="A803" s="276" t="s">
        <v>6</v>
      </c>
      <c r="B803" s="276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</row>
    <row r="804" spans="1:12" ht="14.25" customHeight="1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</row>
    <row r="805" spans="1:12" ht="12.75" customHeight="1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</row>
    <row r="806" spans="1:12" ht="20.25" customHeight="1" x14ac:dyDescent="0.25">
      <c r="A806" s="1"/>
      <c r="B806" s="1"/>
    </row>
    <row r="807" spans="1:12" ht="23.25" customHeight="1" x14ac:dyDescent="0.25">
      <c r="A807" s="1" t="s">
        <v>7</v>
      </c>
      <c r="B807" s="1"/>
    </row>
    <row r="808" spans="1:12" ht="15" x14ac:dyDescent="0.25">
      <c r="A808" s="1"/>
      <c r="B808" s="1"/>
    </row>
    <row r="809" spans="1:12" ht="15" customHeight="1" x14ac:dyDescent="0.25">
      <c r="A809" s="1" t="s">
        <v>8</v>
      </c>
      <c r="C809" s="9" t="s">
        <v>1</v>
      </c>
      <c r="D809" s="126" t="s">
        <v>64</v>
      </c>
      <c r="E809" s="76"/>
      <c r="F809" s="76"/>
      <c r="G809" s="76"/>
      <c r="H809" s="76"/>
    </row>
    <row r="810" spans="1:12" ht="15" x14ac:dyDescent="0.25">
      <c r="A810" s="1" t="s">
        <v>9</v>
      </c>
      <c r="C810" s="9" t="s">
        <v>1</v>
      </c>
      <c r="D810" s="119" t="s">
        <v>236</v>
      </c>
      <c r="E810" s="76"/>
      <c r="F810" s="76"/>
      <c r="G810" s="76"/>
      <c r="H810" s="76"/>
    </row>
    <row r="811" spans="1:12" ht="13.5" customHeight="1" x14ac:dyDescent="0.2">
      <c r="A811" s="50" t="s">
        <v>10</v>
      </c>
      <c r="B811" s="76"/>
      <c r="C811" s="91" t="s">
        <v>1</v>
      </c>
      <c r="D811" s="124" t="s">
        <v>235</v>
      </c>
      <c r="E811" s="76"/>
      <c r="F811" s="76"/>
      <c r="G811" s="76"/>
      <c r="H811" s="76"/>
      <c r="I811" s="76"/>
      <c r="J811" s="76"/>
      <c r="K811" s="76"/>
      <c r="L811" s="76"/>
    </row>
    <row r="812" spans="1:12" ht="19.5" customHeight="1" x14ac:dyDescent="0.25">
      <c r="A812" s="1"/>
      <c r="B812" s="1"/>
      <c r="D812" s="1"/>
    </row>
    <row r="813" spans="1:12" ht="27.75" customHeight="1" x14ac:dyDescent="0.2">
      <c r="A813" s="277" t="s">
        <v>343</v>
      </c>
      <c r="B813" s="277"/>
      <c r="C813" s="277"/>
      <c r="D813" s="277"/>
      <c r="E813" s="277"/>
      <c r="F813" s="277"/>
      <c r="G813" s="277"/>
      <c r="H813" s="277"/>
      <c r="I813" s="277"/>
      <c r="J813" s="277"/>
      <c r="K813" s="277"/>
      <c r="L813" s="277"/>
    </row>
    <row r="814" spans="1:12" ht="15" customHeight="1" x14ac:dyDescent="0.25">
      <c r="A814" s="1"/>
      <c r="B814" s="1"/>
    </row>
    <row r="815" spans="1:12" s="76" customFormat="1" ht="33" customHeight="1" thickBot="1" x14ac:dyDescent="0.25">
      <c r="A815" s="10" t="s">
        <v>0</v>
      </c>
      <c r="B815" s="278" t="s">
        <v>91</v>
      </c>
      <c r="C815" s="278"/>
      <c r="D815" s="278"/>
      <c r="E815" s="278"/>
      <c r="F815" s="278"/>
      <c r="G815" s="278"/>
      <c r="H815" s="278"/>
      <c r="I815" s="278"/>
      <c r="J815" s="278"/>
      <c r="K815" s="278"/>
      <c r="L815" s="278"/>
    </row>
    <row r="816" spans="1:12" s="76" customFormat="1" ht="27" customHeight="1" thickTop="1" x14ac:dyDescent="0.25">
      <c r="A816" s="1"/>
      <c r="B816" s="11" t="s">
        <v>3</v>
      </c>
      <c r="C816" s="12" t="s">
        <v>4</v>
      </c>
      <c r="D816" s="13"/>
      <c r="E816" s="13"/>
      <c r="F816" s="13"/>
      <c r="G816" s="13"/>
      <c r="H816" s="14"/>
      <c r="I816" s="15" t="s">
        <v>5</v>
      </c>
      <c r="J816" s="12" t="s">
        <v>17</v>
      </c>
      <c r="K816" s="13"/>
      <c r="L816" s="14"/>
    </row>
    <row r="817" spans="1:12" ht="25.5" customHeight="1" x14ac:dyDescent="0.2">
      <c r="A817" s="50"/>
      <c r="B817" s="143">
        <v>1</v>
      </c>
      <c r="C817" s="284" t="s">
        <v>303</v>
      </c>
      <c r="D817" s="285"/>
      <c r="E817" s="285"/>
      <c r="F817" s="285"/>
      <c r="G817" s="76"/>
      <c r="H817" s="79"/>
      <c r="I817" s="56">
        <v>250000</v>
      </c>
      <c r="J817" s="76"/>
      <c r="K817" s="76"/>
      <c r="L817" s="79"/>
    </row>
    <row r="818" spans="1:12" ht="18" customHeight="1" x14ac:dyDescent="0.2">
      <c r="A818" s="99"/>
      <c r="B818" s="151"/>
      <c r="C818" s="322"/>
      <c r="D818" s="323"/>
      <c r="E818" s="152"/>
      <c r="F818" s="324"/>
      <c r="G818" s="323"/>
      <c r="H818" s="325"/>
      <c r="I818" s="153"/>
      <c r="J818" s="99"/>
      <c r="K818" s="99"/>
      <c r="L818" s="154"/>
    </row>
    <row r="819" spans="1:12" ht="20.25" customHeight="1" x14ac:dyDescent="0.25">
      <c r="A819" s="1"/>
      <c r="B819" s="39"/>
      <c r="C819" s="1"/>
      <c r="D819" s="1"/>
      <c r="E819" s="1"/>
      <c r="F819" s="40" t="s">
        <v>5</v>
      </c>
      <c r="G819" s="40"/>
      <c r="H819" s="1"/>
      <c r="I819" s="41">
        <f>SUM(I817:I818)</f>
        <v>250000</v>
      </c>
      <c r="J819" s="1"/>
      <c r="K819" s="1"/>
      <c r="L819" s="42"/>
    </row>
    <row r="820" spans="1:12" ht="14.25" customHeight="1" thickBot="1" x14ac:dyDescent="0.3">
      <c r="A820" s="1"/>
      <c r="B820" s="43"/>
      <c r="C820" s="44"/>
      <c r="D820" s="44"/>
      <c r="E820" s="44"/>
      <c r="F820" s="45"/>
      <c r="G820" s="45"/>
      <c r="H820" s="44"/>
      <c r="I820" s="46"/>
      <c r="J820" s="44"/>
      <c r="K820" s="44"/>
      <c r="L820" s="47"/>
    </row>
    <row r="821" spans="1:12" ht="13.5" customHeight="1" thickTop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48" customHeight="1" x14ac:dyDescent="0.2">
      <c r="A822" s="10" t="s">
        <v>2</v>
      </c>
      <c r="B822" s="279" t="s">
        <v>11</v>
      </c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</row>
    <row r="823" spans="1:12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26.25" customHeight="1" x14ac:dyDescent="0.2">
      <c r="A824" s="280" t="s">
        <v>12</v>
      </c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</row>
    <row r="825" spans="1:12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7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25">
      <c r="A827" s="1"/>
      <c r="B827" s="1"/>
      <c r="C827" s="1"/>
      <c r="D827" s="1"/>
      <c r="E827" s="1"/>
      <c r="F827" s="1"/>
      <c r="G827" s="1"/>
      <c r="H827" s="4" t="s">
        <v>199</v>
      </c>
      <c r="J827" s="286" t="s">
        <v>335</v>
      </c>
      <c r="K827" s="286"/>
      <c r="L827" s="286"/>
    </row>
    <row r="828" spans="1:12" ht="14.25" customHeight="1" x14ac:dyDescent="0.25">
      <c r="A828" s="1"/>
      <c r="B828" s="1" t="s">
        <v>15</v>
      </c>
      <c r="C828" s="1"/>
      <c r="D828" s="1"/>
      <c r="E828" s="1"/>
      <c r="F828" s="1"/>
      <c r="G828" s="1"/>
      <c r="H828" s="4" t="s">
        <v>13</v>
      </c>
    </row>
    <row r="829" spans="1:12" ht="13.5" customHeight="1" x14ac:dyDescent="0.25">
      <c r="A829" s="1"/>
      <c r="B829" s="1" t="s">
        <v>18</v>
      </c>
      <c r="C829" s="1"/>
      <c r="D829" s="1"/>
      <c r="E829" s="1"/>
      <c r="F829" s="1"/>
      <c r="G829" s="1"/>
      <c r="H829" s="4" t="s">
        <v>14</v>
      </c>
    </row>
    <row r="830" spans="1:12" ht="1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8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5">
      <c r="A832" s="1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"/>
    </row>
    <row r="833" spans="1:12" ht="15" x14ac:dyDescent="0.25">
      <c r="A833" s="1"/>
      <c r="K833" s="103"/>
      <c r="L833" s="1"/>
    </row>
    <row r="834" spans="1:12" ht="18.75" customHeight="1" x14ac:dyDescent="0.25">
      <c r="A834" s="1"/>
      <c r="B834" s="95" t="s">
        <v>77</v>
      </c>
      <c r="H834" s="95" t="s">
        <v>64</v>
      </c>
      <c r="I834" s="95"/>
      <c r="J834" s="92"/>
      <c r="K834" s="103"/>
      <c r="L834" s="1"/>
    </row>
    <row r="835" spans="1:12" ht="14.25" customHeight="1" x14ac:dyDescent="0.25">
      <c r="A835" s="1"/>
      <c r="B835" s="99" t="s">
        <v>27</v>
      </c>
      <c r="C835" s="57"/>
      <c r="H835" s="99" t="s">
        <v>46</v>
      </c>
      <c r="K835" s="103"/>
    </row>
    <row r="836" spans="1:12" ht="18" customHeight="1" x14ac:dyDescent="0.2"/>
    <row r="837" spans="1:12" ht="12.75" hidden="1" x14ac:dyDescent="0.2"/>
    <row r="838" spans="1:12" ht="20.25" customHeight="1" x14ac:dyDescent="0.2"/>
    <row r="839" spans="1:12" ht="13.5" customHeight="1" x14ac:dyDescent="0.25">
      <c r="A839" s="3" t="s">
        <v>22</v>
      </c>
    </row>
    <row r="840" spans="1:12" ht="15.75" x14ac:dyDescent="0.2">
      <c r="A840" s="122" t="s">
        <v>20</v>
      </c>
    </row>
    <row r="841" spans="1:12" ht="18.75" customHeight="1" x14ac:dyDescent="0.2">
      <c r="A841" s="122" t="s">
        <v>21</v>
      </c>
    </row>
    <row r="842" spans="1:12" ht="9.75" customHeight="1" x14ac:dyDescent="0.2"/>
    <row r="843" spans="1:12" ht="23.25" hidden="1" customHeight="1" x14ac:dyDescent="0.2"/>
    <row r="844" spans="1:12" ht="12.75" x14ac:dyDescent="0.2"/>
    <row r="845" spans="1:12" ht="15.75" customHeight="1" x14ac:dyDescent="0.3">
      <c r="A845" s="276" t="s">
        <v>6</v>
      </c>
      <c r="B845" s="276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</row>
    <row r="846" spans="1:12" ht="21" customHeight="1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</row>
    <row r="847" spans="1:12" ht="18" customHeight="1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</row>
    <row r="848" spans="1:12" ht="18" customHeight="1" x14ac:dyDescent="0.25">
      <c r="A848" s="1"/>
      <c r="B848" s="1"/>
    </row>
    <row r="849" spans="1:12" ht="15" x14ac:dyDescent="0.25">
      <c r="A849" s="1" t="s">
        <v>7</v>
      </c>
      <c r="B849" s="1"/>
    </row>
    <row r="850" spans="1:12" ht="12.75" customHeight="1" x14ac:dyDescent="0.25">
      <c r="A850" s="1"/>
      <c r="B850" s="1"/>
    </row>
    <row r="851" spans="1:12" ht="21" customHeight="1" x14ac:dyDescent="0.25">
      <c r="A851" s="1" t="s">
        <v>8</v>
      </c>
      <c r="C851" s="9" t="s">
        <v>1</v>
      </c>
      <c r="D851" s="123" t="s">
        <v>78</v>
      </c>
      <c r="E851" s="76"/>
      <c r="F851" s="76"/>
      <c r="G851" s="76"/>
      <c r="H851" s="76"/>
    </row>
    <row r="852" spans="1:12" ht="15.75" customHeight="1" x14ac:dyDescent="0.25">
      <c r="A852" s="1" t="s">
        <v>9</v>
      </c>
      <c r="C852" s="9" t="s">
        <v>1</v>
      </c>
      <c r="D852" s="76" t="s">
        <v>234</v>
      </c>
      <c r="E852" s="76"/>
      <c r="F852" s="76"/>
      <c r="G852" s="76"/>
      <c r="H852" s="76"/>
    </row>
    <row r="853" spans="1:12" ht="17.25" customHeight="1" x14ac:dyDescent="0.2">
      <c r="A853" s="50" t="s">
        <v>10</v>
      </c>
      <c r="B853" s="76"/>
      <c r="C853" s="91" t="s">
        <v>1</v>
      </c>
      <c r="D853" s="50" t="s">
        <v>235</v>
      </c>
      <c r="E853" s="76"/>
      <c r="F853" s="76"/>
      <c r="G853" s="76"/>
      <c r="H853" s="76"/>
      <c r="I853" s="76"/>
      <c r="J853" s="76"/>
      <c r="K853" s="76"/>
      <c r="L853" s="76"/>
    </row>
    <row r="854" spans="1:12" ht="13.5" customHeight="1" x14ac:dyDescent="0.25">
      <c r="A854" s="1"/>
      <c r="B854" s="1"/>
      <c r="D854" s="1"/>
    </row>
    <row r="855" spans="1:12" ht="41.25" customHeight="1" x14ac:dyDescent="0.2">
      <c r="A855" s="277" t="s">
        <v>343</v>
      </c>
      <c r="B855" s="277"/>
      <c r="C855" s="277"/>
      <c r="D855" s="277"/>
      <c r="E855" s="277"/>
      <c r="F855" s="277"/>
      <c r="G855" s="277"/>
      <c r="H855" s="277"/>
      <c r="I855" s="277"/>
      <c r="J855" s="277"/>
      <c r="K855" s="277"/>
      <c r="L855" s="277"/>
    </row>
    <row r="856" spans="1:12" ht="9.75" customHeight="1" x14ac:dyDescent="0.25">
      <c r="A856" s="1"/>
      <c r="B856" s="1"/>
    </row>
    <row r="857" spans="1:12" ht="33" customHeight="1" thickBot="1" x14ac:dyDescent="0.25">
      <c r="A857" s="10" t="s">
        <v>0</v>
      </c>
      <c r="B857" s="278" t="s">
        <v>91</v>
      </c>
      <c r="C857" s="278"/>
      <c r="D857" s="278"/>
      <c r="E857" s="278"/>
      <c r="F857" s="278"/>
      <c r="G857" s="278"/>
      <c r="H857" s="278"/>
      <c r="I857" s="278"/>
      <c r="J857" s="278"/>
      <c r="K857" s="278"/>
      <c r="L857" s="278"/>
    </row>
    <row r="858" spans="1:12" ht="17.25" customHeight="1" thickTop="1" x14ac:dyDescent="0.25">
      <c r="A858" s="1"/>
      <c r="B858" s="11" t="s">
        <v>3</v>
      </c>
      <c r="C858" s="12" t="s">
        <v>4</v>
      </c>
      <c r="D858" s="13"/>
      <c r="E858" s="13"/>
      <c r="F858" s="13"/>
      <c r="G858" s="13"/>
      <c r="H858" s="14"/>
      <c r="I858" s="15" t="s">
        <v>5</v>
      </c>
      <c r="J858" s="12" t="s">
        <v>17</v>
      </c>
      <c r="K858" s="13"/>
      <c r="L858" s="14"/>
    </row>
    <row r="859" spans="1:12" ht="18" customHeight="1" x14ac:dyDescent="0.2">
      <c r="A859" s="50"/>
      <c r="B859" s="143">
        <v>1</v>
      </c>
      <c r="C859" s="284" t="s">
        <v>303</v>
      </c>
      <c r="D859" s="285"/>
      <c r="E859" s="285"/>
      <c r="F859" s="285"/>
      <c r="G859" s="76"/>
      <c r="H859" s="79"/>
      <c r="I859" s="56">
        <v>250000</v>
      </c>
      <c r="J859" s="76"/>
      <c r="K859" s="76"/>
      <c r="L859" s="79"/>
    </row>
    <row r="860" spans="1:12" ht="25.5" customHeight="1" x14ac:dyDescent="0.2">
      <c r="A860" s="99"/>
      <c r="B860" s="151"/>
      <c r="C860" s="322"/>
      <c r="D860" s="323"/>
      <c r="E860" s="152"/>
      <c r="F860" s="324"/>
      <c r="G860" s="323"/>
      <c r="H860" s="325"/>
      <c r="I860" s="153"/>
      <c r="J860" s="99"/>
      <c r="K860" s="99"/>
      <c r="L860" s="154"/>
    </row>
    <row r="861" spans="1:12" ht="15.75" customHeight="1" x14ac:dyDescent="0.25">
      <c r="A861" s="1"/>
      <c r="B861" s="39"/>
      <c r="C861" s="1"/>
      <c r="D861" s="1"/>
      <c r="E861" s="1"/>
      <c r="F861" s="40" t="s">
        <v>5</v>
      </c>
      <c r="G861" s="40"/>
      <c r="H861" s="1"/>
      <c r="I861" s="41">
        <f>SUM(I859:I860)</f>
        <v>250000</v>
      </c>
      <c r="J861" s="1"/>
      <c r="K861" s="1"/>
      <c r="L861" s="42"/>
    </row>
    <row r="862" spans="1:12" ht="15.75" thickBot="1" x14ac:dyDescent="0.3">
      <c r="A862" s="1"/>
      <c r="B862" s="43"/>
      <c r="C862" s="44"/>
      <c r="D862" s="44"/>
      <c r="E862" s="44"/>
      <c r="F862" s="45"/>
      <c r="G862" s="45"/>
      <c r="H862" s="44"/>
      <c r="I862" s="46"/>
      <c r="J862" s="44"/>
      <c r="K862" s="44"/>
      <c r="L862" s="47"/>
    </row>
    <row r="863" spans="1:12" ht="12" customHeight="1" thickTop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46.5" customHeight="1" x14ac:dyDescent="0.2">
      <c r="A864" s="10" t="s">
        <v>2</v>
      </c>
      <c r="B864" s="279" t="s">
        <v>11</v>
      </c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</row>
    <row r="865" spans="1:12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" customHeight="1" x14ac:dyDescent="0.2">
      <c r="A866" s="280" t="s">
        <v>12</v>
      </c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</row>
    <row r="867" spans="1:12" ht="19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9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25">
      <c r="A869" s="1"/>
      <c r="B869" s="1"/>
      <c r="C869" s="1"/>
      <c r="D869" s="1"/>
      <c r="E869" s="1"/>
      <c r="F869" s="1"/>
      <c r="G869" s="1"/>
      <c r="H869" s="4" t="s">
        <v>199</v>
      </c>
      <c r="J869" s="286" t="s">
        <v>335</v>
      </c>
      <c r="K869" s="286"/>
      <c r="L869" s="286"/>
    </row>
    <row r="870" spans="1:12" ht="13.5" customHeight="1" x14ac:dyDescent="0.25">
      <c r="A870" s="1"/>
      <c r="B870" s="1" t="s">
        <v>15</v>
      </c>
      <c r="C870" s="1"/>
      <c r="D870" s="1"/>
      <c r="E870" s="1"/>
      <c r="F870" s="1"/>
      <c r="G870" s="1"/>
      <c r="H870" s="4" t="s">
        <v>13</v>
      </c>
    </row>
    <row r="871" spans="1:12" ht="12.75" customHeight="1" x14ac:dyDescent="0.25">
      <c r="A871" s="1"/>
      <c r="B871" s="1" t="s">
        <v>18</v>
      </c>
      <c r="C871" s="1"/>
      <c r="D871" s="1"/>
      <c r="E871" s="1"/>
      <c r="F871" s="1"/>
      <c r="G871" s="1"/>
      <c r="H871" s="4" t="s">
        <v>14</v>
      </c>
    </row>
    <row r="872" spans="1:12" ht="31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" hidden="1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" hidden="1" x14ac:dyDescent="0.25">
      <c r="A874" s="1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"/>
    </row>
    <row r="875" spans="1:12" ht="15" hidden="1" customHeight="1" x14ac:dyDescent="0.25">
      <c r="A875" s="1"/>
      <c r="K875" s="103"/>
      <c r="L875" s="1"/>
    </row>
    <row r="876" spans="1:12" ht="39" customHeight="1" x14ac:dyDescent="0.25">
      <c r="A876" s="1"/>
      <c r="B876" s="95" t="s">
        <v>77</v>
      </c>
      <c r="H876" s="95" t="s">
        <v>78</v>
      </c>
      <c r="I876" s="95"/>
      <c r="J876" s="92"/>
      <c r="K876" s="103"/>
      <c r="L876" s="1"/>
    </row>
    <row r="877" spans="1:12" ht="16.5" customHeight="1" x14ac:dyDescent="0.25">
      <c r="A877" s="1"/>
      <c r="B877" s="99" t="s">
        <v>27</v>
      </c>
      <c r="C877" s="57"/>
      <c r="H877" s="99" t="s">
        <v>79</v>
      </c>
      <c r="K877" s="103"/>
    </row>
    <row r="878" spans="1:12" ht="12.75" customHeight="1" x14ac:dyDescent="0.2"/>
    <row r="879" spans="1:12" ht="21" customHeight="1" x14ac:dyDescent="0.2"/>
    <row r="880" spans="1:12" ht="12.75" customHeight="1" x14ac:dyDescent="0.2"/>
    <row r="881" spans="1:12" ht="3" customHeight="1" x14ac:dyDescent="0.2"/>
    <row r="882" spans="1:12" ht="23.25" hidden="1" customHeight="1" x14ac:dyDescent="0.2"/>
    <row r="883" spans="1:12" ht="12.75" x14ac:dyDescent="0.2"/>
    <row r="884" spans="1:12" ht="16.5" customHeight="1" x14ac:dyDescent="0.25">
      <c r="A884" s="3" t="s">
        <v>22</v>
      </c>
    </row>
    <row r="885" spans="1:12" ht="15" customHeight="1" x14ac:dyDescent="0.2">
      <c r="A885" s="122" t="s">
        <v>20</v>
      </c>
    </row>
    <row r="886" spans="1:12" ht="15.75" customHeight="1" x14ac:dyDescent="0.2">
      <c r="A886" s="122" t="s">
        <v>21</v>
      </c>
    </row>
    <row r="887" spans="1:12" ht="15.75" customHeight="1" x14ac:dyDescent="0.2"/>
    <row r="888" spans="1:12" ht="9.75" customHeight="1" x14ac:dyDescent="0.2"/>
    <row r="889" spans="1:12" ht="18.75" hidden="1" customHeight="1" x14ac:dyDescent="0.2"/>
    <row r="890" spans="1:12" ht="20.25" customHeight="1" x14ac:dyDescent="0.3">
      <c r="A890" s="276" t="s">
        <v>6</v>
      </c>
      <c r="B890" s="276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</row>
    <row r="891" spans="1:12" ht="15" customHeight="1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</row>
    <row r="892" spans="1:12" ht="18.75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</row>
    <row r="893" spans="1:12" ht="15" x14ac:dyDescent="0.25">
      <c r="A893" s="1"/>
      <c r="B893" s="1"/>
    </row>
    <row r="894" spans="1:12" ht="15" x14ac:dyDescent="0.25">
      <c r="A894" s="1" t="s">
        <v>7</v>
      </c>
      <c r="B894" s="1"/>
    </row>
    <row r="895" spans="1:12" ht="15" x14ac:dyDescent="0.25">
      <c r="A895" s="1"/>
      <c r="B895" s="1"/>
    </row>
    <row r="896" spans="1:12" ht="28.5" customHeight="1" x14ac:dyDescent="0.25">
      <c r="A896" s="1" t="s">
        <v>8</v>
      </c>
      <c r="C896" s="9" t="s">
        <v>1</v>
      </c>
      <c r="D896" s="40" t="s">
        <v>92</v>
      </c>
      <c r="E896" s="76"/>
      <c r="F896" s="76"/>
      <c r="G896" s="76"/>
      <c r="H896" s="76"/>
    </row>
    <row r="897" spans="1:12" ht="15" x14ac:dyDescent="0.25">
      <c r="A897" s="1" t="s">
        <v>9</v>
      </c>
      <c r="C897" s="9" t="s">
        <v>1</v>
      </c>
      <c r="D897" s="7" t="s">
        <v>263</v>
      </c>
      <c r="E897" s="76"/>
      <c r="F897" s="76"/>
      <c r="G897" s="76"/>
      <c r="H897" s="76"/>
    </row>
    <row r="898" spans="1:12" ht="15" x14ac:dyDescent="0.25">
      <c r="A898" s="50" t="s">
        <v>10</v>
      </c>
      <c r="B898" s="76"/>
      <c r="C898" s="91" t="s">
        <v>1</v>
      </c>
      <c r="D898" s="1" t="s">
        <v>264</v>
      </c>
      <c r="E898" s="76"/>
      <c r="F898" s="76"/>
      <c r="G898" s="76"/>
      <c r="H898" s="76"/>
      <c r="I898" s="76"/>
      <c r="J898" s="76"/>
      <c r="K898" s="76"/>
      <c r="L898" s="76"/>
    </row>
    <row r="899" spans="1:12" ht="15" x14ac:dyDescent="0.25">
      <c r="A899" s="1"/>
      <c r="B899" s="1"/>
      <c r="D899" s="1"/>
    </row>
    <row r="900" spans="1:12" ht="25.5" customHeight="1" x14ac:dyDescent="0.2">
      <c r="A900" s="277" t="s">
        <v>344</v>
      </c>
      <c r="B900" s="277"/>
      <c r="C900" s="277"/>
      <c r="D900" s="277"/>
      <c r="E900" s="277"/>
      <c r="F900" s="277"/>
      <c r="G900" s="277"/>
      <c r="H900" s="277"/>
      <c r="I900" s="277"/>
      <c r="J900" s="277"/>
      <c r="K900" s="277"/>
      <c r="L900" s="277"/>
    </row>
    <row r="901" spans="1:12" ht="15" x14ac:dyDescent="0.25">
      <c r="A901" s="1"/>
      <c r="B901" s="1"/>
    </row>
    <row r="902" spans="1:12" ht="29.25" customHeight="1" thickBot="1" x14ac:dyDescent="0.25">
      <c r="A902" s="10" t="s">
        <v>0</v>
      </c>
      <c r="B902" s="278" t="s">
        <v>91</v>
      </c>
      <c r="C902" s="278"/>
      <c r="D902" s="278"/>
      <c r="E902" s="278"/>
      <c r="F902" s="278"/>
      <c r="G902" s="278"/>
      <c r="H902" s="278"/>
      <c r="I902" s="278"/>
      <c r="J902" s="278"/>
      <c r="K902" s="278"/>
      <c r="L902" s="278"/>
    </row>
    <row r="903" spans="1:12" ht="25.5" customHeight="1" thickTop="1" x14ac:dyDescent="0.25">
      <c r="A903" s="1"/>
      <c r="B903" s="11" t="s">
        <v>3</v>
      </c>
      <c r="C903" s="12" t="s">
        <v>4</v>
      </c>
      <c r="D903" s="13"/>
      <c r="E903" s="13"/>
      <c r="F903" s="13"/>
      <c r="G903" s="13"/>
      <c r="H903" s="14"/>
      <c r="I903" s="15" t="s">
        <v>5</v>
      </c>
      <c r="J903" s="12" t="s">
        <v>17</v>
      </c>
      <c r="K903" s="13"/>
      <c r="L903" s="14"/>
    </row>
    <row r="904" spans="1:12" ht="20.25" customHeight="1" x14ac:dyDescent="0.2">
      <c r="A904" s="50"/>
      <c r="B904" s="143">
        <v>1</v>
      </c>
      <c r="C904" s="284" t="s">
        <v>339</v>
      </c>
      <c r="D904" s="285"/>
      <c r="E904" s="285"/>
      <c r="F904" s="285"/>
      <c r="G904" s="76"/>
      <c r="H904" s="79"/>
      <c r="I904" s="56">
        <v>150000</v>
      </c>
      <c r="J904" s="76"/>
      <c r="K904" s="76"/>
      <c r="L904" s="79"/>
    </row>
    <row r="905" spans="1:12" ht="41.25" customHeight="1" x14ac:dyDescent="0.2">
      <c r="B905" s="96"/>
      <c r="C905" s="124"/>
      <c r="D905" s="124"/>
      <c r="E905" s="127"/>
      <c r="F905" s="125"/>
      <c r="G905" s="124"/>
      <c r="H905" s="124"/>
      <c r="I905" s="23"/>
      <c r="L905" s="17"/>
    </row>
    <row r="906" spans="1:12" ht="18" customHeight="1" x14ac:dyDescent="0.25">
      <c r="A906" s="1"/>
      <c r="B906" s="39"/>
      <c r="C906" s="1"/>
      <c r="D906" s="1"/>
      <c r="E906" s="1"/>
      <c r="F906" s="40" t="s">
        <v>5</v>
      </c>
      <c r="G906" s="40"/>
      <c r="H906" s="1"/>
      <c r="I906" s="41">
        <f>SUM(I904:I904)</f>
        <v>150000</v>
      </c>
      <c r="J906" s="1"/>
      <c r="K906" s="1"/>
      <c r="L906" s="42"/>
    </row>
    <row r="907" spans="1:12" ht="18" customHeight="1" thickBot="1" x14ac:dyDescent="0.3">
      <c r="A907" s="1"/>
      <c r="B907" s="43"/>
      <c r="C907" s="44"/>
      <c r="D907" s="44"/>
      <c r="E907" s="44"/>
      <c r="F907" s="45"/>
      <c r="G907" s="45"/>
      <c r="H907" s="44"/>
      <c r="I907" s="46"/>
      <c r="J907" s="44"/>
      <c r="K907" s="44"/>
      <c r="L907" s="47"/>
    </row>
    <row r="908" spans="1:12" ht="18" customHeight="1" thickTop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44.25" customHeight="1" x14ac:dyDescent="0.2">
      <c r="A909" s="10" t="s">
        <v>2</v>
      </c>
      <c r="B909" s="279" t="s">
        <v>11</v>
      </c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</row>
    <row r="910" spans="1:12" ht="18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21" customHeight="1" x14ac:dyDescent="0.2">
      <c r="A911" s="280" t="s">
        <v>12</v>
      </c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</row>
    <row r="912" spans="1:1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1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2" customHeight="1" x14ac:dyDescent="0.25">
      <c r="A914" s="1"/>
      <c r="B914" s="1"/>
      <c r="C914" s="1"/>
      <c r="D914" s="1"/>
      <c r="E914" s="1"/>
      <c r="F914" s="1"/>
      <c r="G914" s="1"/>
      <c r="H914" s="4" t="s">
        <v>199</v>
      </c>
      <c r="J914" s="286" t="s">
        <v>335</v>
      </c>
      <c r="K914" s="286"/>
      <c r="L914" s="286"/>
    </row>
    <row r="915" spans="1:12" ht="15" customHeight="1" x14ac:dyDescent="0.25">
      <c r="A915" s="1"/>
      <c r="B915" s="1" t="s">
        <v>15</v>
      </c>
      <c r="C915" s="1"/>
      <c r="D915" s="1"/>
      <c r="E915" s="1"/>
      <c r="F915" s="1"/>
      <c r="G915" s="1"/>
      <c r="H915" s="4" t="s">
        <v>13</v>
      </c>
    </row>
    <row r="916" spans="1:12" ht="11.25" customHeight="1" x14ac:dyDescent="0.25">
      <c r="A916" s="1"/>
      <c r="B916" s="1" t="s">
        <v>18</v>
      </c>
      <c r="C916" s="1"/>
      <c r="D916" s="1"/>
      <c r="E916" s="1"/>
      <c r="F916" s="1"/>
      <c r="G916" s="1"/>
      <c r="H916" s="4" t="s">
        <v>14</v>
      </c>
    </row>
    <row r="917" spans="1:12" ht="17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" x14ac:dyDescent="0.25">
      <c r="A919" s="1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"/>
    </row>
    <row r="920" spans="1:12" ht="15.75" customHeight="1" x14ac:dyDescent="0.25">
      <c r="A920" s="1"/>
      <c r="K920" s="103"/>
      <c r="L920" s="1"/>
    </row>
    <row r="921" spans="1:12" ht="13.5" customHeight="1" x14ac:dyDescent="0.25">
      <c r="A921" s="1"/>
      <c r="B921" s="95" t="s">
        <v>77</v>
      </c>
      <c r="H921" s="95" t="s">
        <v>92</v>
      </c>
      <c r="I921" s="95"/>
      <c r="J921" s="92"/>
      <c r="K921" s="103"/>
      <c r="L921" s="1"/>
    </row>
    <row r="922" spans="1:12" ht="23.25" customHeight="1" x14ac:dyDescent="0.25">
      <c r="A922" s="1"/>
      <c r="B922" s="99" t="s">
        <v>27</v>
      </c>
      <c r="C922" s="57"/>
      <c r="H922" s="99" t="s">
        <v>93</v>
      </c>
      <c r="K922" s="103"/>
    </row>
    <row r="923" spans="1:12" ht="13.5" customHeight="1" x14ac:dyDescent="0.2"/>
    <row r="924" spans="1:12" ht="14.25" customHeight="1" x14ac:dyDescent="0.2"/>
    <row r="925" spans="1:12" ht="7.5" customHeight="1" x14ac:dyDescent="0.2"/>
    <row r="926" spans="1:12" ht="20.25" customHeight="1" x14ac:dyDescent="0.2"/>
    <row r="927" spans="1:12" ht="14.25" customHeight="1" x14ac:dyDescent="0.25">
      <c r="A927" s="3" t="s">
        <v>22</v>
      </c>
    </row>
    <row r="928" spans="1:12" ht="21" customHeight="1" x14ac:dyDescent="0.2">
      <c r="A928" s="122" t="s">
        <v>20</v>
      </c>
    </row>
    <row r="929" spans="1:12" ht="27.75" customHeight="1" x14ac:dyDescent="0.2">
      <c r="A929" s="122" t="s">
        <v>21</v>
      </c>
    </row>
    <row r="930" spans="1:12" ht="18" customHeight="1" x14ac:dyDescent="0.2"/>
    <row r="931" spans="1:12" ht="16.5" customHeight="1" x14ac:dyDescent="0.2"/>
    <row r="932" spans="1:12" ht="12.75" x14ac:dyDescent="0.2"/>
    <row r="933" spans="1:12" ht="18.75" x14ac:dyDescent="0.3">
      <c r="A933" s="276" t="s">
        <v>6</v>
      </c>
      <c r="B933" s="276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</row>
    <row r="934" spans="1:12" ht="18.75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</row>
    <row r="935" spans="1:12" ht="18.75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</row>
    <row r="936" spans="1:12" ht="15" x14ac:dyDescent="0.25">
      <c r="A936" s="1"/>
      <c r="B936" s="1"/>
    </row>
    <row r="937" spans="1:12" ht="15.75" customHeight="1" x14ac:dyDescent="0.25">
      <c r="A937" s="1" t="s">
        <v>7</v>
      </c>
      <c r="B937" s="1"/>
    </row>
    <row r="938" spans="1:12" ht="18" hidden="1" customHeight="1" x14ac:dyDescent="0.25">
      <c r="A938" s="1"/>
      <c r="B938" s="1"/>
    </row>
    <row r="939" spans="1:12" ht="18" customHeight="1" x14ac:dyDescent="0.25">
      <c r="A939" s="1" t="s">
        <v>8</v>
      </c>
      <c r="C939" s="9" t="s">
        <v>1</v>
      </c>
      <c r="D939" s="40" t="s">
        <v>97</v>
      </c>
      <c r="E939" s="76"/>
      <c r="F939" s="76"/>
      <c r="G939" s="76"/>
      <c r="H939" s="76"/>
    </row>
    <row r="940" spans="1:12" ht="20.25" customHeight="1" x14ac:dyDescent="0.25">
      <c r="A940" s="1" t="s">
        <v>9</v>
      </c>
      <c r="C940" s="9" t="s">
        <v>1</v>
      </c>
      <c r="D940" s="7" t="s">
        <v>326</v>
      </c>
      <c r="E940" s="76"/>
      <c r="F940" s="76"/>
      <c r="G940" s="76"/>
      <c r="H940" s="76"/>
    </row>
    <row r="941" spans="1:12" ht="20.25" customHeight="1" x14ac:dyDescent="0.25">
      <c r="A941" s="50" t="s">
        <v>10</v>
      </c>
      <c r="B941" s="76"/>
      <c r="C941" s="91" t="s">
        <v>1</v>
      </c>
      <c r="D941" s="1" t="s">
        <v>327</v>
      </c>
      <c r="E941" s="76"/>
      <c r="F941" s="76"/>
      <c r="G941" s="76"/>
      <c r="H941" s="76"/>
      <c r="I941" s="76"/>
      <c r="J941" s="76"/>
      <c r="K941" s="76"/>
      <c r="L941" s="76"/>
    </row>
    <row r="942" spans="1:12" ht="15" x14ac:dyDescent="0.25">
      <c r="A942" s="1"/>
      <c r="B942" s="1"/>
      <c r="D942" s="1"/>
    </row>
    <row r="943" spans="1:12" ht="33" customHeight="1" x14ac:dyDescent="0.2">
      <c r="A943" s="277" t="s">
        <v>344</v>
      </c>
      <c r="B943" s="277"/>
      <c r="C943" s="277"/>
      <c r="D943" s="277"/>
      <c r="E943" s="277"/>
      <c r="F943" s="277"/>
      <c r="G943" s="277"/>
      <c r="H943" s="277"/>
      <c r="I943" s="277"/>
      <c r="J943" s="277"/>
      <c r="K943" s="277"/>
      <c r="L943" s="277"/>
    </row>
    <row r="944" spans="1:12" ht="15" x14ac:dyDescent="0.25">
      <c r="A944" s="1"/>
      <c r="B944" s="1"/>
    </row>
    <row r="945" spans="1:12" ht="43.5" customHeight="1" thickBot="1" x14ac:dyDescent="0.25">
      <c r="A945" s="10" t="s">
        <v>0</v>
      </c>
      <c r="B945" s="278" t="s">
        <v>91</v>
      </c>
      <c r="C945" s="278"/>
      <c r="D945" s="278"/>
      <c r="E945" s="278"/>
      <c r="F945" s="278"/>
      <c r="G945" s="278"/>
      <c r="H945" s="278"/>
      <c r="I945" s="278"/>
      <c r="J945" s="278"/>
      <c r="K945" s="278"/>
      <c r="L945" s="278"/>
    </row>
    <row r="946" spans="1:12" ht="15.75" thickTop="1" x14ac:dyDescent="0.25">
      <c r="A946" s="1"/>
      <c r="B946" s="11" t="s">
        <v>3</v>
      </c>
      <c r="C946" s="12" t="s">
        <v>4</v>
      </c>
      <c r="D946" s="13"/>
      <c r="E946" s="13"/>
      <c r="F946" s="13"/>
      <c r="G946" s="13"/>
      <c r="H946" s="14"/>
      <c r="I946" s="15" t="s">
        <v>5</v>
      </c>
      <c r="J946" s="12" t="s">
        <v>17</v>
      </c>
      <c r="K946" s="13"/>
      <c r="L946" s="14"/>
    </row>
    <row r="947" spans="1:12" ht="28.5" customHeight="1" x14ac:dyDescent="0.2">
      <c r="A947" s="50"/>
      <c r="B947" s="143">
        <v>1</v>
      </c>
      <c r="C947" s="284" t="s">
        <v>339</v>
      </c>
      <c r="D947" s="285"/>
      <c r="E947" s="285"/>
      <c r="F947" s="285"/>
      <c r="G947" s="76"/>
      <c r="H947" s="79"/>
      <c r="I947" s="56">
        <v>150000</v>
      </c>
      <c r="J947" s="76"/>
      <c r="K947" s="76"/>
      <c r="L947" s="79"/>
    </row>
    <row r="948" spans="1:12" ht="50.25" customHeight="1" x14ac:dyDescent="0.2">
      <c r="B948" s="96"/>
      <c r="C948" s="124"/>
      <c r="D948" s="124"/>
      <c r="E948" s="127"/>
      <c r="F948" s="125"/>
      <c r="G948" s="124"/>
      <c r="H948" s="124"/>
      <c r="I948" s="23"/>
      <c r="L948" s="17"/>
    </row>
    <row r="949" spans="1:12" ht="21" customHeight="1" x14ac:dyDescent="0.25">
      <c r="A949" s="1"/>
      <c r="B949" s="39"/>
      <c r="C949" s="1"/>
      <c r="D949" s="1"/>
      <c r="E949" s="1"/>
      <c r="F949" s="40" t="s">
        <v>5</v>
      </c>
      <c r="G949" s="40"/>
      <c r="H949" s="1"/>
      <c r="I949" s="41">
        <f>SUM(I947:I947)</f>
        <v>150000</v>
      </c>
      <c r="J949" s="1"/>
      <c r="K949" s="1"/>
      <c r="L949" s="42"/>
    </row>
    <row r="950" spans="1:12" ht="15.75" thickBot="1" x14ac:dyDescent="0.3">
      <c r="A950" s="1"/>
      <c r="B950" s="43"/>
      <c r="C950" s="44"/>
      <c r="D950" s="44"/>
      <c r="E950" s="44"/>
      <c r="F950" s="45"/>
      <c r="G950" s="45"/>
      <c r="H950" s="44"/>
      <c r="I950" s="46"/>
      <c r="J950" s="44"/>
      <c r="K950" s="44"/>
      <c r="L950" s="47"/>
    </row>
    <row r="951" spans="1:12" ht="16.5" customHeight="1" thickTop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46.5" customHeight="1" x14ac:dyDescent="0.2">
      <c r="A952" s="10" t="s">
        <v>2</v>
      </c>
      <c r="B952" s="279" t="s">
        <v>11</v>
      </c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</row>
    <row r="953" spans="1:12" ht="18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9.5" customHeight="1" x14ac:dyDescent="0.2">
      <c r="A954" s="280" t="s">
        <v>12</v>
      </c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</row>
    <row r="955" spans="1:12" ht="4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9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0.5" customHeight="1" x14ac:dyDescent="0.25">
      <c r="A957" s="1"/>
      <c r="B957" s="1"/>
      <c r="C957" s="1"/>
      <c r="D957" s="1"/>
      <c r="E957" s="1"/>
      <c r="F957" s="1"/>
      <c r="G957" s="1"/>
      <c r="H957" s="4" t="s">
        <v>199</v>
      </c>
      <c r="J957" s="286" t="s">
        <v>335</v>
      </c>
      <c r="K957" s="286"/>
      <c r="L957" s="286"/>
    </row>
    <row r="958" spans="1:12" ht="15.75" customHeight="1" x14ac:dyDescent="0.25">
      <c r="A958" s="1"/>
      <c r="B958" s="1" t="s">
        <v>15</v>
      </c>
      <c r="C958" s="1"/>
      <c r="D958" s="1"/>
      <c r="E958" s="1"/>
      <c r="F958" s="1"/>
      <c r="G958" s="1"/>
      <c r="H958" s="4" t="s">
        <v>13</v>
      </c>
    </row>
    <row r="959" spans="1:12" ht="16.5" customHeight="1" x14ac:dyDescent="0.25">
      <c r="A959" s="1"/>
      <c r="B959" s="1" t="s">
        <v>18</v>
      </c>
      <c r="C959" s="1"/>
      <c r="D959" s="1"/>
      <c r="E959" s="1"/>
      <c r="F959" s="1"/>
      <c r="G959" s="1"/>
      <c r="H959" s="4" t="s">
        <v>14</v>
      </c>
    </row>
    <row r="960" spans="1:12" ht="1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9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24" customHeight="1" x14ac:dyDescent="0.25">
      <c r="A962" s="1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"/>
    </row>
    <row r="963" spans="1:12" ht="15" customHeight="1" x14ac:dyDescent="0.25">
      <c r="A963" s="1"/>
      <c r="K963" s="103"/>
      <c r="L963" s="1"/>
    </row>
    <row r="964" spans="1:12" ht="16.5" customHeight="1" x14ac:dyDescent="0.25">
      <c r="A964" s="1"/>
      <c r="B964" s="95" t="s">
        <v>77</v>
      </c>
      <c r="H964" s="37" t="s">
        <v>97</v>
      </c>
      <c r="I964" s="95"/>
      <c r="J964" s="92"/>
      <c r="K964" s="103"/>
      <c r="L964" s="1"/>
    </row>
    <row r="965" spans="1:12" ht="24.75" customHeight="1" x14ac:dyDescent="0.25">
      <c r="A965" s="1"/>
      <c r="B965" s="99" t="s">
        <v>27</v>
      </c>
      <c r="C965" s="57"/>
      <c r="H965" s="48" t="s">
        <v>98</v>
      </c>
      <c r="K965" s="103"/>
    </row>
    <row r="966" spans="1:12" ht="15" customHeight="1" x14ac:dyDescent="0.2"/>
    <row r="967" spans="1:12" ht="10.5" customHeight="1" x14ac:dyDescent="0.2"/>
    <row r="968" spans="1:12" ht="17.25" customHeight="1" x14ac:dyDescent="0.2"/>
    <row r="969" spans="1:12" ht="12" customHeight="1" x14ac:dyDescent="0.2"/>
    <row r="970" spans="1:12" ht="23.25" customHeight="1" x14ac:dyDescent="0.25">
      <c r="A970" s="3" t="s">
        <v>22</v>
      </c>
    </row>
    <row r="971" spans="1:12" s="99" customFormat="1" ht="21" customHeight="1" x14ac:dyDescent="0.2">
      <c r="A971" s="122" t="s">
        <v>20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30.75" customHeight="1" x14ac:dyDescent="0.2">
      <c r="A972" s="122" t="s">
        <v>21</v>
      </c>
    </row>
    <row r="973" spans="1:12" ht="12.75" x14ac:dyDescent="0.2"/>
    <row r="974" spans="1:12" ht="5.25" customHeight="1" x14ac:dyDescent="0.2"/>
    <row r="975" spans="1:12" ht="12.75" x14ac:dyDescent="0.2"/>
    <row r="976" spans="1:12" ht="45.75" customHeight="1" x14ac:dyDescent="0.3">
      <c r="A976" s="276" t="s">
        <v>6</v>
      </c>
      <c r="B976" s="276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</row>
    <row r="977" spans="1:12" ht="18.75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</row>
    <row r="978" spans="1:12" ht="15" customHeight="1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</row>
    <row r="979" spans="1:12" ht="10.5" customHeight="1" x14ac:dyDescent="0.25">
      <c r="A979" s="1"/>
      <c r="B979" s="1"/>
    </row>
    <row r="980" spans="1:12" ht="16.5" customHeight="1" x14ac:dyDescent="0.25">
      <c r="A980" s="1" t="s">
        <v>7</v>
      </c>
      <c r="B980" s="1"/>
    </row>
    <row r="981" spans="1:12" ht="15" x14ac:dyDescent="0.25">
      <c r="A981" s="1"/>
      <c r="B981" s="1"/>
    </row>
    <row r="982" spans="1:12" ht="15" x14ac:dyDescent="0.25">
      <c r="A982" s="1" t="s">
        <v>8</v>
      </c>
      <c r="C982" s="9" t="s">
        <v>1</v>
      </c>
      <c r="D982" s="67" t="s">
        <v>328</v>
      </c>
      <c r="E982" s="76"/>
      <c r="F982" s="76"/>
      <c r="G982" s="76"/>
      <c r="H982" s="76"/>
    </row>
    <row r="983" spans="1:12" ht="15" x14ac:dyDescent="0.25">
      <c r="A983" s="1" t="s">
        <v>9</v>
      </c>
      <c r="C983" s="9" t="s">
        <v>1</v>
      </c>
      <c r="D983" s="68" t="s">
        <v>330</v>
      </c>
      <c r="E983" s="76"/>
      <c r="F983" s="76"/>
      <c r="G983" s="76"/>
      <c r="H983" s="76"/>
    </row>
    <row r="984" spans="1:12" ht="15" x14ac:dyDescent="0.2">
      <c r="A984" s="50" t="s">
        <v>10</v>
      </c>
      <c r="B984" s="76"/>
      <c r="C984" s="91" t="s">
        <v>1</v>
      </c>
      <c r="D984" s="50" t="s">
        <v>81</v>
      </c>
      <c r="E984" s="76"/>
      <c r="F984" s="76"/>
      <c r="G984" s="76"/>
      <c r="H984" s="76"/>
      <c r="I984" s="76"/>
      <c r="J984" s="76"/>
      <c r="K984" s="76"/>
      <c r="L984" s="76"/>
    </row>
    <row r="985" spans="1:12" ht="15" x14ac:dyDescent="0.25">
      <c r="A985" s="1"/>
      <c r="B985" s="1"/>
      <c r="D985" s="1"/>
    </row>
    <row r="986" spans="1:12" ht="36" customHeight="1" x14ac:dyDescent="0.2">
      <c r="A986" s="277" t="s">
        <v>344</v>
      </c>
      <c r="B986" s="277"/>
      <c r="C986" s="277"/>
      <c r="D986" s="277"/>
      <c r="E986" s="277"/>
      <c r="F986" s="277"/>
      <c r="G986" s="277"/>
      <c r="H986" s="277"/>
      <c r="I986" s="277"/>
      <c r="J986" s="277"/>
      <c r="K986" s="277"/>
      <c r="L986" s="277"/>
    </row>
    <row r="987" spans="1:12" ht="17.25" customHeight="1" x14ac:dyDescent="0.25">
      <c r="A987" s="1"/>
      <c r="B987" s="1"/>
    </row>
    <row r="988" spans="1:12" ht="36.75" customHeight="1" thickBot="1" x14ac:dyDescent="0.25">
      <c r="A988" s="10" t="s">
        <v>0</v>
      </c>
      <c r="B988" s="278" t="s">
        <v>91</v>
      </c>
      <c r="C988" s="278"/>
      <c r="D988" s="278"/>
      <c r="E988" s="278"/>
      <c r="F988" s="278"/>
      <c r="G988" s="278"/>
      <c r="H988" s="278"/>
      <c r="I988" s="278"/>
      <c r="J988" s="278"/>
      <c r="K988" s="278"/>
      <c r="L988" s="278"/>
    </row>
    <row r="989" spans="1:12" ht="18.75" customHeight="1" thickTop="1" x14ac:dyDescent="0.25">
      <c r="A989" s="1"/>
      <c r="B989" s="11" t="s">
        <v>3</v>
      </c>
      <c r="C989" s="12" t="s">
        <v>4</v>
      </c>
      <c r="D989" s="13"/>
      <c r="E989" s="13"/>
      <c r="F989" s="13"/>
      <c r="G989" s="13"/>
      <c r="H989" s="14"/>
      <c r="I989" s="15" t="s">
        <v>5</v>
      </c>
      <c r="J989" s="12" t="s">
        <v>17</v>
      </c>
      <c r="K989" s="13"/>
      <c r="L989" s="14"/>
    </row>
    <row r="990" spans="1:12" ht="15" x14ac:dyDescent="0.2">
      <c r="A990" s="50"/>
      <c r="B990" s="143">
        <v>1</v>
      </c>
      <c r="C990" s="284" t="s">
        <v>339</v>
      </c>
      <c r="D990" s="285"/>
      <c r="E990" s="285"/>
      <c r="F990" s="285"/>
      <c r="G990" s="76"/>
      <c r="H990" s="79"/>
      <c r="I990" s="56">
        <v>150000</v>
      </c>
      <c r="J990" s="76"/>
      <c r="K990" s="76"/>
      <c r="L990" s="79"/>
    </row>
    <row r="991" spans="1:12" ht="28.5" customHeight="1" x14ac:dyDescent="0.2">
      <c r="B991" s="96"/>
      <c r="C991" s="124"/>
      <c r="D991" s="124"/>
      <c r="E991" s="127"/>
      <c r="F991" s="125"/>
      <c r="G991" s="124"/>
      <c r="H991" s="124"/>
      <c r="I991" s="23"/>
      <c r="L991" s="17"/>
    </row>
    <row r="992" spans="1:12" ht="19.5" customHeight="1" x14ac:dyDescent="0.25">
      <c r="A992" s="1"/>
      <c r="B992" s="39"/>
      <c r="C992" s="1"/>
      <c r="D992" s="1"/>
      <c r="E992" s="1"/>
      <c r="F992" s="40" t="s">
        <v>5</v>
      </c>
      <c r="G992" s="40"/>
      <c r="H992" s="1"/>
      <c r="I992" s="41">
        <f>SUM(I990:I990)</f>
        <v>150000</v>
      </c>
      <c r="J992" s="1"/>
      <c r="K992" s="1"/>
      <c r="L992" s="42"/>
    </row>
    <row r="993" spans="1:12" ht="15.75" thickBot="1" x14ac:dyDescent="0.3">
      <c r="A993" s="1"/>
      <c r="B993" s="43"/>
      <c r="C993" s="44"/>
      <c r="D993" s="44"/>
      <c r="E993" s="44"/>
      <c r="F993" s="45"/>
      <c r="G993" s="45"/>
      <c r="H993" s="44"/>
      <c r="I993" s="46"/>
      <c r="J993" s="44"/>
      <c r="K993" s="44"/>
      <c r="L993" s="47"/>
    </row>
    <row r="994" spans="1:12" ht="21" customHeight="1" thickTop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48" customHeight="1" x14ac:dyDescent="0.2">
      <c r="A995" s="10" t="s">
        <v>2</v>
      </c>
      <c r="B995" s="279" t="s">
        <v>11</v>
      </c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</row>
    <row r="996" spans="1:12" ht="21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29.25" customHeight="1" x14ac:dyDescent="0.2">
      <c r="A997" s="280" t="s">
        <v>12</v>
      </c>
      <c r="B997" s="280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</row>
    <row r="998" spans="1:12" ht="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 x14ac:dyDescent="0.25">
      <c r="A1000" s="1"/>
      <c r="B1000" s="1"/>
      <c r="C1000" s="1"/>
      <c r="D1000" s="1"/>
      <c r="E1000" s="1"/>
      <c r="F1000" s="1"/>
      <c r="G1000" s="1"/>
      <c r="H1000" s="4" t="s">
        <v>199</v>
      </c>
      <c r="J1000" s="286" t="s">
        <v>335</v>
      </c>
      <c r="K1000" s="286"/>
      <c r="L1000" s="286"/>
    </row>
    <row r="1001" spans="1:12" ht="12.75" customHeight="1" x14ac:dyDescent="0.25">
      <c r="A1001" s="1"/>
      <c r="B1001" s="1" t="s">
        <v>15</v>
      </c>
      <c r="C1001" s="1"/>
      <c r="D1001" s="1"/>
      <c r="E1001" s="1"/>
      <c r="F1001" s="1"/>
      <c r="G1001" s="1"/>
      <c r="H1001" s="4" t="s">
        <v>13</v>
      </c>
    </row>
    <row r="1002" spans="1:12" ht="10.5" customHeight="1" x14ac:dyDescent="0.25">
      <c r="A1002" s="1"/>
      <c r="B1002" s="1" t="s">
        <v>18</v>
      </c>
      <c r="C1002" s="1"/>
      <c r="D1002" s="1"/>
      <c r="E1002" s="1"/>
      <c r="F1002" s="1"/>
      <c r="G1002" s="1"/>
      <c r="H1002" s="4" t="s">
        <v>14</v>
      </c>
    </row>
    <row r="1003" spans="1:12" ht="25.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ht="9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ht="8.25" customHeight="1" x14ac:dyDescent="0.25">
      <c r="A1005" s="1"/>
      <c r="B1005" s="103"/>
      <c r="C1005" s="103"/>
      <c r="D1005" s="103"/>
      <c r="E1005" s="103"/>
      <c r="F1005" s="103"/>
      <c r="G1005" s="103"/>
      <c r="H1005" s="103"/>
      <c r="I1005" s="103"/>
      <c r="J1005" s="103"/>
      <c r="K1005" s="103"/>
      <c r="L1005" s="1"/>
    </row>
    <row r="1006" spans="1:12" ht="18" customHeight="1" x14ac:dyDescent="0.25">
      <c r="A1006" s="1"/>
      <c r="K1006" s="103"/>
      <c r="L1006" s="1"/>
    </row>
    <row r="1007" spans="1:12" ht="15" x14ac:dyDescent="0.25">
      <c r="A1007" s="1"/>
      <c r="B1007" s="95" t="s">
        <v>77</v>
      </c>
      <c r="H1007" s="63" t="s">
        <v>328</v>
      </c>
      <c r="I1007" s="95"/>
      <c r="J1007" s="92"/>
      <c r="K1007" s="103"/>
      <c r="L1007" s="1"/>
    </row>
    <row r="1008" spans="1:12" ht="15.75" customHeight="1" x14ac:dyDescent="0.25">
      <c r="A1008" s="1"/>
      <c r="B1008" s="99" t="s">
        <v>27</v>
      </c>
      <c r="C1008" s="57"/>
      <c r="H1008" s="48" t="s">
        <v>329</v>
      </c>
      <c r="K1008" s="103"/>
    </row>
    <row r="1009" spans="1:12" ht="20.25" customHeight="1" x14ac:dyDescent="0.2"/>
    <row r="1010" spans="1:12" ht="17.25" customHeight="1" x14ac:dyDescent="0.2"/>
    <row r="1011" spans="1:12" ht="10.5" customHeight="1" x14ac:dyDescent="0.2"/>
    <row r="1012" spans="1:12" ht="15" customHeight="1" x14ac:dyDescent="0.25">
      <c r="A1012" s="3" t="s">
        <v>22</v>
      </c>
    </row>
    <row r="1013" spans="1:12" ht="17.25" customHeight="1" x14ac:dyDescent="0.2">
      <c r="A1013" s="122" t="s">
        <v>20</v>
      </c>
    </row>
    <row r="1014" spans="1:12" ht="15.75" x14ac:dyDescent="0.2">
      <c r="A1014" s="122" t="s">
        <v>21</v>
      </c>
    </row>
    <row r="1015" spans="1:12" ht="18.75" customHeight="1" x14ac:dyDescent="0.2"/>
    <row r="1016" spans="1:12" ht="19.5" customHeight="1" x14ac:dyDescent="0.2"/>
    <row r="1017" spans="1:12" ht="15" customHeight="1" x14ac:dyDescent="0.2"/>
    <row r="1018" spans="1:12" ht="21" customHeight="1" x14ac:dyDescent="0.3">
      <c r="A1018" s="276" t="s">
        <v>6</v>
      </c>
      <c r="B1018" s="276"/>
      <c r="C1018" s="276"/>
      <c r="D1018" s="276"/>
      <c r="E1018" s="276"/>
      <c r="F1018" s="276"/>
      <c r="G1018" s="276"/>
      <c r="H1018" s="276"/>
      <c r="I1018" s="276"/>
      <c r="J1018" s="276"/>
      <c r="K1018" s="276"/>
      <c r="L1018" s="276"/>
    </row>
    <row r="1019" spans="1:12" ht="17.25" customHeight="1" x14ac:dyDescent="0.3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</row>
    <row r="1020" spans="1:12" ht="9.75" customHeight="1" x14ac:dyDescent="0.3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</row>
    <row r="1021" spans="1:12" ht="29.25" hidden="1" customHeight="1" x14ac:dyDescent="0.25">
      <c r="A1021" s="1"/>
      <c r="B1021" s="1"/>
    </row>
    <row r="1022" spans="1:12" ht="15" x14ac:dyDescent="0.25">
      <c r="A1022" s="1" t="s">
        <v>7</v>
      </c>
      <c r="B1022" s="1"/>
    </row>
    <row r="1023" spans="1:12" ht="15" customHeight="1" x14ac:dyDescent="0.25">
      <c r="A1023" s="1"/>
      <c r="B1023" s="1"/>
    </row>
    <row r="1024" spans="1:12" ht="18" customHeight="1" x14ac:dyDescent="0.25">
      <c r="A1024" s="1" t="s">
        <v>8</v>
      </c>
      <c r="C1024" s="9" t="s">
        <v>1</v>
      </c>
      <c r="D1024" s="92" t="s">
        <v>96</v>
      </c>
      <c r="E1024" s="76"/>
      <c r="F1024" s="76"/>
      <c r="G1024" s="76"/>
      <c r="H1024" s="76"/>
    </row>
    <row r="1025" spans="1:12" ht="15" x14ac:dyDescent="0.25">
      <c r="A1025" s="1" t="s">
        <v>9</v>
      </c>
      <c r="C1025" s="9" t="s">
        <v>1</v>
      </c>
      <c r="D1025" s="57" t="s">
        <v>200</v>
      </c>
      <c r="E1025" s="76"/>
      <c r="F1025" s="76"/>
      <c r="G1025" s="76"/>
      <c r="H1025" s="76"/>
    </row>
    <row r="1026" spans="1:12" ht="15" x14ac:dyDescent="0.2">
      <c r="A1026" s="50" t="s">
        <v>10</v>
      </c>
      <c r="B1026" s="76"/>
      <c r="C1026" s="91" t="s">
        <v>1</v>
      </c>
      <c r="D1026" s="50" t="s">
        <v>203</v>
      </c>
      <c r="E1026" s="76"/>
      <c r="F1026" s="76"/>
      <c r="G1026" s="76"/>
      <c r="H1026" s="76"/>
      <c r="I1026" s="76"/>
      <c r="J1026" s="76"/>
      <c r="K1026" s="76"/>
      <c r="L1026" s="76"/>
    </row>
    <row r="1027" spans="1:12" ht="15" x14ac:dyDescent="0.25">
      <c r="A1027" s="1"/>
      <c r="B1027" s="1"/>
      <c r="D1027" s="1"/>
    </row>
    <row r="1028" spans="1:12" ht="37.5" customHeight="1" x14ac:dyDescent="0.2">
      <c r="A1028" s="277" t="s">
        <v>345</v>
      </c>
      <c r="B1028" s="277"/>
      <c r="C1028" s="277"/>
      <c r="D1028" s="277"/>
      <c r="E1028" s="277"/>
      <c r="F1028" s="277"/>
      <c r="G1028" s="277"/>
      <c r="H1028" s="277"/>
      <c r="I1028" s="277"/>
      <c r="J1028" s="277"/>
      <c r="K1028" s="277"/>
      <c r="L1028" s="277"/>
    </row>
    <row r="1029" spans="1:12" ht="6.75" customHeight="1" x14ac:dyDescent="0.25">
      <c r="A1029" s="1"/>
      <c r="B1029" s="1"/>
    </row>
    <row r="1030" spans="1:12" ht="34.5" customHeight="1" thickBot="1" x14ac:dyDescent="0.25">
      <c r="A1030" s="10" t="s">
        <v>0</v>
      </c>
      <c r="B1030" s="278" t="s">
        <v>91</v>
      </c>
      <c r="C1030" s="278"/>
      <c r="D1030" s="278"/>
      <c r="E1030" s="278"/>
      <c r="F1030" s="278"/>
      <c r="G1030" s="278"/>
      <c r="H1030" s="278"/>
      <c r="I1030" s="278"/>
      <c r="J1030" s="278"/>
      <c r="K1030" s="278"/>
      <c r="L1030" s="278"/>
    </row>
    <row r="1031" spans="1:12" ht="15.75" thickTop="1" x14ac:dyDescent="0.25">
      <c r="A1031" s="1"/>
      <c r="B1031" s="11" t="s">
        <v>3</v>
      </c>
      <c r="C1031" s="12" t="s">
        <v>4</v>
      </c>
      <c r="D1031" s="13"/>
      <c r="E1031" s="13"/>
      <c r="F1031" s="13"/>
      <c r="G1031" s="13"/>
      <c r="H1031" s="14"/>
      <c r="I1031" s="15" t="s">
        <v>5</v>
      </c>
      <c r="J1031" s="12" t="s">
        <v>17</v>
      </c>
      <c r="K1031" s="13"/>
      <c r="L1031" s="14"/>
    </row>
    <row r="1032" spans="1:12" ht="24" customHeight="1" x14ac:dyDescent="0.2">
      <c r="A1032" s="76"/>
      <c r="B1032" s="149">
        <v>1</v>
      </c>
      <c r="C1032" s="284" t="s">
        <v>303</v>
      </c>
      <c r="D1032" s="285"/>
      <c r="E1032" s="285"/>
      <c r="F1032" s="285"/>
      <c r="G1032" s="76"/>
      <c r="H1032" s="79"/>
      <c r="I1032" s="80">
        <v>250000</v>
      </c>
      <c r="J1032" s="76"/>
      <c r="K1032" s="76"/>
      <c r="L1032" s="79"/>
    </row>
    <row r="1033" spans="1:12" ht="12.75" x14ac:dyDescent="0.2">
      <c r="B1033" s="142">
        <v>2</v>
      </c>
      <c r="C1033" s="140" t="s">
        <v>238</v>
      </c>
      <c r="D1033" s="76"/>
      <c r="E1033" s="150">
        <v>622000</v>
      </c>
      <c r="F1033" s="316" t="s">
        <v>239</v>
      </c>
      <c r="G1033" s="314"/>
      <c r="H1033" s="315"/>
      <c r="I1033" s="80">
        <f>E1033*30/100*2</f>
        <v>373200</v>
      </c>
      <c r="J1033" s="76" t="s">
        <v>281</v>
      </c>
      <c r="K1033" s="76"/>
      <c r="L1033" s="79"/>
    </row>
    <row r="1034" spans="1:12" ht="30" customHeight="1" x14ac:dyDescent="0.2">
      <c r="B1034" s="96"/>
      <c r="C1034" s="124"/>
      <c r="D1034" s="124"/>
      <c r="E1034" s="127"/>
      <c r="F1034" s="125"/>
      <c r="G1034" s="124"/>
      <c r="H1034" s="124"/>
      <c r="I1034" s="56"/>
      <c r="J1034" s="76"/>
      <c r="K1034" s="76"/>
      <c r="L1034" s="79"/>
    </row>
    <row r="1035" spans="1:12" ht="14.25" customHeight="1" x14ac:dyDescent="0.25">
      <c r="A1035" s="1"/>
      <c r="B1035" s="39"/>
      <c r="C1035" s="1"/>
      <c r="D1035" s="1"/>
      <c r="E1035" s="1"/>
      <c r="F1035" s="40" t="s">
        <v>5</v>
      </c>
      <c r="G1035" s="40"/>
      <c r="H1035" s="1"/>
      <c r="I1035" s="41">
        <f>SUM(I1032:I1033)</f>
        <v>623200</v>
      </c>
      <c r="J1035" s="1"/>
      <c r="K1035" s="1"/>
      <c r="L1035" s="42"/>
    </row>
    <row r="1036" spans="1:12" ht="15.75" customHeight="1" thickBot="1" x14ac:dyDescent="0.3">
      <c r="A1036" s="1"/>
      <c r="B1036" s="43"/>
      <c r="C1036" s="44"/>
      <c r="D1036" s="44"/>
      <c r="E1036" s="44"/>
      <c r="F1036" s="45"/>
      <c r="G1036" s="45"/>
      <c r="H1036" s="44"/>
      <c r="I1036" s="46"/>
      <c r="J1036" s="44"/>
      <c r="K1036" s="44"/>
      <c r="L1036" s="47"/>
    </row>
    <row r="1037" spans="1:12" ht="15" customHeight="1" thickTop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ht="44.25" customHeight="1" x14ac:dyDescent="0.2">
      <c r="A1038" s="10" t="s">
        <v>2</v>
      </c>
      <c r="B1038" s="279" t="s">
        <v>11</v>
      </c>
      <c r="C1038" s="279"/>
      <c r="D1038" s="279"/>
      <c r="E1038" s="279"/>
      <c r="F1038" s="279"/>
      <c r="G1038" s="279"/>
      <c r="H1038" s="279"/>
      <c r="I1038" s="279"/>
      <c r="J1038" s="279"/>
      <c r="K1038" s="279"/>
      <c r="L1038" s="279"/>
    </row>
    <row r="1039" spans="1:12" ht="14.25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ht="18.75" customHeight="1" x14ac:dyDescent="0.2">
      <c r="A1040" s="280" t="s">
        <v>12</v>
      </c>
      <c r="B1040" s="280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</row>
    <row r="1041" spans="1:12" ht="21.75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ht="1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ht="15" x14ac:dyDescent="0.25">
      <c r="A1043" s="1"/>
      <c r="B1043" s="1"/>
      <c r="C1043" s="1"/>
      <c r="D1043" s="1"/>
      <c r="E1043" s="1"/>
      <c r="F1043" s="1"/>
      <c r="G1043" s="1"/>
      <c r="H1043" s="4" t="s">
        <v>199</v>
      </c>
      <c r="J1043" s="286" t="s">
        <v>335</v>
      </c>
      <c r="K1043" s="286"/>
      <c r="L1043" s="286"/>
    </row>
    <row r="1044" spans="1:12" ht="11.25" customHeight="1" x14ac:dyDescent="0.25">
      <c r="A1044" s="1"/>
      <c r="B1044" s="1" t="s">
        <v>15</v>
      </c>
      <c r="C1044" s="1"/>
      <c r="D1044" s="1"/>
      <c r="E1044" s="1"/>
      <c r="F1044" s="1"/>
      <c r="G1044" s="1"/>
      <c r="H1044" s="4" t="s">
        <v>13</v>
      </c>
    </row>
    <row r="1045" spans="1:12" ht="15" x14ac:dyDescent="0.25">
      <c r="A1045" s="1"/>
      <c r="B1045" s="1" t="s">
        <v>18</v>
      </c>
      <c r="C1045" s="1"/>
      <c r="D1045" s="1"/>
      <c r="E1045" s="1"/>
      <c r="F1045" s="1"/>
      <c r="G1045" s="1"/>
      <c r="H1045" s="4" t="s">
        <v>14</v>
      </c>
    </row>
    <row r="1046" spans="1:12" ht="1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ht="16.5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ht="3" customHeight="1" x14ac:dyDescent="0.25">
      <c r="A1048" s="1"/>
      <c r="B1048" s="103"/>
      <c r="C1048" s="103"/>
      <c r="D1048" s="103"/>
      <c r="E1048" s="103"/>
      <c r="F1048" s="103"/>
      <c r="G1048" s="103"/>
      <c r="H1048" s="103"/>
      <c r="I1048" s="103"/>
      <c r="J1048" s="103"/>
      <c r="K1048" s="103"/>
      <c r="L1048" s="1"/>
    </row>
    <row r="1049" spans="1:12" ht="15" customHeight="1" x14ac:dyDescent="0.25">
      <c r="A1049" s="1"/>
      <c r="K1049" s="103"/>
      <c r="L1049" s="1"/>
    </row>
    <row r="1050" spans="1:12" ht="17.25" customHeight="1" x14ac:dyDescent="0.25">
      <c r="A1050" s="1"/>
      <c r="B1050" s="95" t="s">
        <v>77</v>
      </c>
      <c r="H1050" s="95" t="s">
        <v>96</v>
      </c>
      <c r="I1050" s="95"/>
      <c r="J1050" s="92"/>
      <c r="K1050" s="103"/>
      <c r="L1050" s="1"/>
    </row>
    <row r="1051" spans="1:12" ht="17.25" customHeight="1" x14ac:dyDescent="0.25">
      <c r="A1051" s="1"/>
      <c r="B1051" s="99" t="s">
        <v>27</v>
      </c>
      <c r="C1051" s="57"/>
      <c r="H1051" s="99" t="s">
        <v>100</v>
      </c>
      <c r="K1051" s="103"/>
    </row>
    <row r="1052" spans="1:12" ht="15.75" customHeight="1" x14ac:dyDescent="0.2"/>
    <row r="1053" spans="1:12" ht="16.5" customHeight="1" x14ac:dyDescent="0.2"/>
    <row r="1054" spans="1:12" ht="15.75" customHeight="1" x14ac:dyDescent="0.2"/>
    <row r="1055" spans="1:12" ht="9.75" customHeight="1" x14ac:dyDescent="0.2"/>
    <row r="1056" spans="1:12" ht="12.75" x14ac:dyDescent="0.2"/>
    <row r="1057" spans="1:12" ht="37.5" customHeight="1" x14ac:dyDescent="0.25">
      <c r="A1057" s="3" t="s">
        <v>22</v>
      </c>
    </row>
    <row r="1058" spans="1:12" ht="13.5" customHeight="1" x14ac:dyDescent="0.2">
      <c r="A1058" s="122" t="s">
        <v>20</v>
      </c>
    </row>
    <row r="1059" spans="1:12" s="120" customFormat="1" ht="20.25" customHeight="1" x14ac:dyDescent="0.2">
      <c r="A1059" s="122" t="s">
        <v>21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</row>
    <row r="1060" spans="1:12" ht="13.5" customHeight="1" x14ac:dyDescent="0.2"/>
    <row r="1061" spans="1:12" ht="12.75" x14ac:dyDescent="0.2"/>
    <row r="1062" spans="1:12" ht="12.75" x14ac:dyDescent="0.2"/>
    <row r="1063" spans="1:12" ht="18" customHeight="1" x14ac:dyDescent="0.3">
      <c r="A1063" s="276" t="s">
        <v>6</v>
      </c>
      <c r="B1063" s="276"/>
      <c r="C1063" s="276"/>
      <c r="D1063" s="276"/>
      <c r="E1063" s="276"/>
      <c r="F1063" s="276"/>
      <c r="G1063" s="276"/>
      <c r="H1063" s="276"/>
      <c r="I1063" s="276"/>
      <c r="J1063" s="276"/>
      <c r="K1063" s="276"/>
      <c r="L1063" s="276"/>
    </row>
    <row r="1064" spans="1:12" ht="6.75" customHeight="1" x14ac:dyDescent="0.3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</row>
    <row r="1065" spans="1:12" ht="23.25" customHeight="1" x14ac:dyDescent="0.3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</row>
    <row r="1066" spans="1:12" ht="4.5" customHeight="1" x14ac:dyDescent="0.25">
      <c r="A1066" s="1"/>
      <c r="B1066" s="1"/>
    </row>
    <row r="1067" spans="1:12" ht="23.25" hidden="1" customHeight="1" x14ac:dyDescent="0.25">
      <c r="A1067" s="1" t="s">
        <v>7</v>
      </c>
      <c r="B1067" s="1"/>
    </row>
    <row r="1068" spans="1:12" ht="17.25" customHeight="1" x14ac:dyDescent="0.25">
      <c r="A1068" s="1"/>
      <c r="B1068" s="1"/>
    </row>
    <row r="1069" spans="1:12" ht="12.75" customHeight="1" x14ac:dyDescent="0.25">
      <c r="A1069" s="1" t="s">
        <v>8</v>
      </c>
      <c r="C1069" s="9" t="s">
        <v>1</v>
      </c>
      <c r="D1069" s="92" t="s">
        <v>77</v>
      </c>
      <c r="E1069" s="76"/>
      <c r="F1069" s="76"/>
      <c r="G1069" s="76"/>
      <c r="H1069" s="76"/>
    </row>
    <row r="1070" spans="1:12" ht="20.25" customHeight="1" x14ac:dyDescent="0.25">
      <c r="A1070" s="1" t="s">
        <v>9</v>
      </c>
      <c r="C1070" s="9" t="s">
        <v>1</v>
      </c>
      <c r="D1070" s="57" t="s">
        <v>201</v>
      </c>
      <c r="E1070" s="76"/>
      <c r="F1070" s="76"/>
      <c r="G1070" s="76"/>
      <c r="H1070" s="76"/>
    </row>
    <row r="1071" spans="1:12" ht="12" customHeight="1" x14ac:dyDescent="0.2">
      <c r="A1071" s="50" t="s">
        <v>10</v>
      </c>
      <c r="B1071" s="76"/>
      <c r="C1071" s="91" t="s">
        <v>1</v>
      </c>
      <c r="D1071" s="50" t="s">
        <v>265</v>
      </c>
      <c r="E1071" s="76"/>
      <c r="F1071" s="76"/>
      <c r="G1071" s="76"/>
      <c r="H1071" s="76"/>
      <c r="I1071" s="76"/>
      <c r="J1071" s="76"/>
      <c r="K1071" s="76"/>
      <c r="L1071" s="76"/>
    </row>
    <row r="1072" spans="1:12" ht="15" x14ac:dyDescent="0.25">
      <c r="A1072" s="1"/>
      <c r="B1072" s="1"/>
      <c r="D1072" s="1"/>
    </row>
    <row r="1073" spans="1:12" ht="34.5" customHeight="1" x14ac:dyDescent="0.2">
      <c r="A1073" s="277" t="s">
        <v>345</v>
      </c>
      <c r="B1073" s="277"/>
      <c r="C1073" s="277"/>
      <c r="D1073" s="277"/>
      <c r="E1073" s="277"/>
      <c r="F1073" s="277"/>
      <c r="G1073" s="277"/>
      <c r="H1073" s="277"/>
      <c r="I1073" s="277"/>
      <c r="J1073" s="277"/>
      <c r="K1073" s="277"/>
      <c r="L1073" s="277"/>
    </row>
    <row r="1074" spans="1:12" ht="15" x14ac:dyDescent="0.25">
      <c r="A1074" s="1"/>
      <c r="B1074" s="1"/>
    </row>
    <row r="1075" spans="1:12" ht="33" customHeight="1" thickBot="1" x14ac:dyDescent="0.25">
      <c r="A1075" s="10" t="s">
        <v>0</v>
      </c>
      <c r="B1075" s="278" t="s">
        <v>91</v>
      </c>
      <c r="C1075" s="278"/>
      <c r="D1075" s="278"/>
      <c r="E1075" s="278"/>
      <c r="F1075" s="278"/>
      <c r="G1075" s="278"/>
      <c r="H1075" s="278"/>
      <c r="I1075" s="278"/>
      <c r="J1075" s="278"/>
      <c r="K1075" s="278"/>
      <c r="L1075" s="278"/>
    </row>
    <row r="1076" spans="1:12" ht="24" customHeight="1" thickTop="1" x14ac:dyDescent="0.25">
      <c r="A1076" s="1"/>
      <c r="B1076" s="11" t="s">
        <v>3</v>
      </c>
      <c r="C1076" s="12" t="s">
        <v>4</v>
      </c>
      <c r="D1076" s="13"/>
      <c r="E1076" s="13"/>
      <c r="F1076" s="13"/>
      <c r="G1076" s="13"/>
      <c r="H1076" s="14"/>
      <c r="I1076" s="15" t="s">
        <v>5</v>
      </c>
      <c r="J1076" s="12" t="s">
        <v>17</v>
      </c>
      <c r="K1076" s="13"/>
      <c r="L1076" s="14"/>
    </row>
    <row r="1077" spans="1:12" ht="35.25" customHeight="1" x14ac:dyDescent="0.2">
      <c r="A1077" s="50"/>
      <c r="B1077" s="143">
        <v>1</v>
      </c>
      <c r="C1077" s="284" t="s">
        <v>303</v>
      </c>
      <c r="D1077" s="285"/>
      <c r="E1077" s="285"/>
      <c r="F1077" s="285"/>
      <c r="G1077" s="76"/>
      <c r="H1077" s="79"/>
      <c r="I1077" s="56">
        <v>250000</v>
      </c>
      <c r="J1077" s="76"/>
      <c r="K1077" s="76"/>
      <c r="L1077" s="79"/>
    </row>
    <row r="1078" spans="1:12" ht="15" x14ac:dyDescent="0.25">
      <c r="A1078" s="50"/>
      <c r="B1078" s="96">
        <v>2</v>
      </c>
      <c r="C1078" s="321" t="s">
        <v>238</v>
      </c>
      <c r="D1078" s="297"/>
      <c r="E1078" s="150">
        <v>1957000</v>
      </c>
      <c r="F1078" s="319" t="s">
        <v>239</v>
      </c>
      <c r="G1078" s="297"/>
      <c r="H1078" s="320"/>
      <c r="I1078" s="56">
        <f>E1078*30/100*2</f>
        <v>1174200</v>
      </c>
      <c r="J1078" s="50" t="s">
        <v>281</v>
      </c>
      <c r="K1078" s="1"/>
      <c r="L1078" s="17"/>
    </row>
    <row r="1079" spans="1:12" ht="21" customHeight="1" x14ac:dyDescent="0.25">
      <c r="A1079" s="50"/>
      <c r="B1079" s="96"/>
      <c r="C1079" s="124"/>
      <c r="D1079" s="124"/>
      <c r="E1079" s="127"/>
      <c r="F1079" s="125"/>
      <c r="G1079" s="124"/>
      <c r="H1079" s="124"/>
      <c r="I1079" s="56"/>
      <c r="J1079" s="50"/>
      <c r="K1079" s="1"/>
      <c r="L1079" s="17"/>
    </row>
    <row r="1080" spans="1:12" ht="20.25" customHeight="1" x14ac:dyDescent="0.25">
      <c r="A1080" s="1"/>
      <c r="B1080" s="39"/>
      <c r="C1080" s="1"/>
      <c r="D1080" s="1"/>
      <c r="E1080" s="1"/>
      <c r="F1080" s="40" t="s">
        <v>5</v>
      </c>
      <c r="G1080" s="40"/>
      <c r="H1080" s="1"/>
      <c r="I1080" s="41">
        <f>SUM(I1077:I1078)</f>
        <v>1424200</v>
      </c>
      <c r="J1080" s="1"/>
      <c r="K1080" s="1"/>
      <c r="L1080" s="42"/>
    </row>
    <row r="1081" spans="1:12" ht="15.75" thickBot="1" x14ac:dyDescent="0.3">
      <c r="A1081" s="1"/>
      <c r="B1081" s="43"/>
      <c r="C1081" s="44"/>
      <c r="D1081" s="44"/>
      <c r="E1081" s="44"/>
      <c r="F1081" s="45"/>
      <c r="G1081" s="45"/>
      <c r="H1081" s="44"/>
      <c r="I1081" s="46"/>
      <c r="J1081" s="44"/>
      <c r="K1081" s="44"/>
      <c r="L1081" s="47"/>
    </row>
    <row r="1082" spans="1:12" ht="15.75" thickTop="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ht="48" customHeight="1" x14ac:dyDescent="0.2">
      <c r="A1083" s="10" t="s">
        <v>2</v>
      </c>
      <c r="B1083" s="279" t="s">
        <v>11</v>
      </c>
      <c r="C1083" s="279"/>
      <c r="D1083" s="279"/>
      <c r="E1083" s="279"/>
      <c r="F1083" s="279"/>
      <c r="G1083" s="279"/>
      <c r="H1083" s="279"/>
      <c r="I1083" s="279"/>
      <c r="J1083" s="279"/>
      <c r="K1083" s="279"/>
      <c r="L1083" s="279"/>
    </row>
    <row r="1084" spans="1:12" ht="12" customHeight="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ht="19.5" customHeight="1" x14ac:dyDescent="0.2">
      <c r="A1085" s="280" t="s">
        <v>12</v>
      </c>
      <c r="B1085" s="280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</row>
    <row r="1086" spans="1:12" ht="1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ht="21" customHeight="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ht="15" x14ac:dyDescent="0.25">
      <c r="A1088" s="1"/>
      <c r="B1088" s="1"/>
      <c r="C1088" s="1"/>
      <c r="D1088" s="1"/>
      <c r="E1088" s="1"/>
      <c r="F1088" s="1"/>
      <c r="G1088" s="1"/>
      <c r="H1088" s="4" t="s">
        <v>199</v>
      </c>
      <c r="J1088" s="286" t="s">
        <v>335</v>
      </c>
      <c r="K1088" s="286"/>
      <c r="L1088" s="286"/>
    </row>
    <row r="1089" spans="1:12" ht="20.25" customHeight="1" x14ac:dyDescent="0.25">
      <c r="A1089" s="1"/>
      <c r="B1089" s="1" t="s">
        <v>15</v>
      </c>
      <c r="C1089" s="1"/>
      <c r="D1089" s="1"/>
      <c r="E1089" s="1"/>
      <c r="F1089" s="1"/>
      <c r="G1089" s="1"/>
      <c r="H1089" s="4" t="s">
        <v>13</v>
      </c>
    </row>
    <row r="1090" spans="1:12" ht="14.25" customHeight="1" x14ac:dyDescent="0.25">
      <c r="A1090" s="1"/>
      <c r="B1090" s="1" t="s">
        <v>18</v>
      </c>
      <c r="C1090" s="1"/>
      <c r="D1090" s="1"/>
      <c r="E1090" s="1"/>
      <c r="F1090" s="1"/>
      <c r="G1090" s="1"/>
      <c r="H1090" s="4" t="s">
        <v>14</v>
      </c>
    </row>
    <row r="1091" spans="1:12" ht="15.75" customHeight="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ht="1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ht="15" hidden="1" x14ac:dyDescent="0.25">
      <c r="A1093" s="1"/>
      <c r="B1093" s="103"/>
      <c r="C1093" s="103"/>
      <c r="D1093" s="103"/>
      <c r="E1093" s="103"/>
      <c r="F1093" s="103"/>
      <c r="G1093" s="103"/>
      <c r="H1093" s="103"/>
      <c r="I1093" s="103"/>
      <c r="J1093" s="103"/>
      <c r="K1093" s="103"/>
      <c r="L1093" s="1"/>
    </row>
    <row r="1094" spans="1:12" ht="15" x14ac:dyDescent="0.25">
      <c r="A1094" s="1"/>
      <c r="K1094" s="103"/>
      <c r="L1094" s="1"/>
    </row>
    <row r="1095" spans="1:12" ht="15" x14ac:dyDescent="0.25">
      <c r="A1095" s="1"/>
      <c r="B1095" s="95" t="s">
        <v>77</v>
      </c>
      <c r="H1095" s="95" t="s">
        <v>77</v>
      </c>
      <c r="I1095" s="95"/>
      <c r="J1095" s="92"/>
      <c r="K1095" s="103"/>
      <c r="L1095" s="1"/>
    </row>
    <row r="1096" spans="1:12" ht="15" x14ac:dyDescent="0.25">
      <c r="A1096" s="1"/>
      <c r="B1096" s="99" t="s">
        <v>27</v>
      </c>
      <c r="C1096" s="57"/>
      <c r="H1096" s="99" t="s">
        <v>27</v>
      </c>
      <c r="K1096" s="103"/>
    </row>
    <row r="1097" spans="1:12" ht="21" customHeight="1" x14ac:dyDescent="0.2"/>
    <row r="1098" spans="1:12" ht="12.75" x14ac:dyDescent="0.2"/>
    <row r="1099" spans="1:12" ht="15" customHeight="1" x14ac:dyDescent="0.2"/>
    <row r="1100" spans="1:12" ht="6.75" customHeight="1" x14ac:dyDescent="0.2"/>
    <row r="1101" spans="1:12" ht="30" customHeight="1" x14ac:dyDescent="0.2"/>
    <row r="1102" spans="1:12" ht="19.5" customHeight="1" x14ac:dyDescent="0.2"/>
    <row r="1103" spans="1:12" ht="33.75" customHeight="1" x14ac:dyDescent="0.25">
      <c r="A1103" s="3" t="s">
        <v>22</v>
      </c>
    </row>
    <row r="1104" spans="1:12" ht="19.5" customHeight="1" x14ac:dyDescent="0.2">
      <c r="A1104" s="122" t="s">
        <v>20</v>
      </c>
    </row>
    <row r="1105" spans="1:12" ht="27" customHeight="1" x14ac:dyDescent="0.2">
      <c r="A1105" s="122" t="s">
        <v>21</v>
      </c>
    </row>
    <row r="1106" spans="1:12" ht="12.75" x14ac:dyDescent="0.2"/>
    <row r="1107" spans="1:12" ht="20.25" customHeight="1" x14ac:dyDescent="0.2"/>
    <row r="1108" spans="1:12" ht="31.5" hidden="1" customHeight="1" x14ac:dyDescent="0.2"/>
    <row r="1109" spans="1:12" ht="15.75" customHeight="1" x14ac:dyDescent="0.3">
      <c r="A1109" s="276" t="s">
        <v>6</v>
      </c>
      <c r="B1109" s="276"/>
      <c r="C1109" s="276"/>
      <c r="D1109" s="276"/>
      <c r="E1109" s="276"/>
      <c r="F1109" s="276"/>
      <c r="G1109" s="276"/>
      <c r="H1109" s="276"/>
      <c r="I1109" s="276"/>
      <c r="J1109" s="276"/>
      <c r="K1109" s="276"/>
      <c r="L1109" s="276"/>
    </row>
    <row r="1110" spans="1:12" ht="11.25" customHeight="1" x14ac:dyDescent="0.3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</row>
    <row r="1111" spans="1:12" ht="10.5" customHeight="1" x14ac:dyDescent="0.3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</row>
    <row r="1112" spans="1:12" ht="11.25" customHeight="1" x14ac:dyDescent="0.25">
      <c r="A1112" s="1"/>
      <c r="B1112" s="1"/>
    </row>
    <row r="1113" spans="1:12" ht="16.5" customHeight="1" x14ac:dyDescent="0.25">
      <c r="A1113" s="1" t="s">
        <v>7</v>
      </c>
      <c r="B1113" s="1"/>
    </row>
    <row r="1114" spans="1:12" ht="12" customHeight="1" x14ac:dyDescent="0.25">
      <c r="A1114" s="1"/>
      <c r="B1114" s="1"/>
    </row>
    <row r="1115" spans="1:12" ht="15" customHeight="1" x14ac:dyDescent="0.25">
      <c r="A1115" s="1" t="s">
        <v>8</v>
      </c>
      <c r="C1115" s="9" t="s">
        <v>1</v>
      </c>
      <c r="D1115" s="126" t="s">
        <v>64</v>
      </c>
      <c r="E1115" s="76"/>
      <c r="F1115" s="76"/>
      <c r="G1115" s="76"/>
      <c r="H1115" s="76"/>
    </row>
    <row r="1116" spans="1:12" ht="15" customHeight="1" x14ac:dyDescent="0.25">
      <c r="A1116" s="1" t="s">
        <v>9</v>
      </c>
      <c r="C1116" s="9" t="s">
        <v>1</v>
      </c>
      <c r="D1116" s="119" t="s">
        <v>236</v>
      </c>
      <c r="E1116" s="76"/>
      <c r="F1116" s="76"/>
      <c r="G1116" s="76"/>
      <c r="H1116" s="76"/>
    </row>
    <row r="1117" spans="1:12" ht="15" x14ac:dyDescent="0.2">
      <c r="A1117" s="50" t="s">
        <v>10</v>
      </c>
      <c r="B1117" s="76"/>
      <c r="C1117" s="91" t="s">
        <v>1</v>
      </c>
      <c r="D1117" s="124" t="s">
        <v>235</v>
      </c>
      <c r="E1117" s="76"/>
      <c r="F1117" s="76"/>
      <c r="G1117" s="76"/>
      <c r="H1117" s="76"/>
      <c r="I1117" s="76"/>
      <c r="J1117" s="76"/>
      <c r="K1117" s="76"/>
      <c r="L1117" s="76"/>
    </row>
    <row r="1118" spans="1:12" ht="18" customHeight="1" x14ac:dyDescent="0.25">
      <c r="A1118" s="1"/>
      <c r="B1118" s="1"/>
      <c r="D1118" s="1"/>
    </row>
    <row r="1119" spans="1:12" ht="33.75" customHeight="1" x14ac:dyDescent="0.2">
      <c r="A1119" s="277" t="s">
        <v>345</v>
      </c>
      <c r="B1119" s="277"/>
      <c r="C1119" s="277"/>
      <c r="D1119" s="277"/>
      <c r="E1119" s="277"/>
      <c r="F1119" s="277"/>
      <c r="G1119" s="277"/>
      <c r="H1119" s="277"/>
      <c r="I1119" s="277"/>
      <c r="J1119" s="277"/>
      <c r="K1119" s="277"/>
      <c r="L1119" s="277"/>
    </row>
    <row r="1120" spans="1:12" ht="12.75" customHeight="1" x14ac:dyDescent="0.25">
      <c r="A1120" s="1"/>
      <c r="B1120" s="1"/>
    </row>
    <row r="1121" spans="1:12" ht="33" customHeight="1" thickBot="1" x14ac:dyDescent="0.25">
      <c r="A1121" s="10" t="s">
        <v>0</v>
      </c>
      <c r="B1121" s="278" t="s">
        <v>91</v>
      </c>
      <c r="C1121" s="278"/>
      <c r="D1121" s="278"/>
      <c r="E1121" s="278"/>
      <c r="F1121" s="278"/>
      <c r="G1121" s="278"/>
      <c r="H1121" s="278"/>
      <c r="I1121" s="278"/>
      <c r="J1121" s="278"/>
      <c r="K1121" s="278"/>
      <c r="L1121" s="278"/>
    </row>
    <row r="1122" spans="1:12" ht="21" customHeight="1" thickTop="1" x14ac:dyDescent="0.25">
      <c r="A1122" s="1"/>
      <c r="B1122" s="11" t="s">
        <v>3</v>
      </c>
      <c r="C1122" s="12" t="s">
        <v>4</v>
      </c>
      <c r="D1122" s="13"/>
      <c r="E1122" s="13"/>
      <c r="F1122" s="13"/>
      <c r="G1122" s="13"/>
      <c r="H1122" s="14"/>
      <c r="I1122" s="15" t="s">
        <v>5</v>
      </c>
      <c r="J1122" s="12" t="s">
        <v>17</v>
      </c>
      <c r="K1122" s="13"/>
      <c r="L1122" s="14"/>
    </row>
    <row r="1123" spans="1:12" ht="24" customHeight="1" x14ac:dyDescent="0.2">
      <c r="A1123" s="76"/>
      <c r="B1123" s="149">
        <v>1</v>
      </c>
      <c r="C1123" s="284" t="s">
        <v>303</v>
      </c>
      <c r="D1123" s="285"/>
      <c r="E1123" s="285"/>
      <c r="F1123" s="285"/>
      <c r="G1123" s="76"/>
      <c r="H1123" s="79"/>
      <c r="I1123" s="80">
        <v>250000</v>
      </c>
      <c r="J1123" s="76"/>
      <c r="K1123" s="76"/>
      <c r="L1123" s="79"/>
    </row>
    <row r="1124" spans="1:12" ht="18.75" customHeight="1" x14ac:dyDescent="0.2">
      <c r="B1124" s="142">
        <v>2</v>
      </c>
      <c r="C1124" s="140" t="s">
        <v>238</v>
      </c>
      <c r="D1124" s="76"/>
      <c r="E1124" s="150">
        <v>622000</v>
      </c>
      <c r="F1124" s="316" t="s">
        <v>239</v>
      </c>
      <c r="G1124" s="314"/>
      <c r="H1124" s="315"/>
      <c r="I1124" s="80">
        <f>E1124*30/100*2</f>
        <v>373200</v>
      </c>
      <c r="J1124" s="76" t="s">
        <v>281</v>
      </c>
      <c r="K1124" s="76"/>
      <c r="L1124" s="79"/>
    </row>
    <row r="1125" spans="1:12" ht="20.25" customHeight="1" x14ac:dyDescent="0.2">
      <c r="B1125" s="142"/>
      <c r="C1125" s="76"/>
      <c r="D1125" s="76"/>
      <c r="E1125" s="150"/>
      <c r="F1125" s="157"/>
      <c r="G1125" s="119"/>
      <c r="H1125" s="119"/>
      <c r="I1125" s="80"/>
      <c r="J1125" s="76"/>
      <c r="K1125" s="76"/>
      <c r="L1125" s="79"/>
    </row>
    <row r="1126" spans="1:12" ht="15" customHeight="1" x14ac:dyDescent="0.25">
      <c r="A1126" s="1"/>
      <c r="B1126" s="39"/>
      <c r="C1126" s="1"/>
      <c r="D1126" s="1"/>
      <c r="E1126" s="1"/>
      <c r="F1126" s="40" t="s">
        <v>5</v>
      </c>
      <c r="G1126" s="40"/>
      <c r="H1126" s="1"/>
      <c r="I1126" s="41">
        <f>SUM(I1123:I1124)</f>
        <v>623200</v>
      </c>
      <c r="J1126" s="1"/>
      <c r="K1126" s="1"/>
      <c r="L1126" s="42"/>
    </row>
    <row r="1127" spans="1:12" ht="10.5" customHeight="1" thickBot="1" x14ac:dyDescent="0.3">
      <c r="A1127" s="1"/>
      <c r="B1127" s="43"/>
      <c r="C1127" s="44"/>
      <c r="D1127" s="44"/>
      <c r="E1127" s="44"/>
      <c r="F1127" s="45"/>
      <c r="G1127" s="45"/>
      <c r="H1127" s="44"/>
      <c r="I1127" s="46"/>
      <c r="J1127" s="44"/>
      <c r="K1127" s="44"/>
      <c r="L1127" s="47"/>
    </row>
    <row r="1128" spans="1:12" ht="15" customHeight="1" thickTop="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 ht="44.25" customHeight="1" x14ac:dyDescent="0.2">
      <c r="A1129" s="10" t="s">
        <v>2</v>
      </c>
      <c r="B1129" s="279" t="s">
        <v>11</v>
      </c>
      <c r="C1129" s="279"/>
      <c r="D1129" s="279"/>
      <c r="E1129" s="279"/>
      <c r="F1129" s="279"/>
      <c r="G1129" s="279"/>
      <c r="H1129" s="279"/>
      <c r="I1129" s="279"/>
      <c r="J1129" s="279"/>
      <c r="K1129" s="279"/>
      <c r="L1129" s="279"/>
    </row>
    <row r="1130" spans="1:12" ht="11.25" customHeight="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 ht="15" x14ac:dyDescent="0.2">
      <c r="A1131" s="280" t="s">
        <v>12</v>
      </c>
      <c r="B1131" s="280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</row>
    <row r="1132" spans="1:12" ht="15.75" customHeight="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 ht="3.75" customHeight="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 ht="15" x14ac:dyDescent="0.25">
      <c r="A1134" s="1"/>
      <c r="B1134" s="1"/>
      <c r="C1134" s="1"/>
      <c r="D1134" s="1"/>
      <c r="E1134" s="1"/>
      <c r="F1134" s="1"/>
      <c r="G1134" s="1"/>
      <c r="H1134" s="4" t="s">
        <v>199</v>
      </c>
      <c r="J1134" s="286" t="s">
        <v>335</v>
      </c>
      <c r="K1134" s="286"/>
      <c r="L1134" s="286"/>
    </row>
    <row r="1135" spans="1:12" ht="13.5" customHeight="1" x14ac:dyDescent="0.25">
      <c r="A1135" s="1"/>
      <c r="B1135" s="1" t="s">
        <v>15</v>
      </c>
      <c r="C1135" s="1"/>
      <c r="D1135" s="1"/>
      <c r="E1135" s="1"/>
      <c r="F1135" s="1"/>
      <c r="G1135" s="1"/>
      <c r="H1135" s="4" t="s">
        <v>13</v>
      </c>
    </row>
    <row r="1136" spans="1:12" ht="15" x14ac:dyDescent="0.25">
      <c r="A1136" s="1"/>
      <c r="B1136" s="1" t="s">
        <v>18</v>
      </c>
      <c r="C1136" s="1"/>
      <c r="D1136" s="1"/>
      <c r="E1136" s="1"/>
      <c r="F1136" s="1"/>
      <c r="G1136" s="1"/>
      <c r="H1136" s="4" t="s">
        <v>14</v>
      </c>
    </row>
    <row r="1137" spans="1:12" ht="18.75" customHeight="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 ht="15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 ht="11.25" customHeight="1" x14ac:dyDescent="0.25">
      <c r="A1139" s="1"/>
      <c r="B1139" s="103"/>
      <c r="C1139" s="103"/>
      <c r="D1139" s="103"/>
      <c r="E1139" s="103"/>
      <c r="F1139" s="103"/>
      <c r="G1139" s="103"/>
      <c r="H1139" s="103"/>
      <c r="I1139" s="103"/>
      <c r="J1139" s="103"/>
      <c r="K1139" s="103"/>
      <c r="L1139" s="1"/>
    </row>
    <row r="1140" spans="1:12" ht="0.75" hidden="1" customHeight="1" x14ac:dyDescent="0.25">
      <c r="A1140" s="1"/>
      <c r="K1140" s="103"/>
      <c r="L1140" s="1"/>
    </row>
    <row r="1141" spans="1:12" ht="29.25" customHeight="1" x14ac:dyDescent="0.25">
      <c r="A1141" s="1"/>
      <c r="B1141" s="95" t="s">
        <v>77</v>
      </c>
      <c r="H1141" s="95" t="s">
        <v>64</v>
      </c>
      <c r="I1141" s="95"/>
      <c r="J1141" s="92"/>
      <c r="K1141" s="103"/>
      <c r="L1141" s="1"/>
    </row>
    <row r="1142" spans="1:12" ht="18.75" customHeight="1" x14ac:dyDescent="0.25">
      <c r="A1142" s="1"/>
      <c r="B1142" s="99" t="s">
        <v>27</v>
      </c>
      <c r="C1142" s="57"/>
      <c r="H1142" s="99" t="s">
        <v>46</v>
      </c>
      <c r="K1142" s="103"/>
    </row>
    <row r="1143" spans="1:12" ht="34.5" customHeight="1" x14ac:dyDescent="0.2"/>
    <row r="1144" spans="1:12" ht="15" customHeight="1" x14ac:dyDescent="0.2"/>
    <row r="1145" spans="1:12" ht="21.75" customHeight="1" x14ac:dyDescent="0.2"/>
    <row r="1146" spans="1:12" ht="18" customHeight="1" x14ac:dyDescent="0.25">
      <c r="A1146" s="3" t="s">
        <v>22</v>
      </c>
    </row>
    <row r="1147" spans="1:12" ht="12.75" customHeight="1" x14ac:dyDescent="0.2">
      <c r="A1147" s="122" t="s">
        <v>20</v>
      </c>
    </row>
    <row r="1148" spans="1:12" ht="18.75" customHeight="1" x14ac:dyDescent="0.2">
      <c r="A1148" s="122" t="s">
        <v>21</v>
      </c>
    </row>
    <row r="1149" spans="1:12" ht="12.75" x14ac:dyDescent="0.2"/>
    <row r="1150" spans="1:12" ht="18" customHeight="1" x14ac:dyDescent="0.2"/>
    <row r="1151" spans="1:12" ht="9.75" customHeight="1" x14ac:dyDescent="0.2"/>
    <row r="1152" spans="1:12" ht="22.5" customHeight="1" x14ac:dyDescent="0.3">
      <c r="A1152" s="276" t="s">
        <v>6</v>
      </c>
      <c r="B1152" s="276"/>
      <c r="C1152" s="276"/>
      <c r="D1152" s="276"/>
      <c r="E1152" s="276"/>
      <c r="F1152" s="276"/>
      <c r="G1152" s="276"/>
      <c r="H1152" s="276"/>
      <c r="I1152" s="276"/>
      <c r="J1152" s="276"/>
      <c r="K1152" s="276"/>
      <c r="L1152" s="276"/>
    </row>
    <row r="1153" spans="1:12" ht="19.5" customHeight="1" x14ac:dyDescent="0.3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</row>
    <row r="1154" spans="1:12" ht="3.75" customHeight="1" x14ac:dyDescent="0.3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</row>
    <row r="1155" spans="1:12" ht="19.5" customHeight="1" x14ac:dyDescent="0.25">
      <c r="A1155" s="1"/>
      <c r="B1155" s="1"/>
    </row>
    <row r="1156" spans="1:12" ht="15" customHeight="1" x14ac:dyDescent="0.25">
      <c r="A1156" s="1" t="s">
        <v>7</v>
      </c>
      <c r="B1156" s="1"/>
    </row>
    <row r="1157" spans="1:12" ht="13.5" customHeight="1" x14ac:dyDescent="0.25">
      <c r="A1157" s="1"/>
      <c r="B1157" s="1"/>
    </row>
    <row r="1158" spans="1:12" ht="19.5" customHeight="1" x14ac:dyDescent="0.25">
      <c r="A1158" s="1" t="s">
        <v>8</v>
      </c>
      <c r="C1158" s="9" t="s">
        <v>1</v>
      </c>
      <c r="D1158" s="123" t="s">
        <v>78</v>
      </c>
      <c r="E1158" s="76"/>
      <c r="F1158" s="76"/>
      <c r="G1158" s="76"/>
      <c r="H1158" s="76"/>
    </row>
    <row r="1159" spans="1:12" ht="11.25" customHeight="1" x14ac:dyDescent="0.25">
      <c r="A1159" s="1" t="s">
        <v>9</v>
      </c>
      <c r="C1159" s="9" t="s">
        <v>1</v>
      </c>
      <c r="D1159" s="76" t="s">
        <v>234</v>
      </c>
      <c r="E1159" s="76"/>
      <c r="F1159" s="76"/>
      <c r="G1159" s="76"/>
      <c r="H1159" s="76"/>
    </row>
    <row r="1160" spans="1:12" ht="15" x14ac:dyDescent="0.2">
      <c r="A1160" s="50" t="s">
        <v>10</v>
      </c>
      <c r="B1160" s="76"/>
      <c r="C1160" s="91" t="s">
        <v>1</v>
      </c>
      <c r="D1160" s="50" t="s">
        <v>235</v>
      </c>
      <c r="E1160" s="76"/>
      <c r="F1160" s="76"/>
      <c r="G1160" s="76"/>
      <c r="H1160" s="76"/>
      <c r="I1160" s="76"/>
      <c r="J1160" s="76"/>
      <c r="K1160" s="76"/>
      <c r="L1160" s="76"/>
    </row>
    <row r="1161" spans="1:12" ht="15" customHeight="1" x14ac:dyDescent="0.25">
      <c r="A1161" s="1"/>
      <c r="B1161" s="1"/>
      <c r="D1161" s="1"/>
    </row>
    <row r="1162" spans="1:12" ht="29.25" customHeight="1" x14ac:dyDescent="0.2">
      <c r="A1162" s="277" t="s">
        <v>345</v>
      </c>
      <c r="B1162" s="277"/>
      <c r="C1162" s="277"/>
      <c r="D1162" s="277"/>
      <c r="E1162" s="277"/>
      <c r="F1162" s="277"/>
      <c r="G1162" s="277"/>
      <c r="H1162" s="277"/>
      <c r="I1162" s="277"/>
      <c r="J1162" s="277"/>
      <c r="K1162" s="277"/>
      <c r="L1162" s="277"/>
    </row>
    <row r="1163" spans="1:12" ht="16.5" customHeight="1" x14ac:dyDescent="0.25">
      <c r="A1163" s="1"/>
      <c r="B1163" s="1"/>
    </row>
    <row r="1164" spans="1:12" ht="39" customHeight="1" thickBot="1" x14ac:dyDescent="0.25">
      <c r="A1164" s="10" t="s">
        <v>0</v>
      </c>
      <c r="B1164" s="278" t="s">
        <v>91</v>
      </c>
      <c r="C1164" s="278"/>
      <c r="D1164" s="278"/>
      <c r="E1164" s="278"/>
      <c r="F1164" s="278"/>
      <c r="G1164" s="278"/>
      <c r="H1164" s="278"/>
      <c r="I1164" s="278"/>
      <c r="J1164" s="278"/>
      <c r="K1164" s="278"/>
      <c r="L1164" s="278"/>
    </row>
    <row r="1165" spans="1:12" ht="20.25" customHeight="1" thickTop="1" x14ac:dyDescent="0.25">
      <c r="A1165" s="1"/>
      <c r="B1165" s="11" t="s">
        <v>3</v>
      </c>
      <c r="C1165" s="12" t="s">
        <v>4</v>
      </c>
      <c r="D1165" s="13"/>
      <c r="E1165" s="13"/>
      <c r="F1165" s="13"/>
      <c r="G1165" s="13"/>
      <c r="H1165" s="14"/>
      <c r="I1165" s="15" t="s">
        <v>5</v>
      </c>
      <c r="J1165" s="12" t="s">
        <v>17</v>
      </c>
      <c r="K1165" s="13"/>
      <c r="L1165" s="14"/>
    </row>
    <row r="1166" spans="1:12" ht="24" customHeight="1" x14ac:dyDescent="0.2">
      <c r="A1166" s="76"/>
      <c r="B1166" s="149">
        <v>1</v>
      </c>
      <c r="C1166" s="284" t="s">
        <v>303</v>
      </c>
      <c r="D1166" s="285"/>
      <c r="E1166" s="285"/>
      <c r="F1166" s="285"/>
      <c r="G1166" s="76"/>
      <c r="H1166" s="79"/>
      <c r="I1166" s="80">
        <v>250000</v>
      </c>
      <c r="J1166" s="76"/>
      <c r="K1166" s="76"/>
      <c r="L1166" s="79"/>
    </row>
    <row r="1167" spans="1:12" ht="18.75" customHeight="1" x14ac:dyDescent="0.2">
      <c r="B1167" s="142">
        <v>2</v>
      </c>
      <c r="C1167" s="140" t="s">
        <v>238</v>
      </c>
      <c r="D1167" s="76"/>
      <c r="E1167" s="150">
        <v>622000</v>
      </c>
      <c r="F1167" s="316" t="s">
        <v>239</v>
      </c>
      <c r="G1167" s="314"/>
      <c r="H1167" s="315"/>
      <c r="I1167" s="80">
        <f>E1167*30/100*2</f>
        <v>373200</v>
      </c>
      <c r="J1167" s="76" t="s">
        <v>281</v>
      </c>
      <c r="K1167" s="76"/>
      <c r="L1167" s="79"/>
    </row>
    <row r="1168" spans="1:12" ht="15.75" customHeight="1" x14ac:dyDescent="0.2">
      <c r="B1168" s="142"/>
      <c r="C1168" s="76"/>
      <c r="D1168" s="76"/>
      <c r="E1168" s="150"/>
      <c r="F1168" s="157"/>
      <c r="G1168" s="119"/>
      <c r="H1168" s="119"/>
      <c r="I1168" s="80"/>
      <c r="J1168" s="76"/>
      <c r="K1168" s="76"/>
      <c r="L1168" s="79"/>
    </row>
    <row r="1169" spans="1:12" ht="15" x14ac:dyDescent="0.25">
      <c r="A1169" s="1"/>
      <c r="B1169" s="39"/>
      <c r="C1169" s="1"/>
      <c r="D1169" s="1"/>
      <c r="E1169" s="1"/>
      <c r="F1169" s="40" t="s">
        <v>5</v>
      </c>
      <c r="G1169" s="40"/>
      <c r="H1169" s="1"/>
      <c r="I1169" s="41">
        <f>SUM(I1166:I1167)</f>
        <v>623200</v>
      </c>
      <c r="J1169" s="1"/>
      <c r="K1169" s="1"/>
      <c r="L1169" s="42"/>
    </row>
    <row r="1170" spans="1:12" ht="10.5" customHeight="1" thickBot="1" x14ac:dyDescent="0.3">
      <c r="A1170" s="1"/>
      <c r="B1170" s="43"/>
      <c r="C1170" s="44"/>
      <c r="D1170" s="44"/>
      <c r="E1170" s="44"/>
      <c r="F1170" s="45"/>
      <c r="G1170" s="45"/>
      <c r="H1170" s="44"/>
      <c r="I1170" s="46"/>
      <c r="J1170" s="44"/>
      <c r="K1170" s="44"/>
      <c r="L1170" s="47"/>
    </row>
    <row r="1171" spans="1:12" ht="15.75" thickTop="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 ht="48.75" customHeight="1" x14ac:dyDescent="0.2">
      <c r="A1172" s="10" t="s">
        <v>2</v>
      </c>
      <c r="B1172" s="279" t="s">
        <v>11</v>
      </c>
      <c r="C1172" s="279"/>
      <c r="D1172" s="279"/>
      <c r="E1172" s="279"/>
      <c r="F1172" s="279"/>
      <c r="G1172" s="279"/>
      <c r="H1172" s="279"/>
      <c r="I1172" s="279"/>
      <c r="J1172" s="279"/>
      <c r="K1172" s="279"/>
      <c r="L1172" s="279"/>
    </row>
    <row r="1173" spans="1:12" ht="1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 ht="15" x14ac:dyDescent="0.2">
      <c r="A1174" s="280" t="s">
        <v>12</v>
      </c>
      <c r="B1174" s="280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</row>
    <row r="1175" spans="1:12" ht="24" customHeight="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 ht="15" hidden="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 ht="16.5" customHeight="1" x14ac:dyDescent="0.25">
      <c r="A1177" s="1"/>
      <c r="B1177" s="1"/>
      <c r="C1177" s="1"/>
      <c r="D1177" s="1"/>
      <c r="E1177" s="1"/>
      <c r="F1177" s="1"/>
      <c r="G1177" s="1"/>
      <c r="H1177" s="4" t="s">
        <v>199</v>
      </c>
      <c r="J1177" s="286" t="s">
        <v>335</v>
      </c>
      <c r="K1177" s="286"/>
      <c r="L1177" s="286"/>
    </row>
    <row r="1178" spans="1:12" ht="15" customHeight="1" x14ac:dyDescent="0.25">
      <c r="A1178" s="1"/>
      <c r="B1178" s="1" t="s">
        <v>15</v>
      </c>
      <c r="C1178" s="1"/>
      <c r="D1178" s="1"/>
      <c r="E1178" s="1"/>
      <c r="F1178" s="1"/>
      <c r="G1178" s="1"/>
      <c r="H1178" s="4" t="s">
        <v>13</v>
      </c>
    </row>
    <row r="1179" spans="1:12" ht="15" x14ac:dyDescent="0.25">
      <c r="A1179" s="1"/>
      <c r="B1179" s="1" t="s">
        <v>18</v>
      </c>
      <c r="C1179" s="1"/>
      <c r="D1179" s="1"/>
      <c r="E1179" s="1"/>
      <c r="F1179" s="1"/>
      <c r="G1179" s="1"/>
      <c r="H1179" s="4" t="s">
        <v>14</v>
      </c>
    </row>
    <row r="1180" spans="1:12" ht="1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 ht="1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 ht="17.25" customHeight="1" x14ac:dyDescent="0.25">
      <c r="A1182" s="1"/>
      <c r="B1182" s="103"/>
      <c r="C1182" s="103"/>
      <c r="D1182" s="103"/>
      <c r="E1182" s="103"/>
      <c r="F1182" s="103"/>
      <c r="G1182" s="103"/>
      <c r="H1182" s="103"/>
      <c r="I1182" s="103"/>
      <c r="J1182" s="103"/>
      <c r="K1182" s="103"/>
      <c r="L1182" s="1"/>
    </row>
    <row r="1183" spans="1:12" ht="15" x14ac:dyDescent="0.25">
      <c r="A1183" s="1"/>
      <c r="K1183" s="103"/>
      <c r="L1183" s="1"/>
    </row>
    <row r="1184" spans="1:12" ht="16.5" customHeight="1" x14ac:dyDescent="0.25">
      <c r="A1184" s="1"/>
      <c r="B1184" s="95" t="s">
        <v>77</v>
      </c>
      <c r="H1184" s="95" t="s">
        <v>78</v>
      </c>
      <c r="I1184" s="95"/>
      <c r="J1184" s="92"/>
      <c r="K1184" s="103"/>
      <c r="L1184" s="1"/>
    </row>
    <row r="1185" spans="1:12" ht="25.5" customHeight="1" x14ac:dyDescent="0.25">
      <c r="A1185" s="1"/>
      <c r="B1185" s="99" t="s">
        <v>27</v>
      </c>
      <c r="C1185" s="57"/>
      <c r="H1185" s="99" t="s">
        <v>79</v>
      </c>
      <c r="K1185" s="103"/>
    </row>
    <row r="1186" spans="1:12" ht="12.75" x14ac:dyDescent="0.2"/>
    <row r="1187" spans="1:12" ht="36.75" customHeight="1" x14ac:dyDescent="0.2"/>
    <row r="1188" spans="1:12" ht="12.75" x14ac:dyDescent="0.2"/>
    <row r="1189" spans="1:12" ht="20.25" customHeight="1" x14ac:dyDescent="0.25">
      <c r="A1189" s="3" t="s">
        <v>22</v>
      </c>
    </row>
    <row r="1190" spans="1:12" ht="17.25" customHeight="1" x14ac:dyDescent="0.2">
      <c r="A1190" s="122" t="s">
        <v>20</v>
      </c>
    </row>
    <row r="1191" spans="1:12" ht="15" customHeight="1" x14ac:dyDescent="0.2">
      <c r="A1191" s="122" t="s">
        <v>21</v>
      </c>
    </row>
    <row r="1192" spans="1:12" ht="10.5" customHeight="1" x14ac:dyDescent="0.2"/>
    <row r="1193" spans="1:12" ht="16.5" customHeight="1" x14ac:dyDescent="0.2"/>
    <row r="1194" spans="1:12" ht="30" customHeight="1" x14ac:dyDescent="0.2"/>
    <row r="1195" spans="1:12" ht="17.25" customHeight="1" x14ac:dyDescent="0.3">
      <c r="A1195" s="276" t="s">
        <v>6</v>
      </c>
      <c r="B1195" s="276"/>
      <c r="C1195" s="276"/>
      <c r="D1195" s="276"/>
      <c r="E1195" s="276"/>
      <c r="F1195" s="276"/>
      <c r="G1195" s="276"/>
      <c r="H1195" s="276"/>
      <c r="I1195" s="276"/>
      <c r="J1195" s="276"/>
      <c r="K1195" s="276"/>
      <c r="L1195" s="276"/>
    </row>
    <row r="1196" spans="1:12" ht="24.75" customHeight="1" x14ac:dyDescent="0.3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</row>
    <row r="1197" spans="1:12" ht="6" customHeight="1" x14ac:dyDescent="0.3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</row>
    <row r="1198" spans="1:12" ht="27" hidden="1" customHeight="1" x14ac:dyDescent="0.25">
      <c r="A1198" s="1"/>
      <c r="B1198" s="1"/>
    </row>
    <row r="1199" spans="1:12" ht="15" x14ac:dyDescent="0.25">
      <c r="A1199" s="1" t="s">
        <v>7</v>
      </c>
      <c r="B1199" s="1"/>
    </row>
    <row r="1200" spans="1:12" s="99" customFormat="1" ht="8.25" customHeight="1" x14ac:dyDescent="0.25">
      <c r="A1200" s="1"/>
      <c r="B1200" s="1"/>
      <c r="C1200" s="4"/>
      <c r="D1200" s="4"/>
      <c r="E1200" s="4"/>
      <c r="F1200" s="4"/>
      <c r="G1200" s="4"/>
      <c r="H1200" s="4"/>
      <c r="I1200" s="4"/>
      <c r="J1200" s="4"/>
      <c r="K1200" s="4"/>
      <c r="L1200" s="4"/>
    </row>
    <row r="1201" spans="1:12" s="99" customFormat="1" ht="15" x14ac:dyDescent="0.25">
      <c r="A1201" s="1" t="s">
        <v>8</v>
      </c>
      <c r="B1201" s="4"/>
      <c r="C1201" s="9" t="s">
        <v>1</v>
      </c>
      <c r="D1201" s="92" t="s">
        <v>77</v>
      </c>
      <c r="E1201" s="76"/>
      <c r="F1201" s="76"/>
      <c r="G1201" s="76"/>
      <c r="H1201" s="76"/>
      <c r="I1201" s="4"/>
      <c r="J1201" s="4"/>
      <c r="K1201" s="4"/>
      <c r="L1201" s="4"/>
    </row>
    <row r="1202" spans="1:12" ht="18" customHeight="1" x14ac:dyDescent="0.25">
      <c r="A1202" s="1" t="s">
        <v>9</v>
      </c>
      <c r="C1202" s="9" t="s">
        <v>1</v>
      </c>
      <c r="D1202" s="57" t="s">
        <v>201</v>
      </c>
      <c r="E1202" s="76"/>
      <c r="F1202" s="76"/>
      <c r="G1202" s="76"/>
      <c r="H1202" s="76"/>
    </row>
    <row r="1203" spans="1:12" ht="12.75" customHeight="1" x14ac:dyDescent="0.2">
      <c r="A1203" s="50" t="s">
        <v>10</v>
      </c>
      <c r="B1203" s="76"/>
      <c r="C1203" s="91" t="s">
        <v>1</v>
      </c>
      <c r="D1203" s="50" t="s">
        <v>265</v>
      </c>
      <c r="E1203" s="76"/>
      <c r="F1203" s="76"/>
      <c r="G1203" s="76"/>
      <c r="H1203" s="76"/>
      <c r="I1203" s="76"/>
      <c r="J1203" s="76"/>
      <c r="K1203" s="76"/>
      <c r="L1203" s="76"/>
    </row>
    <row r="1204" spans="1:12" ht="17.25" customHeight="1" x14ac:dyDescent="0.25">
      <c r="A1204" s="1"/>
      <c r="B1204" s="1"/>
      <c r="D1204" s="1"/>
    </row>
    <row r="1205" spans="1:12" ht="27.75" customHeight="1" x14ac:dyDescent="0.2">
      <c r="A1205" s="277" t="s">
        <v>346</v>
      </c>
      <c r="B1205" s="277"/>
      <c r="C1205" s="277"/>
      <c r="D1205" s="277"/>
      <c r="E1205" s="277"/>
      <c r="F1205" s="277"/>
      <c r="G1205" s="277"/>
      <c r="H1205" s="277"/>
      <c r="I1205" s="277"/>
      <c r="J1205" s="277"/>
      <c r="K1205" s="277"/>
      <c r="L1205" s="277"/>
    </row>
    <row r="1206" spans="1:12" ht="21" customHeight="1" x14ac:dyDescent="0.25">
      <c r="A1206" s="1"/>
      <c r="B1206" s="1"/>
    </row>
    <row r="1207" spans="1:12" ht="33" customHeight="1" thickBot="1" x14ac:dyDescent="0.25">
      <c r="A1207" s="10" t="s">
        <v>0</v>
      </c>
      <c r="B1207" s="278" t="s">
        <v>91</v>
      </c>
      <c r="C1207" s="278"/>
      <c r="D1207" s="278"/>
      <c r="E1207" s="278"/>
      <c r="F1207" s="278"/>
      <c r="G1207" s="278"/>
      <c r="H1207" s="278"/>
      <c r="I1207" s="278"/>
      <c r="J1207" s="278"/>
      <c r="K1207" s="278"/>
      <c r="L1207" s="278"/>
    </row>
    <row r="1208" spans="1:12" ht="23.25" customHeight="1" thickTop="1" x14ac:dyDescent="0.25">
      <c r="A1208" s="1"/>
      <c r="B1208" s="11" t="s">
        <v>3</v>
      </c>
      <c r="C1208" s="12" t="s">
        <v>4</v>
      </c>
      <c r="D1208" s="13"/>
      <c r="E1208" s="13"/>
      <c r="F1208" s="13"/>
      <c r="G1208" s="13"/>
      <c r="H1208" s="14"/>
      <c r="I1208" s="15" t="s">
        <v>5</v>
      </c>
      <c r="J1208" s="12" t="s">
        <v>17</v>
      </c>
      <c r="K1208" s="13"/>
      <c r="L1208" s="14"/>
    </row>
    <row r="1209" spans="1:12" ht="14.25" customHeight="1" x14ac:dyDescent="0.2">
      <c r="A1209" s="50"/>
      <c r="B1209" s="143">
        <v>1</v>
      </c>
      <c r="C1209" s="284" t="s">
        <v>303</v>
      </c>
      <c r="D1209" s="285"/>
      <c r="E1209" s="285"/>
      <c r="F1209" s="285"/>
      <c r="G1209" s="76"/>
      <c r="H1209" s="79"/>
      <c r="I1209" s="56">
        <v>250000</v>
      </c>
      <c r="J1209" s="76"/>
      <c r="K1209" s="76"/>
      <c r="L1209" s="79"/>
    </row>
    <row r="1210" spans="1:12" ht="15" x14ac:dyDescent="0.25">
      <c r="A1210" s="50"/>
      <c r="B1210" s="96">
        <v>2</v>
      </c>
      <c r="C1210" s="321" t="s">
        <v>238</v>
      </c>
      <c r="D1210" s="297"/>
      <c r="E1210" s="150">
        <v>1957000</v>
      </c>
      <c r="F1210" s="319" t="s">
        <v>239</v>
      </c>
      <c r="G1210" s="297"/>
      <c r="H1210" s="320"/>
      <c r="I1210" s="56">
        <f>E1210*30/100*1</f>
        <v>587100</v>
      </c>
      <c r="J1210" s="50" t="s">
        <v>240</v>
      </c>
      <c r="K1210" s="1"/>
      <c r="L1210" s="17"/>
    </row>
    <row r="1211" spans="1:12" ht="20.25" customHeight="1" x14ac:dyDescent="0.25">
      <c r="A1211" s="50"/>
      <c r="B1211" s="96"/>
      <c r="C1211" s="124"/>
      <c r="D1211" s="124"/>
      <c r="E1211" s="127"/>
      <c r="F1211" s="125"/>
      <c r="G1211" s="124"/>
      <c r="H1211" s="124"/>
      <c r="I1211" s="56"/>
      <c r="J1211" s="50"/>
      <c r="K1211" s="1"/>
      <c r="L1211" s="17"/>
    </row>
    <row r="1212" spans="1:12" ht="15" x14ac:dyDescent="0.25">
      <c r="A1212" s="1"/>
      <c r="B1212" s="39"/>
      <c r="C1212" s="1"/>
      <c r="D1212" s="1"/>
      <c r="E1212" s="1"/>
      <c r="F1212" s="40" t="s">
        <v>5</v>
      </c>
      <c r="G1212" s="40"/>
      <c r="H1212" s="1"/>
      <c r="I1212" s="41">
        <f>SUM(I1209:I1210)</f>
        <v>837100</v>
      </c>
      <c r="J1212" s="1"/>
      <c r="K1212" s="1"/>
      <c r="L1212" s="42"/>
    </row>
    <row r="1213" spans="1:12" ht="12.75" customHeight="1" thickBot="1" x14ac:dyDescent="0.3">
      <c r="A1213" s="1"/>
      <c r="B1213" s="43"/>
      <c r="C1213" s="44"/>
      <c r="D1213" s="44"/>
      <c r="E1213" s="44"/>
      <c r="F1213" s="45"/>
      <c r="G1213" s="45"/>
      <c r="H1213" s="44"/>
      <c r="I1213" s="46"/>
      <c r="J1213" s="44"/>
      <c r="K1213" s="44"/>
      <c r="L1213" s="47"/>
    </row>
    <row r="1214" spans="1:12" ht="15.75" thickTop="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 ht="47.25" customHeight="1" x14ac:dyDescent="0.2">
      <c r="A1215" s="10" t="s">
        <v>2</v>
      </c>
      <c r="B1215" s="279" t="s">
        <v>11</v>
      </c>
      <c r="C1215" s="279"/>
      <c r="D1215" s="279"/>
      <c r="E1215" s="279"/>
      <c r="F1215" s="279"/>
      <c r="G1215" s="279"/>
      <c r="H1215" s="279"/>
      <c r="I1215" s="279"/>
      <c r="J1215" s="279"/>
      <c r="K1215" s="279"/>
      <c r="L1215" s="279"/>
    </row>
    <row r="1216" spans="1:12" ht="9" customHeight="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 ht="15" x14ac:dyDescent="0.2">
      <c r="A1217" s="280" t="s">
        <v>12</v>
      </c>
      <c r="B1217" s="280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</row>
    <row r="1218" spans="1:12" ht="15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 ht="2.25" customHeight="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 ht="12.75" customHeight="1" x14ac:dyDescent="0.25">
      <c r="A1220" s="1"/>
      <c r="B1220" s="1"/>
      <c r="C1220" s="1"/>
      <c r="D1220" s="1"/>
      <c r="E1220" s="1"/>
      <c r="F1220" s="1"/>
      <c r="G1220" s="1"/>
      <c r="H1220" s="4" t="s">
        <v>199</v>
      </c>
      <c r="J1220" s="286" t="s">
        <v>335</v>
      </c>
      <c r="K1220" s="286"/>
      <c r="L1220" s="286"/>
    </row>
    <row r="1221" spans="1:12" ht="11.25" customHeight="1" x14ac:dyDescent="0.25">
      <c r="A1221" s="1"/>
      <c r="B1221" s="1" t="s">
        <v>15</v>
      </c>
      <c r="C1221" s="1"/>
      <c r="D1221" s="1"/>
      <c r="E1221" s="1"/>
      <c r="F1221" s="1"/>
      <c r="G1221" s="1"/>
      <c r="H1221" s="4" t="s">
        <v>13</v>
      </c>
    </row>
    <row r="1222" spans="1:12" ht="12.75" customHeight="1" x14ac:dyDescent="0.25">
      <c r="A1222" s="1"/>
      <c r="B1222" s="1" t="s">
        <v>18</v>
      </c>
      <c r="C1222" s="1"/>
      <c r="D1222" s="1"/>
      <c r="E1222" s="1"/>
      <c r="F1222" s="1"/>
      <c r="G1222" s="1"/>
      <c r="H1222" s="4" t="s">
        <v>14</v>
      </c>
    </row>
    <row r="1223" spans="1:12" ht="1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 ht="24.75" customHeight="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 ht="15" x14ac:dyDescent="0.25">
      <c r="A1225" s="1"/>
      <c r="B1225" s="103"/>
      <c r="C1225" s="103"/>
      <c r="D1225" s="103"/>
      <c r="E1225" s="103"/>
      <c r="F1225" s="103"/>
      <c r="G1225" s="103"/>
      <c r="H1225" s="103"/>
      <c r="I1225" s="103"/>
      <c r="J1225" s="103"/>
      <c r="K1225" s="103"/>
      <c r="L1225" s="1"/>
    </row>
    <row r="1226" spans="1:12" ht="15" x14ac:dyDescent="0.25">
      <c r="A1226" s="1"/>
      <c r="K1226" s="103"/>
      <c r="L1226" s="1"/>
    </row>
    <row r="1227" spans="1:12" ht="15" x14ac:dyDescent="0.25">
      <c r="A1227" s="1"/>
      <c r="B1227" s="95" t="s">
        <v>77</v>
      </c>
      <c r="H1227" s="95" t="s">
        <v>77</v>
      </c>
      <c r="I1227" s="95"/>
      <c r="J1227" s="92"/>
      <c r="K1227" s="103"/>
      <c r="L1227" s="1"/>
    </row>
    <row r="1228" spans="1:12" ht="15" x14ac:dyDescent="0.25">
      <c r="A1228" s="1"/>
      <c r="B1228" s="99" t="s">
        <v>27</v>
      </c>
      <c r="C1228" s="57"/>
      <c r="H1228" s="99" t="s">
        <v>27</v>
      </c>
      <c r="K1228" s="103"/>
    </row>
    <row r="1229" spans="1:12" ht="12.75" x14ac:dyDescent="0.2"/>
    <row r="1230" spans="1:12" ht="12.75" x14ac:dyDescent="0.2"/>
    <row r="1231" spans="1:12" ht="12.75" x14ac:dyDescent="0.2"/>
    <row r="1232" spans="1:12" ht="18" customHeight="1" x14ac:dyDescent="0.2"/>
    <row r="1233" spans="1:12" ht="17.25" customHeight="1" x14ac:dyDescent="0.2"/>
    <row r="1234" spans="1:12" ht="18" customHeight="1" x14ac:dyDescent="0.2"/>
    <row r="1235" spans="1:12" ht="13.5" customHeight="1" x14ac:dyDescent="0.25">
      <c r="A1235" s="3" t="s">
        <v>22</v>
      </c>
    </row>
    <row r="1236" spans="1:12" ht="18" customHeight="1" x14ac:dyDescent="0.2">
      <c r="A1236" s="122" t="s">
        <v>20</v>
      </c>
    </row>
    <row r="1237" spans="1:12" ht="17.25" customHeight="1" x14ac:dyDescent="0.2">
      <c r="A1237" s="122" t="s">
        <v>21</v>
      </c>
    </row>
    <row r="1238" spans="1:12" ht="26.25" customHeight="1" x14ac:dyDescent="0.2"/>
    <row r="1239" spans="1:12" ht="15.75" customHeight="1" x14ac:dyDescent="0.2"/>
    <row r="1240" spans="1:12" ht="1.5" customHeight="1" x14ac:dyDescent="0.2"/>
    <row r="1241" spans="1:12" ht="18.75" customHeight="1" x14ac:dyDescent="0.3">
      <c r="A1241" s="276" t="s">
        <v>6</v>
      </c>
      <c r="B1241" s="276"/>
      <c r="C1241" s="276"/>
      <c r="D1241" s="276"/>
      <c r="E1241" s="276"/>
      <c r="F1241" s="276"/>
      <c r="G1241" s="276"/>
      <c r="H1241" s="276"/>
      <c r="I1241" s="276"/>
      <c r="J1241" s="276"/>
      <c r="K1241" s="276"/>
      <c r="L1241" s="276"/>
    </row>
    <row r="1242" spans="1:12" ht="19.5" customHeight="1" x14ac:dyDescent="0.3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</row>
    <row r="1243" spans="1:12" ht="24.75" hidden="1" customHeight="1" x14ac:dyDescent="0.3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</row>
    <row r="1244" spans="1:12" ht="28.5" hidden="1" customHeight="1" x14ac:dyDescent="0.25">
      <c r="A1244" s="1"/>
      <c r="B1244" s="1"/>
    </row>
    <row r="1245" spans="1:12" ht="21.75" customHeight="1" x14ac:dyDescent="0.25">
      <c r="A1245" s="1" t="s">
        <v>7</v>
      </c>
      <c r="B1245" s="1"/>
    </row>
    <row r="1246" spans="1:12" ht="18.75" customHeight="1" x14ac:dyDescent="0.25">
      <c r="A1246" s="1"/>
      <c r="B1246" s="1"/>
    </row>
    <row r="1247" spans="1:12" ht="17.25" customHeight="1" x14ac:dyDescent="0.25">
      <c r="A1247" s="1" t="s">
        <v>8</v>
      </c>
      <c r="C1247" s="9" t="s">
        <v>1</v>
      </c>
      <c r="D1247" s="126" t="s">
        <v>64</v>
      </c>
      <c r="E1247" s="76"/>
      <c r="F1247" s="76"/>
      <c r="G1247" s="76"/>
      <c r="H1247" s="76"/>
    </row>
    <row r="1248" spans="1:12" ht="11.25" customHeight="1" x14ac:dyDescent="0.25">
      <c r="A1248" s="1" t="s">
        <v>9</v>
      </c>
      <c r="C1248" s="9" t="s">
        <v>1</v>
      </c>
      <c r="D1248" s="119" t="s">
        <v>236</v>
      </c>
      <c r="E1248" s="76"/>
      <c r="F1248" s="76"/>
      <c r="G1248" s="76"/>
      <c r="H1248" s="76"/>
    </row>
    <row r="1249" spans="1:12" ht="19.5" customHeight="1" x14ac:dyDescent="0.2">
      <c r="A1249" s="50" t="s">
        <v>10</v>
      </c>
      <c r="B1249" s="76"/>
      <c r="C1249" s="91" t="s">
        <v>1</v>
      </c>
      <c r="D1249" s="124" t="s">
        <v>235</v>
      </c>
      <c r="E1249" s="76"/>
      <c r="F1249" s="76"/>
      <c r="G1249" s="76"/>
      <c r="H1249" s="76"/>
      <c r="I1249" s="76"/>
      <c r="J1249" s="76"/>
      <c r="K1249" s="76"/>
      <c r="L1249" s="76"/>
    </row>
    <row r="1250" spans="1:12" ht="17.25" customHeight="1" x14ac:dyDescent="0.25">
      <c r="A1250" s="1"/>
      <c r="B1250" s="1"/>
      <c r="D1250" s="1"/>
    </row>
    <row r="1251" spans="1:12" ht="30" customHeight="1" x14ac:dyDescent="0.2">
      <c r="A1251" s="277" t="s">
        <v>346</v>
      </c>
      <c r="B1251" s="277"/>
      <c r="C1251" s="277"/>
      <c r="D1251" s="277"/>
      <c r="E1251" s="277"/>
      <c r="F1251" s="277"/>
      <c r="G1251" s="277"/>
      <c r="H1251" s="277"/>
      <c r="I1251" s="277"/>
      <c r="J1251" s="277"/>
      <c r="K1251" s="277"/>
      <c r="L1251" s="277"/>
    </row>
    <row r="1252" spans="1:12" ht="9" customHeight="1" x14ac:dyDescent="0.25">
      <c r="A1252" s="1"/>
      <c r="B1252" s="1"/>
    </row>
    <row r="1253" spans="1:12" ht="37.5" customHeight="1" thickBot="1" x14ac:dyDescent="0.25">
      <c r="A1253" s="10" t="s">
        <v>0</v>
      </c>
      <c r="B1253" s="278" t="s">
        <v>91</v>
      </c>
      <c r="C1253" s="278"/>
      <c r="D1253" s="278"/>
      <c r="E1253" s="278"/>
      <c r="F1253" s="278"/>
      <c r="G1253" s="278"/>
      <c r="H1253" s="278"/>
      <c r="I1253" s="278"/>
      <c r="J1253" s="278"/>
      <c r="K1253" s="278"/>
      <c r="L1253" s="278"/>
    </row>
    <row r="1254" spans="1:12" ht="25.5" customHeight="1" thickTop="1" x14ac:dyDescent="0.25">
      <c r="A1254" s="1"/>
      <c r="B1254" s="11" t="s">
        <v>3</v>
      </c>
      <c r="C1254" s="12" t="s">
        <v>4</v>
      </c>
      <c r="D1254" s="13"/>
      <c r="E1254" s="13"/>
      <c r="F1254" s="13"/>
      <c r="G1254" s="13"/>
      <c r="H1254" s="14"/>
      <c r="I1254" s="15" t="s">
        <v>5</v>
      </c>
      <c r="J1254" s="12" t="s">
        <v>17</v>
      </c>
      <c r="K1254" s="13"/>
      <c r="L1254" s="14"/>
    </row>
    <row r="1255" spans="1:12" ht="16.5" customHeight="1" x14ac:dyDescent="0.2">
      <c r="A1255" s="76"/>
      <c r="B1255" s="149">
        <v>1</v>
      </c>
      <c r="C1255" s="284" t="s">
        <v>303</v>
      </c>
      <c r="D1255" s="285"/>
      <c r="E1255" s="285"/>
      <c r="F1255" s="285"/>
      <c r="G1255" s="76"/>
      <c r="H1255" s="79"/>
      <c r="I1255" s="80">
        <v>250000</v>
      </c>
      <c r="J1255" s="76"/>
      <c r="K1255" s="76"/>
      <c r="L1255" s="79"/>
    </row>
    <row r="1256" spans="1:12" ht="22.5" customHeight="1" x14ac:dyDescent="0.2">
      <c r="B1256" s="142">
        <v>2</v>
      </c>
      <c r="C1256" s="140" t="s">
        <v>238</v>
      </c>
      <c r="D1256" s="76"/>
      <c r="E1256" s="150">
        <v>622000</v>
      </c>
      <c r="F1256" s="316" t="s">
        <v>239</v>
      </c>
      <c r="G1256" s="314"/>
      <c r="H1256" s="315"/>
      <c r="I1256" s="80">
        <f>E1256*30/100*1</f>
        <v>186600</v>
      </c>
      <c r="J1256" s="76" t="s">
        <v>240</v>
      </c>
      <c r="K1256" s="76"/>
      <c r="L1256" s="79"/>
    </row>
    <row r="1257" spans="1:12" ht="19.5" customHeight="1" x14ac:dyDescent="0.2">
      <c r="B1257" s="142"/>
      <c r="C1257" s="76"/>
      <c r="D1257" s="76"/>
      <c r="E1257" s="150"/>
      <c r="F1257" s="157"/>
      <c r="G1257" s="119"/>
      <c r="H1257" s="119"/>
      <c r="I1257" s="80"/>
      <c r="J1257" s="76"/>
      <c r="K1257" s="76"/>
      <c r="L1257" s="79"/>
    </row>
    <row r="1258" spans="1:12" ht="22.5" customHeight="1" x14ac:dyDescent="0.25">
      <c r="A1258" s="1"/>
      <c r="B1258" s="39"/>
      <c r="C1258" s="1"/>
      <c r="D1258" s="1"/>
      <c r="E1258" s="1"/>
      <c r="F1258" s="40" t="s">
        <v>5</v>
      </c>
      <c r="G1258" s="40"/>
      <c r="H1258" s="1"/>
      <c r="I1258" s="41">
        <f>SUM(I1255:I1256)</f>
        <v>436600</v>
      </c>
      <c r="J1258" s="1"/>
      <c r="K1258" s="1"/>
      <c r="L1258" s="42"/>
    </row>
    <row r="1259" spans="1:12" ht="15.75" thickBot="1" x14ac:dyDescent="0.3">
      <c r="A1259" s="1"/>
      <c r="B1259" s="43"/>
      <c r="C1259" s="44"/>
      <c r="D1259" s="44"/>
      <c r="E1259" s="44"/>
      <c r="F1259" s="45"/>
      <c r="G1259" s="45"/>
      <c r="H1259" s="44"/>
      <c r="I1259" s="46"/>
      <c r="J1259" s="44"/>
      <c r="K1259" s="44"/>
      <c r="L1259" s="47"/>
    </row>
    <row r="1260" spans="1:12" ht="16.5" customHeight="1" thickTop="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 ht="42.75" customHeight="1" x14ac:dyDescent="0.2">
      <c r="A1261" s="10" t="s">
        <v>2</v>
      </c>
      <c r="B1261" s="279" t="s">
        <v>11</v>
      </c>
      <c r="C1261" s="279"/>
      <c r="D1261" s="279"/>
      <c r="E1261" s="279"/>
      <c r="F1261" s="279"/>
      <c r="G1261" s="279"/>
      <c r="H1261" s="279"/>
      <c r="I1261" s="279"/>
      <c r="J1261" s="279"/>
      <c r="K1261" s="279"/>
      <c r="L1261" s="279"/>
    </row>
    <row r="1262" spans="1:12" ht="15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 ht="15" customHeight="1" x14ac:dyDescent="0.2">
      <c r="A1263" s="280" t="s">
        <v>12</v>
      </c>
      <c r="B1263" s="280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</row>
    <row r="1264" spans="1:12" ht="15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 ht="18.75" customHeight="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 ht="15" x14ac:dyDescent="0.25">
      <c r="A1266" s="1"/>
      <c r="B1266" s="1"/>
      <c r="C1266" s="1"/>
      <c r="D1266" s="1"/>
      <c r="E1266" s="1"/>
      <c r="F1266" s="1"/>
      <c r="G1266" s="1"/>
      <c r="H1266" s="4" t="s">
        <v>199</v>
      </c>
      <c r="J1266" s="286" t="s">
        <v>335</v>
      </c>
      <c r="K1266" s="286"/>
      <c r="L1266" s="286"/>
    </row>
    <row r="1267" spans="1:12" ht="18" customHeight="1" x14ac:dyDescent="0.25">
      <c r="A1267" s="1"/>
      <c r="B1267" s="1" t="s">
        <v>15</v>
      </c>
      <c r="C1267" s="1"/>
      <c r="D1267" s="1"/>
      <c r="E1267" s="1"/>
      <c r="F1267" s="1"/>
      <c r="G1267" s="1"/>
      <c r="H1267" s="4" t="s">
        <v>13</v>
      </c>
    </row>
    <row r="1268" spans="1:12" ht="15" x14ac:dyDescent="0.25">
      <c r="A1268" s="1"/>
      <c r="B1268" s="1" t="s">
        <v>18</v>
      </c>
      <c r="C1268" s="1"/>
      <c r="D1268" s="1"/>
      <c r="E1268" s="1"/>
      <c r="F1268" s="1"/>
      <c r="G1268" s="1"/>
      <c r="H1268" s="4" t="s">
        <v>14</v>
      </c>
    </row>
    <row r="1269" spans="1:12" ht="1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 ht="1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 ht="15" x14ac:dyDescent="0.25">
      <c r="A1271" s="1"/>
      <c r="B1271" s="103"/>
      <c r="C1271" s="103"/>
      <c r="D1271" s="103"/>
      <c r="E1271" s="103"/>
      <c r="F1271" s="103"/>
      <c r="G1271" s="103"/>
      <c r="H1271" s="103"/>
      <c r="I1271" s="103"/>
      <c r="J1271" s="103"/>
      <c r="K1271" s="103"/>
      <c r="L1271" s="1"/>
    </row>
    <row r="1272" spans="1:12" ht="15" x14ac:dyDescent="0.25">
      <c r="A1272" s="1"/>
      <c r="K1272" s="103"/>
      <c r="L1272" s="1"/>
    </row>
    <row r="1273" spans="1:12" ht="15" x14ac:dyDescent="0.25">
      <c r="A1273" s="1"/>
      <c r="B1273" s="95" t="s">
        <v>77</v>
      </c>
      <c r="H1273" s="95" t="s">
        <v>64</v>
      </c>
      <c r="I1273" s="95"/>
      <c r="J1273" s="92"/>
      <c r="K1273" s="103"/>
      <c r="L1273" s="1"/>
    </row>
    <row r="1274" spans="1:12" ht="15" x14ac:dyDescent="0.25">
      <c r="A1274" s="1"/>
      <c r="B1274" s="99" t="s">
        <v>27</v>
      </c>
      <c r="C1274" s="57"/>
      <c r="H1274" s="99" t="s">
        <v>46</v>
      </c>
      <c r="K1274" s="103"/>
    </row>
    <row r="1275" spans="1:12" ht="45.75" hidden="1" customHeight="1" x14ac:dyDescent="0.2"/>
    <row r="1276" spans="1:12" ht="32.25" customHeight="1" x14ac:dyDescent="0.2"/>
    <row r="1277" spans="1:12" ht="15" customHeight="1" x14ac:dyDescent="0.2"/>
    <row r="1278" spans="1:12" ht="15.75" x14ac:dyDescent="0.25">
      <c r="A1278" s="3" t="s">
        <v>22</v>
      </c>
    </row>
    <row r="1279" spans="1:12" ht="15.75" x14ac:dyDescent="0.2">
      <c r="A1279" s="122" t="s">
        <v>20</v>
      </c>
    </row>
    <row r="1280" spans="1:12" ht="15.75" x14ac:dyDescent="0.2">
      <c r="A1280" s="122" t="s">
        <v>21</v>
      </c>
    </row>
    <row r="1281" spans="1:12" ht="14.25" customHeight="1" x14ac:dyDescent="0.2"/>
    <row r="1282" spans="1:12" ht="15" customHeight="1" x14ac:dyDescent="0.2"/>
    <row r="1283" spans="1:12" ht="17.25" customHeight="1" x14ac:dyDescent="0.2"/>
    <row r="1284" spans="1:12" ht="19.5" customHeight="1" x14ac:dyDescent="0.3">
      <c r="A1284" s="276" t="s">
        <v>6</v>
      </c>
      <c r="B1284" s="276"/>
      <c r="C1284" s="276"/>
      <c r="D1284" s="276"/>
      <c r="E1284" s="276"/>
      <c r="F1284" s="276"/>
      <c r="G1284" s="276"/>
      <c r="H1284" s="276"/>
      <c r="I1284" s="276"/>
      <c r="J1284" s="276"/>
      <c r="K1284" s="276"/>
      <c r="L1284" s="276"/>
    </row>
    <row r="1285" spans="1:12" ht="22.5" customHeight="1" x14ac:dyDescent="0.3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</row>
    <row r="1286" spans="1:12" ht="30.75" hidden="1" customHeight="1" x14ac:dyDescent="0.3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</row>
    <row r="1287" spans="1:12" ht="1.5" customHeight="1" x14ac:dyDescent="0.25">
      <c r="A1287" s="1"/>
      <c r="B1287" s="1"/>
    </row>
    <row r="1288" spans="1:12" ht="15" x14ac:dyDescent="0.25">
      <c r="A1288" s="1" t="s">
        <v>7</v>
      </c>
      <c r="B1288" s="1"/>
    </row>
    <row r="1289" spans="1:12" ht="15.75" customHeight="1" x14ac:dyDescent="0.25">
      <c r="A1289" s="1"/>
      <c r="B1289" s="1"/>
    </row>
    <row r="1290" spans="1:12" ht="16.5" customHeight="1" x14ac:dyDescent="0.25">
      <c r="A1290" s="1" t="s">
        <v>8</v>
      </c>
      <c r="C1290" s="9" t="s">
        <v>1</v>
      </c>
      <c r="D1290" s="123" t="s">
        <v>78</v>
      </c>
      <c r="E1290" s="76"/>
      <c r="F1290" s="76"/>
      <c r="G1290" s="76"/>
      <c r="H1290" s="76"/>
    </row>
    <row r="1291" spans="1:12" ht="15" x14ac:dyDescent="0.25">
      <c r="A1291" s="1" t="s">
        <v>9</v>
      </c>
      <c r="C1291" s="9" t="s">
        <v>1</v>
      </c>
      <c r="D1291" s="76" t="s">
        <v>234</v>
      </c>
      <c r="E1291" s="76"/>
      <c r="F1291" s="76"/>
      <c r="G1291" s="76"/>
      <c r="H1291" s="76"/>
    </row>
    <row r="1292" spans="1:12" ht="22.5" customHeight="1" x14ac:dyDescent="0.2">
      <c r="A1292" s="50" t="s">
        <v>10</v>
      </c>
      <c r="B1292" s="76"/>
      <c r="C1292" s="91" t="s">
        <v>1</v>
      </c>
      <c r="D1292" s="50" t="s">
        <v>235</v>
      </c>
      <c r="E1292" s="76"/>
      <c r="F1292" s="76"/>
      <c r="G1292" s="76"/>
      <c r="H1292" s="76"/>
      <c r="I1292" s="76"/>
      <c r="J1292" s="76"/>
      <c r="K1292" s="76"/>
      <c r="L1292" s="76"/>
    </row>
    <row r="1293" spans="1:12" ht="12.75" customHeight="1" x14ac:dyDescent="0.25">
      <c r="A1293" s="1"/>
      <c r="B1293" s="1"/>
      <c r="D1293" s="1"/>
    </row>
    <row r="1294" spans="1:12" ht="37.5" customHeight="1" x14ac:dyDescent="0.2">
      <c r="A1294" s="277" t="s">
        <v>346</v>
      </c>
      <c r="B1294" s="277"/>
      <c r="C1294" s="277"/>
      <c r="D1294" s="277"/>
      <c r="E1294" s="277"/>
      <c r="F1294" s="277"/>
      <c r="G1294" s="277"/>
      <c r="H1294" s="277"/>
      <c r="I1294" s="277"/>
      <c r="J1294" s="277"/>
      <c r="K1294" s="277"/>
      <c r="L1294" s="277"/>
    </row>
    <row r="1295" spans="1:12" ht="9" customHeight="1" x14ac:dyDescent="0.25">
      <c r="A1295" s="1"/>
      <c r="B1295" s="1"/>
    </row>
    <row r="1296" spans="1:12" ht="31.5" customHeight="1" thickBot="1" x14ac:dyDescent="0.25">
      <c r="A1296" s="10" t="s">
        <v>0</v>
      </c>
      <c r="B1296" s="278" t="s">
        <v>91</v>
      </c>
      <c r="C1296" s="278"/>
      <c r="D1296" s="278"/>
      <c r="E1296" s="278"/>
      <c r="F1296" s="278"/>
      <c r="G1296" s="278"/>
      <c r="H1296" s="278"/>
      <c r="I1296" s="278"/>
      <c r="J1296" s="278"/>
      <c r="K1296" s="278"/>
      <c r="L1296" s="278"/>
    </row>
    <row r="1297" spans="1:12" ht="20.25" customHeight="1" thickTop="1" x14ac:dyDescent="0.25">
      <c r="A1297" s="1"/>
      <c r="B1297" s="11" t="s">
        <v>3</v>
      </c>
      <c r="C1297" s="12" t="s">
        <v>4</v>
      </c>
      <c r="D1297" s="13"/>
      <c r="E1297" s="13"/>
      <c r="F1297" s="13"/>
      <c r="G1297" s="13"/>
      <c r="H1297" s="14"/>
      <c r="I1297" s="15" t="s">
        <v>5</v>
      </c>
      <c r="J1297" s="12" t="s">
        <v>17</v>
      </c>
      <c r="K1297" s="13"/>
      <c r="L1297" s="14"/>
    </row>
    <row r="1298" spans="1:12" ht="18" customHeight="1" x14ac:dyDescent="0.2">
      <c r="A1298" s="76"/>
      <c r="B1298" s="149">
        <v>1</v>
      </c>
      <c r="C1298" s="284" t="s">
        <v>303</v>
      </c>
      <c r="D1298" s="285"/>
      <c r="E1298" s="285"/>
      <c r="F1298" s="285"/>
      <c r="G1298" s="76"/>
      <c r="H1298" s="79"/>
      <c r="I1298" s="80">
        <v>250000</v>
      </c>
      <c r="J1298" s="76"/>
      <c r="K1298" s="76"/>
      <c r="L1298" s="79"/>
    </row>
    <row r="1299" spans="1:12" ht="15" customHeight="1" x14ac:dyDescent="0.2">
      <c r="B1299" s="142">
        <v>2</v>
      </c>
      <c r="C1299" s="140" t="s">
        <v>238</v>
      </c>
      <c r="D1299" s="76"/>
      <c r="E1299" s="150">
        <v>622000</v>
      </c>
      <c r="F1299" s="316" t="s">
        <v>239</v>
      </c>
      <c r="G1299" s="314"/>
      <c r="H1299" s="315"/>
      <c r="I1299" s="80">
        <f>E1299*30/100*1</f>
        <v>186600</v>
      </c>
      <c r="J1299" s="76" t="s">
        <v>240</v>
      </c>
      <c r="K1299" s="76"/>
      <c r="L1299" s="79"/>
    </row>
    <row r="1300" spans="1:12" ht="36.75" customHeight="1" x14ac:dyDescent="0.2">
      <c r="B1300" s="142"/>
      <c r="C1300" s="76"/>
      <c r="D1300" s="76"/>
      <c r="E1300" s="150"/>
      <c r="F1300" s="157"/>
      <c r="G1300" s="119"/>
      <c r="H1300" s="119"/>
      <c r="I1300" s="80"/>
      <c r="J1300" s="76"/>
      <c r="K1300" s="76"/>
      <c r="L1300" s="79"/>
    </row>
    <row r="1301" spans="1:12" ht="20.25" customHeight="1" x14ac:dyDescent="0.25">
      <c r="A1301" s="1"/>
      <c r="B1301" s="39"/>
      <c r="C1301" s="1"/>
      <c r="D1301" s="1"/>
      <c r="E1301" s="1"/>
      <c r="F1301" s="40" t="s">
        <v>5</v>
      </c>
      <c r="G1301" s="40"/>
      <c r="H1301" s="1"/>
      <c r="I1301" s="41">
        <f>SUM(I1298:I1299)</f>
        <v>436600</v>
      </c>
      <c r="J1301" s="1"/>
      <c r="K1301" s="1"/>
      <c r="L1301" s="42"/>
    </row>
    <row r="1302" spans="1:12" ht="10.5" customHeight="1" thickBot="1" x14ac:dyDescent="0.3">
      <c r="A1302" s="1"/>
      <c r="B1302" s="43"/>
      <c r="C1302" s="44"/>
      <c r="D1302" s="44"/>
      <c r="E1302" s="44"/>
      <c r="F1302" s="45"/>
      <c r="G1302" s="45"/>
      <c r="H1302" s="44"/>
      <c r="I1302" s="46"/>
      <c r="J1302" s="44"/>
      <c r="K1302" s="44"/>
      <c r="L1302" s="47"/>
    </row>
    <row r="1303" spans="1:12" ht="11.25" customHeight="1" thickTop="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 ht="49.5" customHeight="1" x14ac:dyDescent="0.2">
      <c r="A1304" s="10" t="s">
        <v>2</v>
      </c>
      <c r="B1304" s="279" t="s">
        <v>11</v>
      </c>
      <c r="C1304" s="279"/>
      <c r="D1304" s="279"/>
      <c r="E1304" s="279"/>
      <c r="F1304" s="279"/>
      <c r="G1304" s="279"/>
      <c r="H1304" s="279"/>
      <c r="I1304" s="279"/>
      <c r="J1304" s="279"/>
      <c r="K1304" s="279"/>
      <c r="L1304" s="279"/>
    </row>
    <row r="1305" spans="1:12" ht="12" customHeight="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ht="25.5" customHeight="1" x14ac:dyDescent="0.2">
      <c r="A1306" s="280" t="s">
        <v>12</v>
      </c>
      <c r="B1306" s="280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</row>
    <row r="1307" spans="1:12" ht="11.25" customHeight="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ht="18.75" customHeight="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ht="21.75" customHeight="1" x14ac:dyDescent="0.25">
      <c r="A1309" s="1"/>
      <c r="B1309" s="1"/>
      <c r="C1309" s="1"/>
      <c r="D1309" s="1"/>
      <c r="E1309" s="1"/>
      <c r="F1309" s="1"/>
      <c r="G1309" s="1"/>
      <c r="H1309" s="4" t="s">
        <v>199</v>
      </c>
      <c r="J1309" s="286" t="s">
        <v>335</v>
      </c>
      <c r="K1309" s="286"/>
      <c r="L1309" s="286"/>
    </row>
    <row r="1310" spans="1:12" ht="19.5" customHeight="1" x14ac:dyDescent="0.25">
      <c r="A1310" s="1"/>
      <c r="B1310" s="1" t="s">
        <v>15</v>
      </c>
      <c r="C1310" s="1"/>
      <c r="D1310" s="1"/>
      <c r="E1310" s="1"/>
      <c r="F1310" s="1"/>
      <c r="G1310" s="1"/>
      <c r="H1310" s="4" t="s">
        <v>13</v>
      </c>
    </row>
    <row r="1311" spans="1:12" ht="18" customHeight="1" x14ac:dyDescent="0.25">
      <c r="A1311" s="1"/>
      <c r="B1311" s="1" t="s">
        <v>18</v>
      </c>
      <c r="C1311" s="1"/>
      <c r="D1311" s="1"/>
      <c r="E1311" s="1"/>
      <c r="F1311" s="1"/>
      <c r="G1311" s="1"/>
      <c r="H1311" s="4" t="s">
        <v>14</v>
      </c>
    </row>
    <row r="1312" spans="1:12" ht="18" customHeight="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ht="15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ht="3" customHeight="1" x14ac:dyDescent="0.25">
      <c r="A1314" s="1"/>
      <c r="B1314" s="103"/>
      <c r="C1314" s="103"/>
      <c r="D1314" s="103"/>
      <c r="E1314" s="103"/>
      <c r="F1314" s="103"/>
      <c r="G1314" s="103"/>
      <c r="H1314" s="103"/>
      <c r="I1314" s="103"/>
      <c r="J1314" s="103"/>
      <c r="K1314" s="103"/>
      <c r="L1314" s="1"/>
    </row>
    <row r="1315" spans="1:12" ht="15" x14ac:dyDescent="0.25">
      <c r="A1315" s="1"/>
      <c r="K1315" s="103"/>
      <c r="L1315" s="1"/>
    </row>
    <row r="1316" spans="1:12" ht="12.75" customHeight="1" x14ac:dyDescent="0.25">
      <c r="A1316" s="1"/>
      <c r="B1316" s="95" t="s">
        <v>77</v>
      </c>
      <c r="H1316" s="95" t="s">
        <v>78</v>
      </c>
      <c r="I1316" s="95"/>
      <c r="J1316" s="92"/>
      <c r="K1316" s="103"/>
      <c r="L1316" s="1"/>
    </row>
    <row r="1317" spans="1:12" ht="15" x14ac:dyDescent="0.25">
      <c r="A1317" s="1"/>
      <c r="B1317" s="99" t="s">
        <v>27</v>
      </c>
      <c r="C1317" s="57"/>
      <c r="H1317" s="99" t="s">
        <v>79</v>
      </c>
      <c r="K1317" s="103"/>
    </row>
    <row r="1318" spans="1:12" ht="12.75" x14ac:dyDescent="0.2"/>
    <row r="1319" spans="1:12" ht="12.75" x14ac:dyDescent="0.2"/>
    <row r="1320" spans="1:12" ht="12.75" x14ac:dyDescent="0.2"/>
    <row r="1321" spans="1:12" ht="12.75" x14ac:dyDescent="0.2"/>
    <row r="1322" spans="1:12" ht="15.75" x14ac:dyDescent="0.25">
      <c r="A1322" s="3" t="s">
        <v>22</v>
      </c>
    </row>
    <row r="1323" spans="1:12" ht="15.75" x14ac:dyDescent="0.2">
      <c r="A1323" s="122" t="s">
        <v>20</v>
      </c>
    </row>
    <row r="1324" spans="1:12" ht="21.75" customHeight="1" x14ac:dyDescent="0.2">
      <c r="A1324" s="122" t="s">
        <v>21</v>
      </c>
    </row>
    <row r="1325" spans="1:12" ht="29.25" customHeight="1" x14ac:dyDescent="0.2"/>
    <row r="1326" spans="1:12" ht="15" customHeight="1" x14ac:dyDescent="0.2"/>
    <row r="1327" spans="1:12" ht="12.75" customHeight="1" x14ac:dyDescent="0.2"/>
    <row r="1328" spans="1:12" ht="15.75" customHeight="1" x14ac:dyDescent="0.3">
      <c r="A1328" s="276" t="s">
        <v>6</v>
      </c>
      <c r="B1328" s="276"/>
      <c r="C1328" s="276"/>
      <c r="D1328" s="276"/>
      <c r="E1328" s="276"/>
      <c r="F1328" s="276"/>
      <c r="G1328" s="276"/>
      <c r="H1328" s="276"/>
      <c r="I1328" s="276"/>
      <c r="J1328" s="276"/>
      <c r="K1328" s="276"/>
      <c r="L1328" s="276"/>
    </row>
    <row r="1329" spans="1:12" ht="18.75" x14ac:dyDescent="0.3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</row>
    <row r="1330" spans="1:12" ht="6.75" customHeight="1" x14ac:dyDescent="0.3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</row>
    <row r="1331" spans="1:12" ht="15" hidden="1" x14ac:dyDescent="0.25">
      <c r="A1331" s="1"/>
      <c r="B1331" s="1"/>
    </row>
    <row r="1332" spans="1:12" ht="22.5" customHeight="1" x14ac:dyDescent="0.25">
      <c r="A1332" s="1" t="s">
        <v>7</v>
      </c>
      <c r="B1332" s="1"/>
    </row>
    <row r="1333" spans="1:12" ht="18.75" customHeight="1" x14ac:dyDescent="0.25">
      <c r="A1333" s="1"/>
      <c r="B1333" s="1"/>
    </row>
    <row r="1334" spans="1:12" ht="16.5" customHeight="1" x14ac:dyDescent="0.25">
      <c r="A1334" s="1" t="s">
        <v>8</v>
      </c>
      <c r="C1334" s="9" t="s">
        <v>1</v>
      </c>
      <c r="D1334" s="92" t="s">
        <v>96</v>
      </c>
      <c r="E1334" s="76"/>
      <c r="F1334" s="76"/>
      <c r="G1334" s="76"/>
      <c r="H1334" s="76"/>
    </row>
    <row r="1335" spans="1:12" ht="15" x14ac:dyDescent="0.25">
      <c r="A1335" s="1" t="s">
        <v>9</v>
      </c>
      <c r="C1335" s="9" t="s">
        <v>1</v>
      </c>
      <c r="D1335" s="57" t="s">
        <v>200</v>
      </c>
      <c r="E1335" s="76"/>
      <c r="F1335" s="76"/>
      <c r="G1335" s="76"/>
      <c r="H1335" s="76"/>
    </row>
    <row r="1336" spans="1:12" ht="17.25" customHeight="1" x14ac:dyDescent="0.2">
      <c r="A1336" s="50" t="s">
        <v>10</v>
      </c>
      <c r="B1336" s="76"/>
      <c r="C1336" s="91" t="s">
        <v>1</v>
      </c>
      <c r="D1336" s="50" t="s">
        <v>203</v>
      </c>
      <c r="E1336" s="76"/>
      <c r="F1336" s="76"/>
      <c r="G1336" s="76"/>
      <c r="H1336" s="76"/>
      <c r="I1336" s="76"/>
      <c r="J1336" s="76"/>
      <c r="K1336" s="76"/>
      <c r="L1336" s="76"/>
    </row>
    <row r="1337" spans="1:12" ht="12" customHeight="1" x14ac:dyDescent="0.25">
      <c r="A1337" s="1"/>
      <c r="B1337" s="1"/>
      <c r="D1337" s="1"/>
    </row>
    <row r="1338" spans="1:12" ht="24.75" customHeight="1" x14ac:dyDescent="0.2">
      <c r="A1338" s="277" t="s">
        <v>346</v>
      </c>
      <c r="B1338" s="277"/>
      <c r="C1338" s="277"/>
      <c r="D1338" s="277"/>
      <c r="E1338" s="277"/>
      <c r="F1338" s="277"/>
      <c r="G1338" s="277"/>
      <c r="H1338" s="277"/>
      <c r="I1338" s="277"/>
      <c r="J1338" s="277"/>
      <c r="K1338" s="277"/>
      <c r="L1338" s="277"/>
    </row>
    <row r="1339" spans="1:12" ht="15" x14ac:dyDescent="0.25">
      <c r="A1339" s="1"/>
      <c r="B1339" s="1"/>
    </row>
    <row r="1340" spans="1:12" ht="32.25" customHeight="1" thickBot="1" x14ac:dyDescent="0.25">
      <c r="A1340" s="10" t="s">
        <v>0</v>
      </c>
      <c r="B1340" s="278" t="s">
        <v>91</v>
      </c>
      <c r="C1340" s="278"/>
      <c r="D1340" s="278"/>
      <c r="E1340" s="278"/>
      <c r="F1340" s="278"/>
      <c r="G1340" s="278"/>
      <c r="H1340" s="278"/>
      <c r="I1340" s="278"/>
      <c r="J1340" s="278"/>
      <c r="K1340" s="278"/>
      <c r="L1340" s="278"/>
    </row>
    <row r="1341" spans="1:12" ht="15" customHeight="1" thickTop="1" x14ac:dyDescent="0.25">
      <c r="A1341" s="1"/>
      <c r="B1341" s="11" t="s">
        <v>3</v>
      </c>
      <c r="C1341" s="12" t="s">
        <v>4</v>
      </c>
      <c r="D1341" s="13"/>
      <c r="E1341" s="13"/>
      <c r="F1341" s="13"/>
      <c r="G1341" s="13"/>
      <c r="H1341" s="14"/>
      <c r="I1341" s="15" t="s">
        <v>5</v>
      </c>
      <c r="J1341" s="12" t="s">
        <v>17</v>
      </c>
      <c r="K1341" s="13"/>
      <c r="L1341" s="14"/>
    </row>
    <row r="1342" spans="1:12" ht="25.5" customHeight="1" x14ac:dyDescent="0.2">
      <c r="A1342" s="76"/>
      <c r="B1342" s="149">
        <v>1</v>
      </c>
      <c r="C1342" s="284" t="s">
        <v>303</v>
      </c>
      <c r="D1342" s="285"/>
      <c r="E1342" s="285"/>
      <c r="F1342" s="285"/>
      <c r="G1342" s="76"/>
      <c r="H1342" s="79"/>
      <c r="I1342" s="80">
        <v>250000</v>
      </c>
      <c r="J1342" s="76"/>
      <c r="K1342" s="76"/>
      <c r="L1342" s="79"/>
    </row>
    <row r="1343" spans="1:12" ht="12.75" x14ac:dyDescent="0.2">
      <c r="B1343" s="142">
        <v>2</v>
      </c>
      <c r="C1343" s="140" t="s">
        <v>238</v>
      </c>
      <c r="D1343" s="76"/>
      <c r="E1343" s="150">
        <v>622000</v>
      </c>
      <c r="F1343" s="316" t="s">
        <v>239</v>
      </c>
      <c r="G1343" s="314"/>
      <c r="H1343" s="315"/>
      <c r="I1343" s="80">
        <f>E1343*30/100*1</f>
        <v>186600</v>
      </c>
      <c r="J1343" s="76" t="s">
        <v>240</v>
      </c>
      <c r="K1343" s="76"/>
      <c r="L1343" s="79"/>
    </row>
    <row r="1344" spans="1:12" ht="12.75" x14ac:dyDescent="0.2">
      <c r="B1344" s="142"/>
      <c r="C1344" s="76"/>
      <c r="D1344" s="76"/>
      <c r="E1344" s="150"/>
      <c r="F1344" s="157"/>
      <c r="G1344" s="119"/>
      <c r="H1344" s="119"/>
      <c r="I1344" s="80"/>
      <c r="J1344" s="76"/>
      <c r="K1344" s="76"/>
      <c r="L1344" s="79"/>
    </row>
    <row r="1345" spans="1:12" ht="17.25" customHeight="1" x14ac:dyDescent="0.25">
      <c r="A1345" s="1"/>
      <c r="B1345" s="39"/>
      <c r="C1345" s="1"/>
      <c r="D1345" s="1"/>
      <c r="E1345" s="1"/>
      <c r="F1345" s="40" t="s">
        <v>5</v>
      </c>
      <c r="G1345" s="40"/>
      <c r="H1345" s="1"/>
      <c r="I1345" s="41">
        <f>SUM(I1342:I1343)</f>
        <v>436600</v>
      </c>
      <c r="J1345" s="1"/>
      <c r="K1345" s="1"/>
      <c r="L1345" s="42"/>
    </row>
    <row r="1346" spans="1:12" ht="18.75" customHeight="1" thickBot="1" x14ac:dyDescent="0.3">
      <c r="A1346" s="1"/>
      <c r="B1346" s="43"/>
      <c r="C1346" s="44"/>
      <c r="D1346" s="44"/>
      <c r="E1346" s="44"/>
      <c r="F1346" s="45"/>
      <c r="G1346" s="45"/>
      <c r="H1346" s="44"/>
      <c r="I1346" s="46"/>
      <c r="J1346" s="44"/>
      <c r="K1346" s="44"/>
      <c r="L1346" s="47"/>
    </row>
    <row r="1347" spans="1:12" ht="14.25" customHeight="1" thickTop="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 ht="50.25" customHeight="1" x14ac:dyDescent="0.2">
      <c r="A1348" s="10" t="s">
        <v>2</v>
      </c>
      <c r="B1348" s="279" t="s">
        <v>11</v>
      </c>
      <c r="C1348" s="279"/>
      <c r="D1348" s="279"/>
      <c r="E1348" s="279"/>
      <c r="F1348" s="279"/>
      <c r="G1348" s="279"/>
      <c r="H1348" s="279"/>
      <c r="I1348" s="279"/>
      <c r="J1348" s="279"/>
      <c r="K1348" s="279"/>
      <c r="L1348" s="279"/>
    </row>
    <row r="1349" spans="1:12" ht="9" customHeight="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 ht="21" customHeight="1" x14ac:dyDescent="0.2">
      <c r="A1350" s="280" t="s">
        <v>12</v>
      </c>
      <c r="B1350" s="280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</row>
    <row r="1351" spans="1:12" ht="13.5" customHeight="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 ht="7.5" customHeight="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 ht="15" hidden="1" x14ac:dyDescent="0.25">
      <c r="A1353" s="1"/>
      <c r="B1353" s="1"/>
      <c r="C1353" s="1"/>
      <c r="D1353" s="1"/>
      <c r="E1353" s="1"/>
      <c r="F1353" s="1"/>
      <c r="G1353" s="1"/>
      <c r="H1353" s="4" t="s">
        <v>199</v>
      </c>
      <c r="J1353" s="286" t="s">
        <v>335</v>
      </c>
      <c r="K1353" s="286"/>
      <c r="L1353" s="286"/>
    </row>
    <row r="1354" spans="1:12" ht="19.5" customHeight="1" x14ac:dyDescent="0.25">
      <c r="A1354" s="1"/>
      <c r="B1354" s="1" t="s">
        <v>15</v>
      </c>
      <c r="C1354" s="1"/>
      <c r="D1354" s="1"/>
      <c r="E1354" s="1"/>
      <c r="F1354" s="1"/>
      <c r="G1354" s="1"/>
      <c r="H1354" s="4" t="s">
        <v>13</v>
      </c>
    </row>
    <row r="1355" spans="1:12" ht="13.5" customHeight="1" x14ac:dyDescent="0.25">
      <c r="A1355" s="1"/>
      <c r="B1355" s="1" t="s">
        <v>18</v>
      </c>
      <c r="C1355" s="1"/>
      <c r="D1355" s="1"/>
      <c r="E1355" s="1"/>
      <c r="F1355" s="1"/>
      <c r="G1355" s="1"/>
      <c r="H1355" s="4" t="s">
        <v>14</v>
      </c>
    </row>
    <row r="1356" spans="1:12" ht="21" customHeight="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 ht="12" customHeight="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 ht="15" x14ac:dyDescent="0.25">
      <c r="A1358" s="1"/>
      <c r="B1358" s="103"/>
      <c r="C1358" s="103"/>
      <c r="D1358" s="103"/>
      <c r="E1358" s="103"/>
      <c r="F1358" s="103"/>
      <c r="G1358" s="103"/>
      <c r="H1358" s="103"/>
      <c r="I1358" s="103"/>
      <c r="J1358" s="103"/>
      <c r="K1358" s="103"/>
      <c r="L1358" s="1"/>
    </row>
    <row r="1359" spans="1:12" ht="21.75" customHeight="1" x14ac:dyDescent="0.25">
      <c r="A1359" s="1"/>
      <c r="K1359" s="103"/>
      <c r="L1359" s="1"/>
    </row>
    <row r="1360" spans="1:12" ht="15" x14ac:dyDescent="0.25">
      <c r="A1360" s="1"/>
      <c r="B1360" s="95" t="s">
        <v>77</v>
      </c>
      <c r="H1360" s="95" t="s">
        <v>96</v>
      </c>
      <c r="I1360" s="95"/>
      <c r="J1360" s="92"/>
      <c r="K1360" s="103"/>
      <c r="L1360" s="1"/>
    </row>
    <row r="1361" spans="1:12" ht="12.75" customHeight="1" x14ac:dyDescent="0.25">
      <c r="A1361" s="1"/>
      <c r="B1361" s="99" t="s">
        <v>27</v>
      </c>
      <c r="C1361" s="57"/>
      <c r="H1361" s="99" t="s">
        <v>100</v>
      </c>
      <c r="K1361" s="103"/>
    </row>
    <row r="1362" spans="1:12" ht="12.75" x14ac:dyDescent="0.2"/>
    <row r="1363" spans="1:12" ht="12.75" x14ac:dyDescent="0.2"/>
    <row r="1364" spans="1:12" ht="12.75" x14ac:dyDescent="0.2"/>
    <row r="1365" spans="1:12" ht="12.75" x14ac:dyDescent="0.2"/>
    <row r="1366" spans="1:12" ht="12.75" x14ac:dyDescent="0.2"/>
    <row r="1367" spans="1:12" ht="15.75" x14ac:dyDescent="0.25">
      <c r="A1367" s="3" t="s">
        <v>22</v>
      </c>
    </row>
    <row r="1368" spans="1:12" ht="14.25" customHeight="1" x14ac:dyDescent="0.2">
      <c r="A1368" s="122" t="s">
        <v>20</v>
      </c>
    </row>
    <row r="1369" spans="1:12" ht="21" customHeight="1" x14ac:dyDescent="0.2">
      <c r="A1369" s="122" t="s">
        <v>21</v>
      </c>
    </row>
    <row r="1370" spans="1:12" ht="29.25" customHeight="1" x14ac:dyDescent="0.2"/>
    <row r="1371" spans="1:12" ht="13.5" customHeight="1" x14ac:dyDescent="0.2"/>
    <row r="1372" spans="1:12" ht="33" hidden="1" customHeight="1" x14ac:dyDescent="0.2"/>
    <row r="1373" spans="1:12" ht="21.75" customHeight="1" x14ac:dyDescent="0.3">
      <c r="A1373" s="276" t="s">
        <v>6</v>
      </c>
      <c r="B1373" s="276"/>
      <c r="C1373" s="276"/>
      <c r="D1373" s="276"/>
      <c r="E1373" s="276"/>
      <c r="F1373" s="276"/>
      <c r="G1373" s="276"/>
      <c r="H1373" s="276"/>
      <c r="I1373" s="276"/>
      <c r="J1373" s="276"/>
      <c r="K1373" s="276"/>
      <c r="L1373" s="276"/>
    </row>
    <row r="1374" spans="1:12" ht="10.5" customHeight="1" x14ac:dyDescent="0.3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</row>
    <row r="1375" spans="1:12" ht="24" hidden="1" customHeight="1" x14ac:dyDescent="0.3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</row>
    <row r="1376" spans="1:12" ht="15" x14ac:dyDescent="0.25">
      <c r="A1376" s="1"/>
      <c r="B1376" s="1"/>
    </row>
    <row r="1377" spans="1:12" ht="33.75" customHeight="1" x14ac:dyDescent="0.25">
      <c r="A1377" s="1" t="s">
        <v>7</v>
      </c>
      <c r="B1377" s="1"/>
    </row>
    <row r="1378" spans="1:12" ht="18" customHeight="1" x14ac:dyDescent="0.25">
      <c r="A1378" s="1"/>
      <c r="B1378" s="1"/>
    </row>
    <row r="1379" spans="1:12" ht="12.75" customHeight="1" x14ac:dyDescent="0.25">
      <c r="A1379" s="1" t="s">
        <v>8</v>
      </c>
      <c r="C1379" s="9" t="s">
        <v>1</v>
      </c>
      <c r="D1379" s="67" t="s">
        <v>328</v>
      </c>
      <c r="E1379" s="76"/>
      <c r="F1379" s="76"/>
      <c r="G1379" s="76"/>
      <c r="H1379" s="76"/>
    </row>
    <row r="1380" spans="1:12" ht="13.5" customHeight="1" x14ac:dyDescent="0.25">
      <c r="A1380" s="1" t="s">
        <v>9</v>
      </c>
      <c r="C1380" s="9" t="s">
        <v>1</v>
      </c>
      <c r="D1380" s="68" t="s">
        <v>330</v>
      </c>
      <c r="E1380" s="76"/>
      <c r="F1380" s="76"/>
      <c r="G1380" s="76"/>
      <c r="H1380" s="76"/>
    </row>
    <row r="1381" spans="1:12" ht="21" customHeight="1" x14ac:dyDescent="0.2">
      <c r="A1381" s="50" t="s">
        <v>10</v>
      </c>
      <c r="B1381" s="76"/>
      <c r="C1381" s="91" t="s">
        <v>1</v>
      </c>
      <c r="D1381" s="50" t="s">
        <v>81</v>
      </c>
      <c r="E1381" s="76"/>
      <c r="F1381" s="76"/>
      <c r="G1381" s="76"/>
      <c r="H1381" s="76"/>
      <c r="I1381" s="76"/>
      <c r="J1381" s="76"/>
      <c r="K1381" s="76"/>
      <c r="L1381" s="76"/>
    </row>
    <row r="1382" spans="1:12" ht="15" x14ac:dyDescent="0.25">
      <c r="A1382" s="1"/>
      <c r="B1382" s="1"/>
      <c r="D1382" s="1"/>
    </row>
    <row r="1383" spans="1:12" ht="31.5" customHeight="1" x14ac:dyDescent="0.2">
      <c r="A1383" s="277" t="s">
        <v>347</v>
      </c>
      <c r="B1383" s="277"/>
      <c r="C1383" s="277"/>
      <c r="D1383" s="277"/>
      <c r="E1383" s="277"/>
      <c r="F1383" s="277"/>
      <c r="G1383" s="277"/>
      <c r="H1383" s="277"/>
      <c r="I1383" s="277"/>
      <c r="J1383" s="277"/>
      <c r="K1383" s="277"/>
      <c r="L1383" s="277"/>
    </row>
    <row r="1384" spans="1:12" ht="14.25" customHeight="1" x14ac:dyDescent="0.25">
      <c r="A1384" s="1"/>
      <c r="B1384" s="1"/>
    </row>
    <row r="1385" spans="1:12" ht="35.25" customHeight="1" thickBot="1" x14ac:dyDescent="0.25">
      <c r="A1385" s="10" t="s">
        <v>0</v>
      </c>
      <c r="B1385" s="278" t="s">
        <v>91</v>
      </c>
      <c r="C1385" s="278"/>
      <c r="D1385" s="278"/>
      <c r="E1385" s="278"/>
      <c r="F1385" s="278"/>
      <c r="G1385" s="278"/>
      <c r="H1385" s="278"/>
      <c r="I1385" s="278"/>
      <c r="J1385" s="278"/>
      <c r="K1385" s="278"/>
      <c r="L1385" s="278"/>
    </row>
    <row r="1386" spans="1:12" ht="22.5" customHeight="1" thickTop="1" x14ac:dyDescent="0.25">
      <c r="A1386" s="1"/>
      <c r="B1386" s="11" t="s">
        <v>3</v>
      </c>
      <c r="C1386" s="12" t="s">
        <v>4</v>
      </c>
      <c r="D1386" s="13"/>
      <c r="E1386" s="13"/>
      <c r="F1386" s="13"/>
      <c r="G1386" s="13"/>
      <c r="H1386" s="14"/>
      <c r="I1386" s="15" t="s">
        <v>5</v>
      </c>
      <c r="J1386" s="12" t="s">
        <v>17</v>
      </c>
      <c r="K1386" s="13"/>
      <c r="L1386" s="14"/>
    </row>
    <row r="1387" spans="1:12" ht="24.75" customHeight="1" x14ac:dyDescent="0.2">
      <c r="A1387" s="50"/>
      <c r="B1387" s="143">
        <v>1</v>
      </c>
      <c r="C1387" s="284" t="s">
        <v>348</v>
      </c>
      <c r="D1387" s="285"/>
      <c r="E1387" s="285"/>
      <c r="F1387" s="285"/>
      <c r="G1387" s="76"/>
      <c r="H1387" s="79"/>
      <c r="I1387" s="56">
        <v>250000</v>
      </c>
      <c r="J1387" s="76"/>
      <c r="K1387" s="76"/>
      <c r="L1387" s="79"/>
    </row>
    <row r="1388" spans="1:12" ht="15" x14ac:dyDescent="0.25">
      <c r="A1388" s="50"/>
      <c r="B1388" s="96">
        <v>2</v>
      </c>
      <c r="C1388" s="321" t="s">
        <v>238</v>
      </c>
      <c r="D1388" s="297"/>
      <c r="E1388" s="150">
        <v>1957000</v>
      </c>
      <c r="F1388" s="319" t="s">
        <v>239</v>
      </c>
      <c r="G1388" s="297"/>
      <c r="H1388" s="320"/>
      <c r="I1388" s="56">
        <f>E1388*30/100*1</f>
        <v>587100</v>
      </c>
      <c r="J1388" s="50" t="s">
        <v>240</v>
      </c>
      <c r="K1388" s="1"/>
      <c r="L1388" s="17"/>
    </row>
    <row r="1389" spans="1:12" ht="15" x14ac:dyDescent="0.25">
      <c r="A1389" s="50"/>
      <c r="B1389" s="96"/>
      <c r="C1389" s="124"/>
      <c r="D1389" s="124"/>
      <c r="E1389" s="127"/>
      <c r="F1389" s="125"/>
      <c r="G1389" s="124"/>
      <c r="H1389" s="124"/>
      <c r="I1389" s="56"/>
      <c r="J1389" s="50"/>
      <c r="K1389" s="1"/>
      <c r="L1389" s="17"/>
    </row>
    <row r="1390" spans="1:12" ht="18.75" customHeight="1" x14ac:dyDescent="0.25">
      <c r="A1390" s="1"/>
      <c r="B1390" s="39"/>
      <c r="C1390" s="1"/>
      <c r="D1390" s="1"/>
      <c r="E1390" s="1"/>
      <c r="F1390" s="40" t="s">
        <v>5</v>
      </c>
      <c r="G1390" s="40"/>
      <c r="H1390" s="1"/>
      <c r="I1390" s="41">
        <f>SUM(I1387:I1388)</f>
        <v>837100</v>
      </c>
      <c r="J1390" s="1"/>
      <c r="K1390" s="1"/>
      <c r="L1390" s="42"/>
    </row>
    <row r="1391" spans="1:12" ht="9.75" customHeight="1" thickBot="1" x14ac:dyDescent="0.3">
      <c r="A1391" s="1"/>
      <c r="B1391" s="43"/>
      <c r="C1391" s="44"/>
      <c r="D1391" s="44"/>
      <c r="E1391" s="44"/>
      <c r="F1391" s="45"/>
      <c r="G1391" s="45"/>
      <c r="H1391" s="44"/>
      <c r="I1391" s="46"/>
      <c r="J1391" s="44"/>
      <c r="K1391" s="44"/>
      <c r="L1391" s="47"/>
    </row>
    <row r="1392" spans="1:12" ht="15.75" thickTop="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 ht="47.25" customHeight="1" x14ac:dyDescent="0.2">
      <c r="A1393" s="10" t="s">
        <v>2</v>
      </c>
      <c r="B1393" s="279" t="s">
        <v>11</v>
      </c>
      <c r="C1393" s="279"/>
      <c r="D1393" s="279"/>
      <c r="E1393" s="279"/>
      <c r="F1393" s="279"/>
      <c r="G1393" s="279"/>
      <c r="H1393" s="279"/>
      <c r="I1393" s="279"/>
      <c r="J1393" s="279"/>
      <c r="K1393" s="279"/>
      <c r="L1393" s="279"/>
    </row>
    <row r="1394" spans="1:12" ht="14.25" customHeight="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 ht="18" customHeight="1" x14ac:dyDescent="0.2">
      <c r="A1395" s="280" t="s">
        <v>12</v>
      </c>
      <c r="B1395" s="280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</row>
    <row r="1396" spans="1:12" ht="15" customHeight="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ht="13.5" hidden="1" customHeight="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 ht="13.5" customHeight="1" x14ac:dyDescent="0.25">
      <c r="A1398" s="1"/>
      <c r="B1398" s="1"/>
      <c r="C1398" s="1"/>
      <c r="D1398" s="1"/>
      <c r="E1398" s="1"/>
      <c r="F1398" s="1"/>
      <c r="G1398" s="1"/>
      <c r="H1398" s="4" t="s">
        <v>199</v>
      </c>
      <c r="J1398" s="286" t="s">
        <v>335</v>
      </c>
      <c r="K1398" s="286"/>
      <c r="L1398" s="286"/>
    </row>
    <row r="1399" spans="1:12" ht="15" x14ac:dyDescent="0.25">
      <c r="A1399" s="1"/>
      <c r="B1399" s="1" t="s">
        <v>15</v>
      </c>
      <c r="C1399" s="1"/>
      <c r="D1399" s="1"/>
      <c r="E1399" s="1"/>
      <c r="F1399" s="1"/>
      <c r="G1399" s="1"/>
      <c r="H1399" s="4" t="s">
        <v>13</v>
      </c>
    </row>
    <row r="1400" spans="1:12" ht="15" x14ac:dyDescent="0.25">
      <c r="A1400" s="1"/>
      <c r="B1400" s="1" t="s">
        <v>18</v>
      </c>
      <c r="C1400" s="1"/>
      <c r="D1400" s="1"/>
      <c r="E1400" s="1"/>
      <c r="F1400" s="1"/>
      <c r="G1400" s="1"/>
      <c r="H1400" s="4" t="s">
        <v>14</v>
      </c>
    </row>
    <row r="1401" spans="1:12" ht="18" customHeight="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ht="15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 ht="8.25" customHeight="1" x14ac:dyDescent="0.25">
      <c r="A1403" s="1"/>
      <c r="B1403" s="103"/>
      <c r="C1403" s="103"/>
      <c r="D1403" s="103"/>
      <c r="E1403" s="103"/>
      <c r="F1403" s="103"/>
      <c r="G1403" s="103"/>
      <c r="H1403" s="103"/>
      <c r="I1403" s="103"/>
      <c r="J1403" s="103"/>
      <c r="K1403" s="103"/>
      <c r="L1403" s="1"/>
    </row>
    <row r="1404" spans="1:12" ht="21.75" customHeight="1" x14ac:dyDescent="0.25">
      <c r="A1404" s="1"/>
      <c r="K1404" s="103"/>
      <c r="L1404" s="1"/>
    </row>
    <row r="1405" spans="1:12" ht="11.25" customHeight="1" x14ac:dyDescent="0.25">
      <c r="A1405" s="1"/>
      <c r="B1405" s="95" t="s">
        <v>77</v>
      </c>
      <c r="H1405" s="63" t="s">
        <v>328</v>
      </c>
      <c r="I1405" s="95"/>
      <c r="J1405" s="92"/>
      <c r="K1405" s="103"/>
      <c r="L1405" s="1"/>
    </row>
    <row r="1406" spans="1:12" ht="15" x14ac:dyDescent="0.25">
      <c r="A1406" s="1"/>
      <c r="B1406" s="99" t="s">
        <v>27</v>
      </c>
      <c r="C1406" s="57"/>
      <c r="H1406" s="50" t="s">
        <v>329</v>
      </c>
      <c r="K1406" s="103"/>
    </row>
    <row r="1407" spans="1:12" ht="21" customHeight="1" x14ac:dyDescent="0.2"/>
    <row r="1408" spans="1:12" ht="18" customHeight="1" x14ac:dyDescent="0.2"/>
    <row r="1409" spans="1:12" ht="14.25" customHeight="1" x14ac:dyDescent="0.2"/>
    <row r="1410" spans="1:12" ht="17.25" customHeight="1" x14ac:dyDescent="0.2"/>
    <row r="1411" spans="1:12" ht="17.25" customHeight="1" x14ac:dyDescent="0.2"/>
    <row r="1412" spans="1:12" ht="12.75" customHeight="1" x14ac:dyDescent="0.2"/>
    <row r="1413" spans="1:12" ht="18.75" customHeight="1" x14ac:dyDescent="0.2"/>
    <row r="1414" spans="1:12" ht="12.75" x14ac:dyDescent="0.2"/>
    <row r="1415" spans="1:12" ht="13.5" customHeight="1" x14ac:dyDescent="0.2"/>
    <row r="1416" spans="1:12" ht="7.5" customHeight="1" x14ac:dyDescent="0.2"/>
    <row r="1417" spans="1:12" ht="35.25" customHeight="1" x14ac:dyDescent="0.25">
      <c r="A1417" s="3" t="s">
        <v>22</v>
      </c>
    </row>
    <row r="1418" spans="1:12" ht="15.75" x14ac:dyDescent="0.2">
      <c r="A1418" s="122" t="s">
        <v>20</v>
      </c>
    </row>
    <row r="1419" spans="1:12" ht="19.5" customHeight="1" x14ac:dyDescent="0.2">
      <c r="A1419" s="122" t="s">
        <v>21</v>
      </c>
    </row>
    <row r="1420" spans="1:12" ht="12.75" x14ac:dyDescent="0.2"/>
    <row r="1421" spans="1:12" ht="18.75" customHeight="1" x14ac:dyDescent="0.2"/>
    <row r="1422" spans="1:12" ht="21" customHeight="1" x14ac:dyDescent="0.2"/>
    <row r="1423" spans="1:12" ht="23.25" customHeight="1" x14ac:dyDescent="0.3">
      <c r="A1423" s="276" t="s">
        <v>6</v>
      </c>
      <c r="B1423" s="276"/>
      <c r="C1423" s="276"/>
      <c r="D1423" s="276"/>
      <c r="E1423" s="276"/>
      <c r="F1423" s="276"/>
      <c r="G1423" s="276"/>
      <c r="H1423" s="276"/>
      <c r="I1423" s="276"/>
      <c r="J1423" s="276"/>
      <c r="K1423" s="276"/>
      <c r="L1423" s="276"/>
    </row>
    <row r="1424" spans="1:12" ht="18.75" x14ac:dyDescent="0.3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</row>
    <row r="1425" spans="1:12" ht="18.75" x14ac:dyDescent="0.3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</row>
    <row r="1426" spans="1:12" ht="15" x14ac:dyDescent="0.25">
      <c r="A1426" s="1"/>
      <c r="B1426" s="1"/>
    </row>
    <row r="1427" spans="1:12" ht="15" x14ac:dyDescent="0.25">
      <c r="A1427" s="1" t="s">
        <v>7</v>
      </c>
      <c r="B1427" s="1"/>
    </row>
    <row r="1428" spans="1:12" ht="15" x14ac:dyDescent="0.25">
      <c r="A1428" s="1"/>
      <c r="B1428" s="1"/>
    </row>
    <row r="1429" spans="1:12" ht="15" x14ac:dyDescent="0.25">
      <c r="A1429" s="1" t="s">
        <v>8</v>
      </c>
      <c r="C1429" s="9" t="s">
        <v>1</v>
      </c>
      <c r="D1429" s="92" t="s">
        <v>77</v>
      </c>
      <c r="E1429" s="76"/>
      <c r="F1429" s="76"/>
      <c r="G1429" s="76"/>
      <c r="H1429" s="76"/>
    </row>
    <row r="1430" spans="1:12" ht="15" customHeight="1" x14ac:dyDescent="0.25">
      <c r="A1430" s="1" t="s">
        <v>9</v>
      </c>
      <c r="C1430" s="9" t="s">
        <v>1</v>
      </c>
      <c r="D1430" s="57" t="s">
        <v>201</v>
      </c>
      <c r="E1430" s="76"/>
      <c r="F1430" s="76"/>
      <c r="G1430" s="76"/>
      <c r="H1430" s="76"/>
    </row>
    <row r="1431" spans="1:12" ht="15.75" customHeight="1" x14ac:dyDescent="0.2">
      <c r="A1431" s="50" t="s">
        <v>10</v>
      </c>
      <c r="B1431" s="76"/>
      <c r="C1431" s="91" t="s">
        <v>1</v>
      </c>
      <c r="D1431" s="50" t="s">
        <v>265</v>
      </c>
      <c r="E1431" s="76"/>
      <c r="F1431" s="76"/>
      <c r="G1431" s="76"/>
      <c r="H1431" s="76"/>
      <c r="I1431" s="76"/>
      <c r="J1431" s="76"/>
      <c r="K1431" s="76"/>
      <c r="L1431" s="76"/>
    </row>
    <row r="1432" spans="1:12" ht="15" x14ac:dyDescent="0.25">
      <c r="A1432" s="1"/>
      <c r="B1432" s="1"/>
      <c r="D1432" s="1"/>
    </row>
    <row r="1433" spans="1:12" ht="30" customHeight="1" x14ac:dyDescent="0.2">
      <c r="A1433" s="277" t="s">
        <v>349</v>
      </c>
      <c r="B1433" s="277"/>
      <c r="C1433" s="277"/>
      <c r="D1433" s="277"/>
      <c r="E1433" s="277"/>
      <c r="F1433" s="277"/>
      <c r="G1433" s="277"/>
      <c r="H1433" s="277"/>
      <c r="I1433" s="277"/>
      <c r="J1433" s="277"/>
      <c r="K1433" s="277"/>
      <c r="L1433" s="277"/>
    </row>
    <row r="1434" spans="1:12" ht="15" x14ac:dyDescent="0.25">
      <c r="A1434" s="1"/>
      <c r="B1434" s="1"/>
    </row>
    <row r="1435" spans="1:12" ht="33" customHeight="1" thickBot="1" x14ac:dyDescent="0.25">
      <c r="A1435" s="10" t="s">
        <v>0</v>
      </c>
      <c r="B1435" s="278" t="s">
        <v>91</v>
      </c>
      <c r="C1435" s="278"/>
      <c r="D1435" s="278"/>
      <c r="E1435" s="278"/>
      <c r="F1435" s="278"/>
      <c r="G1435" s="278"/>
      <c r="H1435" s="278"/>
      <c r="I1435" s="278"/>
      <c r="J1435" s="278"/>
      <c r="K1435" s="278"/>
      <c r="L1435" s="278"/>
    </row>
    <row r="1436" spans="1:12" ht="15.75" thickTop="1" x14ac:dyDescent="0.25">
      <c r="A1436" s="1"/>
      <c r="B1436" s="11" t="s">
        <v>3</v>
      </c>
      <c r="C1436" s="12" t="s">
        <v>4</v>
      </c>
      <c r="D1436" s="13"/>
      <c r="E1436" s="13"/>
      <c r="F1436" s="13"/>
      <c r="G1436" s="13"/>
      <c r="H1436" s="14"/>
      <c r="I1436" s="15" t="s">
        <v>5</v>
      </c>
      <c r="J1436" s="12" t="s">
        <v>17</v>
      </c>
      <c r="K1436" s="13"/>
      <c r="L1436" s="14"/>
    </row>
    <row r="1437" spans="1:12" ht="18" customHeight="1" x14ac:dyDescent="0.2">
      <c r="A1437" s="50"/>
      <c r="B1437" s="143">
        <v>1</v>
      </c>
      <c r="C1437" s="284" t="s">
        <v>303</v>
      </c>
      <c r="D1437" s="285"/>
      <c r="E1437" s="285"/>
      <c r="F1437" s="285"/>
      <c r="G1437" s="76"/>
      <c r="H1437" s="79"/>
      <c r="I1437" s="56">
        <v>250000</v>
      </c>
      <c r="J1437" s="76"/>
      <c r="K1437" s="76"/>
      <c r="L1437" s="79"/>
    </row>
    <row r="1438" spans="1:12" ht="21.75" customHeight="1" x14ac:dyDescent="0.25">
      <c r="A1438" s="50"/>
      <c r="B1438" s="96">
        <v>2</v>
      </c>
      <c r="C1438" s="321" t="s">
        <v>238</v>
      </c>
      <c r="D1438" s="297"/>
      <c r="E1438" s="150">
        <v>1957000</v>
      </c>
      <c r="F1438" s="319" t="s">
        <v>239</v>
      </c>
      <c r="G1438" s="297"/>
      <c r="H1438" s="320"/>
      <c r="I1438" s="56">
        <f>E1438*30/100*1</f>
        <v>587100</v>
      </c>
      <c r="J1438" s="50" t="s">
        <v>240</v>
      </c>
      <c r="K1438" s="1"/>
      <c r="L1438" s="17"/>
    </row>
    <row r="1439" spans="1:12" ht="37.5" customHeight="1" x14ac:dyDescent="0.25">
      <c r="A1439" s="50"/>
      <c r="B1439" s="96"/>
      <c r="C1439" s="124"/>
      <c r="D1439" s="124"/>
      <c r="E1439" s="127"/>
      <c r="F1439" s="125"/>
      <c r="G1439" s="124"/>
      <c r="H1439" s="124"/>
      <c r="I1439" s="56"/>
      <c r="J1439" s="50"/>
      <c r="K1439" s="1"/>
      <c r="L1439" s="17"/>
    </row>
    <row r="1440" spans="1:12" ht="17.25" customHeight="1" x14ac:dyDescent="0.25">
      <c r="A1440" s="1"/>
      <c r="B1440" s="39"/>
      <c r="C1440" s="1"/>
      <c r="D1440" s="1"/>
      <c r="E1440" s="1"/>
      <c r="F1440" s="40" t="s">
        <v>5</v>
      </c>
      <c r="G1440" s="40"/>
      <c r="H1440" s="1"/>
      <c r="I1440" s="41">
        <f>SUM(I1437:I1438)</f>
        <v>837100</v>
      </c>
      <c r="J1440" s="1"/>
      <c r="K1440" s="1"/>
      <c r="L1440" s="42"/>
    </row>
    <row r="1441" spans="1:12" ht="18.75" customHeight="1" thickBot="1" x14ac:dyDescent="0.3">
      <c r="A1441" s="1"/>
      <c r="B1441" s="43"/>
      <c r="C1441" s="44"/>
      <c r="D1441" s="44"/>
      <c r="E1441" s="44"/>
      <c r="F1441" s="45"/>
      <c r="G1441" s="45"/>
      <c r="H1441" s="44"/>
      <c r="I1441" s="46"/>
      <c r="J1441" s="44"/>
      <c r="K1441" s="44"/>
      <c r="L1441" s="47"/>
    </row>
    <row r="1442" spans="1:12" ht="21" customHeight="1" thickTop="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ht="51" customHeight="1" x14ac:dyDescent="0.2">
      <c r="A1443" s="10" t="s">
        <v>2</v>
      </c>
      <c r="B1443" s="279" t="s">
        <v>11</v>
      </c>
      <c r="C1443" s="279"/>
      <c r="D1443" s="279"/>
      <c r="E1443" s="279"/>
      <c r="F1443" s="279"/>
      <c r="G1443" s="279"/>
      <c r="H1443" s="279"/>
      <c r="I1443" s="279"/>
      <c r="J1443" s="279"/>
      <c r="K1443" s="279"/>
      <c r="L1443" s="279"/>
    </row>
    <row r="1444" spans="1:12" ht="13.5" customHeight="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ht="15" x14ac:dyDescent="0.2">
      <c r="A1445" s="280" t="s">
        <v>12</v>
      </c>
      <c r="B1445" s="280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</row>
    <row r="1446" spans="1:12" ht="13.5" customHeight="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ht="1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ht="15" customHeight="1" x14ac:dyDescent="0.25">
      <c r="A1448" s="1"/>
      <c r="B1448" s="1"/>
      <c r="C1448" s="1"/>
      <c r="D1448" s="1"/>
      <c r="E1448" s="1"/>
      <c r="F1448" s="1"/>
      <c r="G1448" s="1"/>
      <c r="H1448" s="4" t="s">
        <v>199</v>
      </c>
      <c r="J1448" s="286" t="s">
        <v>335</v>
      </c>
      <c r="K1448" s="286"/>
      <c r="L1448" s="286"/>
    </row>
    <row r="1449" spans="1:12" ht="15" x14ac:dyDescent="0.25">
      <c r="A1449" s="1"/>
      <c r="B1449" s="1" t="s">
        <v>15</v>
      </c>
      <c r="C1449" s="1"/>
      <c r="D1449" s="1"/>
      <c r="E1449" s="1"/>
      <c r="F1449" s="1"/>
      <c r="G1449" s="1"/>
      <c r="H1449" s="4" t="s">
        <v>13</v>
      </c>
    </row>
    <row r="1450" spans="1:12" ht="15" x14ac:dyDescent="0.25">
      <c r="A1450" s="1"/>
      <c r="B1450" s="1" t="s">
        <v>18</v>
      </c>
      <c r="C1450" s="1"/>
      <c r="D1450" s="1"/>
      <c r="E1450" s="1"/>
      <c r="F1450" s="1"/>
      <c r="G1450" s="1"/>
      <c r="H1450" s="4" t="s">
        <v>14</v>
      </c>
    </row>
    <row r="1451" spans="1:12" ht="45.75" customHeight="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 ht="13.5" customHeight="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ht="19.5" hidden="1" customHeight="1" x14ac:dyDescent="0.25">
      <c r="A1453" s="1"/>
      <c r="B1453" s="103"/>
      <c r="C1453" s="103"/>
      <c r="D1453" s="103"/>
      <c r="E1453" s="103"/>
      <c r="F1453" s="103"/>
      <c r="G1453" s="103"/>
      <c r="H1453" s="103"/>
      <c r="I1453" s="103"/>
      <c r="J1453" s="103"/>
      <c r="K1453" s="103"/>
      <c r="L1453" s="1"/>
    </row>
    <row r="1454" spans="1:12" ht="15" hidden="1" x14ac:dyDescent="0.25">
      <c r="A1454" s="1"/>
      <c r="K1454" s="103"/>
      <c r="L1454" s="1"/>
    </row>
    <row r="1455" spans="1:12" ht="15.75" customHeight="1" x14ac:dyDescent="0.25">
      <c r="A1455" s="1"/>
      <c r="B1455" s="95" t="s">
        <v>77</v>
      </c>
      <c r="H1455" s="95" t="s">
        <v>77</v>
      </c>
      <c r="I1455" s="95"/>
      <c r="J1455" s="92"/>
      <c r="K1455" s="103"/>
      <c r="L1455" s="1"/>
    </row>
    <row r="1456" spans="1:12" ht="15" x14ac:dyDescent="0.25">
      <c r="A1456" s="1"/>
      <c r="B1456" s="99" t="s">
        <v>27</v>
      </c>
      <c r="C1456" s="57"/>
      <c r="H1456" s="99" t="s">
        <v>27</v>
      </c>
      <c r="K1456" s="103"/>
    </row>
    <row r="1457" spans="1:12" ht="12" customHeight="1" x14ac:dyDescent="0.2"/>
    <row r="1458" spans="1:12" ht="12.75" x14ac:dyDescent="0.2"/>
    <row r="1459" spans="1:12" ht="19.5" customHeight="1" x14ac:dyDescent="0.2"/>
    <row r="1460" spans="1:12" ht="31.5" hidden="1" customHeight="1" x14ac:dyDescent="0.2"/>
    <row r="1461" spans="1:12" ht="31.5" customHeight="1" x14ac:dyDescent="0.2"/>
    <row r="1462" spans="1:12" ht="21" customHeight="1" x14ac:dyDescent="0.2"/>
    <row r="1463" spans="1:12" ht="20.25" customHeight="1" x14ac:dyDescent="0.25">
      <c r="A1463" s="3" t="s">
        <v>22</v>
      </c>
    </row>
    <row r="1464" spans="1:12" ht="15.75" x14ac:dyDescent="0.2">
      <c r="A1464" s="122" t="s">
        <v>20</v>
      </c>
    </row>
    <row r="1465" spans="1:12" ht="15.75" x14ac:dyDescent="0.2">
      <c r="A1465" s="122" t="s">
        <v>21</v>
      </c>
    </row>
    <row r="1466" spans="1:12" ht="19.5" customHeight="1" x14ac:dyDescent="0.2"/>
    <row r="1467" spans="1:12" ht="21.75" customHeight="1" x14ac:dyDescent="0.2"/>
    <row r="1468" spans="1:12" ht="18.75" customHeight="1" x14ac:dyDescent="0.2"/>
    <row r="1469" spans="1:12" ht="21.75" customHeight="1" x14ac:dyDescent="0.3">
      <c r="A1469" s="276" t="s">
        <v>6</v>
      </c>
      <c r="B1469" s="276"/>
      <c r="C1469" s="276"/>
      <c r="D1469" s="276"/>
      <c r="E1469" s="276"/>
      <c r="F1469" s="276"/>
      <c r="G1469" s="276"/>
      <c r="H1469" s="276"/>
      <c r="I1469" s="276"/>
      <c r="J1469" s="276"/>
      <c r="K1469" s="276"/>
      <c r="L1469" s="276"/>
    </row>
    <row r="1470" spans="1:12" ht="18" customHeight="1" x14ac:dyDescent="0.3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</row>
    <row r="1471" spans="1:12" ht="19.5" customHeight="1" x14ac:dyDescent="0.3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</row>
    <row r="1472" spans="1:12" ht="15" x14ac:dyDescent="0.25">
      <c r="A1472" s="1"/>
      <c r="B1472" s="1"/>
    </row>
    <row r="1473" spans="1:12" ht="15" x14ac:dyDescent="0.25">
      <c r="A1473" s="1" t="s">
        <v>7</v>
      </c>
      <c r="B1473" s="1"/>
    </row>
    <row r="1474" spans="1:12" ht="15" x14ac:dyDescent="0.25">
      <c r="A1474" s="1"/>
      <c r="B1474" s="1"/>
    </row>
    <row r="1475" spans="1:12" ht="15" x14ac:dyDescent="0.25">
      <c r="A1475" s="1" t="s">
        <v>8</v>
      </c>
      <c r="C1475" s="9" t="s">
        <v>1</v>
      </c>
      <c r="D1475" s="126" t="s">
        <v>64</v>
      </c>
      <c r="E1475" s="76"/>
      <c r="F1475" s="76"/>
      <c r="G1475" s="76"/>
      <c r="H1475" s="76"/>
    </row>
    <row r="1476" spans="1:12" ht="15" x14ac:dyDescent="0.25">
      <c r="A1476" s="1" t="s">
        <v>9</v>
      </c>
      <c r="C1476" s="9" t="s">
        <v>1</v>
      </c>
      <c r="D1476" s="119" t="s">
        <v>236</v>
      </c>
      <c r="E1476" s="76"/>
      <c r="F1476" s="76"/>
      <c r="G1476" s="76"/>
      <c r="H1476" s="76"/>
    </row>
    <row r="1477" spans="1:12" ht="14.25" customHeight="1" x14ac:dyDescent="0.2">
      <c r="A1477" s="50" t="s">
        <v>10</v>
      </c>
      <c r="B1477" s="76"/>
      <c r="C1477" s="91" t="s">
        <v>1</v>
      </c>
      <c r="D1477" s="124" t="s">
        <v>235</v>
      </c>
      <c r="E1477" s="76"/>
      <c r="F1477" s="76"/>
      <c r="G1477" s="76"/>
      <c r="H1477" s="76"/>
      <c r="I1477" s="76"/>
      <c r="J1477" s="76"/>
      <c r="K1477" s="76"/>
      <c r="L1477" s="76"/>
    </row>
    <row r="1478" spans="1:12" ht="19.5" customHeight="1" x14ac:dyDescent="0.25">
      <c r="A1478" s="1"/>
      <c r="B1478" s="1"/>
      <c r="D1478" s="1"/>
    </row>
    <row r="1479" spans="1:12" ht="33" customHeight="1" x14ac:dyDescent="0.2">
      <c r="A1479" s="277" t="s">
        <v>349</v>
      </c>
      <c r="B1479" s="277"/>
      <c r="C1479" s="277"/>
      <c r="D1479" s="277"/>
      <c r="E1479" s="277"/>
      <c r="F1479" s="277"/>
      <c r="G1479" s="277"/>
      <c r="H1479" s="277"/>
      <c r="I1479" s="277"/>
      <c r="J1479" s="277"/>
      <c r="K1479" s="277"/>
      <c r="L1479" s="277"/>
    </row>
    <row r="1480" spans="1:12" ht="15" customHeight="1" x14ac:dyDescent="0.25">
      <c r="A1480" s="1"/>
      <c r="B1480" s="1"/>
    </row>
    <row r="1481" spans="1:12" ht="37.5" customHeight="1" thickBot="1" x14ac:dyDescent="0.25">
      <c r="A1481" s="10" t="s">
        <v>0</v>
      </c>
      <c r="B1481" s="278" t="s">
        <v>91</v>
      </c>
      <c r="C1481" s="278"/>
      <c r="D1481" s="278"/>
      <c r="E1481" s="278"/>
      <c r="F1481" s="278"/>
      <c r="G1481" s="278"/>
      <c r="H1481" s="278"/>
      <c r="I1481" s="278"/>
      <c r="J1481" s="278"/>
      <c r="K1481" s="278"/>
      <c r="L1481" s="278"/>
    </row>
    <row r="1482" spans="1:12" ht="21.75" customHeight="1" thickTop="1" x14ac:dyDescent="0.25">
      <c r="A1482" s="1"/>
      <c r="B1482" s="11" t="s">
        <v>3</v>
      </c>
      <c r="C1482" s="12" t="s">
        <v>4</v>
      </c>
      <c r="D1482" s="13"/>
      <c r="E1482" s="13"/>
      <c r="F1482" s="13"/>
      <c r="G1482" s="13"/>
      <c r="H1482" s="14"/>
      <c r="I1482" s="15" t="s">
        <v>5</v>
      </c>
      <c r="J1482" s="12" t="s">
        <v>17</v>
      </c>
      <c r="K1482" s="13"/>
      <c r="L1482" s="14"/>
    </row>
    <row r="1483" spans="1:12" ht="30" customHeight="1" x14ac:dyDescent="0.2">
      <c r="A1483" s="76"/>
      <c r="B1483" s="149">
        <v>1</v>
      </c>
      <c r="C1483" s="284" t="s">
        <v>303</v>
      </c>
      <c r="D1483" s="285"/>
      <c r="E1483" s="285"/>
      <c r="F1483" s="285"/>
      <c r="G1483" s="76"/>
      <c r="H1483" s="79"/>
      <c r="I1483" s="80">
        <v>250000</v>
      </c>
      <c r="J1483" s="76"/>
      <c r="K1483" s="76"/>
      <c r="L1483" s="79"/>
    </row>
    <row r="1484" spans="1:12" ht="35.25" customHeight="1" x14ac:dyDescent="0.2">
      <c r="B1484" s="142">
        <v>2</v>
      </c>
      <c r="C1484" s="140" t="s">
        <v>238</v>
      </c>
      <c r="D1484" s="76"/>
      <c r="E1484" s="150">
        <v>622000</v>
      </c>
      <c r="F1484" s="316" t="s">
        <v>239</v>
      </c>
      <c r="G1484" s="314"/>
      <c r="H1484" s="315"/>
      <c r="I1484" s="80">
        <f>E1484*30/100*1</f>
        <v>186600</v>
      </c>
      <c r="J1484" s="76" t="s">
        <v>240</v>
      </c>
      <c r="K1484" s="76"/>
      <c r="L1484" s="79"/>
    </row>
    <row r="1485" spans="1:12" ht="24.75" customHeight="1" x14ac:dyDescent="0.2">
      <c r="B1485" s="142"/>
      <c r="C1485" s="76"/>
      <c r="D1485" s="76"/>
      <c r="E1485" s="150"/>
      <c r="F1485" s="157"/>
      <c r="G1485" s="119"/>
      <c r="H1485" s="119"/>
      <c r="I1485" s="80"/>
      <c r="J1485" s="76"/>
      <c r="K1485" s="76"/>
      <c r="L1485" s="79"/>
    </row>
    <row r="1486" spans="1:12" ht="20.25" customHeight="1" x14ac:dyDescent="0.25">
      <c r="A1486" s="1"/>
      <c r="B1486" s="39"/>
      <c r="C1486" s="1"/>
      <c r="D1486" s="1"/>
      <c r="E1486" s="1"/>
      <c r="F1486" s="40" t="s">
        <v>5</v>
      </c>
      <c r="G1486" s="40"/>
      <c r="H1486" s="1"/>
      <c r="I1486" s="41">
        <f>SUM(I1483:I1484)</f>
        <v>436600</v>
      </c>
      <c r="J1486" s="1"/>
      <c r="K1486" s="1"/>
      <c r="L1486" s="42"/>
    </row>
    <row r="1487" spans="1:12" ht="15.75" thickBot="1" x14ac:dyDescent="0.3">
      <c r="A1487" s="1"/>
      <c r="B1487" s="43"/>
      <c r="C1487" s="44"/>
      <c r="D1487" s="44"/>
      <c r="E1487" s="44"/>
      <c r="F1487" s="45"/>
      <c r="G1487" s="45"/>
      <c r="H1487" s="44"/>
      <c r="I1487" s="46"/>
      <c r="J1487" s="44"/>
      <c r="K1487" s="44"/>
      <c r="L1487" s="47"/>
    </row>
    <row r="1488" spans="1:12" ht="18.75" customHeight="1" thickTop="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ht="48" customHeight="1" x14ac:dyDescent="0.2">
      <c r="A1489" s="10" t="s">
        <v>2</v>
      </c>
      <c r="B1489" s="279" t="s">
        <v>11</v>
      </c>
      <c r="C1489" s="279"/>
      <c r="D1489" s="279"/>
      <c r="E1489" s="279"/>
      <c r="F1489" s="279"/>
      <c r="G1489" s="279"/>
      <c r="H1489" s="279"/>
      <c r="I1489" s="279"/>
      <c r="J1489" s="279"/>
      <c r="K1489" s="279"/>
      <c r="L1489" s="279"/>
    </row>
    <row r="1490" spans="1:12" ht="12.75" customHeight="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ht="15" x14ac:dyDescent="0.2">
      <c r="A1491" s="280" t="s">
        <v>12</v>
      </c>
      <c r="B1491" s="280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</row>
    <row r="1492" spans="1:12" ht="15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ht="15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ht="15" x14ac:dyDescent="0.25">
      <c r="A1494" s="1"/>
      <c r="B1494" s="1"/>
      <c r="C1494" s="1"/>
      <c r="D1494" s="1"/>
      <c r="E1494" s="1"/>
      <c r="F1494" s="1"/>
      <c r="G1494" s="1"/>
      <c r="H1494" s="4" t="s">
        <v>199</v>
      </c>
      <c r="J1494" s="286" t="s">
        <v>335</v>
      </c>
      <c r="K1494" s="286"/>
      <c r="L1494" s="286"/>
    </row>
    <row r="1495" spans="1:12" ht="14.25" customHeight="1" x14ac:dyDescent="0.25">
      <c r="A1495" s="1"/>
      <c r="B1495" s="1" t="s">
        <v>15</v>
      </c>
      <c r="C1495" s="1"/>
      <c r="D1495" s="1"/>
      <c r="E1495" s="1"/>
      <c r="F1495" s="1"/>
      <c r="G1495" s="1"/>
      <c r="H1495" s="4" t="s">
        <v>13</v>
      </c>
    </row>
    <row r="1496" spans="1:12" ht="18.75" customHeight="1" x14ac:dyDescent="0.25">
      <c r="A1496" s="1"/>
      <c r="B1496" s="1" t="s">
        <v>18</v>
      </c>
      <c r="C1496" s="1"/>
      <c r="D1496" s="1"/>
      <c r="E1496" s="1"/>
      <c r="F1496" s="1"/>
      <c r="G1496" s="1"/>
      <c r="H1496" s="4" t="s">
        <v>14</v>
      </c>
    </row>
    <row r="1497" spans="1:12" ht="31.5" customHeight="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ht="7.5" customHeight="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ht="15" hidden="1" x14ac:dyDescent="0.25">
      <c r="A1499" s="1"/>
      <c r="B1499" s="103"/>
      <c r="C1499" s="103"/>
      <c r="D1499" s="103"/>
      <c r="E1499" s="103"/>
      <c r="F1499" s="103"/>
      <c r="G1499" s="103"/>
      <c r="H1499" s="103"/>
      <c r="I1499" s="103"/>
      <c r="J1499" s="103"/>
      <c r="K1499" s="103"/>
      <c r="L1499" s="1"/>
    </row>
    <row r="1500" spans="1:12" ht="15" x14ac:dyDescent="0.25">
      <c r="A1500" s="1"/>
      <c r="K1500" s="103"/>
      <c r="L1500" s="1"/>
    </row>
    <row r="1501" spans="1:12" ht="15" x14ac:dyDescent="0.25">
      <c r="A1501" s="1"/>
      <c r="B1501" s="95" t="s">
        <v>77</v>
      </c>
      <c r="H1501" s="95" t="s">
        <v>64</v>
      </c>
      <c r="I1501" s="95"/>
      <c r="J1501" s="92"/>
      <c r="K1501" s="103"/>
      <c r="L1501" s="1"/>
    </row>
    <row r="1502" spans="1:12" ht="18.75" customHeight="1" x14ac:dyDescent="0.25">
      <c r="A1502" s="1"/>
      <c r="B1502" s="99" t="s">
        <v>27</v>
      </c>
      <c r="C1502" s="57"/>
      <c r="H1502" s="99" t="s">
        <v>46</v>
      </c>
      <c r="K1502" s="103"/>
    </row>
    <row r="1503" spans="1:12" ht="12.75" x14ac:dyDescent="0.2"/>
    <row r="1504" spans="1:12" ht="40.5" customHeight="1" x14ac:dyDescent="0.2"/>
    <row r="1505" spans="1:12" ht="12.75" x14ac:dyDescent="0.2"/>
    <row r="1506" spans="1:12" ht="13.5" customHeight="1" x14ac:dyDescent="0.25">
      <c r="A1506" s="3" t="s">
        <v>22</v>
      </c>
    </row>
    <row r="1507" spans="1:12" ht="22.5" customHeight="1" x14ac:dyDescent="0.2">
      <c r="A1507" s="122" t="s">
        <v>20</v>
      </c>
    </row>
    <row r="1508" spans="1:12" ht="23.25" customHeight="1" x14ac:dyDescent="0.2">
      <c r="A1508" s="122" t="s">
        <v>21</v>
      </c>
    </row>
    <row r="1509" spans="1:12" s="76" customFormat="1" ht="16.5" customHeight="1" x14ac:dyDescent="0.2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</row>
    <row r="1510" spans="1:12" ht="15" customHeight="1" x14ac:dyDescent="0.2"/>
    <row r="1511" spans="1:12" ht="12.75" x14ac:dyDescent="0.2"/>
    <row r="1512" spans="1:12" ht="18.75" x14ac:dyDescent="0.3">
      <c r="A1512" s="276" t="s">
        <v>6</v>
      </c>
      <c r="B1512" s="276"/>
      <c r="C1512" s="276"/>
      <c r="D1512" s="276"/>
      <c r="E1512" s="276"/>
      <c r="F1512" s="276"/>
      <c r="G1512" s="276"/>
      <c r="H1512" s="276"/>
      <c r="I1512" s="276"/>
      <c r="J1512" s="276"/>
      <c r="K1512" s="276"/>
      <c r="L1512" s="276"/>
    </row>
    <row r="1513" spans="1:12" ht="18.75" x14ac:dyDescent="0.3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</row>
    <row r="1514" spans="1:12" ht="15" customHeight="1" x14ac:dyDescent="0.3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</row>
    <row r="1515" spans="1:12" ht="15.75" customHeight="1" x14ac:dyDescent="0.25">
      <c r="A1515" s="1"/>
      <c r="B1515" s="1"/>
    </row>
    <row r="1516" spans="1:12" ht="14.25" customHeight="1" x14ac:dyDescent="0.25">
      <c r="A1516" s="1" t="s">
        <v>7</v>
      </c>
      <c r="B1516" s="1"/>
    </row>
    <row r="1517" spans="1:12" ht="21.75" customHeight="1" x14ac:dyDescent="0.25">
      <c r="A1517" s="1"/>
      <c r="B1517" s="1"/>
    </row>
    <row r="1518" spans="1:12" ht="18" customHeight="1" x14ac:dyDescent="0.25">
      <c r="A1518" s="1" t="s">
        <v>8</v>
      </c>
      <c r="C1518" s="9" t="s">
        <v>1</v>
      </c>
      <c r="D1518" s="123" t="s">
        <v>78</v>
      </c>
      <c r="E1518" s="76"/>
      <c r="F1518" s="76"/>
      <c r="G1518" s="76"/>
      <c r="H1518" s="76"/>
    </row>
    <row r="1519" spans="1:12" ht="19.5" customHeight="1" x14ac:dyDescent="0.25">
      <c r="A1519" s="1" t="s">
        <v>9</v>
      </c>
      <c r="C1519" s="9" t="s">
        <v>1</v>
      </c>
      <c r="D1519" s="76" t="s">
        <v>234</v>
      </c>
      <c r="E1519" s="76"/>
      <c r="F1519" s="76"/>
      <c r="G1519" s="76"/>
      <c r="H1519" s="76"/>
    </row>
    <row r="1520" spans="1:12" ht="17.25" customHeight="1" x14ac:dyDescent="0.2">
      <c r="A1520" s="50" t="s">
        <v>10</v>
      </c>
      <c r="B1520" s="76"/>
      <c r="C1520" s="91" t="s">
        <v>1</v>
      </c>
      <c r="D1520" s="50" t="s">
        <v>235</v>
      </c>
      <c r="E1520" s="76"/>
      <c r="F1520" s="76"/>
      <c r="G1520" s="76"/>
      <c r="H1520" s="76"/>
      <c r="I1520" s="76"/>
      <c r="J1520" s="76"/>
      <c r="K1520" s="76"/>
      <c r="L1520" s="76"/>
    </row>
    <row r="1521" spans="1:12" ht="15" x14ac:dyDescent="0.25">
      <c r="A1521" s="1"/>
      <c r="B1521" s="1"/>
      <c r="D1521" s="1"/>
    </row>
    <row r="1522" spans="1:12" ht="33.75" customHeight="1" x14ac:dyDescent="0.2">
      <c r="A1522" s="277" t="s">
        <v>349</v>
      </c>
      <c r="B1522" s="277"/>
      <c r="C1522" s="277"/>
      <c r="D1522" s="277"/>
      <c r="E1522" s="277"/>
      <c r="F1522" s="277"/>
      <c r="G1522" s="277"/>
      <c r="H1522" s="277"/>
      <c r="I1522" s="277"/>
      <c r="J1522" s="277"/>
      <c r="K1522" s="277"/>
      <c r="L1522" s="277"/>
    </row>
    <row r="1523" spans="1:12" ht="15" x14ac:dyDescent="0.25">
      <c r="A1523" s="1"/>
      <c r="B1523" s="1"/>
    </row>
    <row r="1524" spans="1:12" ht="35.25" customHeight="1" thickBot="1" x14ac:dyDescent="0.25">
      <c r="A1524" s="10" t="s">
        <v>0</v>
      </c>
      <c r="B1524" s="278" t="s">
        <v>91</v>
      </c>
      <c r="C1524" s="278"/>
      <c r="D1524" s="278"/>
      <c r="E1524" s="278"/>
      <c r="F1524" s="278"/>
      <c r="G1524" s="278"/>
      <c r="H1524" s="278"/>
      <c r="I1524" s="278"/>
      <c r="J1524" s="278"/>
      <c r="K1524" s="278"/>
      <c r="L1524" s="278"/>
    </row>
    <row r="1525" spans="1:12" ht="15.75" thickTop="1" x14ac:dyDescent="0.25">
      <c r="A1525" s="1"/>
      <c r="B1525" s="11" t="s">
        <v>3</v>
      </c>
      <c r="C1525" s="12" t="s">
        <v>4</v>
      </c>
      <c r="D1525" s="13"/>
      <c r="E1525" s="13"/>
      <c r="F1525" s="13"/>
      <c r="G1525" s="13"/>
      <c r="H1525" s="14"/>
      <c r="I1525" s="15" t="s">
        <v>5</v>
      </c>
      <c r="J1525" s="12" t="s">
        <v>17</v>
      </c>
      <c r="K1525" s="13"/>
      <c r="L1525" s="14"/>
    </row>
    <row r="1526" spans="1:12" ht="21" customHeight="1" x14ac:dyDescent="0.2">
      <c r="A1526" s="76"/>
      <c r="B1526" s="149">
        <v>1</v>
      </c>
      <c r="C1526" s="284" t="s">
        <v>303</v>
      </c>
      <c r="D1526" s="285"/>
      <c r="E1526" s="285"/>
      <c r="F1526" s="285"/>
      <c r="G1526" s="76"/>
      <c r="H1526" s="79"/>
      <c r="I1526" s="80">
        <v>250000</v>
      </c>
      <c r="J1526" s="76"/>
      <c r="K1526" s="76"/>
      <c r="L1526" s="79"/>
    </row>
    <row r="1527" spans="1:12" ht="15.75" customHeight="1" x14ac:dyDescent="0.2">
      <c r="B1527" s="142">
        <v>2</v>
      </c>
      <c r="C1527" s="140" t="s">
        <v>238</v>
      </c>
      <c r="D1527" s="76"/>
      <c r="E1527" s="150">
        <v>622000</v>
      </c>
      <c r="F1527" s="316" t="s">
        <v>239</v>
      </c>
      <c r="G1527" s="314"/>
      <c r="H1527" s="315"/>
      <c r="I1527" s="80">
        <f>E1527*30/100*2</f>
        <v>373200</v>
      </c>
      <c r="J1527" s="76" t="s">
        <v>281</v>
      </c>
      <c r="K1527" s="76"/>
      <c r="L1527" s="79"/>
    </row>
    <row r="1528" spans="1:12" ht="27.75" customHeight="1" x14ac:dyDescent="0.2">
      <c r="B1528" s="142"/>
      <c r="C1528" s="76"/>
      <c r="D1528" s="76"/>
      <c r="E1528" s="150"/>
      <c r="F1528" s="157"/>
      <c r="G1528" s="119"/>
      <c r="H1528" s="119"/>
      <c r="I1528" s="80"/>
      <c r="J1528" s="76"/>
      <c r="K1528" s="76"/>
      <c r="L1528" s="79"/>
    </row>
    <row r="1529" spans="1:12" ht="15" customHeight="1" x14ac:dyDescent="0.25">
      <c r="A1529" s="1"/>
      <c r="B1529" s="39"/>
      <c r="C1529" s="1"/>
      <c r="D1529" s="1"/>
      <c r="E1529" s="1"/>
      <c r="F1529" s="40" t="s">
        <v>5</v>
      </c>
      <c r="G1529" s="40"/>
      <c r="H1529" s="1"/>
      <c r="I1529" s="41">
        <f>SUM(I1526:I1527)</f>
        <v>623200</v>
      </c>
      <c r="J1529" s="1"/>
      <c r="K1529" s="1"/>
      <c r="L1529" s="42"/>
    </row>
    <row r="1530" spans="1:12" ht="9" customHeight="1" thickBot="1" x14ac:dyDescent="0.3">
      <c r="A1530" s="1"/>
      <c r="B1530" s="43"/>
      <c r="C1530" s="44"/>
      <c r="D1530" s="44"/>
      <c r="E1530" s="44"/>
      <c r="F1530" s="45"/>
      <c r="G1530" s="45"/>
      <c r="H1530" s="44"/>
      <c r="I1530" s="46"/>
      <c r="J1530" s="44"/>
      <c r="K1530" s="44"/>
      <c r="L1530" s="47"/>
    </row>
    <row r="1531" spans="1:12" ht="15.75" thickTop="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ht="49.5" customHeight="1" x14ac:dyDescent="0.2">
      <c r="A1532" s="10" t="s">
        <v>2</v>
      </c>
      <c r="B1532" s="279" t="s">
        <v>11</v>
      </c>
      <c r="C1532" s="279"/>
      <c r="D1532" s="279"/>
      <c r="E1532" s="279"/>
      <c r="F1532" s="279"/>
      <c r="G1532" s="279"/>
      <c r="H1532" s="279"/>
      <c r="I1532" s="279"/>
      <c r="J1532" s="279"/>
      <c r="K1532" s="279"/>
      <c r="L1532" s="279"/>
    </row>
    <row r="1533" spans="1:12" ht="1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ht="15" x14ac:dyDescent="0.2">
      <c r="A1534" s="280" t="s">
        <v>12</v>
      </c>
      <c r="B1534" s="280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</row>
    <row r="1535" spans="1:12" ht="15.75" customHeight="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ht="15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ht="12.75" customHeight="1" x14ac:dyDescent="0.25">
      <c r="A1537" s="1"/>
      <c r="B1537" s="1"/>
      <c r="C1537" s="1"/>
      <c r="D1537" s="1"/>
      <c r="E1537" s="1"/>
      <c r="F1537" s="1"/>
      <c r="G1537" s="1"/>
      <c r="H1537" s="4" t="s">
        <v>199</v>
      </c>
      <c r="J1537" s="286" t="s">
        <v>335</v>
      </c>
      <c r="K1537" s="286"/>
      <c r="L1537" s="286"/>
    </row>
    <row r="1538" spans="1:12" ht="14.25" customHeight="1" x14ac:dyDescent="0.25">
      <c r="A1538" s="1"/>
      <c r="B1538" s="1" t="s">
        <v>15</v>
      </c>
      <c r="C1538" s="1"/>
      <c r="D1538" s="1"/>
      <c r="E1538" s="1"/>
      <c r="F1538" s="1"/>
      <c r="G1538" s="1"/>
      <c r="H1538" s="4" t="s">
        <v>13</v>
      </c>
    </row>
    <row r="1539" spans="1:12" ht="15" x14ac:dyDescent="0.25">
      <c r="A1539" s="1"/>
      <c r="B1539" s="1" t="s">
        <v>18</v>
      </c>
      <c r="C1539" s="1"/>
      <c r="D1539" s="1"/>
      <c r="E1539" s="1"/>
      <c r="F1539" s="1"/>
      <c r="G1539" s="1"/>
      <c r="H1539" s="4" t="s">
        <v>14</v>
      </c>
    </row>
    <row r="1540" spans="1:12" ht="15" customHeight="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ht="15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ht="15" x14ac:dyDescent="0.25">
      <c r="A1542" s="1"/>
      <c r="B1542" s="103"/>
      <c r="C1542" s="103"/>
      <c r="D1542" s="103"/>
      <c r="E1542" s="103"/>
      <c r="F1542" s="103"/>
      <c r="G1542" s="103"/>
      <c r="H1542" s="103"/>
      <c r="I1542" s="103"/>
      <c r="J1542" s="103"/>
      <c r="K1542" s="103"/>
      <c r="L1542" s="1"/>
    </row>
    <row r="1543" spans="1:12" ht="15" x14ac:dyDescent="0.25">
      <c r="A1543" s="1"/>
      <c r="K1543" s="103"/>
      <c r="L1543" s="1"/>
    </row>
    <row r="1544" spans="1:12" ht="15" x14ac:dyDescent="0.25">
      <c r="A1544" s="1"/>
      <c r="B1544" s="95" t="s">
        <v>77</v>
      </c>
      <c r="H1544" s="95" t="s">
        <v>78</v>
      </c>
      <c r="I1544" s="95"/>
      <c r="J1544" s="92"/>
      <c r="K1544" s="103"/>
      <c r="L1544" s="1"/>
    </row>
    <row r="1545" spans="1:12" ht="15" x14ac:dyDescent="0.25">
      <c r="A1545" s="1"/>
      <c r="B1545" s="99" t="s">
        <v>27</v>
      </c>
      <c r="C1545" s="57"/>
      <c r="H1545" s="99" t="s">
        <v>79</v>
      </c>
      <c r="K1545" s="103"/>
    </row>
    <row r="1546" spans="1:12" ht="12.75" x14ac:dyDescent="0.2"/>
    <row r="1547" spans="1:12" ht="12.75" x14ac:dyDescent="0.2"/>
    <row r="1548" spans="1:12" ht="12.75" x14ac:dyDescent="0.2"/>
    <row r="1549" spans="1:12" ht="20.25" customHeight="1" x14ac:dyDescent="0.2"/>
    <row r="1550" spans="1:12" ht="15.75" x14ac:dyDescent="0.25">
      <c r="A1550" s="3" t="s">
        <v>22</v>
      </c>
    </row>
    <row r="1551" spans="1:12" ht="19.5" customHeight="1" x14ac:dyDescent="0.2">
      <c r="A1551" s="122" t="s">
        <v>20</v>
      </c>
    </row>
    <row r="1552" spans="1:12" ht="21" customHeight="1" x14ac:dyDescent="0.2">
      <c r="A1552" s="122" t="s">
        <v>21</v>
      </c>
    </row>
    <row r="1553" spans="1:12" ht="19.5" customHeight="1" x14ac:dyDescent="0.2"/>
    <row r="1554" spans="1:12" ht="25.5" customHeight="1" x14ac:dyDescent="0.2"/>
    <row r="1555" spans="1:12" ht="15.75" customHeight="1" x14ac:dyDescent="0.2"/>
    <row r="1556" spans="1:12" ht="21.75" customHeight="1" x14ac:dyDescent="0.3">
      <c r="A1556" s="276" t="s">
        <v>6</v>
      </c>
      <c r="B1556" s="276"/>
      <c r="C1556" s="276"/>
      <c r="D1556" s="276"/>
      <c r="E1556" s="276"/>
      <c r="F1556" s="276"/>
      <c r="G1556" s="276"/>
      <c r="H1556" s="276"/>
      <c r="I1556" s="276"/>
      <c r="J1556" s="276"/>
      <c r="K1556" s="276"/>
      <c r="L1556" s="276"/>
    </row>
    <row r="1557" spans="1:12" ht="18.75" x14ac:dyDescent="0.3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</row>
    <row r="1558" spans="1:12" ht="6" customHeight="1" x14ac:dyDescent="0.3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</row>
    <row r="1559" spans="1:12" ht="15" hidden="1" x14ac:dyDescent="0.25">
      <c r="A1559" s="1"/>
      <c r="B1559" s="1"/>
    </row>
    <row r="1560" spans="1:12" ht="15" x14ac:dyDescent="0.25">
      <c r="A1560" s="1" t="s">
        <v>7</v>
      </c>
      <c r="B1560" s="1"/>
    </row>
    <row r="1561" spans="1:12" ht="18" customHeight="1" x14ac:dyDescent="0.25">
      <c r="A1561" s="1"/>
      <c r="B1561" s="1"/>
    </row>
    <row r="1562" spans="1:12" ht="15" x14ac:dyDescent="0.25">
      <c r="A1562" s="1" t="s">
        <v>8</v>
      </c>
      <c r="C1562" s="9" t="s">
        <v>1</v>
      </c>
      <c r="D1562" s="92" t="s">
        <v>96</v>
      </c>
      <c r="E1562" s="76"/>
      <c r="F1562" s="76"/>
      <c r="G1562" s="76"/>
      <c r="H1562" s="76"/>
    </row>
    <row r="1563" spans="1:12" ht="15" customHeight="1" x14ac:dyDescent="0.25">
      <c r="A1563" s="1" t="s">
        <v>9</v>
      </c>
      <c r="C1563" s="9" t="s">
        <v>1</v>
      </c>
      <c r="D1563" s="57" t="s">
        <v>200</v>
      </c>
      <c r="E1563" s="76"/>
      <c r="F1563" s="76"/>
      <c r="G1563" s="76"/>
      <c r="H1563" s="76"/>
    </row>
    <row r="1564" spans="1:12" ht="18.75" customHeight="1" x14ac:dyDescent="0.2">
      <c r="A1564" s="50" t="s">
        <v>10</v>
      </c>
      <c r="B1564" s="76"/>
      <c r="C1564" s="91" t="s">
        <v>1</v>
      </c>
      <c r="D1564" s="50" t="s">
        <v>203</v>
      </c>
      <c r="E1564" s="76"/>
      <c r="F1564" s="76"/>
      <c r="G1564" s="76"/>
      <c r="H1564" s="76"/>
      <c r="I1564" s="76"/>
      <c r="J1564" s="76"/>
      <c r="K1564" s="76"/>
      <c r="L1564" s="76"/>
    </row>
    <row r="1565" spans="1:12" ht="18.75" customHeight="1" x14ac:dyDescent="0.25">
      <c r="A1565" s="1"/>
      <c r="B1565" s="1"/>
      <c r="D1565" s="1"/>
    </row>
    <row r="1566" spans="1:12" ht="40.5" customHeight="1" x14ac:dyDescent="0.2">
      <c r="A1566" s="277" t="s">
        <v>349</v>
      </c>
      <c r="B1566" s="277"/>
      <c r="C1566" s="277"/>
      <c r="D1566" s="277"/>
      <c r="E1566" s="277"/>
      <c r="F1566" s="277"/>
      <c r="G1566" s="277"/>
      <c r="H1566" s="277"/>
      <c r="I1566" s="277"/>
      <c r="J1566" s="277"/>
      <c r="K1566" s="277"/>
      <c r="L1566" s="277"/>
    </row>
    <row r="1567" spans="1:12" ht="11.25" customHeight="1" x14ac:dyDescent="0.25">
      <c r="A1567" s="1"/>
      <c r="B1567" s="1"/>
    </row>
    <row r="1568" spans="1:12" ht="39.75" customHeight="1" thickBot="1" x14ac:dyDescent="0.25">
      <c r="A1568" s="10" t="s">
        <v>0</v>
      </c>
      <c r="B1568" s="278" t="s">
        <v>91</v>
      </c>
      <c r="C1568" s="278"/>
      <c r="D1568" s="278"/>
      <c r="E1568" s="278"/>
      <c r="F1568" s="278"/>
      <c r="G1568" s="278"/>
      <c r="H1568" s="278"/>
      <c r="I1568" s="278"/>
      <c r="J1568" s="278"/>
      <c r="K1568" s="278"/>
      <c r="L1568" s="278"/>
    </row>
    <row r="1569" spans="1:12" ht="12.75" customHeight="1" thickTop="1" x14ac:dyDescent="0.25">
      <c r="A1569" s="1"/>
      <c r="B1569" s="11" t="s">
        <v>3</v>
      </c>
      <c r="C1569" s="12" t="s">
        <v>4</v>
      </c>
      <c r="D1569" s="13"/>
      <c r="E1569" s="13"/>
      <c r="F1569" s="13"/>
      <c r="G1569" s="13"/>
      <c r="H1569" s="14"/>
      <c r="I1569" s="15" t="s">
        <v>5</v>
      </c>
      <c r="J1569" s="12" t="s">
        <v>17</v>
      </c>
      <c r="K1569" s="13"/>
      <c r="L1569" s="14"/>
    </row>
    <row r="1570" spans="1:12" ht="26.25" customHeight="1" x14ac:dyDescent="0.2">
      <c r="A1570" s="76"/>
      <c r="B1570" s="149">
        <v>1</v>
      </c>
      <c r="C1570" s="284" t="s">
        <v>303</v>
      </c>
      <c r="D1570" s="285"/>
      <c r="E1570" s="285"/>
      <c r="F1570" s="285"/>
      <c r="G1570" s="76"/>
      <c r="H1570" s="79"/>
      <c r="I1570" s="80">
        <v>250000</v>
      </c>
      <c r="J1570" s="76"/>
      <c r="K1570" s="76"/>
      <c r="L1570" s="79"/>
    </row>
    <row r="1571" spans="1:12" ht="27" customHeight="1" x14ac:dyDescent="0.2">
      <c r="B1571" s="142">
        <v>2</v>
      </c>
      <c r="C1571" s="140" t="s">
        <v>238</v>
      </c>
      <c r="D1571" s="76"/>
      <c r="E1571" s="150">
        <v>622000</v>
      </c>
      <c r="F1571" s="316" t="s">
        <v>239</v>
      </c>
      <c r="G1571" s="314"/>
      <c r="H1571" s="315"/>
      <c r="I1571" s="80">
        <f>E1571*30/100*1</f>
        <v>186600</v>
      </c>
      <c r="J1571" s="76" t="s">
        <v>240</v>
      </c>
      <c r="K1571" s="76"/>
      <c r="L1571" s="79"/>
    </row>
    <row r="1572" spans="1:12" ht="19.5" customHeight="1" x14ac:dyDescent="0.2">
      <c r="B1572" s="142"/>
      <c r="C1572" s="76"/>
      <c r="D1572" s="76"/>
      <c r="E1572" s="150"/>
      <c r="F1572" s="157"/>
      <c r="G1572" s="119"/>
      <c r="H1572" s="119"/>
      <c r="I1572" s="80"/>
      <c r="J1572" s="76"/>
      <c r="K1572" s="76"/>
      <c r="L1572" s="79"/>
    </row>
    <row r="1573" spans="1:12" ht="15" x14ac:dyDescent="0.25">
      <c r="A1573" s="1"/>
      <c r="B1573" s="39"/>
      <c r="C1573" s="1"/>
      <c r="D1573" s="1"/>
      <c r="E1573" s="1"/>
      <c r="F1573" s="40" t="s">
        <v>5</v>
      </c>
      <c r="G1573" s="40"/>
      <c r="H1573" s="1"/>
      <c r="I1573" s="41">
        <f>SUM(I1570:I1571)</f>
        <v>436600</v>
      </c>
      <c r="J1573" s="1"/>
      <c r="K1573" s="1"/>
      <c r="L1573" s="42"/>
    </row>
    <row r="1574" spans="1:12" ht="13.5" customHeight="1" thickBot="1" x14ac:dyDescent="0.3">
      <c r="A1574" s="1"/>
      <c r="B1574" s="43"/>
      <c r="C1574" s="44"/>
      <c r="D1574" s="44"/>
      <c r="E1574" s="44"/>
      <c r="F1574" s="45"/>
      <c r="G1574" s="45"/>
      <c r="H1574" s="44"/>
      <c r="I1574" s="46"/>
      <c r="J1574" s="44"/>
      <c r="K1574" s="44"/>
      <c r="L1574" s="47"/>
    </row>
    <row r="1575" spans="1:12" ht="20.25" customHeight="1" thickTop="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 ht="45" customHeight="1" x14ac:dyDescent="0.2">
      <c r="A1576" s="10" t="s">
        <v>2</v>
      </c>
      <c r="B1576" s="279" t="s">
        <v>11</v>
      </c>
      <c r="C1576" s="279"/>
      <c r="D1576" s="279"/>
      <c r="E1576" s="279"/>
      <c r="F1576" s="279"/>
      <c r="G1576" s="279"/>
      <c r="H1576" s="279"/>
      <c r="I1576" s="279"/>
      <c r="J1576" s="279"/>
      <c r="K1576" s="279"/>
      <c r="L1576" s="279"/>
    </row>
    <row r="1577" spans="1:12" ht="15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 ht="21" customHeight="1" x14ac:dyDescent="0.2">
      <c r="A1578" s="280" t="s">
        <v>12</v>
      </c>
      <c r="B1578" s="280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</row>
    <row r="1579" spans="1:12" ht="15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ht="15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ht="15.75" customHeight="1" x14ac:dyDescent="0.25">
      <c r="A1581" s="1"/>
      <c r="B1581" s="1"/>
      <c r="C1581" s="1"/>
      <c r="D1581" s="1"/>
      <c r="E1581" s="1"/>
      <c r="F1581" s="1"/>
      <c r="G1581" s="1"/>
      <c r="H1581" s="4" t="s">
        <v>199</v>
      </c>
      <c r="J1581" s="286" t="s">
        <v>335</v>
      </c>
      <c r="K1581" s="286"/>
      <c r="L1581" s="286"/>
    </row>
    <row r="1582" spans="1:12" ht="15" x14ac:dyDescent="0.25">
      <c r="A1582" s="1"/>
      <c r="B1582" s="1" t="s">
        <v>15</v>
      </c>
      <c r="C1582" s="1"/>
      <c r="D1582" s="1"/>
      <c r="E1582" s="1"/>
      <c r="F1582" s="1"/>
      <c r="G1582" s="1"/>
      <c r="H1582" s="4" t="s">
        <v>13</v>
      </c>
    </row>
    <row r="1583" spans="1:12" ht="12.75" customHeight="1" x14ac:dyDescent="0.25">
      <c r="A1583" s="1"/>
      <c r="B1583" s="1" t="s">
        <v>18</v>
      </c>
      <c r="C1583" s="1"/>
      <c r="D1583" s="1"/>
      <c r="E1583" s="1"/>
      <c r="F1583" s="1"/>
      <c r="G1583" s="1"/>
      <c r="H1583" s="4" t="s">
        <v>14</v>
      </c>
    </row>
    <row r="1584" spans="1:12" ht="15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ht="12" customHeight="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ht="12.75" customHeight="1" x14ac:dyDescent="0.25">
      <c r="A1586" s="1"/>
      <c r="B1586" s="103"/>
      <c r="C1586" s="103"/>
      <c r="D1586" s="103"/>
      <c r="E1586" s="103"/>
      <c r="F1586" s="103"/>
      <c r="G1586" s="103"/>
      <c r="H1586" s="103"/>
      <c r="I1586" s="103"/>
      <c r="J1586" s="103"/>
      <c r="K1586" s="103"/>
      <c r="L1586" s="1"/>
    </row>
    <row r="1587" spans="1:12" ht="15" customHeight="1" x14ac:dyDescent="0.25">
      <c r="A1587" s="1"/>
      <c r="K1587" s="103"/>
      <c r="L1587" s="1"/>
    </row>
    <row r="1588" spans="1:12" ht="15" x14ac:dyDescent="0.25">
      <c r="A1588" s="1"/>
      <c r="B1588" s="95" t="s">
        <v>77</v>
      </c>
      <c r="H1588" s="95" t="s">
        <v>96</v>
      </c>
      <c r="I1588" s="95"/>
      <c r="J1588" s="92"/>
      <c r="K1588" s="103"/>
      <c r="L1588" s="1"/>
    </row>
    <row r="1589" spans="1:12" ht="15" x14ac:dyDescent="0.25">
      <c r="A1589" s="1"/>
      <c r="B1589" s="99" t="s">
        <v>27</v>
      </c>
      <c r="C1589" s="57"/>
      <c r="H1589" s="99" t="s">
        <v>100</v>
      </c>
      <c r="K1589" s="103"/>
    </row>
    <row r="1590" spans="1:12" ht="12.75" x14ac:dyDescent="0.2"/>
    <row r="1591" spans="1:12" ht="12.75" x14ac:dyDescent="0.2"/>
    <row r="1592" spans="1:12" ht="12.75" x14ac:dyDescent="0.2"/>
    <row r="1593" spans="1:12" ht="12.75" x14ac:dyDescent="0.2"/>
    <row r="1594" spans="1:12" ht="15.75" x14ac:dyDescent="0.25">
      <c r="A1594" s="3" t="s">
        <v>22</v>
      </c>
    </row>
    <row r="1595" spans="1:12" ht="15.75" x14ac:dyDescent="0.2">
      <c r="A1595" s="122" t="s">
        <v>20</v>
      </c>
    </row>
    <row r="1596" spans="1:12" ht="15.75" x14ac:dyDescent="0.2">
      <c r="A1596" s="122" t="s">
        <v>21</v>
      </c>
    </row>
    <row r="1597" spans="1:12" ht="12.75" x14ac:dyDescent="0.2"/>
    <row r="1598" spans="1:12" ht="15.75" customHeight="1" x14ac:dyDescent="0.2"/>
    <row r="1599" spans="1:12" ht="20.25" customHeight="1" x14ac:dyDescent="0.2"/>
    <row r="1600" spans="1:12" ht="19.5" customHeight="1" x14ac:dyDescent="0.3">
      <c r="A1600" s="276" t="s">
        <v>6</v>
      </c>
      <c r="B1600" s="276"/>
      <c r="C1600" s="276"/>
      <c r="D1600" s="276"/>
      <c r="E1600" s="276"/>
      <c r="F1600" s="276"/>
      <c r="G1600" s="276"/>
      <c r="H1600" s="276"/>
      <c r="I1600" s="276"/>
      <c r="J1600" s="276"/>
      <c r="K1600" s="276"/>
      <c r="L1600" s="276"/>
    </row>
    <row r="1601" spans="1:12" ht="18.75" customHeight="1" x14ac:dyDescent="0.3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</row>
    <row r="1602" spans="1:12" ht="33.75" customHeight="1" x14ac:dyDescent="0.3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</row>
    <row r="1603" spans="1:12" ht="14.25" customHeight="1" x14ac:dyDescent="0.25">
      <c r="A1603" s="1"/>
      <c r="B1603" s="1"/>
    </row>
    <row r="1604" spans="1:12" ht="16.5" customHeight="1" x14ac:dyDescent="0.25">
      <c r="A1604" s="1" t="s">
        <v>7</v>
      </c>
      <c r="B1604" s="1"/>
    </row>
    <row r="1605" spans="1:12" ht="15" x14ac:dyDescent="0.25">
      <c r="A1605" s="1"/>
      <c r="B1605" s="1"/>
    </row>
    <row r="1606" spans="1:12" ht="18.75" customHeight="1" x14ac:dyDescent="0.25">
      <c r="A1606" s="1" t="s">
        <v>8</v>
      </c>
      <c r="C1606" s="9" t="s">
        <v>1</v>
      </c>
      <c r="D1606" s="92" t="s">
        <v>96</v>
      </c>
      <c r="E1606" s="76"/>
      <c r="F1606" s="76"/>
      <c r="G1606" s="76"/>
      <c r="H1606" s="76"/>
    </row>
    <row r="1607" spans="1:12" ht="15" x14ac:dyDescent="0.25">
      <c r="A1607" s="1" t="s">
        <v>9</v>
      </c>
      <c r="C1607" s="9" t="s">
        <v>1</v>
      </c>
      <c r="D1607" s="57" t="s">
        <v>200</v>
      </c>
      <c r="E1607" s="76"/>
      <c r="F1607" s="76"/>
      <c r="G1607" s="76"/>
      <c r="H1607" s="76"/>
    </row>
    <row r="1608" spans="1:12" ht="17.25" customHeight="1" x14ac:dyDescent="0.2">
      <c r="A1608" s="50" t="s">
        <v>10</v>
      </c>
      <c r="B1608" s="76"/>
      <c r="C1608" s="91" t="s">
        <v>1</v>
      </c>
      <c r="D1608" s="50" t="s">
        <v>203</v>
      </c>
      <c r="E1608" s="76"/>
      <c r="F1608" s="76"/>
      <c r="G1608" s="76"/>
      <c r="H1608" s="76"/>
      <c r="I1608" s="76"/>
      <c r="J1608" s="76"/>
      <c r="K1608" s="76"/>
      <c r="L1608" s="76"/>
    </row>
    <row r="1609" spans="1:12" ht="15" x14ac:dyDescent="0.25">
      <c r="A1609" s="1"/>
      <c r="B1609" s="1"/>
      <c r="D1609" s="1"/>
    </row>
    <row r="1610" spans="1:12" ht="28.5" customHeight="1" x14ac:dyDescent="0.2">
      <c r="A1610" s="277" t="s">
        <v>350</v>
      </c>
      <c r="B1610" s="277"/>
      <c r="C1610" s="277"/>
      <c r="D1610" s="277"/>
      <c r="E1610" s="277"/>
      <c r="F1610" s="277"/>
      <c r="G1610" s="277"/>
      <c r="H1610" s="277"/>
      <c r="I1610" s="277"/>
      <c r="J1610" s="277"/>
      <c r="K1610" s="277"/>
      <c r="L1610" s="277"/>
    </row>
    <row r="1611" spans="1:12" ht="12.75" customHeight="1" x14ac:dyDescent="0.25">
      <c r="A1611" s="1"/>
      <c r="B1611" s="1"/>
    </row>
    <row r="1612" spans="1:12" ht="34.5" customHeight="1" thickBot="1" x14ac:dyDescent="0.25">
      <c r="A1612" s="10" t="s">
        <v>0</v>
      </c>
      <c r="B1612" s="278" t="s">
        <v>91</v>
      </c>
      <c r="C1612" s="278"/>
      <c r="D1612" s="278"/>
      <c r="E1612" s="278"/>
      <c r="F1612" s="278"/>
      <c r="G1612" s="278"/>
      <c r="H1612" s="278"/>
      <c r="I1612" s="278"/>
      <c r="J1612" s="278"/>
      <c r="K1612" s="278"/>
      <c r="L1612" s="278"/>
    </row>
    <row r="1613" spans="1:12" ht="18.75" customHeight="1" thickTop="1" x14ac:dyDescent="0.25">
      <c r="A1613" s="1"/>
      <c r="B1613" s="11" t="s">
        <v>3</v>
      </c>
      <c r="C1613" s="12" t="s">
        <v>4</v>
      </c>
      <c r="D1613" s="13"/>
      <c r="E1613" s="13"/>
      <c r="F1613" s="13"/>
      <c r="G1613" s="13"/>
      <c r="H1613" s="14"/>
      <c r="I1613" s="15" t="s">
        <v>5</v>
      </c>
      <c r="J1613" s="12" t="s">
        <v>17</v>
      </c>
      <c r="K1613" s="13"/>
      <c r="L1613" s="14"/>
    </row>
    <row r="1614" spans="1:12" ht="25.5" customHeight="1" x14ac:dyDescent="0.2">
      <c r="A1614" s="50"/>
      <c r="B1614" s="143">
        <v>1</v>
      </c>
      <c r="C1614" s="284" t="s">
        <v>303</v>
      </c>
      <c r="D1614" s="285"/>
      <c r="E1614" s="285"/>
      <c r="F1614" s="285"/>
      <c r="G1614" s="76"/>
      <c r="H1614" s="79"/>
      <c r="I1614" s="56">
        <v>250000</v>
      </c>
      <c r="J1614" s="76"/>
      <c r="K1614" s="76"/>
      <c r="L1614" s="79"/>
    </row>
    <row r="1615" spans="1:12" ht="29.25" customHeight="1" x14ac:dyDescent="0.2">
      <c r="B1615" s="96"/>
      <c r="C1615" s="124"/>
      <c r="D1615" s="124"/>
      <c r="E1615" s="127"/>
      <c r="F1615" s="125"/>
      <c r="G1615" s="124"/>
      <c r="H1615" s="124"/>
      <c r="I1615" s="23"/>
      <c r="L1615" s="17"/>
    </row>
    <row r="1616" spans="1:12" ht="19.5" customHeight="1" x14ac:dyDescent="0.25">
      <c r="A1616" s="1"/>
      <c r="B1616" s="39"/>
      <c r="C1616" s="1"/>
      <c r="D1616" s="1"/>
      <c r="E1616" s="1"/>
      <c r="F1616" s="40" t="s">
        <v>5</v>
      </c>
      <c r="G1616" s="40"/>
      <c r="H1616" s="1"/>
      <c r="I1616" s="41">
        <f>SUM(I1614:I1614)</f>
        <v>250000</v>
      </c>
      <c r="J1616" s="1"/>
      <c r="K1616" s="1"/>
      <c r="L1616" s="42"/>
    </row>
    <row r="1617" spans="1:12" ht="7.5" customHeight="1" thickBot="1" x14ac:dyDescent="0.3">
      <c r="A1617" s="1"/>
      <c r="B1617" s="43"/>
      <c r="C1617" s="44"/>
      <c r="D1617" s="44"/>
      <c r="E1617" s="44"/>
      <c r="F1617" s="45"/>
      <c r="G1617" s="45"/>
      <c r="H1617" s="44"/>
      <c r="I1617" s="46"/>
      <c r="J1617" s="44"/>
      <c r="K1617" s="44"/>
      <c r="L1617" s="47"/>
    </row>
    <row r="1618" spans="1:12" ht="14.25" customHeight="1" thickTop="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 ht="55.5" customHeight="1" x14ac:dyDescent="0.2">
      <c r="A1619" s="10" t="s">
        <v>2</v>
      </c>
      <c r="B1619" s="279" t="s">
        <v>11</v>
      </c>
      <c r="C1619" s="279"/>
      <c r="D1619" s="279"/>
      <c r="E1619" s="279"/>
      <c r="F1619" s="279"/>
      <c r="G1619" s="279"/>
      <c r="H1619" s="279"/>
      <c r="I1619" s="279"/>
      <c r="J1619" s="279"/>
      <c r="K1619" s="279"/>
      <c r="L1619" s="279"/>
    </row>
    <row r="1620" spans="1:12" ht="20.25" customHeight="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 ht="15" x14ac:dyDescent="0.2">
      <c r="A1621" s="280" t="s">
        <v>12</v>
      </c>
      <c r="B1621" s="280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</row>
    <row r="1622" spans="1:12" ht="22.5" customHeight="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ht="15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ht="12.75" customHeight="1" x14ac:dyDescent="0.25">
      <c r="A1624" s="1"/>
      <c r="B1624" s="1"/>
      <c r="C1624" s="1"/>
      <c r="D1624" s="1"/>
      <c r="E1624" s="1"/>
      <c r="F1624" s="1"/>
      <c r="G1624" s="1"/>
      <c r="H1624" s="4" t="s">
        <v>199</v>
      </c>
      <c r="J1624" s="286" t="s">
        <v>335</v>
      </c>
      <c r="K1624" s="286"/>
      <c r="L1624" s="286"/>
    </row>
    <row r="1625" spans="1:12" ht="12.75" customHeight="1" x14ac:dyDescent="0.25">
      <c r="A1625" s="1"/>
      <c r="B1625" s="1" t="s">
        <v>15</v>
      </c>
      <c r="C1625" s="1"/>
      <c r="D1625" s="1"/>
      <c r="E1625" s="1"/>
      <c r="F1625" s="1"/>
      <c r="G1625" s="1"/>
      <c r="H1625" s="4" t="s">
        <v>13</v>
      </c>
    </row>
    <row r="1626" spans="1:12" ht="15" x14ac:dyDescent="0.25">
      <c r="A1626" s="1"/>
      <c r="B1626" s="1" t="s">
        <v>18</v>
      </c>
      <c r="C1626" s="1"/>
      <c r="D1626" s="1"/>
      <c r="E1626" s="1"/>
      <c r="F1626" s="1"/>
      <c r="G1626" s="1"/>
      <c r="H1626" s="4" t="s">
        <v>14</v>
      </c>
    </row>
    <row r="1627" spans="1:12" ht="15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ht="15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ht="11.25" customHeight="1" x14ac:dyDescent="0.25">
      <c r="A1629" s="1"/>
      <c r="B1629" s="103"/>
      <c r="C1629" s="103"/>
      <c r="D1629" s="103"/>
      <c r="E1629" s="103"/>
      <c r="F1629" s="103"/>
      <c r="G1629" s="103"/>
      <c r="H1629" s="103"/>
      <c r="I1629" s="103"/>
      <c r="J1629" s="103"/>
      <c r="K1629" s="103"/>
      <c r="L1629" s="1"/>
    </row>
    <row r="1630" spans="1:12" ht="15" hidden="1" x14ac:dyDescent="0.25">
      <c r="A1630" s="1"/>
      <c r="K1630" s="103"/>
      <c r="L1630" s="1"/>
    </row>
    <row r="1631" spans="1:12" ht="33.75" customHeight="1" x14ac:dyDescent="0.25">
      <c r="A1631" s="1"/>
      <c r="B1631" s="95" t="s">
        <v>77</v>
      </c>
      <c r="H1631" s="95" t="s">
        <v>96</v>
      </c>
      <c r="I1631" s="95"/>
      <c r="J1631" s="92"/>
      <c r="K1631" s="103"/>
      <c r="L1631" s="1"/>
    </row>
    <row r="1632" spans="1:12" ht="15" x14ac:dyDescent="0.25">
      <c r="A1632" s="1"/>
      <c r="B1632" s="99" t="s">
        <v>27</v>
      </c>
      <c r="C1632" s="57"/>
      <c r="H1632" s="99" t="s">
        <v>100</v>
      </c>
      <c r="K1632" s="103"/>
    </row>
    <row r="1633" spans="1:12" ht="27.75" customHeight="1" x14ac:dyDescent="0.2"/>
    <row r="1634" spans="1:12" ht="19.5" customHeight="1" x14ac:dyDescent="0.2"/>
    <row r="1635" spans="1:12" ht="19.5" customHeight="1" x14ac:dyDescent="0.2"/>
    <row r="1636" spans="1:12" ht="12.75" x14ac:dyDescent="0.2"/>
    <row r="1637" spans="1:12" ht="12.75" x14ac:dyDescent="0.2"/>
    <row r="1638" spans="1:12" ht="15.75" x14ac:dyDescent="0.25">
      <c r="A1638" s="3" t="s">
        <v>22</v>
      </c>
    </row>
    <row r="1639" spans="1:12" ht="12" customHeight="1" x14ac:dyDescent="0.2">
      <c r="A1639" s="122" t="s">
        <v>20</v>
      </c>
    </row>
    <row r="1640" spans="1:12" ht="15.75" x14ac:dyDescent="0.2">
      <c r="A1640" s="122" t="s">
        <v>21</v>
      </c>
    </row>
    <row r="1641" spans="1:12" ht="12.75" x14ac:dyDescent="0.2"/>
    <row r="1642" spans="1:12" ht="12.75" x14ac:dyDescent="0.2"/>
    <row r="1643" spans="1:12" ht="12.75" x14ac:dyDescent="0.2"/>
    <row r="1644" spans="1:12" ht="18.75" x14ac:dyDescent="0.3">
      <c r="A1644" s="276" t="s">
        <v>6</v>
      </c>
      <c r="B1644" s="276"/>
      <c r="C1644" s="276"/>
      <c r="D1644" s="276"/>
      <c r="E1644" s="276"/>
      <c r="F1644" s="276"/>
      <c r="G1644" s="276"/>
      <c r="H1644" s="276"/>
      <c r="I1644" s="276"/>
      <c r="J1644" s="276"/>
      <c r="K1644" s="276"/>
      <c r="L1644" s="276"/>
    </row>
    <row r="1645" spans="1:12" ht="18.75" x14ac:dyDescent="0.3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</row>
    <row r="1646" spans="1:12" ht="18.75" x14ac:dyDescent="0.3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</row>
    <row r="1647" spans="1:12" ht="14.25" customHeight="1" x14ac:dyDescent="0.25">
      <c r="A1647" s="1"/>
      <c r="B1647" s="1"/>
    </row>
    <row r="1648" spans="1:12" ht="15" x14ac:dyDescent="0.25">
      <c r="A1648" s="1" t="s">
        <v>7</v>
      </c>
      <c r="B1648" s="1"/>
    </row>
    <row r="1649" spans="1:12" ht="15" customHeight="1" x14ac:dyDescent="0.25">
      <c r="A1649" s="1"/>
      <c r="B1649" s="1"/>
    </row>
    <row r="1650" spans="1:12" ht="22.5" customHeight="1" x14ac:dyDescent="0.25">
      <c r="A1650" s="1" t="s">
        <v>8</v>
      </c>
      <c r="C1650" s="9" t="s">
        <v>1</v>
      </c>
      <c r="D1650" s="92" t="s">
        <v>77</v>
      </c>
      <c r="E1650" s="76"/>
      <c r="F1650" s="76"/>
      <c r="G1650" s="76"/>
      <c r="H1650" s="76"/>
    </row>
    <row r="1651" spans="1:12" ht="20.25" customHeight="1" x14ac:dyDescent="0.25">
      <c r="A1651" s="1" t="s">
        <v>9</v>
      </c>
      <c r="C1651" s="9" t="s">
        <v>1</v>
      </c>
      <c r="D1651" s="57" t="s">
        <v>201</v>
      </c>
      <c r="E1651" s="76"/>
      <c r="F1651" s="76"/>
      <c r="G1651" s="76"/>
      <c r="H1651" s="76"/>
    </row>
    <row r="1652" spans="1:12" ht="18" customHeight="1" x14ac:dyDescent="0.2">
      <c r="A1652" s="50" t="s">
        <v>10</v>
      </c>
      <c r="B1652" s="76"/>
      <c r="C1652" s="91" t="s">
        <v>1</v>
      </c>
      <c r="D1652" s="50" t="s">
        <v>265</v>
      </c>
      <c r="E1652" s="76"/>
      <c r="F1652" s="76"/>
      <c r="G1652" s="76"/>
      <c r="H1652" s="76"/>
      <c r="I1652" s="76"/>
      <c r="J1652" s="76"/>
      <c r="K1652" s="76"/>
      <c r="L1652" s="76"/>
    </row>
    <row r="1653" spans="1:12" ht="19.5" customHeight="1" x14ac:dyDescent="0.25">
      <c r="A1653" s="1"/>
      <c r="B1653" s="1"/>
      <c r="D1653" s="1"/>
    </row>
    <row r="1654" spans="1:12" ht="26.25" customHeight="1" x14ac:dyDescent="0.2">
      <c r="A1654" s="277" t="s">
        <v>350</v>
      </c>
      <c r="B1654" s="277"/>
      <c r="C1654" s="277"/>
      <c r="D1654" s="277"/>
      <c r="E1654" s="277"/>
      <c r="F1654" s="277"/>
      <c r="G1654" s="277"/>
      <c r="H1654" s="277"/>
      <c r="I1654" s="277"/>
      <c r="J1654" s="277"/>
      <c r="K1654" s="277"/>
      <c r="L1654" s="277"/>
    </row>
    <row r="1655" spans="1:12" ht="15" x14ac:dyDescent="0.25">
      <c r="A1655" s="1"/>
      <c r="B1655" s="1"/>
    </row>
    <row r="1656" spans="1:12" ht="32.25" customHeight="1" thickBot="1" x14ac:dyDescent="0.25">
      <c r="A1656" s="10" t="s">
        <v>0</v>
      </c>
      <c r="B1656" s="278" t="s">
        <v>91</v>
      </c>
      <c r="C1656" s="278"/>
      <c r="D1656" s="278"/>
      <c r="E1656" s="278"/>
      <c r="F1656" s="278"/>
      <c r="G1656" s="278"/>
      <c r="H1656" s="278"/>
      <c r="I1656" s="278"/>
      <c r="J1656" s="278"/>
      <c r="K1656" s="278"/>
      <c r="L1656" s="278"/>
    </row>
    <row r="1657" spans="1:12" ht="18.75" customHeight="1" thickTop="1" x14ac:dyDescent="0.25">
      <c r="A1657" s="1"/>
      <c r="B1657" s="11" t="s">
        <v>3</v>
      </c>
      <c r="C1657" s="12" t="s">
        <v>4</v>
      </c>
      <c r="D1657" s="13"/>
      <c r="E1657" s="13"/>
      <c r="F1657" s="13"/>
      <c r="G1657" s="13"/>
      <c r="H1657" s="14"/>
      <c r="I1657" s="15" t="s">
        <v>5</v>
      </c>
      <c r="J1657" s="12" t="s">
        <v>17</v>
      </c>
      <c r="K1657" s="13"/>
      <c r="L1657" s="14"/>
    </row>
    <row r="1658" spans="1:12" ht="28.5" customHeight="1" x14ac:dyDescent="0.2">
      <c r="A1658" s="50"/>
      <c r="B1658" s="143">
        <v>1</v>
      </c>
      <c r="C1658" s="284" t="s">
        <v>303</v>
      </c>
      <c r="D1658" s="285"/>
      <c r="E1658" s="285"/>
      <c r="F1658" s="285"/>
      <c r="G1658" s="76"/>
      <c r="H1658" s="79"/>
      <c r="I1658" s="56">
        <v>250000</v>
      </c>
      <c r="J1658" s="76"/>
      <c r="K1658" s="76"/>
      <c r="L1658" s="79"/>
    </row>
    <row r="1659" spans="1:12" ht="20.25" customHeight="1" x14ac:dyDescent="0.2">
      <c r="B1659" s="96"/>
      <c r="C1659" s="124"/>
      <c r="D1659" s="124"/>
      <c r="E1659" s="127"/>
      <c r="F1659" s="125"/>
      <c r="G1659" s="124"/>
      <c r="H1659" s="124"/>
      <c r="I1659" s="23"/>
      <c r="L1659" s="17"/>
    </row>
    <row r="1660" spans="1:12" ht="24" customHeight="1" x14ac:dyDescent="0.25">
      <c r="A1660" s="1"/>
      <c r="B1660" s="39"/>
      <c r="C1660" s="1"/>
      <c r="D1660" s="1"/>
      <c r="E1660" s="1"/>
      <c r="F1660" s="40" t="s">
        <v>5</v>
      </c>
      <c r="G1660" s="40"/>
      <c r="H1660" s="1"/>
      <c r="I1660" s="41">
        <f>SUM(I1658:I1658)</f>
        <v>250000</v>
      </c>
      <c r="J1660" s="1"/>
      <c r="K1660" s="1"/>
      <c r="L1660" s="42"/>
    </row>
    <row r="1661" spans="1:12" ht="10.5" customHeight="1" thickBot="1" x14ac:dyDescent="0.3">
      <c r="A1661" s="1"/>
      <c r="B1661" s="43"/>
      <c r="C1661" s="44"/>
      <c r="D1661" s="44"/>
      <c r="E1661" s="44"/>
      <c r="F1661" s="45"/>
      <c r="G1661" s="45"/>
      <c r="H1661" s="44"/>
      <c r="I1661" s="46"/>
      <c r="J1661" s="44"/>
      <c r="K1661" s="44"/>
      <c r="L1661" s="47"/>
    </row>
    <row r="1662" spans="1:12" ht="15.75" thickTop="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 ht="46.5" customHeight="1" x14ac:dyDescent="0.2">
      <c r="A1663" s="10" t="s">
        <v>2</v>
      </c>
      <c r="B1663" s="279" t="s">
        <v>11</v>
      </c>
      <c r="C1663" s="279"/>
      <c r="D1663" s="279"/>
      <c r="E1663" s="279"/>
      <c r="F1663" s="279"/>
      <c r="G1663" s="279"/>
      <c r="H1663" s="279"/>
      <c r="I1663" s="279"/>
      <c r="J1663" s="279"/>
      <c r="K1663" s="279"/>
      <c r="L1663" s="279"/>
    </row>
    <row r="1664" spans="1:12" ht="15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 ht="15" customHeight="1" x14ac:dyDescent="0.2">
      <c r="A1665" s="280" t="s">
        <v>12</v>
      </c>
      <c r="B1665" s="280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</row>
    <row r="1666" spans="1:12" ht="21.75" customHeight="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 ht="15" hidden="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 ht="15" customHeight="1" x14ac:dyDescent="0.25">
      <c r="A1668" s="1"/>
      <c r="B1668" s="1"/>
      <c r="C1668" s="1"/>
      <c r="D1668" s="1"/>
      <c r="E1668" s="1"/>
      <c r="F1668" s="1"/>
      <c r="G1668" s="1"/>
      <c r="H1668" s="4" t="s">
        <v>199</v>
      </c>
      <c r="J1668" s="286" t="s">
        <v>335</v>
      </c>
      <c r="K1668" s="286"/>
      <c r="L1668" s="286"/>
    </row>
    <row r="1669" spans="1:12" ht="14.25" customHeight="1" x14ac:dyDescent="0.25">
      <c r="A1669" s="1"/>
      <c r="B1669" s="1" t="s">
        <v>15</v>
      </c>
      <c r="C1669" s="1"/>
      <c r="D1669" s="1"/>
      <c r="E1669" s="1"/>
      <c r="F1669" s="1"/>
      <c r="G1669" s="1"/>
      <c r="H1669" s="4" t="s">
        <v>13</v>
      </c>
    </row>
    <row r="1670" spans="1:12" ht="15.75" customHeight="1" x14ac:dyDescent="0.25">
      <c r="A1670" s="1"/>
      <c r="B1670" s="1" t="s">
        <v>18</v>
      </c>
      <c r="C1670" s="1"/>
      <c r="D1670" s="1"/>
      <c r="E1670" s="1"/>
      <c r="F1670" s="1"/>
      <c r="G1670" s="1"/>
      <c r="H1670" s="4" t="s">
        <v>14</v>
      </c>
    </row>
    <row r="1671" spans="1:12" ht="26.25" customHeight="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 ht="12.75" customHeight="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ht="15" x14ac:dyDescent="0.25">
      <c r="A1673" s="1"/>
      <c r="B1673" s="103"/>
      <c r="C1673" s="103"/>
      <c r="D1673" s="103"/>
      <c r="E1673" s="103"/>
      <c r="F1673" s="103"/>
      <c r="G1673" s="103"/>
      <c r="H1673" s="103"/>
      <c r="I1673" s="103"/>
      <c r="J1673" s="103"/>
      <c r="K1673" s="103"/>
      <c r="L1673" s="1"/>
    </row>
    <row r="1674" spans="1:12" ht="15" customHeight="1" x14ac:dyDescent="0.25">
      <c r="A1674" s="1"/>
      <c r="K1674" s="103"/>
      <c r="L1674" s="1"/>
    </row>
    <row r="1675" spans="1:12" ht="15" x14ac:dyDescent="0.25">
      <c r="A1675" s="1"/>
      <c r="B1675" s="95" t="s">
        <v>77</v>
      </c>
      <c r="H1675" s="95" t="s">
        <v>77</v>
      </c>
      <c r="I1675" s="95"/>
      <c r="J1675" s="92"/>
      <c r="K1675" s="103"/>
      <c r="L1675" s="1"/>
    </row>
    <row r="1676" spans="1:12" ht="15" customHeight="1" x14ac:dyDescent="0.25">
      <c r="A1676" s="1"/>
      <c r="B1676" s="99" t="s">
        <v>27</v>
      </c>
      <c r="C1676" s="57"/>
      <c r="H1676" s="99" t="s">
        <v>27</v>
      </c>
      <c r="K1676" s="103"/>
    </row>
    <row r="1677" spans="1:12" ht="52.5" customHeight="1" x14ac:dyDescent="0.2"/>
    <row r="1678" spans="1:12" ht="12.75" x14ac:dyDescent="0.2"/>
    <row r="1679" spans="1:12" ht="15" customHeight="1" x14ac:dyDescent="0.2"/>
    <row r="1680" spans="1:12" ht="12.75" x14ac:dyDescent="0.2"/>
    <row r="1681" spans="1:12" ht="15" customHeight="1" x14ac:dyDescent="0.2"/>
    <row r="1682" spans="1:12" ht="12.75" x14ac:dyDescent="0.2"/>
    <row r="1683" spans="1:12" ht="15.75" x14ac:dyDescent="0.25">
      <c r="A1683" s="3" t="s">
        <v>22</v>
      </c>
    </row>
    <row r="1684" spans="1:12" ht="16.5" customHeight="1" x14ac:dyDescent="0.2">
      <c r="A1684" s="122" t="s">
        <v>20</v>
      </c>
    </row>
    <row r="1685" spans="1:12" ht="15" customHeight="1" x14ac:dyDescent="0.2">
      <c r="A1685" s="122" t="s">
        <v>21</v>
      </c>
    </row>
    <row r="1686" spans="1:12" ht="12.75" x14ac:dyDescent="0.2"/>
    <row r="1687" spans="1:12" ht="20.25" customHeight="1" x14ac:dyDescent="0.2"/>
    <row r="1688" spans="1:12" ht="12.75" x14ac:dyDescent="0.2"/>
    <row r="1689" spans="1:12" ht="15" customHeight="1" x14ac:dyDescent="0.3">
      <c r="A1689" s="276" t="s">
        <v>6</v>
      </c>
      <c r="B1689" s="276"/>
      <c r="C1689" s="276"/>
      <c r="D1689" s="276"/>
      <c r="E1689" s="276"/>
      <c r="F1689" s="276"/>
      <c r="G1689" s="276"/>
      <c r="H1689" s="276"/>
      <c r="I1689" s="276"/>
      <c r="J1689" s="276"/>
      <c r="K1689" s="276"/>
      <c r="L1689" s="276"/>
    </row>
    <row r="1690" spans="1:12" ht="18.75" x14ac:dyDescent="0.3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</row>
    <row r="1691" spans="1:12" ht="18.75" x14ac:dyDescent="0.3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</row>
    <row r="1692" spans="1:12" ht="13.5" customHeight="1" x14ac:dyDescent="0.25">
      <c r="A1692" s="1"/>
      <c r="B1692" s="1"/>
    </row>
    <row r="1693" spans="1:12" ht="15" x14ac:dyDescent="0.25">
      <c r="A1693" s="1" t="s">
        <v>7</v>
      </c>
      <c r="B1693" s="1"/>
    </row>
    <row r="1694" spans="1:12" ht="12.75" customHeight="1" x14ac:dyDescent="0.25">
      <c r="A1694" s="1"/>
      <c r="B1694" s="1"/>
    </row>
    <row r="1695" spans="1:12" ht="12.75" customHeight="1" x14ac:dyDescent="0.25">
      <c r="A1695" s="1" t="s">
        <v>8</v>
      </c>
      <c r="C1695" s="9" t="s">
        <v>1</v>
      </c>
      <c r="D1695" s="126" t="s">
        <v>64</v>
      </c>
      <c r="E1695" s="76"/>
      <c r="F1695" s="76"/>
      <c r="G1695" s="76"/>
      <c r="H1695" s="76"/>
    </row>
    <row r="1696" spans="1:12" ht="12.75" customHeight="1" x14ac:dyDescent="0.25">
      <c r="A1696" s="1" t="s">
        <v>9</v>
      </c>
      <c r="C1696" s="9" t="s">
        <v>1</v>
      </c>
      <c r="D1696" s="119" t="s">
        <v>236</v>
      </c>
      <c r="E1696" s="76"/>
      <c r="F1696" s="76"/>
      <c r="G1696" s="76"/>
      <c r="H1696" s="76"/>
    </row>
    <row r="1697" spans="1:12" ht="18.75" customHeight="1" x14ac:dyDescent="0.2">
      <c r="A1697" s="50" t="s">
        <v>10</v>
      </c>
      <c r="B1697" s="76"/>
      <c r="C1697" s="91" t="s">
        <v>1</v>
      </c>
      <c r="D1697" s="124" t="s">
        <v>235</v>
      </c>
      <c r="E1697" s="76"/>
      <c r="F1697" s="76"/>
      <c r="G1697" s="76"/>
      <c r="H1697" s="76"/>
      <c r="I1697" s="76"/>
      <c r="J1697" s="76"/>
      <c r="K1697" s="76"/>
      <c r="L1697" s="76"/>
    </row>
    <row r="1698" spans="1:12" ht="15" x14ac:dyDescent="0.25">
      <c r="A1698" s="1"/>
      <c r="B1698" s="1"/>
      <c r="D1698" s="1"/>
    </row>
    <row r="1699" spans="1:12" ht="33.75" customHeight="1" x14ac:dyDescent="0.2">
      <c r="A1699" s="277" t="s">
        <v>350</v>
      </c>
      <c r="B1699" s="277"/>
      <c r="C1699" s="277"/>
      <c r="D1699" s="277"/>
      <c r="E1699" s="277"/>
      <c r="F1699" s="277"/>
      <c r="G1699" s="277"/>
      <c r="H1699" s="277"/>
      <c r="I1699" s="277"/>
      <c r="J1699" s="277"/>
      <c r="K1699" s="277"/>
      <c r="L1699" s="277"/>
    </row>
    <row r="1700" spans="1:12" ht="15" x14ac:dyDescent="0.25">
      <c r="A1700" s="1"/>
      <c r="B1700" s="1"/>
    </row>
    <row r="1701" spans="1:12" ht="39" customHeight="1" thickBot="1" x14ac:dyDescent="0.25">
      <c r="A1701" s="10" t="s">
        <v>0</v>
      </c>
      <c r="B1701" s="278" t="s">
        <v>91</v>
      </c>
      <c r="C1701" s="278"/>
      <c r="D1701" s="278"/>
      <c r="E1701" s="278"/>
      <c r="F1701" s="278"/>
      <c r="G1701" s="278"/>
      <c r="H1701" s="278"/>
      <c r="I1701" s="278"/>
      <c r="J1701" s="278"/>
      <c r="K1701" s="278"/>
      <c r="L1701" s="278"/>
    </row>
    <row r="1702" spans="1:12" ht="15.75" thickTop="1" x14ac:dyDescent="0.25">
      <c r="A1702" s="1"/>
      <c r="B1702" s="11" t="s">
        <v>3</v>
      </c>
      <c r="C1702" s="12" t="s">
        <v>4</v>
      </c>
      <c r="D1702" s="13"/>
      <c r="E1702" s="13"/>
      <c r="F1702" s="13"/>
      <c r="G1702" s="13"/>
      <c r="H1702" s="14"/>
      <c r="I1702" s="15" t="s">
        <v>5</v>
      </c>
      <c r="J1702" s="12" t="s">
        <v>17</v>
      </c>
      <c r="K1702" s="13"/>
      <c r="L1702" s="14"/>
    </row>
    <row r="1703" spans="1:12" ht="40.5" customHeight="1" x14ac:dyDescent="0.2">
      <c r="A1703" s="50"/>
      <c r="B1703" s="143">
        <v>1</v>
      </c>
      <c r="C1703" s="284" t="s">
        <v>303</v>
      </c>
      <c r="D1703" s="285"/>
      <c r="E1703" s="285"/>
      <c r="F1703" s="285"/>
      <c r="G1703" s="76"/>
      <c r="H1703" s="79"/>
      <c r="I1703" s="56">
        <v>250000</v>
      </c>
      <c r="J1703" s="76"/>
      <c r="K1703" s="76"/>
      <c r="L1703" s="79"/>
    </row>
    <row r="1704" spans="1:12" ht="26.25" customHeight="1" x14ac:dyDescent="0.2">
      <c r="B1704" s="96"/>
      <c r="C1704" s="124"/>
      <c r="D1704" s="124"/>
      <c r="E1704" s="127"/>
      <c r="F1704" s="125"/>
      <c r="G1704" s="124"/>
      <c r="H1704" s="124"/>
      <c r="I1704" s="23"/>
      <c r="L1704" s="17"/>
    </row>
    <row r="1705" spans="1:12" ht="21" customHeight="1" x14ac:dyDescent="0.25">
      <c r="A1705" s="1"/>
      <c r="B1705" s="39"/>
      <c r="C1705" s="1"/>
      <c r="D1705" s="1"/>
      <c r="E1705" s="1"/>
      <c r="F1705" s="40" t="s">
        <v>5</v>
      </c>
      <c r="G1705" s="40"/>
      <c r="H1705" s="1"/>
      <c r="I1705" s="41">
        <f>SUM(I1703:I1703)</f>
        <v>250000</v>
      </c>
      <c r="J1705" s="1"/>
      <c r="K1705" s="1"/>
      <c r="L1705" s="42"/>
    </row>
    <row r="1706" spans="1:12" ht="14.25" customHeight="1" thickBot="1" x14ac:dyDescent="0.3">
      <c r="A1706" s="1"/>
      <c r="B1706" s="43"/>
      <c r="C1706" s="44"/>
      <c r="D1706" s="44"/>
      <c r="E1706" s="44"/>
      <c r="F1706" s="45"/>
      <c r="G1706" s="45"/>
      <c r="H1706" s="44"/>
      <c r="I1706" s="46"/>
      <c r="J1706" s="44"/>
      <c r="K1706" s="44"/>
      <c r="L1706" s="47"/>
    </row>
    <row r="1707" spans="1:12" ht="7.5" customHeight="1" thickTop="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ht="47.25" customHeight="1" x14ac:dyDescent="0.2">
      <c r="A1708" s="10" t="s">
        <v>2</v>
      </c>
      <c r="B1708" s="279" t="s">
        <v>11</v>
      </c>
      <c r="C1708" s="279"/>
      <c r="D1708" s="279"/>
      <c r="E1708" s="279"/>
      <c r="F1708" s="279"/>
      <c r="G1708" s="279"/>
      <c r="H1708" s="279"/>
      <c r="I1708" s="279"/>
      <c r="J1708" s="279"/>
      <c r="K1708" s="279"/>
      <c r="L1708" s="279"/>
    </row>
    <row r="1709" spans="1:12" ht="15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 ht="15" x14ac:dyDescent="0.2">
      <c r="A1710" s="280" t="s">
        <v>12</v>
      </c>
      <c r="B1710" s="280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</row>
    <row r="1711" spans="1:12" ht="15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 ht="15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 ht="17.25" customHeight="1" x14ac:dyDescent="0.25">
      <c r="A1713" s="1"/>
      <c r="B1713" s="1"/>
      <c r="C1713" s="1"/>
      <c r="D1713" s="1"/>
      <c r="E1713" s="1"/>
      <c r="F1713" s="1"/>
      <c r="G1713" s="1"/>
      <c r="H1713" s="4" t="s">
        <v>199</v>
      </c>
      <c r="J1713" s="286" t="s">
        <v>335</v>
      </c>
      <c r="K1713" s="286"/>
      <c r="L1713" s="286"/>
    </row>
    <row r="1714" spans="1:12" ht="15" x14ac:dyDescent="0.25">
      <c r="A1714" s="1"/>
      <c r="B1714" s="1" t="s">
        <v>15</v>
      </c>
      <c r="C1714" s="1"/>
      <c r="D1714" s="1"/>
      <c r="E1714" s="1"/>
      <c r="F1714" s="1"/>
      <c r="G1714" s="1"/>
      <c r="H1714" s="4" t="s">
        <v>13</v>
      </c>
    </row>
    <row r="1715" spans="1:12" ht="11.25" customHeight="1" x14ac:dyDescent="0.25">
      <c r="A1715" s="1"/>
      <c r="B1715" s="1" t="s">
        <v>18</v>
      </c>
      <c r="C1715" s="1"/>
      <c r="D1715" s="1"/>
      <c r="E1715" s="1"/>
      <c r="F1715" s="1"/>
      <c r="G1715" s="1"/>
      <c r="H1715" s="4" t="s">
        <v>14</v>
      </c>
    </row>
    <row r="1716" spans="1:12" ht="15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 ht="26.25" customHeight="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 ht="12.75" customHeight="1" x14ac:dyDescent="0.25">
      <c r="A1718" s="1"/>
      <c r="B1718" s="103"/>
      <c r="C1718" s="103"/>
      <c r="D1718" s="103"/>
      <c r="E1718" s="103"/>
      <c r="F1718" s="103"/>
      <c r="G1718" s="103"/>
      <c r="H1718" s="103"/>
      <c r="I1718" s="103"/>
      <c r="J1718" s="103"/>
      <c r="K1718" s="103"/>
      <c r="L1718" s="1"/>
    </row>
    <row r="1719" spans="1:12" ht="15" hidden="1" x14ac:dyDescent="0.25">
      <c r="A1719" s="1"/>
      <c r="K1719" s="103"/>
      <c r="L1719" s="1"/>
    </row>
    <row r="1720" spans="1:12" ht="15" x14ac:dyDescent="0.25">
      <c r="A1720" s="1"/>
      <c r="B1720" s="95" t="s">
        <v>77</v>
      </c>
      <c r="H1720" s="95" t="s">
        <v>64</v>
      </c>
      <c r="I1720" s="95"/>
      <c r="J1720" s="92"/>
      <c r="K1720" s="103"/>
      <c r="L1720" s="1"/>
    </row>
    <row r="1721" spans="1:12" ht="15" x14ac:dyDescent="0.25">
      <c r="A1721" s="1"/>
      <c r="B1721" s="99" t="s">
        <v>27</v>
      </c>
      <c r="C1721" s="57"/>
      <c r="H1721" s="99" t="s">
        <v>46</v>
      </c>
      <c r="K1721" s="103"/>
    </row>
    <row r="1722" spans="1:12" ht="12.75" x14ac:dyDescent="0.2"/>
    <row r="1723" spans="1:12" ht="16.5" customHeight="1" x14ac:dyDescent="0.2"/>
    <row r="1724" spans="1:12" ht="44.25" customHeight="1" x14ac:dyDescent="0.2"/>
    <row r="1725" spans="1:12" ht="15.75" x14ac:dyDescent="0.25">
      <c r="A1725" s="3" t="s">
        <v>22</v>
      </c>
    </row>
    <row r="1726" spans="1:12" ht="18.75" customHeight="1" x14ac:dyDescent="0.2">
      <c r="A1726" s="122" t="s">
        <v>20</v>
      </c>
    </row>
    <row r="1727" spans="1:12" ht="15.75" x14ac:dyDescent="0.2">
      <c r="A1727" s="122" t="s">
        <v>21</v>
      </c>
    </row>
    <row r="1728" spans="1:12" ht="12.75" x14ac:dyDescent="0.2"/>
    <row r="1729" spans="1:12" ht="12.75" x14ac:dyDescent="0.2"/>
    <row r="1730" spans="1:12" ht="12.75" customHeight="1" x14ac:dyDescent="0.2"/>
    <row r="1731" spans="1:12" ht="18.75" x14ac:dyDescent="0.3">
      <c r="A1731" s="276" t="s">
        <v>6</v>
      </c>
      <c r="B1731" s="276"/>
      <c r="C1731" s="276"/>
      <c r="D1731" s="276"/>
      <c r="E1731" s="276"/>
      <c r="F1731" s="276"/>
      <c r="G1731" s="276"/>
      <c r="H1731" s="276"/>
      <c r="I1731" s="276"/>
      <c r="J1731" s="276"/>
      <c r="K1731" s="276"/>
      <c r="L1731" s="276"/>
    </row>
    <row r="1732" spans="1:12" ht="18.75" x14ac:dyDescent="0.3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</row>
    <row r="1733" spans="1:12" ht="18.75" x14ac:dyDescent="0.3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</row>
    <row r="1734" spans="1:12" ht="15" x14ac:dyDescent="0.25">
      <c r="A1734" s="1"/>
      <c r="B1734" s="1"/>
    </row>
    <row r="1735" spans="1:12" ht="15" x14ac:dyDescent="0.25">
      <c r="A1735" s="1" t="s">
        <v>7</v>
      </c>
      <c r="B1735" s="1"/>
    </row>
    <row r="1736" spans="1:12" ht="15" x14ac:dyDescent="0.25">
      <c r="A1736" s="1"/>
      <c r="B1736" s="1"/>
    </row>
    <row r="1737" spans="1:12" ht="16.5" customHeight="1" x14ac:dyDescent="0.25">
      <c r="A1737" s="1" t="s">
        <v>8</v>
      </c>
      <c r="C1737" s="9" t="s">
        <v>1</v>
      </c>
      <c r="D1737" s="123" t="s">
        <v>78</v>
      </c>
      <c r="E1737" s="76"/>
      <c r="F1737" s="76"/>
      <c r="G1737" s="76"/>
      <c r="H1737" s="76"/>
    </row>
    <row r="1738" spans="1:12" ht="15.75" customHeight="1" x14ac:dyDescent="0.25">
      <c r="A1738" s="1" t="s">
        <v>9</v>
      </c>
      <c r="C1738" s="9" t="s">
        <v>1</v>
      </c>
      <c r="D1738" s="76" t="s">
        <v>234</v>
      </c>
      <c r="E1738" s="76"/>
      <c r="F1738" s="76"/>
      <c r="G1738" s="76"/>
      <c r="H1738" s="76"/>
    </row>
    <row r="1739" spans="1:12" ht="15" customHeight="1" x14ac:dyDescent="0.2">
      <c r="A1739" s="50" t="s">
        <v>10</v>
      </c>
      <c r="B1739" s="76"/>
      <c r="C1739" s="91" t="s">
        <v>1</v>
      </c>
      <c r="D1739" s="50" t="s">
        <v>235</v>
      </c>
      <c r="E1739" s="76"/>
      <c r="F1739" s="76"/>
      <c r="G1739" s="76"/>
      <c r="H1739" s="76"/>
      <c r="I1739" s="76"/>
      <c r="J1739" s="76"/>
      <c r="K1739" s="76"/>
      <c r="L1739" s="76"/>
    </row>
    <row r="1740" spans="1:12" ht="23.25" customHeight="1" x14ac:dyDescent="0.25">
      <c r="A1740" s="1"/>
      <c r="B1740" s="1"/>
      <c r="D1740" s="1"/>
    </row>
    <row r="1741" spans="1:12" ht="24.75" customHeight="1" x14ac:dyDescent="0.2">
      <c r="A1741" s="277" t="s">
        <v>350</v>
      </c>
      <c r="B1741" s="277"/>
      <c r="C1741" s="277"/>
      <c r="D1741" s="277"/>
      <c r="E1741" s="277"/>
      <c r="F1741" s="277"/>
      <c r="G1741" s="277"/>
      <c r="H1741" s="277"/>
      <c r="I1741" s="277"/>
      <c r="J1741" s="277"/>
      <c r="K1741" s="277"/>
      <c r="L1741" s="277"/>
    </row>
    <row r="1742" spans="1:12" ht="12" customHeight="1" x14ac:dyDescent="0.25">
      <c r="A1742" s="1"/>
      <c r="B1742" s="1"/>
    </row>
    <row r="1743" spans="1:12" ht="32.25" customHeight="1" thickBot="1" x14ac:dyDescent="0.25">
      <c r="A1743" s="10" t="s">
        <v>0</v>
      </c>
      <c r="B1743" s="278" t="s">
        <v>91</v>
      </c>
      <c r="C1743" s="278"/>
      <c r="D1743" s="278"/>
      <c r="E1743" s="278"/>
      <c r="F1743" s="278"/>
      <c r="G1743" s="278"/>
      <c r="H1743" s="278"/>
      <c r="I1743" s="278"/>
      <c r="J1743" s="278"/>
      <c r="K1743" s="278"/>
      <c r="L1743" s="278"/>
    </row>
    <row r="1744" spans="1:12" ht="15.75" thickTop="1" x14ac:dyDescent="0.25">
      <c r="A1744" s="1"/>
      <c r="B1744" s="11" t="s">
        <v>3</v>
      </c>
      <c r="C1744" s="12" t="s">
        <v>4</v>
      </c>
      <c r="D1744" s="13"/>
      <c r="E1744" s="13"/>
      <c r="F1744" s="13"/>
      <c r="G1744" s="13"/>
      <c r="H1744" s="14"/>
      <c r="I1744" s="15" t="s">
        <v>5</v>
      </c>
      <c r="J1744" s="12" t="s">
        <v>17</v>
      </c>
      <c r="K1744" s="13"/>
      <c r="L1744" s="14"/>
    </row>
    <row r="1745" spans="1:12" ht="30.75" customHeight="1" x14ac:dyDescent="0.2">
      <c r="A1745" s="50"/>
      <c r="B1745" s="143">
        <v>1</v>
      </c>
      <c r="C1745" s="284" t="s">
        <v>303</v>
      </c>
      <c r="D1745" s="285"/>
      <c r="E1745" s="285"/>
      <c r="F1745" s="285"/>
      <c r="G1745" s="76"/>
      <c r="H1745" s="79"/>
      <c r="I1745" s="56">
        <v>250000</v>
      </c>
      <c r="J1745" s="76"/>
      <c r="K1745" s="76"/>
      <c r="L1745" s="79"/>
    </row>
    <row r="1746" spans="1:12" ht="37.5" customHeight="1" x14ac:dyDescent="0.2">
      <c r="B1746" s="96"/>
      <c r="C1746" s="124"/>
      <c r="D1746" s="124"/>
      <c r="E1746" s="127"/>
      <c r="F1746" s="125"/>
      <c r="G1746" s="124"/>
      <c r="H1746" s="124"/>
      <c r="I1746" s="23"/>
      <c r="L1746" s="17"/>
    </row>
    <row r="1747" spans="1:12" ht="15" x14ac:dyDescent="0.25">
      <c r="A1747" s="1"/>
      <c r="B1747" s="39"/>
      <c r="C1747" s="1"/>
      <c r="D1747" s="1"/>
      <c r="E1747" s="1"/>
      <c r="F1747" s="40" t="s">
        <v>5</v>
      </c>
      <c r="G1747" s="40"/>
      <c r="H1747" s="1"/>
      <c r="I1747" s="41">
        <f>SUM(I1745:I1745)</f>
        <v>250000</v>
      </c>
      <c r="J1747" s="1"/>
      <c r="K1747" s="1"/>
      <c r="L1747" s="42"/>
    </row>
    <row r="1748" spans="1:12" ht="15.75" thickBot="1" x14ac:dyDescent="0.3">
      <c r="A1748" s="1"/>
      <c r="B1748" s="43"/>
      <c r="C1748" s="44"/>
      <c r="D1748" s="44"/>
      <c r="E1748" s="44"/>
      <c r="F1748" s="45"/>
      <c r="G1748" s="45"/>
      <c r="H1748" s="44"/>
      <c r="I1748" s="46"/>
      <c r="J1748" s="44"/>
      <c r="K1748" s="44"/>
      <c r="L1748" s="47"/>
    </row>
    <row r="1749" spans="1:12" ht="14.25" customHeight="1" thickTop="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 ht="48.75" customHeight="1" x14ac:dyDescent="0.2">
      <c r="A1750" s="10" t="s">
        <v>2</v>
      </c>
      <c r="B1750" s="279" t="s">
        <v>11</v>
      </c>
      <c r="C1750" s="279"/>
      <c r="D1750" s="279"/>
      <c r="E1750" s="279"/>
      <c r="F1750" s="279"/>
      <c r="G1750" s="279"/>
      <c r="H1750" s="279"/>
      <c r="I1750" s="279"/>
      <c r="J1750" s="279"/>
      <c r="K1750" s="279"/>
      <c r="L1750" s="279"/>
    </row>
    <row r="1751" spans="1:12" ht="15.75" customHeight="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 ht="16.5" customHeight="1" x14ac:dyDescent="0.2">
      <c r="A1752" s="280" t="s">
        <v>12</v>
      </c>
      <c r="B1752" s="280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</row>
    <row r="1753" spans="1:12" ht="15.75" customHeight="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 ht="13.5" customHeight="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 ht="11.25" customHeight="1" x14ac:dyDescent="0.25">
      <c r="A1755" s="1"/>
      <c r="B1755" s="1"/>
      <c r="C1755" s="1"/>
      <c r="D1755" s="1"/>
      <c r="E1755" s="1"/>
      <c r="F1755" s="1"/>
      <c r="G1755" s="1"/>
      <c r="H1755" s="4" t="s">
        <v>199</v>
      </c>
      <c r="J1755" s="286" t="s">
        <v>335</v>
      </c>
      <c r="K1755" s="286"/>
      <c r="L1755" s="286"/>
    </row>
    <row r="1756" spans="1:12" ht="15" customHeight="1" x14ac:dyDescent="0.25">
      <c r="A1756" s="1"/>
      <c r="B1756" s="1" t="s">
        <v>15</v>
      </c>
      <c r="C1756" s="1"/>
      <c r="D1756" s="1"/>
      <c r="E1756" s="1"/>
      <c r="F1756" s="1"/>
      <c r="G1756" s="1"/>
      <c r="H1756" s="4" t="s">
        <v>13</v>
      </c>
    </row>
    <row r="1757" spans="1:12" ht="15" x14ac:dyDescent="0.25">
      <c r="A1757" s="1"/>
      <c r="B1757" s="1" t="s">
        <v>18</v>
      </c>
      <c r="C1757" s="1"/>
      <c r="D1757" s="1"/>
      <c r="E1757" s="1"/>
      <c r="F1757" s="1"/>
      <c r="G1757" s="1"/>
      <c r="H1757" s="4" t="s">
        <v>14</v>
      </c>
    </row>
    <row r="1758" spans="1:12" ht="39" customHeight="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 ht="9" customHeight="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 ht="17.25" hidden="1" customHeight="1" x14ac:dyDescent="0.25">
      <c r="A1760" s="1"/>
      <c r="B1760" s="103"/>
      <c r="C1760" s="103"/>
      <c r="D1760" s="103"/>
      <c r="E1760" s="103"/>
      <c r="F1760" s="103"/>
      <c r="G1760" s="103"/>
      <c r="H1760" s="103"/>
      <c r="I1760" s="103"/>
      <c r="J1760" s="103"/>
      <c r="K1760" s="103"/>
      <c r="L1760" s="1"/>
    </row>
    <row r="1761" spans="1:12" ht="26.25" hidden="1" customHeight="1" x14ac:dyDescent="0.25">
      <c r="A1761" s="1"/>
      <c r="K1761" s="103"/>
      <c r="L1761" s="1"/>
    </row>
    <row r="1762" spans="1:12" ht="20.25" customHeight="1" x14ac:dyDescent="0.25">
      <c r="A1762" s="1"/>
      <c r="B1762" s="95" t="s">
        <v>77</v>
      </c>
      <c r="H1762" s="95" t="s">
        <v>78</v>
      </c>
      <c r="I1762" s="95"/>
      <c r="J1762" s="92"/>
      <c r="K1762" s="103"/>
      <c r="L1762" s="1"/>
    </row>
    <row r="1763" spans="1:12" ht="15" x14ac:dyDescent="0.25">
      <c r="A1763" s="1"/>
      <c r="B1763" s="99" t="s">
        <v>27</v>
      </c>
      <c r="C1763" s="57"/>
      <c r="H1763" s="99" t="s">
        <v>79</v>
      </c>
      <c r="K1763" s="103"/>
    </row>
    <row r="1764" spans="1:12" ht="12.75" x14ac:dyDescent="0.2"/>
    <row r="1765" spans="1:12" ht="12.75" customHeight="1" x14ac:dyDescent="0.2"/>
    <row r="1766" spans="1:12" ht="18" customHeight="1" x14ac:dyDescent="0.2"/>
    <row r="1767" spans="1:12" ht="24.75" customHeight="1" x14ac:dyDescent="0.25">
      <c r="A1767" s="3" t="s">
        <v>22</v>
      </c>
    </row>
    <row r="1768" spans="1:12" ht="15.75" x14ac:dyDescent="0.2">
      <c r="A1768" s="122" t="s">
        <v>20</v>
      </c>
    </row>
    <row r="1769" spans="1:12" ht="15" customHeight="1" x14ac:dyDescent="0.2">
      <c r="A1769" s="122" t="s">
        <v>21</v>
      </c>
    </row>
    <row r="1770" spans="1:12" ht="12.75" x14ac:dyDescent="0.2"/>
    <row r="1771" spans="1:12" ht="12.75" x14ac:dyDescent="0.2"/>
    <row r="1772" spans="1:12" ht="16.5" customHeight="1" x14ac:dyDescent="0.2"/>
    <row r="1773" spans="1:12" ht="18.75" x14ac:dyDescent="0.3">
      <c r="A1773" s="276" t="s">
        <v>6</v>
      </c>
      <c r="B1773" s="276"/>
      <c r="C1773" s="276"/>
      <c r="D1773" s="276"/>
      <c r="E1773" s="276"/>
      <c r="F1773" s="276"/>
      <c r="G1773" s="276"/>
      <c r="H1773" s="276"/>
      <c r="I1773" s="276"/>
      <c r="J1773" s="276"/>
      <c r="K1773" s="276"/>
      <c r="L1773" s="276"/>
    </row>
    <row r="1774" spans="1:12" ht="14.25" customHeight="1" x14ac:dyDescent="0.3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</row>
    <row r="1775" spans="1:12" ht="18.75" x14ac:dyDescent="0.3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</row>
    <row r="1776" spans="1:12" ht="15" x14ac:dyDescent="0.25">
      <c r="A1776" s="1"/>
      <c r="B1776" s="1"/>
    </row>
    <row r="1777" spans="1:12" ht="15" x14ac:dyDescent="0.25">
      <c r="A1777" s="1" t="s">
        <v>7</v>
      </c>
      <c r="B1777" s="1"/>
    </row>
    <row r="1778" spans="1:12" ht="12" customHeight="1" x14ac:dyDescent="0.25">
      <c r="A1778" s="1"/>
      <c r="B1778" s="1"/>
    </row>
    <row r="1779" spans="1:12" ht="15" x14ac:dyDescent="0.25">
      <c r="A1779" s="1" t="s">
        <v>8</v>
      </c>
      <c r="C1779" s="9" t="s">
        <v>1</v>
      </c>
      <c r="D1779" s="92" t="s">
        <v>96</v>
      </c>
      <c r="E1779" s="76"/>
      <c r="F1779" s="76"/>
      <c r="G1779" s="76"/>
      <c r="H1779" s="76"/>
    </row>
    <row r="1780" spans="1:12" ht="15" x14ac:dyDescent="0.25">
      <c r="A1780" s="1" t="s">
        <v>9</v>
      </c>
      <c r="C1780" s="9" t="s">
        <v>1</v>
      </c>
      <c r="D1780" s="57" t="s">
        <v>200</v>
      </c>
      <c r="E1780" s="76"/>
      <c r="F1780" s="76"/>
      <c r="G1780" s="76"/>
      <c r="H1780" s="76"/>
    </row>
    <row r="1781" spans="1:12" ht="15" x14ac:dyDescent="0.2">
      <c r="A1781" s="50" t="s">
        <v>10</v>
      </c>
      <c r="B1781" s="76"/>
      <c r="C1781" s="91" t="s">
        <v>1</v>
      </c>
      <c r="D1781" s="50" t="s">
        <v>203</v>
      </c>
      <c r="E1781" s="76"/>
      <c r="F1781" s="76"/>
      <c r="G1781" s="76"/>
      <c r="H1781" s="76"/>
      <c r="I1781" s="76"/>
      <c r="J1781" s="76"/>
      <c r="K1781" s="76"/>
      <c r="L1781" s="76"/>
    </row>
    <row r="1782" spans="1:12" ht="15" x14ac:dyDescent="0.25">
      <c r="A1782" s="1"/>
      <c r="B1782" s="1"/>
      <c r="D1782" s="1"/>
    </row>
    <row r="1783" spans="1:12" s="148" customFormat="1" ht="24" customHeight="1" x14ac:dyDescent="0.2">
      <c r="A1783" s="277" t="s">
        <v>351</v>
      </c>
      <c r="B1783" s="277"/>
      <c r="C1783" s="277"/>
      <c r="D1783" s="277"/>
      <c r="E1783" s="277"/>
      <c r="F1783" s="277"/>
      <c r="G1783" s="277"/>
      <c r="H1783" s="277"/>
      <c r="I1783" s="277"/>
      <c r="J1783" s="277"/>
      <c r="K1783" s="277"/>
      <c r="L1783" s="277"/>
    </row>
    <row r="1784" spans="1:12" ht="15" x14ac:dyDescent="0.25">
      <c r="A1784" s="1"/>
      <c r="B1784" s="1"/>
    </row>
    <row r="1785" spans="1:12" ht="34.5" customHeight="1" thickBot="1" x14ac:dyDescent="0.25">
      <c r="A1785" s="10" t="s">
        <v>0</v>
      </c>
      <c r="B1785" s="278" t="s">
        <v>91</v>
      </c>
      <c r="C1785" s="278"/>
      <c r="D1785" s="278"/>
      <c r="E1785" s="278"/>
      <c r="F1785" s="278"/>
      <c r="G1785" s="278"/>
      <c r="H1785" s="278"/>
      <c r="I1785" s="278"/>
      <c r="J1785" s="278"/>
      <c r="K1785" s="278"/>
      <c r="L1785" s="278"/>
    </row>
    <row r="1786" spans="1:12" ht="23.25" customHeight="1" thickTop="1" x14ac:dyDescent="0.25">
      <c r="A1786" s="1"/>
      <c r="B1786" s="11" t="s">
        <v>3</v>
      </c>
      <c r="C1786" s="12" t="s">
        <v>4</v>
      </c>
      <c r="D1786" s="13"/>
      <c r="E1786" s="13"/>
      <c r="F1786" s="13"/>
      <c r="G1786" s="13"/>
      <c r="H1786" s="14"/>
      <c r="I1786" s="15" t="s">
        <v>5</v>
      </c>
      <c r="J1786" s="12" t="s">
        <v>17</v>
      </c>
      <c r="K1786" s="13"/>
      <c r="L1786" s="14"/>
    </row>
    <row r="1787" spans="1:12" ht="15" customHeight="1" x14ac:dyDescent="0.2">
      <c r="A1787" s="50"/>
      <c r="B1787" s="143">
        <v>1</v>
      </c>
      <c r="C1787" s="284" t="s">
        <v>303</v>
      </c>
      <c r="D1787" s="285"/>
      <c r="E1787" s="285"/>
      <c r="F1787" s="285"/>
      <c r="G1787" s="76"/>
      <c r="H1787" s="79"/>
      <c r="I1787" s="56">
        <v>250000</v>
      </c>
      <c r="J1787" s="76"/>
      <c r="K1787" s="76"/>
      <c r="L1787" s="79"/>
    </row>
    <row r="1788" spans="1:12" ht="33.75" customHeight="1" x14ac:dyDescent="0.2">
      <c r="B1788" s="96"/>
      <c r="C1788" s="124"/>
      <c r="D1788" s="124"/>
      <c r="E1788" s="127"/>
      <c r="F1788" s="125"/>
      <c r="G1788" s="124"/>
      <c r="H1788" s="124"/>
      <c r="I1788" s="23"/>
      <c r="L1788" s="17"/>
    </row>
    <row r="1789" spans="1:12" ht="17.25" customHeight="1" x14ac:dyDescent="0.25">
      <c r="A1789" s="1"/>
      <c r="B1789" s="39"/>
      <c r="C1789" s="1"/>
      <c r="D1789" s="1"/>
      <c r="E1789" s="1"/>
      <c r="F1789" s="40" t="s">
        <v>5</v>
      </c>
      <c r="G1789" s="40"/>
      <c r="H1789" s="1"/>
      <c r="I1789" s="41">
        <f>SUM(I1787:I1787)</f>
        <v>250000</v>
      </c>
      <c r="J1789" s="1"/>
      <c r="K1789" s="1"/>
      <c r="L1789" s="42"/>
    </row>
    <row r="1790" spans="1:12" ht="9" customHeight="1" thickBot="1" x14ac:dyDescent="0.3">
      <c r="A1790" s="1"/>
      <c r="B1790" s="43"/>
      <c r="C1790" s="44"/>
      <c r="D1790" s="44"/>
      <c r="E1790" s="44"/>
      <c r="F1790" s="45"/>
      <c r="G1790" s="45"/>
      <c r="H1790" s="44"/>
      <c r="I1790" s="46"/>
      <c r="J1790" s="44"/>
      <c r="K1790" s="44"/>
      <c r="L1790" s="47"/>
    </row>
    <row r="1791" spans="1:12" ht="13.5" customHeight="1" thickTop="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ht="47.25" customHeight="1" x14ac:dyDescent="0.2">
      <c r="A1792" s="10" t="s">
        <v>2</v>
      </c>
      <c r="B1792" s="279" t="s">
        <v>11</v>
      </c>
      <c r="C1792" s="279"/>
      <c r="D1792" s="279"/>
      <c r="E1792" s="279"/>
      <c r="F1792" s="279"/>
      <c r="G1792" s="279"/>
      <c r="H1792" s="279"/>
      <c r="I1792" s="279"/>
      <c r="J1792" s="279"/>
      <c r="K1792" s="279"/>
      <c r="L1792" s="279"/>
    </row>
    <row r="1793" spans="1:12" ht="12" customHeight="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ht="15" x14ac:dyDescent="0.2">
      <c r="A1794" s="280" t="s">
        <v>12</v>
      </c>
      <c r="B1794" s="280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</row>
    <row r="1795" spans="1:12" ht="15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ht="0.75" customHeight="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ht="21" customHeight="1" x14ac:dyDescent="0.25">
      <c r="A1797" s="1"/>
      <c r="B1797" s="1"/>
      <c r="C1797" s="1"/>
      <c r="D1797" s="1"/>
      <c r="E1797" s="1"/>
      <c r="F1797" s="1"/>
      <c r="G1797" s="1"/>
      <c r="H1797" s="4" t="s">
        <v>199</v>
      </c>
      <c r="J1797" s="286" t="s">
        <v>335</v>
      </c>
      <c r="K1797" s="286"/>
      <c r="L1797" s="286"/>
    </row>
    <row r="1798" spans="1:12" ht="15.75" customHeight="1" x14ac:dyDescent="0.25">
      <c r="A1798" s="1"/>
      <c r="B1798" s="1" t="s">
        <v>15</v>
      </c>
      <c r="C1798" s="1"/>
      <c r="D1798" s="1"/>
      <c r="E1798" s="1"/>
      <c r="F1798" s="1"/>
      <c r="G1798" s="1"/>
      <c r="H1798" s="4" t="s">
        <v>13</v>
      </c>
    </row>
    <row r="1799" spans="1:12" ht="15.75" customHeight="1" x14ac:dyDescent="0.25">
      <c r="A1799" s="1"/>
      <c r="B1799" s="1" t="s">
        <v>18</v>
      </c>
      <c r="C1799" s="1"/>
      <c r="D1799" s="1"/>
      <c r="E1799" s="1"/>
      <c r="F1799" s="1"/>
      <c r="G1799" s="1"/>
      <c r="H1799" s="4" t="s">
        <v>14</v>
      </c>
    </row>
    <row r="1800" spans="1:12" ht="17.25" customHeight="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 ht="19.5" customHeight="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ht="30.75" hidden="1" customHeight="1" x14ac:dyDescent="0.25">
      <c r="A1802" s="1"/>
      <c r="B1802" s="103"/>
      <c r="C1802" s="103"/>
      <c r="D1802" s="103"/>
      <c r="E1802" s="103"/>
      <c r="F1802" s="103"/>
      <c r="G1802" s="103"/>
      <c r="H1802" s="103"/>
      <c r="I1802" s="103"/>
      <c r="J1802" s="103"/>
      <c r="K1802" s="103"/>
      <c r="L1802" s="1"/>
    </row>
    <row r="1803" spans="1:12" ht="15" hidden="1" x14ac:dyDescent="0.25">
      <c r="A1803" s="1"/>
      <c r="K1803" s="103"/>
      <c r="L1803" s="1"/>
    </row>
    <row r="1804" spans="1:12" ht="35.25" customHeight="1" x14ac:dyDescent="0.25">
      <c r="A1804" s="1"/>
      <c r="B1804" s="95" t="s">
        <v>77</v>
      </c>
      <c r="H1804" s="95" t="s">
        <v>96</v>
      </c>
      <c r="I1804" s="95"/>
      <c r="J1804" s="92"/>
      <c r="K1804" s="103"/>
      <c r="L1804" s="1"/>
    </row>
    <row r="1805" spans="1:12" ht="15" x14ac:dyDescent="0.25">
      <c r="A1805" s="1"/>
      <c r="B1805" s="99" t="s">
        <v>27</v>
      </c>
      <c r="C1805" s="57"/>
      <c r="H1805" s="99" t="s">
        <v>100</v>
      </c>
      <c r="K1805" s="103"/>
    </row>
    <row r="1806" spans="1:12" ht="12.75" x14ac:dyDescent="0.2"/>
    <row r="1807" spans="1:12" ht="12.75" x14ac:dyDescent="0.2"/>
    <row r="1808" spans="1:12" ht="12.75" x14ac:dyDescent="0.2"/>
    <row r="1809" spans="1:12" ht="7.5" customHeight="1" x14ac:dyDescent="0.2"/>
    <row r="1810" spans="1:12" ht="12.75" x14ac:dyDescent="0.2"/>
    <row r="1811" spans="1:12" ht="15.75" x14ac:dyDescent="0.25">
      <c r="A1811" s="3" t="s">
        <v>22</v>
      </c>
    </row>
    <row r="1812" spans="1:12" ht="15.75" x14ac:dyDescent="0.2">
      <c r="A1812" s="122" t="s">
        <v>20</v>
      </c>
    </row>
    <row r="1813" spans="1:12" ht="15.75" x14ac:dyDescent="0.2">
      <c r="A1813" s="122" t="s">
        <v>21</v>
      </c>
    </row>
    <row r="1814" spans="1:12" ht="26.25" customHeight="1" x14ac:dyDescent="0.2"/>
    <row r="1815" spans="1:12" ht="12.75" x14ac:dyDescent="0.2"/>
    <row r="1816" spans="1:12" ht="8.25" customHeight="1" x14ac:dyDescent="0.2"/>
    <row r="1817" spans="1:12" ht="18.75" x14ac:dyDescent="0.3">
      <c r="A1817" s="276" t="s">
        <v>6</v>
      </c>
      <c r="B1817" s="276"/>
      <c r="C1817" s="276"/>
      <c r="D1817" s="276"/>
      <c r="E1817" s="276"/>
      <c r="F1817" s="276"/>
      <c r="G1817" s="276"/>
      <c r="H1817" s="276"/>
      <c r="I1817" s="276"/>
      <c r="J1817" s="276"/>
      <c r="K1817" s="276"/>
      <c r="L1817" s="276"/>
    </row>
    <row r="1818" spans="1:12" ht="15" customHeight="1" x14ac:dyDescent="0.3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</row>
    <row r="1819" spans="1:12" ht="18.75" x14ac:dyDescent="0.3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</row>
    <row r="1820" spans="1:12" ht="5.25" customHeight="1" x14ac:dyDescent="0.25">
      <c r="A1820" s="1"/>
      <c r="B1820" s="1"/>
    </row>
    <row r="1821" spans="1:12" ht="15" x14ac:dyDescent="0.25">
      <c r="A1821" s="1" t="s">
        <v>7</v>
      </c>
      <c r="B1821" s="1"/>
    </row>
    <row r="1822" spans="1:12" ht="12.75" customHeight="1" x14ac:dyDescent="0.25">
      <c r="A1822" s="1"/>
      <c r="B1822" s="1"/>
    </row>
    <row r="1823" spans="1:12" ht="15" x14ac:dyDescent="0.25">
      <c r="A1823" s="1" t="s">
        <v>8</v>
      </c>
      <c r="C1823" s="9" t="s">
        <v>1</v>
      </c>
      <c r="D1823" s="92" t="s">
        <v>77</v>
      </c>
      <c r="E1823" s="76"/>
      <c r="F1823" s="76"/>
      <c r="G1823" s="76"/>
      <c r="H1823" s="76"/>
    </row>
    <row r="1824" spans="1:12" ht="15" x14ac:dyDescent="0.25">
      <c r="A1824" s="1" t="s">
        <v>9</v>
      </c>
      <c r="C1824" s="9" t="s">
        <v>1</v>
      </c>
      <c r="D1824" s="57" t="s">
        <v>201</v>
      </c>
      <c r="E1824" s="76"/>
      <c r="F1824" s="76"/>
      <c r="G1824" s="76"/>
      <c r="H1824" s="76"/>
    </row>
    <row r="1825" spans="1:12" ht="15" x14ac:dyDescent="0.2">
      <c r="A1825" s="50" t="s">
        <v>10</v>
      </c>
      <c r="B1825" s="76"/>
      <c r="C1825" s="91" t="s">
        <v>1</v>
      </c>
      <c r="D1825" s="50" t="s">
        <v>265</v>
      </c>
      <c r="E1825" s="76"/>
      <c r="F1825" s="76"/>
      <c r="G1825" s="76"/>
      <c r="H1825" s="76"/>
      <c r="I1825" s="76"/>
      <c r="J1825" s="76"/>
      <c r="K1825" s="76"/>
      <c r="L1825" s="76"/>
    </row>
    <row r="1826" spans="1:12" ht="15" x14ac:dyDescent="0.25">
      <c r="A1826" s="1"/>
      <c r="B1826" s="1"/>
      <c r="D1826" s="1"/>
    </row>
    <row r="1827" spans="1:12" s="148" customFormat="1" ht="36" customHeight="1" x14ac:dyDescent="0.2">
      <c r="A1827" s="277" t="s">
        <v>351</v>
      </c>
      <c r="B1827" s="277"/>
      <c r="C1827" s="277"/>
      <c r="D1827" s="277"/>
      <c r="E1827" s="277"/>
      <c r="F1827" s="277"/>
      <c r="G1827" s="277"/>
      <c r="H1827" s="277"/>
      <c r="I1827" s="277"/>
      <c r="J1827" s="277"/>
      <c r="K1827" s="277"/>
      <c r="L1827" s="277"/>
    </row>
    <row r="1828" spans="1:12" ht="15" x14ac:dyDescent="0.25">
      <c r="A1828" s="1"/>
      <c r="B1828" s="1"/>
    </row>
    <row r="1829" spans="1:12" ht="29.25" customHeight="1" thickBot="1" x14ac:dyDescent="0.25">
      <c r="A1829" s="10" t="s">
        <v>0</v>
      </c>
      <c r="B1829" s="278" t="s">
        <v>91</v>
      </c>
      <c r="C1829" s="278"/>
      <c r="D1829" s="278"/>
      <c r="E1829" s="278"/>
      <c r="F1829" s="278"/>
      <c r="G1829" s="278"/>
      <c r="H1829" s="278"/>
      <c r="I1829" s="278"/>
      <c r="J1829" s="278"/>
      <c r="K1829" s="278"/>
      <c r="L1829" s="278"/>
    </row>
    <row r="1830" spans="1:12" ht="15.75" thickTop="1" x14ac:dyDescent="0.25">
      <c r="A1830" s="1"/>
      <c r="B1830" s="11" t="s">
        <v>3</v>
      </c>
      <c r="C1830" s="12" t="s">
        <v>4</v>
      </c>
      <c r="D1830" s="13"/>
      <c r="E1830" s="13"/>
      <c r="F1830" s="13"/>
      <c r="G1830" s="13"/>
      <c r="H1830" s="14"/>
      <c r="I1830" s="15" t="s">
        <v>5</v>
      </c>
      <c r="J1830" s="12" t="s">
        <v>17</v>
      </c>
      <c r="K1830" s="13"/>
      <c r="L1830" s="14"/>
    </row>
    <row r="1831" spans="1:12" ht="17.25" customHeight="1" x14ac:dyDescent="0.2">
      <c r="A1831" s="50"/>
      <c r="B1831" s="143">
        <v>1</v>
      </c>
      <c r="C1831" s="284" t="s">
        <v>303</v>
      </c>
      <c r="D1831" s="285"/>
      <c r="E1831" s="285"/>
      <c r="F1831" s="285"/>
      <c r="G1831" s="76"/>
      <c r="H1831" s="79"/>
      <c r="I1831" s="56">
        <v>250000</v>
      </c>
      <c r="J1831" s="76"/>
      <c r="K1831" s="76"/>
      <c r="L1831" s="79"/>
    </row>
    <row r="1832" spans="1:12" ht="23.25" customHeight="1" x14ac:dyDescent="0.2">
      <c r="B1832" s="96"/>
      <c r="C1832" s="124"/>
      <c r="D1832" s="124"/>
      <c r="E1832" s="127"/>
      <c r="F1832" s="125"/>
      <c r="G1832" s="124"/>
      <c r="H1832" s="124"/>
      <c r="I1832" s="23"/>
      <c r="L1832" s="17"/>
    </row>
    <row r="1833" spans="1:12" ht="21.75" customHeight="1" x14ac:dyDescent="0.25">
      <c r="A1833" s="1"/>
      <c r="B1833" s="39"/>
      <c r="C1833" s="1"/>
      <c r="D1833" s="1"/>
      <c r="E1833" s="1"/>
      <c r="F1833" s="40" t="s">
        <v>5</v>
      </c>
      <c r="G1833" s="40"/>
      <c r="H1833" s="1"/>
      <c r="I1833" s="41">
        <f>SUM(I1831:I1831)</f>
        <v>250000</v>
      </c>
      <c r="J1833" s="1"/>
      <c r="K1833" s="1"/>
      <c r="L1833" s="42"/>
    </row>
    <row r="1834" spans="1:12" ht="15.75" thickBot="1" x14ac:dyDescent="0.3">
      <c r="A1834" s="1"/>
      <c r="B1834" s="43"/>
      <c r="C1834" s="44"/>
      <c r="D1834" s="44"/>
      <c r="E1834" s="44"/>
      <c r="F1834" s="45"/>
      <c r="G1834" s="45"/>
      <c r="H1834" s="44"/>
      <c r="I1834" s="46"/>
      <c r="J1834" s="44"/>
      <c r="K1834" s="44"/>
      <c r="L1834" s="47"/>
    </row>
    <row r="1835" spans="1:12" ht="21.75" customHeight="1" thickTop="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 ht="50.25" customHeight="1" x14ac:dyDescent="0.2">
      <c r="A1836" s="10" t="s">
        <v>2</v>
      </c>
      <c r="B1836" s="279" t="s">
        <v>11</v>
      </c>
      <c r="C1836" s="279"/>
      <c r="D1836" s="279"/>
      <c r="E1836" s="279"/>
      <c r="F1836" s="279"/>
      <c r="G1836" s="279"/>
      <c r="H1836" s="279"/>
      <c r="I1836" s="279"/>
      <c r="J1836" s="279"/>
      <c r="K1836" s="279"/>
      <c r="L1836" s="279"/>
    </row>
    <row r="1837" spans="1:12" ht="15" customHeight="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 ht="12" customHeight="1" x14ac:dyDescent="0.2">
      <c r="A1838" s="280" t="s">
        <v>12</v>
      </c>
      <c r="B1838" s="280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</row>
    <row r="1839" spans="1:12" ht="24.75" customHeight="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 ht="20.25" hidden="1" customHeight="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 ht="15" x14ac:dyDescent="0.25">
      <c r="A1841" s="1"/>
      <c r="B1841" s="1"/>
      <c r="C1841" s="1"/>
      <c r="D1841" s="1"/>
      <c r="E1841" s="1"/>
      <c r="F1841" s="1"/>
      <c r="G1841" s="1"/>
      <c r="H1841" s="4" t="s">
        <v>199</v>
      </c>
      <c r="J1841" s="286" t="s">
        <v>335</v>
      </c>
      <c r="K1841" s="286"/>
      <c r="L1841" s="286"/>
    </row>
    <row r="1842" spans="1:12" ht="18" customHeight="1" x14ac:dyDescent="0.25">
      <c r="A1842" s="1"/>
      <c r="B1842" s="1" t="s">
        <v>15</v>
      </c>
      <c r="C1842" s="1"/>
      <c r="D1842" s="1"/>
      <c r="E1842" s="1"/>
      <c r="F1842" s="1"/>
      <c r="G1842" s="1"/>
      <c r="H1842" s="4" t="s">
        <v>13</v>
      </c>
    </row>
    <row r="1843" spans="1:12" ht="14.25" customHeight="1" x14ac:dyDescent="0.25">
      <c r="A1843" s="1"/>
      <c r="B1843" s="1" t="s">
        <v>18</v>
      </c>
      <c r="C1843" s="1"/>
      <c r="D1843" s="1"/>
      <c r="E1843" s="1"/>
      <c r="F1843" s="1"/>
      <c r="G1843" s="1"/>
      <c r="H1843" s="4" t="s">
        <v>14</v>
      </c>
    </row>
    <row r="1844" spans="1:12" ht="15" customHeight="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 ht="18.75" customHeight="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 ht="15" x14ac:dyDescent="0.25">
      <c r="A1846" s="1"/>
      <c r="B1846" s="103"/>
      <c r="C1846" s="103"/>
      <c r="D1846" s="103"/>
      <c r="E1846" s="103"/>
      <c r="F1846" s="103"/>
      <c r="G1846" s="103"/>
      <c r="H1846" s="103"/>
      <c r="I1846" s="103"/>
      <c r="J1846" s="103"/>
      <c r="K1846" s="103"/>
      <c r="L1846" s="1"/>
    </row>
    <row r="1847" spans="1:12" ht="18" customHeight="1" x14ac:dyDescent="0.25">
      <c r="A1847" s="1"/>
      <c r="K1847" s="103"/>
      <c r="L1847" s="1"/>
    </row>
    <row r="1848" spans="1:12" ht="19.5" customHeight="1" x14ac:dyDescent="0.25">
      <c r="A1848" s="1"/>
      <c r="B1848" s="95" t="s">
        <v>77</v>
      </c>
      <c r="H1848" s="95" t="s">
        <v>77</v>
      </c>
      <c r="I1848" s="95"/>
      <c r="J1848" s="92"/>
      <c r="K1848" s="103"/>
      <c r="L1848" s="1"/>
    </row>
    <row r="1849" spans="1:12" ht="19.5" customHeight="1" x14ac:dyDescent="0.25">
      <c r="A1849" s="1"/>
      <c r="B1849" s="99" t="s">
        <v>27</v>
      </c>
      <c r="C1849" s="57"/>
      <c r="H1849" s="99" t="s">
        <v>27</v>
      </c>
      <c r="K1849" s="103"/>
    </row>
    <row r="1850" spans="1:12" ht="18" customHeight="1" x14ac:dyDescent="0.2"/>
    <row r="1851" spans="1:12" ht="22.5" customHeight="1" x14ac:dyDescent="0.2"/>
    <row r="1852" spans="1:12" ht="12.75" customHeight="1" x14ac:dyDescent="0.2"/>
    <row r="1853" spans="1:12" ht="12.75" x14ac:dyDescent="0.2"/>
    <row r="1854" spans="1:12" ht="30.75" customHeight="1" x14ac:dyDescent="0.2"/>
    <row r="1855" spans="1:12" ht="12.75" x14ac:dyDescent="0.2"/>
    <row r="1856" spans="1:12" ht="15.75" x14ac:dyDescent="0.25">
      <c r="A1856" s="3" t="s">
        <v>22</v>
      </c>
    </row>
    <row r="1857" spans="1:12" ht="15.75" x14ac:dyDescent="0.2">
      <c r="A1857" s="122" t="s">
        <v>20</v>
      </c>
    </row>
    <row r="1858" spans="1:12" ht="15.75" x14ac:dyDescent="0.2">
      <c r="A1858" s="122" t="s">
        <v>21</v>
      </c>
    </row>
    <row r="1859" spans="1:12" ht="24" customHeight="1" x14ac:dyDescent="0.2"/>
    <row r="1860" spans="1:12" ht="12.75" x14ac:dyDescent="0.2"/>
    <row r="1861" spans="1:12" ht="12.75" x14ac:dyDescent="0.2"/>
    <row r="1862" spans="1:12" ht="18.75" x14ac:dyDescent="0.3">
      <c r="A1862" s="276" t="s">
        <v>6</v>
      </c>
      <c r="B1862" s="276"/>
      <c r="C1862" s="276"/>
      <c r="D1862" s="276"/>
      <c r="E1862" s="276"/>
      <c r="F1862" s="276"/>
      <c r="G1862" s="276"/>
      <c r="H1862" s="276"/>
      <c r="I1862" s="276"/>
      <c r="J1862" s="276"/>
      <c r="K1862" s="276"/>
      <c r="L1862" s="276"/>
    </row>
    <row r="1863" spans="1:12" ht="33.75" customHeight="1" x14ac:dyDescent="0.3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</row>
    <row r="1864" spans="1:12" ht="18.75" x14ac:dyDescent="0.3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</row>
    <row r="1865" spans="1:12" ht="6" customHeight="1" x14ac:dyDescent="0.25">
      <c r="A1865" s="1"/>
      <c r="B1865" s="1"/>
    </row>
    <row r="1866" spans="1:12" ht="15" x14ac:dyDescent="0.25">
      <c r="A1866" s="1" t="s">
        <v>7</v>
      </c>
      <c r="B1866" s="1"/>
    </row>
    <row r="1867" spans="1:12" ht="14.25" customHeight="1" x14ac:dyDescent="0.25">
      <c r="A1867" s="1"/>
      <c r="B1867" s="1"/>
    </row>
    <row r="1868" spans="1:12" ht="19.5" customHeight="1" x14ac:dyDescent="0.25">
      <c r="A1868" s="1" t="s">
        <v>8</v>
      </c>
      <c r="C1868" s="9" t="s">
        <v>1</v>
      </c>
      <c r="D1868" s="126" t="s">
        <v>64</v>
      </c>
      <c r="E1868" s="76"/>
      <c r="F1868" s="76"/>
      <c r="G1868" s="76"/>
      <c r="H1868" s="76"/>
    </row>
    <row r="1869" spans="1:12" ht="15" x14ac:dyDescent="0.25">
      <c r="A1869" s="1" t="s">
        <v>9</v>
      </c>
      <c r="C1869" s="9" t="s">
        <v>1</v>
      </c>
      <c r="D1869" s="119" t="s">
        <v>236</v>
      </c>
      <c r="E1869" s="76"/>
      <c r="F1869" s="76"/>
      <c r="G1869" s="76"/>
      <c r="H1869" s="76"/>
    </row>
    <row r="1870" spans="1:12" ht="15" x14ac:dyDescent="0.2">
      <c r="A1870" s="50" t="s">
        <v>10</v>
      </c>
      <c r="B1870" s="76"/>
      <c r="C1870" s="91" t="s">
        <v>1</v>
      </c>
      <c r="D1870" s="124" t="s">
        <v>235</v>
      </c>
      <c r="E1870" s="76"/>
      <c r="F1870" s="76"/>
      <c r="G1870" s="76"/>
      <c r="H1870" s="76"/>
      <c r="I1870" s="76"/>
      <c r="J1870" s="76"/>
      <c r="K1870" s="76"/>
      <c r="L1870" s="76"/>
    </row>
    <row r="1871" spans="1:12" ht="15" x14ac:dyDescent="0.25">
      <c r="A1871" s="1"/>
      <c r="B1871" s="1"/>
      <c r="D1871" s="1"/>
    </row>
    <row r="1872" spans="1:12" ht="31.5" customHeight="1" x14ac:dyDescent="0.2">
      <c r="A1872" s="277" t="s">
        <v>351</v>
      </c>
      <c r="B1872" s="277"/>
      <c r="C1872" s="277"/>
      <c r="D1872" s="277"/>
      <c r="E1872" s="277"/>
      <c r="F1872" s="277"/>
      <c r="G1872" s="277"/>
      <c r="H1872" s="277"/>
      <c r="I1872" s="277"/>
      <c r="J1872" s="277"/>
      <c r="K1872" s="277"/>
      <c r="L1872" s="277"/>
    </row>
    <row r="1873" spans="1:12" ht="15" x14ac:dyDescent="0.25">
      <c r="A1873" s="1"/>
      <c r="B1873" s="1"/>
    </row>
    <row r="1874" spans="1:12" ht="30" customHeight="1" thickBot="1" x14ac:dyDescent="0.25">
      <c r="A1874" s="10" t="s">
        <v>0</v>
      </c>
      <c r="B1874" s="278" t="s">
        <v>91</v>
      </c>
      <c r="C1874" s="278"/>
      <c r="D1874" s="278"/>
      <c r="E1874" s="278"/>
      <c r="F1874" s="278"/>
      <c r="G1874" s="278"/>
      <c r="H1874" s="278"/>
      <c r="I1874" s="278"/>
      <c r="J1874" s="278"/>
      <c r="K1874" s="278"/>
      <c r="L1874" s="278"/>
    </row>
    <row r="1875" spans="1:12" ht="15.75" thickTop="1" x14ac:dyDescent="0.25">
      <c r="A1875" s="1"/>
      <c r="B1875" s="11" t="s">
        <v>3</v>
      </c>
      <c r="C1875" s="12" t="s">
        <v>4</v>
      </c>
      <c r="D1875" s="13"/>
      <c r="E1875" s="13"/>
      <c r="F1875" s="13"/>
      <c r="G1875" s="13"/>
      <c r="H1875" s="14"/>
      <c r="I1875" s="15" t="s">
        <v>5</v>
      </c>
      <c r="J1875" s="12" t="s">
        <v>17</v>
      </c>
      <c r="K1875" s="13"/>
      <c r="L1875" s="14"/>
    </row>
    <row r="1876" spans="1:12" ht="50.25" customHeight="1" x14ac:dyDescent="0.2">
      <c r="A1876" s="50"/>
      <c r="B1876" s="143">
        <v>1</v>
      </c>
      <c r="C1876" s="284" t="s">
        <v>303</v>
      </c>
      <c r="D1876" s="285"/>
      <c r="E1876" s="285"/>
      <c r="F1876" s="285"/>
      <c r="G1876" s="76"/>
      <c r="H1876" s="79"/>
      <c r="I1876" s="56">
        <v>250000</v>
      </c>
      <c r="J1876" s="76"/>
      <c r="K1876" s="76"/>
      <c r="L1876" s="79"/>
    </row>
    <row r="1877" spans="1:12" ht="15" x14ac:dyDescent="0.2">
      <c r="B1877" s="96"/>
      <c r="C1877" s="124"/>
      <c r="D1877" s="124"/>
      <c r="E1877" s="127"/>
      <c r="F1877" s="125"/>
      <c r="G1877" s="124"/>
      <c r="H1877" s="124"/>
      <c r="I1877" s="23"/>
      <c r="L1877" s="17"/>
    </row>
    <row r="1878" spans="1:12" ht="21" customHeight="1" x14ac:dyDescent="0.25">
      <c r="A1878" s="1"/>
      <c r="B1878" s="39"/>
      <c r="C1878" s="1"/>
      <c r="D1878" s="1"/>
      <c r="E1878" s="1"/>
      <c r="F1878" s="40" t="s">
        <v>5</v>
      </c>
      <c r="G1878" s="40"/>
      <c r="H1878" s="1"/>
      <c r="I1878" s="41">
        <f>SUM(I1876:I1876)</f>
        <v>250000</v>
      </c>
      <c r="J1878" s="1"/>
      <c r="K1878" s="1"/>
      <c r="L1878" s="42"/>
    </row>
    <row r="1879" spans="1:12" ht="15.75" thickBot="1" x14ac:dyDescent="0.3">
      <c r="A1879" s="1"/>
      <c r="B1879" s="43"/>
      <c r="C1879" s="44"/>
      <c r="D1879" s="44"/>
      <c r="E1879" s="44"/>
      <c r="F1879" s="45"/>
      <c r="G1879" s="45"/>
      <c r="H1879" s="44"/>
      <c r="I1879" s="46"/>
      <c r="J1879" s="44"/>
      <c r="K1879" s="44"/>
      <c r="L1879" s="47"/>
    </row>
    <row r="1880" spans="1:12" ht="15" customHeight="1" thickTop="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 ht="46.5" customHeight="1" x14ac:dyDescent="0.2">
      <c r="A1881" s="10" t="s">
        <v>2</v>
      </c>
      <c r="B1881" s="279" t="s">
        <v>11</v>
      </c>
      <c r="C1881" s="279"/>
      <c r="D1881" s="279"/>
      <c r="E1881" s="279"/>
      <c r="F1881" s="279"/>
      <c r="G1881" s="279"/>
      <c r="H1881" s="279"/>
      <c r="I1881" s="279"/>
      <c r="J1881" s="279"/>
      <c r="K1881" s="279"/>
      <c r="L1881" s="279"/>
    </row>
    <row r="1882" spans="1:12" ht="9.75" customHeight="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 ht="21" customHeight="1" x14ac:dyDescent="0.2">
      <c r="A1883" s="280" t="s">
        <v>12</v>
      </c>
      <c r="B1883" s="280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</row>
    <row r="1884" spans="1:12" ht="12" customHeight="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 ht="15" hidden="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ht="16.5" customHeight="1" x14ac:dyDescent="0.25">
      <c r="A1886" s="1"/>
      <c r="B1886" s="1"/>
      <c r="C1886" s="1"/>
      <c r="D1886" s="1"/>
      <c r="E1886" s="1"/>
      <c r="F1886" s="1"/>
      <c r="G1886" s="1"/>
      <c r="H1886" s="4" t="s">
        <v>199</v>
      </c>
      <c r="J1886" s="286" t="s">
        <v>335</v>
      </c>
      <c r="K1886" s="286"/>
      <c r="L1886" s="286"/>
    </row>
    <row r="1887" spans="1:12" ht="16.5" customHeight="1" x14ac:dyDescent="0.25">
      <c r="A1887" s="1"/>
      <c r="B1887" s="1" t="s">
        <v>15</v>
      </c>
      <c r="C1887" s="1"/>
      <c r="D1887" s="1"/>
      <c r="E1887" s="1"/>
      <c r="F1887" s="1"/>
      <c r="G1887" s="1"/>
      <c r="H1887" s="4" t="s">
        <v>13</v>
      </c>
    </row>
    <row r="1888" spans="1:12" ht="12" customHeight="1" x14ac:dyDescent="0.25">
      <c r="A1888" s="1"/>
      <c r="B1888" s="1" t="s">
        <v>18</v>
      </c>
      <c r="C1888" s="1"/>
      <c r="D1888" s="1"/>
      <c r="E1888" s="1"/>
      <c r="F1888" s="1"/>
      <c r="G1888" s="1"/>
      <c r="H1888" s="4" t="s">
        <v>14</v>
      </c>
    </row>
    <row r="1889" spans="1:12" ht="15.75" customHeight="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 ht="15.75" customHeight="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 ht="15.75" customHeight="1" x14ac:dyDescent="0.25">
      <c r="A1891" s="1"/>
      <c r="B1891" s="103"/>
      <c r="C1891" s="103"/>
      <c r="D1891" s="103"/>
      <c r="E1891" s="103"/>
      <c r="F1891" s="103"/>
      <c r="G1891" s="103"/>
      <c r="H1891" s="103"/>
      <c r="I1891" s="103"/>
      <c r="J1891" s="103"/>
      <c r="K1891" s="103"/>
      <c r="L1891" s="1"/>
    </row>
    <row r="1892" spans="1:12" ht="15.75" customHeight="1" x14ac:dyDescent="0.25">
      <c r="A1892" s="1"/>
      <c r="K1892" s="103"/>
      <c r="L1892" s="1"/>
    </row>
    <row r="1893" spans="1:12" ht="15.75" customHeight="1" x14ac:dyDescent="0.25">
      <c r="A1893" s="1"/>
      <c r="B1893" s="95" t="s">
        <v>77</v>
      </c>
      <c r="H1893" s="95" t="s">
        <v>64</v>
      </c>
      <c r="I1893" s="95"/>
      <c r="J1893" s="92"/>
      <c r="K1893" s="103"/>
      <c r="L1893" s="1"/>
    </row>
    <row r="1894" spans="1:12" ht="15" x14ac:dyDescent="0.25">
      <c r="A1894" s="1"/>
      <c r="B1894" s="99" t="s">
        <v>27</v>
      </c>
      <c r="C1894" s="57"/>
      <c r="H1894" s="99" t="s">
        <v>46</v>
      </c>
      <c r="K1894" s="103"/>
    </row>
    <row r="1895" spans="1:12" ht="48" customHeight="1" x14ac:dyDescent="0.2"/>
    <row r="1896" spans="1:12" ht="12.75" x14ac:dyDescent="0.2"/>
    <row r="1897" spans="1:12" ht="20.25" customHeight="1" x14ac:dyDescent="0.2"/>
    <row r="1898" spans="1:12" ht="15.75" x14ac:dyDescent="0.25">
      <c r="A1898" s="3" t="s">
        <v>22</v>
      </c>
    </row>
    <row r="1899" spans="1:12" ht="15" customHeight="1" x14ac:dyDescent="0.2">
      <c r="A1899" s="122" t="s">
        <v>20</v>
      </c>
    </row>
    <row r="1900" spans="1:12" ht="15.75" x14ac:dyDescent="0.2">
      <c r="A1900" s="122" t="s">
        <v>21</v>
      </c>
    </row>
    <row r="1901" spans="1:12" ht="12.75" x14ac:dyDescent="0.2"/>
    <row r="1902" spans="1:12" ht="12.75" x14ac:dyDescent="0.2"/>
    <row r="1903" spans="1:12" ht="12.75" x14ac:dyDescent="0.2"/>
    <row r="1904" spans="1:12" ht="18.75" x14ac:dyDescent="0.3">
      <c r="A1904" s="276" t="s">
        <v>6</v>
      </c>
      <c r="B1904" s="276"/>
      <c r="C1904" s="276"/>
      <c r="D1904" s="276"/>
      <c r="E1904" s="276"/>
      <c r="F1904" s="276"/>
      <c r="G1904" s="276"/>
      <c r="H1904" s="276"/>
      <c r="I1904" s="276"/>
      <c r="J1904" s="276"/>
      <c r="K1904" s="276"/>
      <c r="L1904" s="276"/>
    </row>
    <row r="1905" spans="1:12" ht="13.5" customHeight="1" x14ac:dyDescent="0.3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</row>
    <row r="1906" spans="1:12" ht="18.75" x14ac:dyDescent="0.3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</row>
    <row r="1907" spans="1:12" ht="19.5" customHeight="1" x14ac:dyDescent="0.25">
      <c r="A1907" s="1"/>
      <c r="B1907" s="1"/>
    </row>
    <row r="1908" spans="1:12" ht="15" x14ac:dyDescent="0.25">
      <c r="A1908" s="1" t="s">
        <v>7</v>
      </c>
      <c r="B1908" s="1"/>
    </row>
    <row r="1909" spans="1:12" ht="15" x14ac:dyDescent="0.25">
      <c r="A1909" s="1"/>
      <c r="B1909" s="1"/>
    </row>
    <row r="1910" spans="1:12" ht="15" x14ac:dyDescent="0.25">
      <c r="A1910" s="1" t="s">
        <v>8</v>
      </c>
      <c r="C1910" s="9" t="s">
        <v>1</v>
      </c>
      <c r="D1910" s="123" t="s">
        <v>78</v>
      </c>
      <c r="E1910" s="76"/>
      <c r="F1910" s="76"/>
      <c r="G1910" s="76"/>
      <c r="H1910" s="76"/>
    </row>
    <row r="1911" spans="1:12" ht="14.25" customHeight="1" x14ac:dyDescent="0.25">
      <c r="A1911" s="1" t="s">
        <v>9</v>
      </c>
      <c r="C1911" s="9" t="s">
        <v>1</v>
      </c>
      <c r="D1911" s="76" t="s">
        <v>234</v>
      </c>
      <c r="E1911" s="76"/>
      <c r="F1911" s="76"/>
      <c r="G1911" s="76"/>
      <c r="H1911" s="76"/>
    </row>
    <row r="1912" spans="1:12" ht="12.75" customHeight="1" x14ac:dyDescent="0.2">
      <c r="A1912" s="50" t="s">
        <v>10</v>
      </c>
      <c r="B1912" s="76"/>
      <c r="C1912" s="91" t="s">
        <v>1</v>
      </c>
      <c r="D1912" s="50" t="s">
        <v>235</v>
      </c>
      <c r="E1912" s="76"/>
      <c r="F1912" s="76"/>
      <c r="G1912" s="76"/>
      <c r="H1912" s="76"/>
      <c r="I1912" s="76"/>
      <c r="J1912" s="76"/>
      <c r="K1912" s="76"/>
      <c r="L1912" s="76"/>
    </row>
    <row r="1913" spans="1:12" ht="11.25" customHeight="1" x14ac:dyDescent="0.25">
      <c r="A1913" s="1"/>
      <c r="B1913" s="1"/>
      <c r="D1913" s="1"/>
    </row>
    <row r="1914" spans="1:12" ht="38.25" customHeight="1" x14ac:dyDescent="0.2">
      <c r="A1914" s="277" t="s">
        <v>351</v>
      </c>
      <c r="B1914" s="277"/>
      <c r="C1914" s="277"/>
      <c r="D1914" s="277"/>
      <c r="E1914" s="277"/>
      <c r="F1914" s="277"/>
      <c r="G1914" s="277"/>
      <c r="H1914" s="277"/>
      <c r="I1914" s="277"/>
      <c r="J1914" s="277"/>
      <c r="K1914" s="277"/>
      <c r="L1914" s="277"/>
    </row>
    <row r="1915" spans="1:12" ht="17.25" customHeight="1" x14ac:dyDescent="0.25">
      <c r="A1915" s="1"/>
      <c r="B1915" s="1"/>
    </row>
    <row r="1916" spans="1:12" ht="32.25" customHeight="1" thickBot="1" x14ac:dyDescent="0.25">
      <c r="A1916" s="10" t="s">
        <v>0</v>
      </c>
      <c r="B1916" s="278" t="s">
        <v>91</v>
      </c>
      <c r="C1916" s="278"/>
      <c r="D1916" s="278"/>
      <c r="E1916" s="278"/>
      <c r="F1916" s="278"/>
      <c r="G1916" s="278"/>
      <c r="H1916" s="278"/>
      <c r="I1916" s="278"/>
      <c r="J1916" s="278"/>
      <c r="K1916" s="278"/>
      <c r="L1916" s="278"/>
    </row>
    <row r="1917" spans="1:12" ht="15.75" thickTop="1" x14ac:dyDescent="0.25">
      <c r="A1917" s="1"/>
      <c r="B1917" s="11" t="s">
        <v>3</v>
      </c>
      <c r="C1917" s="12" t="s">
        <v>4</v>
      </c>
      <c r="D1917" s="13"/>
      <c r="E1917" s="13"/>
      <c r="F1917" s="13"/>
      <c r="G1917" s="13"/>
      <c r="H1917" s="14"/>
      <c r="I1917" s="15" t="s">
        <v>5</v>
      </c>
      <c r="J1917" s="12" t="s">
        <v>17</v>
      </c>
      <c r="K1917" s="13"/>
      <c r="L1917" s="14"/>
    </row>
    <row r="1918" spans="1:12" ht="26.25" customHeight="1" x14ac:dyDescent="0.2">
      <c r="A1918" s="50"/>
      <c r="B1918" s="143">
        <v>1</v>
      </c>
      <c r="C1918" s="284" t="s">
        <v>303</v>
      </c>
      <c r="D1918" s="285"/>
      <c r="E1918" s="285"/>
      <c r="F1918" s="285"/>
      <c r="G1918" s="76"/>
      <c r="H1918" s="79"/>
      <c r="I1918" s="56">
        <v>250000</v>
      </c>
      <c r="J1918" s="76"/>
      <c r="K1918" s="76"/>
      <c r="L1918" s="79"/>
    </row>
    <row r="1919" spans="1:12" ht="37.5" customHeight="1" x14ac:dyDescent="0.2">
      <c r="B1919" s="96"/>
      <c r="C1919" s="124"/>
      <c r="D1919" s="124"/>
      <c r="E1919" s="127"/>
      <c r="F1919" s="125"/>
      <c r="G1919" s="124"/>
      <c r="H1919" s="124"/>
      <c r="I1919" s="23"/>
      <c r="L1919" s="17"/>
    </row>
    <row r="1920" spans="1:12" ht="15" x14ac:dyDescent="0.25">
      <c r="A1920" s="1"/>
      <c r="B1920" s="39"/>
      <c r="C1920" s="1"/>
      <c r="D1920" s="1"/>
      <c r="E1920" s="1"/>
      <c r="F1920" s="40" t="s">
        <v>5</v>
      </c>
      <c r="G1920" s="40"/>
      <c r="H1920" s="1"/>
      <c r="I1920" s="41">
        <f>SUM(I1918:I1918)</f>
        <v>250000</v>
      </c>
      <c r="J1920" s="1"/>
      <c r="K1920" s="1"/>
      <c r="L1920" s="42"/>
    </row>
    <row r="1921" spans="1:12" ht="15.75" thickBot="1" x14ac:dyDescent="0.3">
      <c r="A1921" s="1"/>
      <c r="B1921" s="43"/>
      <c r="C1921" s="44"/>
      <c r="D1921" s="44"/>
      <c r="E1921" s="44"/>
      <c r="F1921" s="45"/>
      <c r="G1921" s="45"/>
      <c r="H1921" s="44"/>
      <c r="I1921" s="46"/>
      <c r="J1921" s="44"/>
      <c r="K1921" s="44"/>
      <c r="L1921" s="47"/>
    </row>
    <row r="1922" spans="1:12" ht="17.25" customHeight="1" thickTop="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 ht="47.25" customHeight="1" x14ac:dyDescent="0.2">
      <c r="A1923" s="10" t="s">
        <v>2</v>
      </c>
      <c r="B1923" s="279" t="s">
        <v>11</v>
      </c>
      <c r="C1923" s="279"/>
      <c r="D1923" s="279"/>
      <c r="E1923" s="279"/>
      <c r="F1923" s="279"/>
      <c r="G1923" s="279"/>
      <c r="H1923" s="279"/>
      <c r="I1923" s="279"/>
      <c r="J1923" s="279"/>
      <c r="K1923" s="279"/>
      <c r="L1923" s="279"/>
    </row>
    <row r="1924" spans="1:12" ht="23.25" customHeight="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 ht="15" x14ac:dyDescent="0.2">
      <c r="A1925" s="280" t="s">
        <v>12</v>
      </c>
      <c r="B1925" s="280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</row>
    <row r="1926" spans="1:12" ht="15" customHeight="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 ht="15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 ht="15" x14ac:dyDescent="0.25">
      <c r="A1928" s="1"/>
      <c r="B1928" s="1"/>
      <c r="C1928" s="1"/>
      <c r="D1928" s="1"/>
      <c r="E1928" s="1"/>
      <c r="F1928" s="1"/>
      <c r="G1928" s="1"/>
      <c r="H1928" s="4" t="s">
        <v>199</v>
      </c>
      <c r="J1928" s="286" t="s">
        <v>335</v>
      </c>
      <c r="K1928" s="286"/>
      <c r="L1928" s="286"/>
    </row>
    <row r="1929" spans="1:12" ht="16.5" customHeight="1" x14ac:dyDescent="0.25">
      <c r="A1929" s="1"/>
      <c r="B1929" s="1" t="s">
        <v>15</v>
      </c>
      <c r="C1929" s="1"/>
      <c r="D1929" s="1"/>
      <c r="E1929" s="1"/>
      <c r="F1929" s="1"/>
      <c r="G1929" s="1"/>
      <c r="H1929" s="4" t="s">
        <v>13</v>
      </c>
    </row>
    <row r="1930" spans="1:12" ht="15" customHeight="1" x14ac:dyDescent="0.25">
      <c r="A1930" s="1"/>
      <c r="B1930" s="1" t="s">
        <v>18</v>
      </c>
      <c r="C1930" s="1"/>
      <c r="D1930" s="1"/>
      <c r="E1930" s="1"/>
      <c r="F1930" s="1"/>
      <c r="G1930" s="1"/>
      <c r="H1930" s="4" t="s">
        <v>14</v>
      </c>
    </row>
    <row r="1931" spans="1:12" ht="15" customHeight="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ht="15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 ht="6.75" customHeight="1" x14ac:dyDescent="0.25">
      <c r="A1933" s="1"/>
      <c r="B1933" s="103"/>
      <c r="C1933" s="103"/>
      <c r="D1933" s="103"/>
      <c r="E1933" s="103"/>
      <c r="F1933" s="103"/>
      <c r="G1933" s="103"/>
      <c r="H1933" s="103"/>
      <c r="I1933" s="103"/>
      <c r="J1933" s="103"/>
      <c r="K1933" s="103"/>
      <c r="L1933" s="1"/>
    </row>
    <row r="1934" spans="1:12" ht="20.25" customHeight="1" x14ac:dyDescent="0.25">
      <c r="A1934" s="1"/>
      <c r="K1934" s="103"/>
      <c r="L1934" s="1"/>
    </row>
    <row r="1935" spans="1:12" ht="15" x14ac:dyDescent="0.25">
      <c r="A1935" s="1"/>
      <c r="B1935" s="95" t="s">
        <v>77</v>
      </c>
      <c r="H1935" s="95" t="s">
        <v>78</v>
      </c>
      <c r="I1935" s="95"/>
      <c r="J1935" s="92"/>
      <c r="K1935" s="103"/>
      <c r="L1935" s="1"/>
    </row>
    <row r="1936" spans="1:12" ht="15" x14ac:dyDescent="0.25">
      <c r="A1936" s="1"/>
      <c r="B1936" s="99" t="s">
        <v>27</v>
      </c>
      <c r="C1936" s="57"/>
      <c r="H1936" s="99" t="s">
        <v>79</v>
      </c>
      <c r="K1936" s="103"/>
    </row>
    <row r="1937" spans="1:12" ht="13.5" customHeight="1" x14ac:dyDescent="0.2"/>
    <row r="1938" spans="1:12" ht="15" customHeight="1" x14ac:dyDescent="0.2"/>
    <row r="1939" spans="1:12" ht="15" customHeight="1" x14ac:dyDescent="0.2"/>
    <row r="1940" spans="1:12" ht="21.75" customHeight="1" x14ac:dyDescent="0.25">
      <c r="A1940" s="3" t="s">
        <v>22</v>
      </c>
    </row>
    <row r="1941" spans="1:12" ht="15.75" x14ac:dyDescent="0.2">
      <c r="A1941" s="122" t="s">
        <v>20</v>
      </c>
    </row>
    <row r="1942" spans="1:12" ht="21.75" customHeight="1" x14ac:dyDescent="0.2">
      <c r="A1942" s="122" t="s">
        <v>21</v>
      </c>
    </row>
    <row r="1943" spans="1:12" ht="12.75" x14ac:dyDescent="0.2"/>
    <row r="1944" spans="1:12" ht="21.75" customHeight="1" x14ac:dyDescent="0.2"/>
    <row r="1945" spans="1:12" ht="12.75" x14ac:dyDescent="0.2"/>
    <row r="1946" spans="1:12" ht="18.75" x14ac:dyDescent="0.3">
      <c r="A1946" s="276" t="s">
        <v>6</v>
      </c>
      <c r="B1946" s="276"/>
      <c r="C1946" s="276"/>
      <c r="D1946" s="276"/>
      <c r="E1946" s="276"/>
      <c r="F1946" s="276"/>
      <c r="G1946" s="276"/>
      <c r="H1946" s="276"/>
      <c r="I1946" s="276"/>
      <c r="J1946" s="276"/>
      <c r="K1946" s="276"/>
      <c r="L1946" s="276"/>
    </row>
    <row r="1947" spans="1:12" ht="18.75" x14ac:dyDescent="0.3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</row>
    <row r="1948" spans="1:12" ht="18.75" x14ac:dyDescent="0.3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</row>
    <row r="1949" spans="1:12" ht="15" x14ac:dyDescent="0.25">
      <c r="A1949" s="1"/>
      <c r="B1949" s="1"/>
    </row>
    <row r="1950" spans="1:12" ht="15" x14ac:dyDescent="0.25">
      <c r="A1950" s="1" t="s">
        <v>7</v>
      </c>
      <c r="B1950" s="1"/>
    </row>
    <row r="1951" spans="1:12" ht="15" x14ac:dyDescent="0.25">
      <c r="A1951" s="1"/>
      <c r="B1951" s="1"/>
    </row>
    <row r="1952" spans="1:12" ht="19.5" customHeight="1" x14ac:dyDescent="0.25">
      <c r="A1952" s="1" t="s">
        <v>8</v>
      </c>
      <c r="C1952" s="9" t="s">
        <v>1</v>
      </c>
      <c r="D1952" s="67" t="s">
        <v>328</v>
      </c>
      <c r="E1952" s="76"/>
      <c r="F1952" s="76"/>
      <c r="G1952" s="76"/>
      <c r="H1952" s="76"/>
    </row>
    <row r="1953" spans="1:12" ht="15" x14ac:dyDescent="0.25">
      <c r="A1953" s="1" t="s">
        <v>9</v>
      </c>
      <c r="C1953" s="9" t="s">
        <v>1</v>
      </c>
      <c r="D1953" s="68" t="s">
        <v>330</v>
      </c>
      <c r="E1953" s="76"/>
      <c r="F1953" s="76"/>
      <c r="G1953" s="76"/>
      <c r="H1953" s="76"/>
    </row>
    <row r="1954" spans="1:12" ht="15.75" customHeight="1" x14ac:dyDescent="0.2">
      <c r="A1954" s="50" t="s">
        <v>10</v>
      </c>
      <c r="B1954" s="76"/>
      <c r="C1954" s="91" t="s">
        <v>1</v>
      </c>
      <c r="D1954" s="50" t="s">
        <v>81</v>
      </c>
      <c r="E1954" s="76"/>
      <c r="F1954" s="76"/>
      <c r="G1954" s="76"/>
      <c r="H1954" s="76"/>
      <c r="I1954" s="76"/>
      <c r="J1954" s="76"/>
      <c r="K1954" s="76"/>
      <c r="L1954" s="76"/>
    </row>
    <row r="1955" spans="1:12" ht="15" x14ac:dyDescent="0.25">
      <c r="A1955" s="1"/>
      <c r="B1955" s="1"/>
      <c r="D1955" s="1"/>
    </row>
    <row r="1956" spans="1:12" ht="36.75" customHeight="1" x14ac:dyDescent="0.2">
      <c r="A1956" s="277" t="s">
        <v>351</v>
      </c>
      <c r="B1956" s="277"/>
      <c r="C1956" s="277"/>
      <c r="D1956" s="277"/>
      <c r="E1956" s="277"/>
      <c r="F1956" s="277"/>
      <c r="G1956" s="277"/>
      <c r="H1956" s="277"/>
      <c r="I1956" s="277"/>
      <c r="J1956" s="277"/>
      <c r="K1956" s="277"/>
      <c r="L1956" s="277"/>
    </row>
    <row r="1957" spans="1:12" ht="15" x14ac:dyDescent="0.25">
      <c r="A1957" s="1"/>
      <c r="B1957" s="1"/>
    </row>
    <row r="1958" spans="1:12" ht="39.75" customHeight="1" thickBot="1" x14ac:dyDescent="0.25">
      <c r="A1958" s="10" t="s">
        <v>0</v>
      </c>
      <c r="B1958" s="278" t="s">
        <v>91</v>
      </c>
      <c r="C1958" s="278"/>
      <c r="D1958" s="278"/>
      <c r="E1958" s="278"/>
      <c r="F1958" s="278"/>
      <c r="G1958" s="278"/>
      <c r="H1958" s="278"/>
      <c r="I1958" s="278"/>
      <c r="J1958" s="278"/>
      <c r="K1958" s="278"/>
      <c r="L1958" s="278"/>
    </row>
    <row r="1959" spans="1:12" ht="15.75" thickTop="1" x14ac:dyDescent="0.25">
      <c r="A1959" s="1"/>
      <c r="B1959" s="11" t="s">
        <v>3</v>
      </c>
      <c r="C1959" s="12" t="s">
        <v>4</v>
      </c>
      <c r="D1959" s="13"/>
      <c r="E1959" s="13"/>
      <c r="F1959" s="13"/>
      <c r="G1959" s="13"/>
      <c r="H1959" s="14"/>
      <c r="I1959" s="15" t="s">
        <v>5</v>
      </c>
      <c r="J1959" s="12" t="s">
        <v>17</v>
      </c>
      <c r="K1959" s="13"/>
      <c r="L1959" s="14"/>
    </row>
    <row r="1960" spans="1:12" ht="35.25" customHeight="1" x14ac:dyDescent="0.2">
      <c r="A1960" s="50"/>
      <c r="B1960" s="143">
        <v>1</v>
      </c>
      <c r="C1960" s="284" t="s">
        <v>303</v>
      </c>
      <c r="D1960" s="285"/>
      <c r="E1960" s="285"/>
      <c r="F1960" s="285"/>
      <c r="G1960" s="76"/>
      <c r="H1960" s="79"/>
      <c r="I1960" s="56">
        <v>250000</v>
      </c>
      <c r="J1960" s="76"/>
      <c r="K1960" s="76"/>
      <c r="L1960" s="79"/>
    </row>
    <row r="1961" spans="1:12" ht="29.25" customHeight="1" x14ac:dyDescent="0.2">
      <c r="B1961" s="96"/>
      <c r="C1961" s="124"/>
      <c r="D1961" s="124"/>
      <c r="E1961" s="127"/>
      <c r="F1961" s="125"/>
      <c r="G1961" s="124"/>
      <c r="H1961" s="124"/>
      <c r="I1961" s="23"/>
      <c r="L1961" s="17"/>
    </row>
    <row r="1962" spans="1:12" ht="19.5" customHeight="1" x14ac:dyDescent="0.25">
      <c r="A1962" s="1"/>
      <c r="B1962" s="39"/>
      <c r="C1962" s="1"/>
      <c r="D1962" s="1"/>
      <c r="E1962" s="1"/>
      <c r="F1962" s="40" t="s">
        <v>5</v>
      </c>
      <c r="G1962" s="40"/>
      <c r="H1962" s="1"/>
      <c r="I1962" s="41">
        <f>SUM(I1960:I1960)</f>
        <v>250000</v>
      </c>
      <c r="J1962" s="1"/>
      <c r="K1962" s="1"/>
      <c r="L1962" s="42"/>
    </row>
    <row r="1963" spans="1:12" ht="19.5" customHeight="1" thickBot="1" x14ac:dyDescent="0.3">
      <c r="A1963" s="1"/>
      <c r="B1963" s="43"/>
      <c r="C1963" s="44"/>
      <c r="D1963" s="44"/>
      <c r="E1963" s="44"/>
      <c r="F1963" s="45"/>
      <c r="G1963" s="45"/>
      <c r="H1963" s="44"/>
      <c r="I1963" s="46"/>
      <c r="J1963" s="44"/>
      <c r="K1963" s="44"/>
      <c r="L1963" s="47"/>
    </row>
    <row r="1964" spans="1:12" ht="15.75" thickTop="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 ht="46.5" customHeight="1" x14ac:dyDescent="0.2">
      <c r="A1965" s="10" t="s">
        <v>2</v>
      </c>
      <c r="B1965" s="279" t="s">
        <v>11</v>
      </c>
      <c r="C1965" s="279"/>
      <c r="D1965" s="279"/>
      <c r="E1965" s="279"/>
      <c r="F1965" s="279"/>
      <c r="G1965" s="279"/>
      <c r="H1965" s="279"/>
      <c r="I1965" s="279"/>
      <c r="J1965" s="279"/>
      <c r="K1965" s="279"/>
      <c r="L1965" s="279"/>
    </row>
    <row r="1966" spans="1:12" ht="15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 ht="15" x14ac:dyDescent="0.2">
      <c r="A1967" s="280" t="s">
        <v>12</v>
      </c>
      <c r="B1967" s="280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</row>
    <row r="1968" spans="1:12" ht="15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 ht="15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 ht="17.25" customHeight="1" x14ac:dyDescent="0.25">
      <c r="A1970" s="1"/>
      <c r="B1970" s="1"/>
      <c r="C1970" s="1"/>
      <c r="D1970" s="1"/>
      <c r="E1970" s="1"/>
      <c r="F1970" s="1"/>
      <c r="G1970" s="1"/>
      <c r="H1970" s="4" t="s">
        <v>199</v>
      </c>
      <c r="J1970" s="286" t="s">
        <v>335</v>
      </c>
      <c r="K1970" s="286"/>
      <c r="L1970" s="286"/>
    </row>
    <row r="1971" spans="1:12" ht="15" customHeight="1" x14ac:dyDescent="0.25">
      <c r="A1971" s="1"/>
      <c r="B1971" s="1" t="s">
        <v>15</v>
      </c>
      <c r="C1971" s="1"/>
      <c r="D1971" s="1"/>
      <c r="E1971" s="1"/>
      <c r="F1971" s="1"/>
      <c r="G1971" s="1"/>
      <c r="H1971" s="4" t="s">
        <v>13</v>
      </c>
    </row>
    <row r="1972" spans="1:12" ht="15" x14ac:dyDescent="0.25">
      <c r="A1972" s="1"/>
      <c r="B1972" s="1" t="s">
        <v>18</v>
      </c>
      <c r="C1972" s="1"/>
      <c r="D1972" s="1"/>
      <c r="E1972" s="1"/>
      <c r="F1972" s="1"/>
      <c r="G1972" s="1"/>
      <c r="H1972" s="4" t="s">
        <v>14</v>
      </c>
    </row>
    <row r="1973" spans="1:12" ht="15" customHeight="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 ht="15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 ht="15" x14ac:dyDescent="0.25">
      <c r="A1975" s="1"/>
      <c r="B1975" s="103"/>
      <c r="C1975" s="103"/>
      <c r="D1975" s="103"/>
      <c r="E1975" s="103"/>
      <c r="F1975" s="103"/>
      <c r="G1975" s="103"/>
      <c r="H1975" s="103"/>
      <c r="I1975" s="103"/>
      <c r="J1975" s="103"/>
      <c r="K1975" s="103"/>
      <c r="L1975" s="1"/>
    </row>
    <row r="1976" spans="1:12" ht="15.75" customHeight="1" x14ac:dyDescent="0.25">
      <c r="A1976" s="1"/>
      <c r="K1976" s="103"/>
      <c r="L1976" s="1"/>
    </row>
    <row r="1977" spans="1:12" ht="15" x14ac:dyDescent="0.25">
      <c r="A1977" s="1"/>
      <c r="B1977" s="95" t="s">
        <v>77</v>
      </c>
      <c r="H1977" s="63" t="s">
        <v>328</v>
      </c>
      <c r="I1977" s="95"/>
      <c r="J1977" s="92"/>
      <c r="K1977" s="103"/>
      <c r="L1977" s="1"/>
    </row>
    <row r="1978" spans="1:12" ht="12.75" customHeight="1" x14ac:dyDescent="0.25">
      <c r="A1978" s="1"/>
      <c r="B1978" s="99" t="s">
        <v>27</v>
      </c>
      <c r="C1978" s="57"/>
      <c r="H1978" s="48" t="s">
        <v>329</v>
      </c>
      <c r="K1978" s="103"/>
    </row>
    <row r="1979" spans="1:12" ht="17.25" customHeight="1" x14ac:dyDescent="0.2"/>
    <row r="1980" spans="1:12" ht="21.75" customHeight="1" x14ac:dyDescent="0.2"/>
    <row r="1981" spans="1:12" ht="12.75" x14ac:dyDescent="0.2"/>
    <row r="1982" spans="1:12" ht="12.75" x14ac:dyDescent="0.2"/>
    <row r="1983" spans="1:12" ht="19.5" customHeight="1" x14ac:dyDescent="0.25">
      <c r="A1983" s="3" t="s">
        <v>22</v>
      </c>
    </row>
    <row r="1984" spans="1:12" ht="15.75" customHeight="1" x14ac:dyDescent="0.2">
      <c r="A1984" s="122" t="s">
        <v>20</v>
      </c>
    </row>
    <row r="1985" spans="1:12" ht="18" customHeight="1" x14ac:dyDescent="0.2">
      <c r="A1985" s="122" t="s">
        <v>21</v>
      </c>
    </row>
    <row r="1986" spans="1:12" ht="14.25" customHeight="1" x14ac:dyDescent="0.2"/>
    <row r="1987" spans="1:12" ht="12.75" x14ac:dyDescent="0.2"/>
    <row r="1988" spans="1:12" ht="12.75" x14ac:dyDescent="0.2"/>
    <row r="1989" spans="1:12" ht="21.75" customHeight="1" x14ac:dyDescent="0.3">
      <c r="A1989" s="276" t="s">
        <v>6</v>
      </c>
      <c r="B1989" s="276"/>
      <c r="C1989" s="276"/>
      <c r="D1989" s="276"/>
      <c r="E1989" s="276"/>
      <c r="F1989" s="276"/>
      <c r="G1989" s="276"/>
      <c r="H1989" s="276"/>
      <c r="I1989" s="276"/>
      <c r="J1989" s="276"/>
      <c r="K1989" s="276"/>
      <c r="L1989" s="276"/>
    </row>
    <row r="1990" spans="1:12" ht="21.75" customHeight="1" x14ac:dyDescent="0.3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</row>
    <row r="1991" spans="1:12" ht="24" hidden="1" customHeight="1" x14ac:dyDescent="0.3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</row>
    <row r="1992" spans="1:12" ht="23.25" customHeight="1" x14ac:dyDescent="0.25">
      <c r="A1992" s="1"/>
      <c r="B1992" s="1"/>
    </row>
    <row r="1993" spans="1:12" ht="15.75" customHeight="1" x14ac:dyDescent="0.25">
      <c r="A1993" s="1" t="s">
        <v>7</v>
      </c>
      <c r="B1993" s="1"/>
    </row>
    <row r="1994" spans="1:12" ht="15" x14ac:dyDescent="0.25">
      <c r="A1994" s="1"/>
      <c r="B1994" s="1"/>
    </row>
    <row r="1995" spans="1:12" ht="15" x14ac:dyDescent="0.25">
      <c r="A1995" s="1" t="s">
        <v>8</v>
      </c>
      <c r="C1995" s="9" t="s">
        <v>1</v>
      </c>
      <c r="D1995" s="40" t="s">
        <v>33</v>
      </c>
      <c r="E1995" s="76"/>
      <c r="F1995" s="76"/>
      <c r="G1995" s="76"/>
      <c r="H1995" s="76"/>
    </row>
    <row r="1996" spans="1:12" ht="15" x14ac:dyDescent="0.25">
      <c r="A1996" s="1" t="s">
        <v>9</v>
      </c>
      <c r="C1996" s="9" t="s">
        <v>1</v>
      </c>
      <c r="D1996" s="10" t="s">
        <v>353</v>
      </c>
      <c r="E1996" s="76"/>
      <c r="F1996" s="76"/>
      <c r="G1996" s="76"/>
      <c r="H1996" s="76"/>
    </row>
    <row r="1997" spans="1:12" ht="15" x14ac:dyDescent="0.2">
      <c r="A1997" s="50" t="s">
        <v>10</v>
      </c>
      <c r="B1997" s="76"/>
      <c r="C1997" s="91" t="s">
        <v>1</v>
      </c>
      <c r="D1997" s="50" t="s">
        <v>354</v>
      </c>
      <c r="E1997" s="76"/>
      <c r="F1997" s="76"/>
      <c r="G1997" s="76"/>
      <c r="H1997" s="76"/>
      <c r="I1997" s="76"/>
      <c r="J1997" s="76"/>
      <c r="K1997" s="76"/>
      <c r="L1997" s="76"/>
    </row>
    <row r="1998" spans="1:12" ht="15" x14ac:dyDescent="0.25">
      <c r="A1998" s="1"/>
      <c r="B1998" s="1"/>
      <c r="D1998" s="1"/>
    </row>
    <row r="1999" spans="1:12" ht="33.75" customHeight="1" x14ac:dyDescent="0.2">
      <c r="A1999" s="277" t="s">
        <v>352</v>
      </c>
      <c r="B1999" s="277"/>
      <c r="C1999" s="277"/>
      <c r="D1999" s="277"/>
      <c r="E1999" s="277"/>
      <c r="F1999" s="277"/>
      <c r="G1999" s="277"/>
      <c r="H1999" s="277"/>
      <c r="I1999" s="277"/>
      <c r="J1999" s="277"/>
      <c r="K1999" s="277"/>
      <c r="L1999" s="277"/>
    </row>
    <row r="2000" spans="1:12" ht="15" x14ac:dyDescent="0.25">
      <c r="A2000" s="1"/>
      <c r="B2000" s="1"/>
    </row>
    <row r="2001" spans="1:12" ht="42" customHeight="1" thickBot="1" x14ac:dyDescent="0.25">
      <c r="A2001" s="10" t="s">
        <v>0</v>
      </c>
      <c r="B2001" s="278" t="s">
        <v>91</v>
      </c>
      <c r="C2001" s="278"/>
      <c r="D2001" s="278"/>
      <c r="E2001" s="278"/>
      <c r="F2001" s="278"/>
      <c r="G2001" s="278"/>
      <c r="H2001" s="278"/>
      <c r="I2001" s="278"/>
      <c r="J2001" s="278"/>
      <c r="K2001" s="278"/>
      <c r="L2001" s="278"/>
    </row>
    <row r="2002" spans="1:12" ht="21" customHeight="1" thickTop="1" x14ac:dyDescent="0.25">
      <c r="A2002" s="1"/>
      <c r="B2002" s="11" t="s">
        <v>3</v>
      </c>
      <c r="C2002" s="12" t="s">
        <v>4</v>
      </c>
      <c r="D2002" s="13"/>
      <c r="E2002" s="13"/>
      <c r="F2002" s="13"/>
      <c r="G2002" s="13"/>
      <c r="H2002" s="14"/>
      <c r="I2002" s="15" t="s">
        <v>5</v>
      </c>
      <c r="J2002" s="12" t="s">
        <v>17</v>
      </c>
      <c r="K2002" s="13"/>
      <c r="L2002" s="14"/>
    </row>
    <row r="2003" spans="1:12" ht="21" customHeight="1" x14ac:dyDescent="0.2">
      <c r="A2003" s="50"/>
      <c r="B2003" s="143">
        <v>1</v>
      </c>
      <c r="C2003" s="284" t="s">
        <v>313</v>
      </c>
      <c r="D2003" s="285"/>
      <c r="E2003" s="285"/>
      <c r="F2003" s="285"/>
      <c r="G2003" s="76"/>
      <c r="H2003" s="79"/>
      <c r="I2003" s="56">
        <v>250000</v>
      </c>
      <c r="J2003" s="76"/>
      <c r="K2003" s="76"/>
      <c r="L2003" s="79"/>
    </row>
    <row r="2004" spans="1:12" ht="24" customHeight="1" x14ac:dyDescent="0.2">
      <c r="B2004" s="96"/>
      <c r="C2004" s="124"/>
      <c r="D2004" s="124"/>
      <c r="E2004" s="127"/>
      <c r="F2004" s="125"/>
      <c r="G2004" s="124"/>
      <c r="H2004" s="124"/>
      <c r="I2004" s="23"/>
      <c r="L2004" s="17"/>
    </row>
    <row r="2005" spans="1:12" ht="24" customHeight="1" x14ac:dyDescent="0.25">
      <c r="A2005" s="1"/>
      <c r="B2005" s="39"/>
      <c r="C2005" s="1"/>
      <c r="D2005" s="1"/>
      <c r="E2005" s="1"/>
      <c r="F2005" s="40" t="s">
        <v>5</v>
      </c>
      <c r="G2005" s="40"/>
      <c r="H2005" s="1"/>
      <c r="I2005" s="41">
        <f>SUM(I2003:I2003)</f>
        <v>250000</v>
      </c>
      <c r="J2005" s="1"/>
      <c r="K2005" s="1"/>
      <c r="L2005" s="42"/>
    </row>
    <row r="2006" spans="1:12" ht="13.5" customHeight="1" thickBot="1" x14ac:dyDescent="0.3">
      <c r="A2006" s="1"/>
      <c r="B2006" s="43"/>
      <c r="C2006" s="44"/>
      <c r="D2006" s="44"/>
      <c r="E2006" s="44"/>
      <c r="F2006" s="45"/>
      <c r="G2006" s="45"/>
      <c r="H2006" s="44"/>
      <c r="I2006" s="46"/>
      <c r="J2006" s="44"/>
      <c r="K2006" s="44"/>
      <c r="L2006" s="47"/>
    </row>
    <row r="2007" spans="1:12" ht="15.75" thickTop="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 spans="1:12" ht="53.25" customHeight="1" x14ac:dyDescent="0.2">
      <c r="A2008" s="10" t="s">
        <v>2</v>
      </c>
      <c r="B2008" s="279" t="s">
        <v>11</v>
      </c>
      <c r="C2008" s="279"/>
      <c r="D2008" s="279"/>
      <c r="E2008" s="279"/>
      <c r="F2008" s="279"/>
      <c r="G2008" s="279"/>
      <c r="H2008" s="279"/>
      <c r="I2008" s="279"/>
      <c r="J2008" s="279"/>
      <c r="K2008" s="279"/>
      <c r="L2008" s="279"/>
    </row>
    <row r="2009" spans="1:12" ht="15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 ht="19.5" customHeight="1" x14ac:dyDescent="0.2">
      <c r="A2010" s="280" t="s">
        <v>12</v>
      </c>
      <c r="B2010" s="280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</row>
    <row r="2011" spans="1:12" ht="15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 ht="15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 ht="15" x14ac:dyDescent="0.25">
      <c r="A2013" s="1"/>
      <c r="B2013" s="1"/>
      <c r="C2013" s="1"/>
      <c r="D2013" s="1"/>
      <c r="E2013" s="1"/>
      <c r="F2013" s="1"/>
      <c r="G2013" s="1"/>
      <c r="H2013" s="4" t="s">
        <v>199</v>
      </c>
      <c r="J2013" s="286" t="s">
        <v>335</v>
      </c>
      <c r="K2013" s="286"/>
      <c r="L2013" s="286"/>
    </row>
    <row r="2014" spans="1:12" ht="15" x14ac:dyDescent="0.25">
      <c r="A2014" s="1"/>
      <c r="B2014" s="1" t="s">
        <v>15</v>
      </c>
      <c r="C2014" s="1"/>
      <c r="D2014" s="1"/>
      <c r="E2014" s="1"/>
      <c r="F2014" s="1"/>
      <c r="G2014" s="1"/>
      <c r="H2014" s="4" t="s">
        <v>13</v>
      </c>
    </row>
    <row r="2015" spans="1:12" ht="15" x14ac:dyDescent="0.25">
      <c r="A2015" s="1"/>
      <c r="B2015" s="1" t="s">
        <v>18</v>
      </c>
      <c r="C2015" s="1"/>
      <c r="D2015" s="1"/>
      <c r="E2015" s="1"/>
      <c r="F2015" s="1"/>
      <c r="G2015" s="1"/>
      <c r="H2015" s="4" t="s">
        <v>14</v>
      </c>
    </row>
    <row r="2016" spans="1:12" ht="15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 ht="41.25" customHeight="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 ht="0.75" hidden="1" customHeight="1" x14ac:dyDescent="0.25">
      <c r="A2018" s="1"/>
      <c r="B2018" s="103"/>
      <c r="C2018" s="103"/>
      <c r="D2018" s="103"/>
      <c r="E2018" s="103"/>
      <c r="F2018" s="103"/>
      <c r="G2018" s="103"/>
      <c r="H2018" s="103"/>
      <c r="I2018" s="103"/>
      <c r="J2018" s="103"/>
      <c r="K2018" s="103"/>
      <c r="L2018" s="1"/>
    </row>
    <row r="2019" spans="1:12" ht="15" customHeight="1" x14ac:dyDescent="0.25">
      <c r="A2019" s="1"/>
      <c r="K2019" s="103"/>
      <c r="L2019" s="1"/>
    </row>
    <row r="2020" spans="1:12" ht="15" x14ac:dyDescent="0.25">
      <c r="A2020" s="1"/>
      <c r="B2020" s="95" t="s">
        <v>77</v>
      </c>
      <c r="H2020" s="37" t="s">
        <v>33</v>
      </c>
      <c r="I2020" s="95"/>
      <c r="J2020" s="92"/>
      <c r="K2020" s="103"/>
      <c r="L2020" s="1"/>
    </row>
    <row r="2021" spans="1:12" ht="48" customHeight="1" x14ac:dyDescent="0.25">
      <c r="A2021" s="1"/>
      <c r="B2021" s="99" t="s">
        <v>27</v>
      </c>
      <c r="C2021" s="57"/>
      <c r="H2021" s="48" t="s">
        <v>30</v>
      </c>
      <c r="K2021" s="103"/>
    </row>
    <row r="2022" spans="1:12" ht="19.5" customHeight="1" x14ac:dyDescent="0.2"/>
    <row r="2023" spans="1:12" ht="15" customHeight="1" x14ac:dyDescent="0.25">
      <c r="A2023" s="3" t="s">
        <v>22</v>
      </c>
    </row>
    <row r="2024" spans="1:12" ht="17.25" customHeight="1" x14ac:dyDescent="0.2">
      <c r="A2024" s="122" t="s">
        <v>20</v>
      </c>
    </row>
    <row r="2025" spans="1:12" ht="23.25" customHeight="1" x14ac:dyDescent="0.2">
      <c r="A2025" s="122" t="s">
        <v>21</v>
      </c>
    </row>
    <row r="2026" spans="1:12" ht="15.75" customHeight="1" x14ac:dyDescent="0.2"/>
    <row r="2027" spans="1:12" ht="13.5" customHeight="1" x14ac:dyDescent="0.2"/>
    <row r="2028" spans="1:12" ht="12.75" x14ac:dyDescent="0.2"/>
    <row r="2029" spans="1:12" ht="18.75" x14ac:dyDescent="0.3">
      <c r="A2029" s="276" t="s">
        <v>6</v>
      </c>
      <c r="B2029" s="276"/>
      <c r="C2029" s="276"/>
      <c r="D2029" s="276"/>
      <c r="E2029" s="276"/>
      <c r="F2029" s="276"/>
      <c r="G2029" s="276"/>
      <c r="H2029" s="276"/>
      <c r="I2029" s="276"/>
      <c r="J2029" s="276"/>
      <c r="K2029" s="276"/>
      <c r="L2029" s="276"/>
    </row>
    <row r="2030" spans="1:12" ht="14.25" customHeight="1" x14ac:dyDescent="0.3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</row>
    <row r="2031" spans="1:12" ht="15" customHeight="1" x14ac:dyDescent="0.3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</row>
    <row r="2032" spans="1:12" ht="5.65" customHeight="1" x14ac:dyDescent="0.25">
      <c r="A2032" s="1"/>
      <c r="B2032" s="1"/>
    </row>
    <row r="2033" spans="1:12" ht="17.25" customHeight="1" x14ac:dyDescent="0.25">
      <c r="A2033" s="1" t="s">
        <v>7</v>
      </c>
      <c r="B2033" s="1"/>
    </row>
    <row r="2034" spans="1:12" ht="20.25" customHeight="1" x14ac:dyDescent="0.25">
      <c r="A2034" s="1"/>
      <c r="B2034" s="1"/>
    </row>
    <row r="2035" spans="1:12" ht="17.25" customHeight="1" x14ac:dyDescent="0.25">
      <c r="A2035" s="1" t="s">
        <v>8</v>
      </c>
      <c r="C2035" s="9" t="s">
        <v>1</v>
      </c>
      <c r="D2035" s="40" t="s">
        <v>355</v>
      </c>
      <c r="E2035" s="76"/>
      <c r="F2035" s="76"/>
      <c r="G2035" s="76"/>
      <c r="H2035" s="76"/>
    </row>
    <row r="2036" spans="1:12" ht="15" x14ac:dyDescent="0.25">
      <c r="A2036" s="1" t="s">
        <v>9</v>
      </c>
      <c r="C2036" s="9" t="s">
        <v>1</v>
      </c>
      <c r="D2036" s="10" t="s">
        <v>74</v>
      </c>
      <c r="E2036" s="76"/>
      <c r="F2036" s="76"/>
      <c r="G2036" s="76"/>
      <c r="H2036" s="76"/>
    </row>
    <row r="2037" spans="1:12" ht="21" customHeight="1" x14ac:dyDescent="0.2">
      <c r="A2037" s="50" t="s">
        <v>10</v>
      </c>
      <c r="B2037" s="76"/>
      <c r="C2037" s="91" t="s">
        <v>1</v>
      </c>
      <c r="D2037" s="50" t="s">
        <v>135</v>
      </c>
      <c r="E2037" s="76"/>
      <c r="F2037" s="76"/>
      <c r="G2037" s="76"/>
      <c r="H2037" s="76"/>
      <c r="I2037" s="76"/>
      <c r="J2037" s="76"/>
      <c r="K2037" s="76"/>
      <c r="L2037" s="76"/>
    </row>
    <row r="2038" spans="1:12" ht="15" x14ac:dyDescent="0.25">
      <c r="A2038" s="1"/>
      <c r="B2038" s="1"/>
      <c r="D2038" s="1"/>
    </row>
    <row r="2039" spans="1:12" ht="38.25" customHeight="1" x14ac:dyDescent="0.2">
      <c r="A2039" s="277" t="s">
        <v>352</v>
      </c>
      <c r="B2039" s="277"/>
      <c r="C2039" s="277"/>
      <c r="D2039" s="277"/>
      <c r="E2039" s="277"/>
      <c r="F2039" s="277"/>
      <c r="G2039" s="277"/>
      <c r="H2039" s="277"/>
      <c r="I2039" s="277"/>
      <c r="J2039" s="277"/>
      <c r="K2039" s="277"/>
      <c r="L2039" s="277"/>
    </row>
    <row r="2040" spans="1:12" ht="15" x14ac:dyDescent="0.25">
      <c r="A2040" s="1"/>
      <c r="B2040" s="1"/>
    </row>
    <row r="2041" spans="1:12" ht="44.25" customHeight="1" thickBot="1" x14ac:dyDescent="0.25">
      <c r="A2041" s="10" t="s">
        <v>0</v>
      </c>
      <c r="B2041" s="278" t="s">
        <v>91</v>
      </c>
      <c r="C2041" s="278"/>
      <c r="D2041" s="278"/>
      <c r="E2041" s="278"/>
      <c r="F2041" s="278"/>
      <c r="G2041" s="278"/>
      <c r="H2041" s="278"/>
      <c r="I2041" s="278"/>
      <c r="J2041" s="278"/>
      <c r="K2041" s="278"/>
      <c r="L2041" s="278"/>
    </row>
    <row r="2042" spans="1:12" ht="15.75" thickTop="1" x14ac:dyDescent="0.25">
      <c r="A2042" s="1"/>
      <c r="B2042" s="11" t="s">
        <v>3</v>
      </c>
      <c r="C2042" s="12" t="s">
        <v>4</v>
      </c>
      <c r="D2042" s="13"/>
      <c r="E2042" s="13"/>
      <c r="F2042" s="13"/>
      <c r="G2042" s="13"/>
      <c r="H2042" s="14"/>
      <c r="I2042" s="15" t="s">
        <v>5</v>
      </c>
      <c r="J2042" s="12" t="s">
        <v>17</v>
      </c>
      <c r="K2042" s="13"/>
      <c r="L2042" s="14"/>
    </row>
    <row r="2043" spans="1:12" ht="25.5" customHeight="1" x14ac:dyDescent="0.2">
      <c r="A2043" s="50"/>
      <c r="B2043" s="143">
        <v>1</v>
      </c>
      <c r="C2043" s="284" t="s">
        <v>313</v>
      </c>
      <c r="D2043" s="285"/>
      <c r="E2043" s="285"/>
      <c r="F2043" s="285"/>
      <c r="G2043" s="76"/>
      <c r="H2043" s="79"/>
      <c r="I2043" s="56">
        <v>250000</v>
      </c>
      <c r="J2043" s="76"/>
      <c r="K2043" s="76"/>
      <c r="L2043" s="79"/>
    </row>
    <row r="2044" spans="1:12" ht="34.5" customHeight="1" x14ac:dyDescent="0.2">
      <c r="B2044" s="96"/>
      <c r="C2044" s="124"/>
      <c r="D2044" s="124"/>
      <c r="E2044" s="127"/>
      <c r="F2044" s="125"/>
      <c r="G2044" s="124"/>
      <c r="H2044" s="124"/>
      <c r="I2044" s="23"/>
      <c r="L2044" s="17"/>
    </row>
    <row r="2045" spans="1:12" ht="17.25" customHeight="1" x14ac:dyDescent="0.25">
      <c r="A2045" s="1"/>
      <c r="B2045" s="39"/>
      <c r="C2045" s="1"/>
      <c r="D2045" s="1"/>
      <c r="E2045" s="1"/>
      <c r="F2045" s="40" t="s">
        <v>5</v>
      </c>
      <c r="G2045" s="40"/>
      <c r="H2045" s="1"/>
      <c r="I2045" s="41">
        <f>SUM(I2043:I2043)</f>
        <v>250000</v>
      </c>
      <c r="J2045" s="1"/>
      <c r="K2045" s="1"/>
      <c r="L2045" s="42"/>
    </row>
    <row r="2046" spans="1:12" ht="15.75" thickBot="1" x14ac:dyDescent="0.3">
      <c r="A2046" s="1"/>
      <c r="B2046" s="43"/>
      <c r="C2046" s="44"/>
      <c r="D2046" s="44"/>
      <c r="E2046" s="44"/>
      <c r="F2046" s="45"/>
      <c r="G2046" s="45"/>
      <c r="H2046" s="44"/>
      <c r="I2046" s="46"/>
      <c r="J2046" s="44"/>
      <c r="K2046" s="44"/>
      <c r="L2046" s="47"/>
    </row>
    <row r="2047" spans="1:12" ht="15.75" thickTop="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</row>
    <row r="2048" spans="1:12" ht="49.5" customHeight="1" x14ac:dyDescent="0.2">
      <c r="A2048" s="10" t="s">
        <v>2</v>
      </c>
      <c r="B2048" s="279" t="s">
        <v>11</v>
      </c>
      <c r="C2048" s="279"/>
      <c r="D2048" s="279"/>
      <c r="E2048" s="279"/>
      <c r="F2048" s="279"/>
      <c r="G2048" s="279"/>
      <c r="H2048" s="279"/>
      <c r="I2048" s="279"/>
      <c r="J2048" s="279"/>
      <c r="K2048" s="279"/>
      <c r="L2048" s="279"/>
    </row>
    <row r="2049" spans="1:12" ht="11.25" customHeight="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 spans="1:12" ht="15" x14ac:dyDescent="0.2">
      <c r="A2050" s="280" t="s">
        <v>12</v>
      </c>
      <c r="B2050" s="280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</row>
    <row r="2051" spans="1:12" ht="15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</row>
    <row r="2052" spans="1:12" ht="15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</row>
    <row r="2053" spans="1:12" ht="22.5" customHeight="1" x14ac:dyDescent="0.25">
      <c r="A2053" s="1"/>
      <c r="B2053" s="1"/>
      <c r="C2053" s="1"/>
      <c r="D2053" s="1"/>
      <c r="E2053" s="1"/>
      <c r="F2053" s="1"/>
      <c r="G2053" s="1"/>
      <c r="H2053" s="4" t="s">
        <v>199</v>
      </c>
      <c r="J2053" s="286" t="s">
        <v>335</v>
      </c>
      <c r="K2053" s="286"/>
      <c r="L2053" s="286"/>
    </row>
    <row r="2054" spans="1:12" ht="15" x14ac:dyDescent="0.25">
      <c r="A2054" s="1"/>
      <c r="B2054" s="1" t="s">
        <v>15</v>
      </c>
      <c r="C2054" s="1"/>
      <c r="D2054" s="1"/>
      <c r="E2054" s="1"/>
      <c r="F2054" s="1"/>
      <c r="G2054" s="1"/>
      <c r="H2054" s="4" t="s">
        <v>13</v>
      </c>
    </row>
    <row r="2055" spans="1:12" ht="12" customHeight="1" x14ac:dyDescent="0.25">
      <c r="A2055" s="1"/>
      <c r="B2055" s="1" t="s">
        <v>18</v>
      </c>
      <c r="C2055" s="1"/>
      <c r="D2055" s="1"/>
      <c r="E2055" s="1"/>
      <c r="F2055" s="1"/>
      <c r="G2055" s="1"/>
      <c r="H2055" s="4" t="s">
        <v>14</v>
      </c>
    </row>
    <row r="2056" spans="1:12" ht="25.5" customHeight="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</row>
    <row r="2057" spans="1:12" ht="15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 spans="1:12" ht="15" x14ac:dyDescent="0.25">
      <c r="A2058" s="1"/>
      <c r="B2058" s="103"/>
      <c r="C2058" s="103"/>
      <c r="D2058" s="103"/>
      <c r="E2058" s="103"/>
      <c r="F2058" s="103"/>
      <c r="G2058" s="103"/>
      <c r="H2058" s="103"/>
      <c r="I2058" s="103"/>
      <c r="J2058" s="103"/>
      <c r="K2058" s="103"/>
      <c r="L2058" s="1"/>
    </row>
    <row r="2059" spans="1:12" ht="27" customHeight="1" x14ac:dyDescent="0.25">
      <c r="A2059" s="1"/>
      <c r="K2059" s="103"/>
      <c r="L2059" s="1"/>
    </row>
    <row r="2060" spans="1:12" ht="15" x14ac:dyDescent="0.25">
      <c r="A2060" s="1"/>
      <c r="B2060" s="95" t="s">
        <v>77</v>
      </c>
      <c r="H2060" s="37" t="str">
        <f>D2035</f>
        <v>Donny Tua Hamonangan, S.H</v>
      </c>
      <c r="I2060" s="95"/>
      <c r="J2060" s="92"/>
      <c r="K2060" s="103"/>
      <c r="L2060" s="1"/>
    </row>
    <row r="2061" spans="1:12" ht="15" x14ac:dyDescent="0.25">
      <c r="A2061" s="1"/>
      <c r="B2061" s="99" t="s">
        <v>27</v>
      </c>
      <c r="C2061" s="57"/>
      <c r="H2061" s="48"/>
      <c r="K2061" s="103"/>
    </row>
    <row r="2062" spans="1:12" ht="12.75" x14ac:dyDescent="0.2"/>
    <row r="2063" spans="1:12" ht="12.75" x14ac:dyDescent="0.2"/>
    <row r="2064" spans="1:12" ht="48" customHeight="1" x14ac:dyDescent="0.2"/>
    <row r="2065" ht="12.75" x14ac:dyDescent="0.2"/>
    <row r="2066" ht="44.25" customHeight="1" x14ac:dyDescent="0.2"/>
    <row r="2067" ht="19.5" customHeight="1" x14ac:dyDescent="0.2"/>
    <row r="2068" ht="15" customHeight="1" x14ac:dyDescent="0.2"/>
    <row r="2069" ht="20.25" customHeight="1" x14ac:dyDescent="0.2"/>
    <row r="2070" ht="12.75" x14ac:dyDescent="0.2"/>
    <row r="2071" ht="21" customHeight="1" x14ac:dyDescent="0.2"/>
    <row r="2072" ht="12.75" x14ac:dyDescent="0.2"/>
    <row r="2073" ht="21" customHeight="1" x14ac:dyDescent="0.2"/>
    <row r="2074" ht="18.75" customHeight="1" x14ac:dyDescent="0.2"/>
    <row r="2075" ht="19.5" customHeight="1" x14ac:dyDescent="0.2"/>
    <row r="2076" ht="12.75" x14ac:dyDescent="0.2"/>
    <row r="2077" ht="12.75" x14ac:dyDescent="0.2"/>
    <row r="2078" ht="12" customHeight="1" x14ac:dyDescent="0.2"/>
    <row r="2079" ht="13.5" customHeight="1" x14ac:dyDescent="0.2"/>
    <row r="2081" ht="19.5" customHeight="1" x14ac:dyDescent="0.2"/>
    <row r="2082" ht="19.5" customHeight="1" x14ac:dyDescent="0.2"/>
    <row r="2083" ht="12.75" x14ac:dyDescent="0.2"/>
    <row r="2084" ht="25.5" customHeight="1" x14ac:dyDescent="0.2"/>
    <row r="2085" ht="46.5" customHeight="1" x14ac:dyDescent="0.2"/>
    <row r="2086" ht="18.75" customHeight="1" x14ac:dyDescent="0.2"/>
    <row r="2087" ht="25.5" customHeight="1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22.5" customHeight="1" x14ac:dyDescent="0.2"/>
    <row r="2094" ht="12.75" x14ac:dyDescent="0.2"/>
    <row r="2095" ht="12.75" x14ac:dyDescent="0.2"/>
    <row r="2096" ht="12.75" x14ac:dyDescent="0.2"/>
    <row r="2097" ht="46.5" customHeight="1" x14ac:dyDescent="0.2"/>
    <row r="2098" ht="12.75" x14ac:dyDescent="0.2"/>
    <row r="2099" ht="12.75" x14ac:dyDescent="0.2"/>
    <row r="2100" ht="12.75" x14ac:dyDescent="0.2"/>
    <row r="2101" ht="47.25" customHeight="1" x14ac:dyDescent="0.2"/>
    <row r="2102" ht="12.75" x14ac:dyDescent="0.2"/>
    <row r="2103" ht="36.75" customHeight="1" x14ac:dyDescent="0.2"/>
    <row r="2104" ht="24" customHeight="1" x14ac:dyDescent="0.2"/>
    <row r="2105" ht="38.25" customHeight="1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53.25" customHeight="1" x14ac:dyDescent="0.2"/>
    <row r="2113" ht="12.75" x14ac:dyDescent="0.2"/>
    <row r="2114" ht="15" customHeight="1" x14ac:dyDescent="0.2"/>
    <row r="2115" ht="20.25" customHeight="1" x14ac:dyDescent="0.2"/>
    <row r="2116" ht="47.25" customHeight="1" x14ac:dyDescent="0.2"/>
    <row r="2117" ht="18.75" customHeight="1" x14ac:dyDescent="0.2"/>
    <row r="2118" ht="15" customHeight="1" x14ac:dyDescent="0.2"/>
    <row r="2119" ht="20.25" customHeight="1" x14ac:dyDescent="0.2"/>
    <row r="2120" ht="20.25" customHeight="1" x14ac:dyDescent="0.2"/>
    <row r="2121" ht="20.25" customHeight="1" x14ac:dyDescent="0.2"/>
    <row r="2122" ht="15.75" customHeight="1" x14ac:dyDescent="0.2"/>
    <row r="2123" ht="12.75" x14ac:dyDescent="0.2"/>
    <row r="2124" ht="12.75" x14ac:dyDescent="0.2"/>
    <row r="2125" ht="13.5" customHeight="1" x14ac:dyDescent="0.2"/>
    <row r="2126" ht="13.5" customHeight="1" x14ac:dyDescent="0.2"/>
    <row r="2128" ht="50.25" customHeight="1" x14ac:dyDescent="0.2"/>
    <row r="2129" ht="12" customHeight="1" x14ac:dyDescent="0.2"/>
    <row r="2130" ht="21" customHeight="1" x14ac:dyDescent="0.2"/>
    <row r="2131" ht="12.75" x14ac:dyDescent="0.2"/>
    <row r="2132" ht="18" customHeight="1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31.5" customHeight="1" x14ac:dyDescent="0.2"/>
    <row r="2147" ht="12.75" x14ac:dyDescent="0.2"/>
    <row r="2148" ht="24.75" customHeight="1" x14ac:dyDescent="0.2"/>
    <row r="2149" ht="12.75" x14ac:dyDescent="0.2"/>
    <row r="2150" ht="12.75" x14ac:dyDescent="0.2"/>
    <row r="2151" ht="12.75" x14ac:dyDescent="0.2"/>
    <row r="2152" ht="26.25" customHeight="1" x14ac:dyDescent="0.2"/>
    <row r="2153" ht="12.75" x14ac:dyDescent="0.2"/>
    <row r="2154" ht="26.25" customHeight="1" x14ac:dyDescent="0.2"/>
    <row r="2155" ht="12.75" x14ac:dyDescent="0.2"/>
    <row r="2156" ht="12.75" x14ac:dyDescent="0.2"/>
    <row r="2157" ht="12.75" x14ac:dyDescent="0.2"/>
    <row r="2158" ht="22.5" customHeight="1" x14ac:dyDescent="0.2"/>
    <row r="2159" ht="12.75" x14ac:dyDescent="0.2"/>
    <row r="2160" ht="12.75" x14ac:dyDescent="0.2"/>
    <row r="2161" ht="12.75" x14ac:dyDescent="0.2"/>
    <row r="2162" ht="39" customHeight="1" x14ac:dyDescent="0.2"/>
    <row r="2163" ht="12.75" x14ac:dyDescent="0.2"/>
    <row r="2164" ht="37.5" customHeight="1" x14ac:dyDescent="0.2"/>
    <row r="2165" ht="22.5" customHeight="1" x14ac:dyDescent="0.2"/>
    <row r="2166" ht="19.5" customHeight="1" x14ac:dyDescent="0.2"/>
    <row r="2167" ht="19.5" customHeight="1" x14ac:dyDescent="0.2"/>
    <row r="2168" ht="19.5" customHeight="1" x14ac:dyDescent="0.2"/>
    <row r="2169" ht="12.75" x14ac:dyDescent="0.2"/>
    <row r="2170" ht="12.75" x14ac:dyDescent="0.2"/>
    <row r="2171" ht="12.75" x14ac:dyDescent="0.2"/>
    <row r="2172" ht="15" customHeight="1" x14ac:dyDescent="0.2"/>
    <row r="2173" ht="52.5" customHeight="1" x14ac:dyDescent="0.2"/>
    <row r="2174" ht="20.25" customHeight="1" x14ac:dyDescent="0.2"/>
    <row r="2175" ht="30" customHeight="1" x14ac:dyDescent="0.2"/>
    <row r="2177" ht="18" customHeight="1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41.25" customHeight="1" x14ac:dyDescent="0.2"/>
    <row r="2195" ht="12.75" x14ac:dyDescent="0.2"/>
    <row r="2196" ht="15" customHeight="1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45" customHeight="1" x14ac:dyDescent="0.2"/>
    <row r="2207" ht="12.75" x14ac:dyDescent="0.2"/>
    <row r="2208" ht="12.75" x14ac:dyDescent="0.2"/>
    <row r="2209" ht="12.75" x14ac:dyDescent="0.2"/>
    <row r="2210" ht="47.25" customHeight="1" x14ac:dyDescent="0.2"/>
    <row r="2211" ht="12" customHeight="1" x14ac:dyDescent="0.2"/>
    <row r="2212" ht="46.5" customHeight="1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6.5" customHeight="1" x14ac:dyDescent="0.2"/>
    <row r="2219" ht="12.75" x14ac:dyDescent="0.2"/>
    <row r="2220" ht="16.5" customHeight="1" x14ac:dyDescent="0.2"/>
    <row r="2221" ht="45" customHeight="1" x14ac:dyDescent="0.2"/>
    <row r="2222" ht="16.5" customHeight="1" x14ac:dyDescent="0.2"/>
    <row r="2223" ht="23.25" customHeight="1" x14ac:dyDescent="0.2"/>
    <row r="2224" ht="16.5" customHeight="1" x14ac:dyDescent="0.2"/>
    <row r="2225" ht="16.5" customHeight="1" x14ac:dyDescent="0.2"/>
    <row r="2226" ht="16.5" customHeight="1" x14ac:dyDescent="0.2"/>
    <row r="2227" ht="16.5" customHeight="1" x14ac:dyDescent="0.2"/>
    <row r="2228" ht="16.5" customHeight="1" x14ac:dyDescent="0.2"/>
    <row r="2229" ht="16.5" customHeight="1" x14ac:dyDescent="0.2"/>
    <row r="2230" ht="16.5" customHeight="1" x14ac:dyDescent="0.2"/>
    <row r="2231" ht="16.5" customHeight="1" x14ac:dyDescent="0.2"/>
    <row r="2232" ht="16.5" customHeight="1" x14ac:dyDescent="0.2"/>
    <row r="2233" ht="16.5" customHeight="1" x14ac:dyDescent="0.2"/>
    <row r="2234" ht="16.5" customHeight="1" x14ac:dyDescent="0.2"/>
    <row r="2235" ht="16.5" customHeight="1" x14ac:dyDescent="0.2"/>
    <row r="2236" ht="16.5" customHeight="1" x14ac:dyDescent="0.2"/>
    <row r="2237" ht="16.5" customHeight="1" x14ac:dyDescent="0.2"/>
    <row r="2238" ht="16.5" customHeight="1" x14ac:dyDescent="0.2"/>
    <row r="2239" ht="48.75" customHeight="1" x14ac:dyDescent="0.2"/>
    <row r="2240" ht="16.5" customHeight="1" x14ac:dyDescent="0.2"/>
    <row r="2241" ht="40.5" customHeight="1" x14ac:dyDescent="0.2"/>
    <row r="2242" ht="16.5" customHeight="1" x14ac:dyDescent="0.2"/>
    <row r="2243" ht="16.5" customHeight="1" x14ac:dyDescent="0.2"/>
    <row r="2244" ht="16.5" customHeight="1" x14ac:dyDescent="0.2"/>
    <row r="2245" ht="16.5" customHeight="1" x14ac:dyDescent="0.2"/>
    <row r="2246" ht="16.5" customHeight="1" x14ac:dyDescent="0.2"/>
    <row r="2247" ht="16.5" customHeight="1" x14ac:dyDescent="0.2"/>
    <row r="2248" ht="16.5" customHeight="1" x14ac:dyDescent="0.2"/>
    <row r="2249" ht="16.5" customHeight="1" x14ac:dyDescent="0.2"/>
    <row r="2250" ht="16.5" customHeight="1" x14ac:dyDescent="0.2"/>
    <row r="2251" ht="21" customHeight="1" x14ac:dyDescent="0.2"/>
    <row r="2252" ht="16.5" customHeight="1" x14ac:dyDescent="0.2"/>
    <row r="2253" ht="16.5" customHeight="1" x14ac:dyDescent="0.2"/>
    <row r="2254" ht="16.5" customHeight="1" x14ac:dyDescent="0.2"/>
    <row r="2255" ht="39" customHeight="1" x14ac:dyDescent="0.2"/>
    <row r="2256" ht="20.25" customHeight="1" x14ac:dyDescent="0.2"/>
    <row r="2257" ht="39" customHeight="1" x14ac:dyDescent="0.2"/>
    <row r="2258" ht="26.25" customHeight="1" x14ac:dyDescent="0.2"/>
    <row r="2259" ht="45" customHeight="1" x14ac:dyDescent="0.2"/>
    <row r="2260" ht="16.5" customHeight="1" x14ac:dyDescent="0.2"/>
    <row r="2261" ht="16.5" customHeight="1" x14ac:dyDescent="0.2"/>
    <row r="2262" ht="18.75" customHeight="1" x14ac:dyDescent="0.2"/>
    <row r="2263" ht="16.5" customHeight="1" x14ac:dyDescent="0.2"/>
    <row r="2264" ht="16.5" customHeight="1" x14ac:dyDescent="0.2"/>
    <row r="2265" ht="16.5" customHeight="1" x14ac:dyDescent="0.2"/>
    <row r="2266" ht="54.75" customHeight="1" x14ac:dyDescent="0.2"/>
    <row r="2267" ht="16.5" customHeight="1" x14ac:dyDescent="0.2"/>
    <row r="2268" ht="16.5" customHeight="1" x14ac:dyDescent="0.2"/>
    <row r="2269" ht="16.5" customHeight="1" x14ac:dyDescent="0.2"/>
    <row r="2270" ht="19.5" customHeight="1" x14ac:dyDescent="0.2"/>
    <row r="2271" ht="16.5" customHeight="1" x14ac:dyDescent="0.2"/>
    <row r="2272" ht="16.5" customHeight="1" x14ac:dyDescent="0.2"/>
    <row r="2273" ht="16.5" customHeight="1" x14ac:dyDescent="0.2"/>
    <row r="2274" ht="16.5" customHeight="1" x14ac:dyDescent="0.2"/>
    <row r="2275" ht="16.5" customHeight="1" x14ac:dyDescent="0.2"/>
    <row r="2276" ht="16.5" customHeight="1" x14ac:dyDescent="0.2"/>
    <row r="2277" ht="16.5" customHeight="1" x14ac:dyDescent="0.2"/>
    <row r="2278" ht="16.5" customHeight="1" x14ac:dyDescent="0.2"/>
    <row r="2279" ht="16.5" customHeight="1" x14ac:dyDescent="0.2"/>
    <row r="2280" ht="16.5" customHeight="1" x14ac:dyDescent="0.2"/>
    <row r="2281" ht="16.5" customHeight="1" x14ac:dyDescent="0.2"/>
    <row r="2282" ht="16.5" customHeight="1" x14ac:dyDescent="0.2"/>
    <row r="2283" ht="16.5" customHeight="1" x14ac:dyDescent="0.2"/>
    <row r="2284" ht="16.5" customHeight="1" x14ac:dyDescent="0.2"/>
    <row r="2285" ht="45" customHeight="1" x14ac:dyDescent="0.2"/>
    <row r="2286" ht="16.5" customHeight="1" x14ac:dyDescent="0.2"/>
    <row r="2287" ht="33" customHeight="1" x14ac:dyDescent="0.2"/>
    <row r="2288" ht="16.5" customHeight="1" x14ac:dyDescent="0.2"/>
    <row r="2289" ht="30.75" customHeight="1" x14ac:dyDescent="0.2"/>
    <row r="2290" ht="16.5" customHeight="1" x14ac:dyDescent="0.2"/>
    <row r="2291" ht="16.5" customHeight="1" x14ac:dyDescent="0.2"/>
    <row r="2292" ht="16.5" customHeight="1" x14ac:dyDescent="0.2"/>
    <row r="2293" ht="16.5" customHeight="1" x14ac:dyDescent="0.2"/>
    <row r="2294" ht="16.5" customHeight="1" x14ac:dyDescent="0.2"/>
    <row r="2295" ht="16.5" customHeight="1" x14ac:dyDescent="0.2"/>
    <row r="2296" ht="16.5" customHeight="1" x14ac:dyDescent="0.2"/>
    <row r="2297" ht="45.75" customHeight="1" x14ac:dyDescent="0.2"/>
    <row r="2298" ht="16.5" customHeight="1" x14ac:dyDescent="0.2"/>
    <row r="2299" ht="16.5" customHeight="1" x14ac:dyDescent="0.2"/>
    <row r="2300" ht="16.5" customHeight="1" x14ac:dyDescent="0.2"/>
    <row r="2301" ht="37.5" customHeight="1" x14ac:dyDescent="0.2"/>
    <row r="2302" ht="11.25" customHeight="1" x14ac:dyDescent="0.2"/>
    <row r="2303" ht="37.5" customHeight="1" x14ac:dyDescent="0.2"/>
    <row r="2304" ht="25.5" customHeight="1" x14ac:dyDescent="0.2"/>
    <row r="2305" ht="40.5" customHeight="1" x14ac:dyDescent="0.2"/>
    <row r="2306" ht="21" hidden="1" customHeight="1" x14ac:dyDescent="0.2"/>
    <row r="2307" ht="41.25" customHeight="1" x14ac:dyDescent="0.2"/>
    <row r="2308" ht="24.75" customHeight="1" x14ac:dyDescent="0.2"/>
    <row r="2309" ht="16.5" customHeight="1" x14ac:dyDescent="0.2"/>
    <row r="2310" ht="16.5" customHeight="1" x14ac:dyDescent="0.2"/>
    <row r="2311" ht="15" customHeight="1" x14ac:dyDescent="0.2"/>
    <row r="2312" ht="49.5" customHeight="1" x14ac:dyDescent="0.2"/>
    <row r="2313" ht="15" customHeight="1" x14ac:dyDescent="0.2"/>
    <row r="2314" ht="15" customHeight="1" x14ac:dyDescent="0.2"/>
    <row r="2315" ht="15" customHeight="1" x14ac:dyDescent="0.2"/>
    <row r="2316" ht="15" customHeight="1" x14ac:dyDescent="0.2"/>
    <row r="2317" ht="15" customHeight="1" x14ac:dyDescent="0.2"/>
    <row r="2318" ht="13.5" customHeight="1" x14ac:dyDescent="0.2"/>
    <row r="2319" ht="15" customHeight="1" x14ac:dyDescent="0.2"/>
    <row r="2320" ht="15" customHeight="1" x14ac:dyDescent="0.2"/>
    <row r="2321" ht="15" customHeight="1" x14ac:dyDescent="0.2"/>
    <row r="2322" ht="15" customHeight="1" x14ac:dyDescent="0.2"/>
    <row r="2323" ht="15" customHeight="1" x14ac:dyDescent="0.2"/>
    <row r="2324" ht="15" customHeight="1" x14ac:dyDescent="0.2"/>
    <row r="2325" ht="15" customHeight="1" x14ac:dyDescent="0.2"/>
    <row r="2326" ht="15" customHeight="1" x14ac:dyDescent="0.2"/>
    <row r="2327" ht="15" customHeight="1" x14ac:dyDescent="0.2"/>
    <row r="2328" ht="15" customHeight="1" x14ac:dyDescent="0.2"/>
    <row r="2329" ht="15" customHeight="1" x14ac:dyDescent="0.2"/>
    <row r="2330" ht="15" customHeight="1" x14ac:dyDescent="0.2"/>
    <row r="2331" ht="15" customHeight="1" x14ac:dyDescent="0.2"/>
    <row r="2332" ht="15" customHeight="1" x14ac:dyDescent="0.2"/>
    <row r="2333" ht="40.5" customHeight="1" x14ac:dyDescent="0.2"/>
    <row r="2334" ht="15" customHeight="1" x14ac:dyDescent="0.2"/>
    <row r="2335" ht="33.75" customHeight="1" x14ac:dyDescent="0.2"/>
    <row r="2336" ht="15" customHeight="1" x14ac:dyDescent="0.2"/>
    <row r="2337" ht="15" customHeight="1" x14ac:dyDescent="0.2"/>
    <row r="2338" ht="15" customHeight="1" x14ac:dyDescent="0.2"/>
    <row r="2339" ht="15" customHeight="1" x14ac:dyDescent="0.2"/>
    <row r="2340" ht="15" customHeight="1" x14ac:dyDescent="0.2"/>
    <row r="2341" ht="15" customHeight="1" x14ac:dyDescent="0.2"/>
    <row r="2342" ht="15" customHeight="1" x14ac:dyDescent="0.2"/>
    <row r="2343" ht="15" customHeight="1" x14ac:dyDescent="0.2"/>
    <row r="2344" ht="15" customHeight="1" x14ac:dyDescent="0.2"/>
    <row r="2345" ht="44.25" customHeight="1" x14ac:dyDescent="0.2"/>
    <row r="2346" ht="15" customHeight="1" x14ac:dyDescent="0.2"/>
    <row r="2347" ht="15" customHeight="1" x14ac:dyDescent="0.2"/>
    <row r="2348" ht="15" customHeight="1" x14ac:dyDescent="0.2"/>
    <row r="2349" ht="15" customHeight="1" x14ac:dyDescent="0.2"/>
    <row r="2350" ht="15" customHeight="1" x14ac:dyDescent="0.2"/>
    <row r="2351" ht="15" customHeight="1" x14ac:dyDescent="0.2"/>
    <row r="2352" ht="15" customHeight="1" x14ac:dyDescent="0.2"/>
    <row r="2353" ht="15" customHeight="1" x14ac:dyDescent="0.2"/>
    <row r="2354" ht="15" customHeight="1" x14ac:dyDescent="0.2"/>
    <row r="2355" ht="15" customHeight="1" x14ac:dyDescent="0.2"/>
    <row r="2356" ht="15" customHeight="1" x14ac:dyDescent="0.2"/>
    <row r="2357" ht="15" customHeight="1" x14ac:dyDescent="0.2"/>
    <row r="2358" ht="15" customHeight="1" x14ac:dyDescent="0.2"/>
    <row r="2359" ht="15" customHeight="1" x14ac:dyDescent="0.2"/>
    <row r="2360" ht="15" customHeight="1" x14ac:dyDescent="0.2"/>
    <row r="2361" ht="45" customHeight="1" x14ac:dyDescent="0.2"/>
    <row r="2362" ht="15" customHeight="1" x14ac:dyDescent="0.2"/>
    <row r="2363" ht="37.5" customHeight="1" x14ac:dyDescent="0.2"/>
    <row r="2364" ht="37.5" customHeight="1" x14ac:dyDescent="0.2"/>
    <row r="2365" ht="15" customHeight="1" x14ac:dyDescent="0.2"/>
    <row r="2366" ht="15" customHeight="1" x14ac:dyDescent="0.2"/>
    <row r="2367" ht="15" customHeight="1" x14ac:dyDescent="0.2"/>
    <row r="2368" ht="15" customHeight="1" x14ac:dyDescent="0.2"/>
    <row r="2369" ht="15" customHeight="1" x14ac:dyDescent="0.2"/>
    <row r="2370" ht="15" customHeight="1" x14ac:dyDescent="0.2"/>
    <row r="2371" ht="15" customHeight="1" x14ac:dyDescent="0.2"/>
    <row r="2372" ht="15" customHeight="1" x14ac:dyDescent="0.2"/>
    <row r="2373" ht="15" customHeight="1" x14ac:dyDescent="0.2"/>
    <row r="2374" ht="57.75" customHeight="1" x14ac:dyDescent="0.2"/>
    <row r="2375" ht="15" customHeight="1" x14ac:dyDescent="0.2"/>
    <row r="2376" ht="15" customHeight="1" x14ac:dyDescent="0.2"/>
    <row r="2377" ht="15" customHeight="1" x14ac:dyDescent="0.2"/>
    <row r="2378" ht="15" customHeight="1" x14ac:dyDescent="0.2"/>
    <row r="2379" ht="15" customHeight="1" x14ac:dyDescent="0.2"/>
    <row r="2380" ht="15" customHeight="1" x14ac:dyDescent="0.2"/>
    <row r="2381" ht="15" customHeight="1" x14ac:dyDescent="0.2"/>
    <row r="2382" ht="34.5" customHeight="1" x14ac:dyDescent="0.2"/>
    <row r="2383" ht="15" customHeight="1" x14ac:dyDescent="0.2"/>
    <row r="2384" ht="38.2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89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45" customHeight="1" x14ac:dyDescent="0.2"/>
    <row r="2395" ht="15" customHeight="1" x14ac:dyDescent="0.2"/>
    <row r="2396" ht="15" customHeight="1" x14ac:dyDescent="0.2"/>
    <row r="2397" ht="15" customHeight="1" x14ac:dyDescent="0.2"/>
    <row r="2398" ht="15" customHeight="1" x14ac:dyDescent="0.2"/>
    <row r="2399" ht="15" customHeight="1" x14ac:dyDescent="0.2"/>
    <row r="2400" ht="1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42.75" customHeight="1" x14ac:dyDescent="0.2"/>
    <row r="2419" ht="15" customHeight="1" x14ac:dyDescent="0.2"/>
    <row r="2420" ht="41.2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48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37.5" customHeight="1" x14ac:dyDescent="0.2"/>
    <row r="2471" ht="15" customHeight="1" x14ac:dyDescent="0.2"/>
    <row r="2472" ht="42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49.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7" ht="30" customHeight="1" x14ac:dyDescent="0.2"/>
    <row r="2508" ht="16.5" customHeight="1" x14ac:dyDescent="0.2"/>
    <row r="2509" ht="19.5" customHeight="1" x14ac:dyDescent="0.2"/>
    <row r="2510" ht="30" customHeight="1" x14ac:dyDescent="0.2"/>
    <row r="2511" ht="30" customHeight="1" x14ac:dyDescent="0.2"/>
    <row r="2512" ht="30" customHeight="1" x14ac:dyDescent="0.2"/>
    <row r="2513" ht="30" customHeight="1" x14ac:dyDescent="0.2"/>
    <row r="2514" ht="7.5" customHeight="1" x14ac:dyDescent="0.2"/>
    <row r="2515" ht="9.75" customHeight="1" x14ac:dyDescent="0.2"/>
    <row r="2516" ht="30" customHeight="1" x14ac:dyDescent="0.2"/>
    <row r="2517" ht="30" customHeight="1" x14ac:dyDescent="0.2"/>
    <row r="2518" ht="10.5" customHeight="1" x14ac:dyDescent="0.2"/>
    <row r="2519" ht="18.75" customHeight="1" x14ac:dyDescent="0.2"/>
    <row r="2520" ht="16.5" customHeight="1" x14ac:dyDescent="0.2"/>
    <row r="2521" ht="17.25" customHeight="1" x14ac:dyDescent="0.2"/>
    <row r="2522" ht="30" customHeight="1" x14ac:dyDescent="0.2"/>
    <row r="2523" ht="30" customHeight="1" x14ac:dyDescent="0.2"/>
    <row r="2524" ht="14.25" customHeight="1" x14ac:dyDescent="0.2"/>
    <row r="2525" ht="30" customHeight="1" x14ac:dyDescent="0.2"/>
    <row r="2526" ht="30" customHeight="1" x14ac:dyDescent="0.2"/>
    <row r="2527" ht="44.25" customHeight="1" x14ac:dyDescent="0.2"/>
    <row r="2528" ht="26.25" customHeight="1" x14ac:dyDescent="0.2"/>
    <row r="2529" ht="13.5" customHeight="1" x14ac:dyDescent="0.2"/>
    <row r="2530" ht="6" customHeight="1" x14ac:dyDescent="0.2"/>
    <row r="2531" ht="13.5" hidden="1" customHeight="1" x14ac:dyDescent="0.2"/>
    <row r="2532" ht="30" customHeight="1" x14ac:dyDescent="0.2"/>
    <row r="2533" ht="21" customHeight="1" x14ac:dyDescent="0.2"/>
    <row r="2534" ht="12" customHeight="1" x14ac:dyDescent="0.2"/>
    <row r="2535" ht="30" customHeight="1" x14ac:dyDescent="0.2"/>
    <row r="2536" ht="50.25" customHeight="1" x14ac:dyDescent="0.2"/>
    <row r="2537" ht="30" customHeight="1" x14ac:dyDescent="0.2"/>
    <row r="2538" ht="18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30" customHeight="1" x14ac:dyDescent="0.2"/>
    <row r="2546" ht="30" customHeight="1" x14ac:dyDescent="0.2"/>
    <row r="2547" ht="30" customHeight="1" x14ac:dyDescent="0.2"/>
    <row r="2548" ht="30" customHeight="1" x14ac:dyDescent="0.2"/>
    <row r="2549" ht="30" customHeight="1" x14ac:dyDescent="0.2"/>
    <row r="2550" ht="30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35.25" customHeight="1" x14ac:dyDescent="0.2"/>
    <row r="2568" ht="15" customHeight="1" x14ac:dyDescent="0.2"/>
    <row r="2569" ht="36.75" customHeight="1" x14ac:dyDescent="0.2"/>
    <row r="2570" ht="25.5" customHeight="1" x14ac:dyDescent="0.2"/>
    <row r="2571" ht="33" customHeight="1" x14ac:dyDescent="0.2"/>
    <row r="2572" ht="15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48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6" ht="15" customHeight="1" x14ac:dyDescent="0.2"/>
    <row r="2587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30" customHeight="1" x14ac:dyDescent="0.2"/>
    <row r="2600" ht="30" customHeight="1" x14ac:dyDescent="0.2"/>
    <row r="2601" ht="30" customHeight="1" x14ac:dyDescent="0.2"/>
    <row r="2602" ht="30" customHeight="1" x14ac:dyDescent="0.2"/>
    <row r="2603" ht="30" customHeight="1" x14ac:dyDescent="0.2"/>
    <row r="2604" ht="30" customHeight="1" x14ac:dyDescent="0.2"/>
    <row r="2605" ht="30" customHeight="1" x14ac:dyDescent="0.2"/>
    <row r="2606" ht="30" customHeight="1" x14ac:dyDescent="0.2"/>
    <row r="2607" ht="30" customHeight="1" x14ac:dyDescent="0.2"/>
    <row r="2608" ht="30" customHeight="1" x14ac:dyDescent="0.2"/>
    <row r="2609" ht="30" customHeight="1" x14ac:dyDescent="0.2"/>
    <row r="2610" ht="30" customHeight="1" x14ac:dyDescent="0.2"/>
    <row r="2611" ht="30" customHeight="1" x14ac:dyDescent="0.2"/>
    <row r="2612" ht="30" customHeight="1" x14ac:dyDescent="0.2"/>
    <row r="2613" ht="30" customHeight="1" x14ac:dyDescent="0.2"/>
    <row r="2614" ht="30" customHeight="1" x14ac:dyDescent="0.2"/>
    <row r="2615" ht="30" customHeight="1" x14ac:dyDescent="0.2"/>
    <row r="2616" ht="30" customHeight="1" x14ac:dyDescent="0.2"/>
    <row r="2617" ht="30" customHeight="1" x14ac:dyDescent="0.2"/>
    <row r="2618" ht="30" customHeight="1" x14ac:dyDescent="0.2"/>
    <row r="2619" ht="30" customHeight="1" x14ac:dyDescent="0.2"/>
    <row r="2620" ht="30" customHeight="1" x14ac:dyDescent="0.2"/>
    <row r="2621" ht="30" customHeight="1" x14ac:dyDescent="0.2"/>
    <row r="2622" ht="30" customHeight="1" x14ac:dyDescent="0.2"/>
    <row r="2623" ht="30" customHeight="1" x14ac:dyDescent="0.2"/>
    <row r="2624" ht="30" customHeight="1" x14ac:dyDescent="0.2"/>
    <row r="2625" ht="30" customHeight="1" x14ac:dyDescent="0.2"/>
    <row r="2626" ht="30" customHeight="1" x14ac:dyDescent="0.2"/>
    <row r="2627" ht="30" customHeight="1" x14ac:dyDescent="0.2"/>
    <row r="2628" ht="30" customHeight="1" x14ac:dyDescent="0.2"/>
    <row r="2629" ht="30" customHeight="1" x14ac:dyDescent="0.2"/>
    <row r="2630" ht="30" customHeight="1" x14ac:dyDescent="0.2"/>
    <row r="2631" ht="30" customHeight="1" x14ac:dyDescent="0.2"/>
    <row r="2632" ht="30" customHeight="1" x14ac:dyDescent="0.2"/>
    <row r="2633" ht="30" customHeight="1" x14ac:dyDescent="0.2"/>
    <row r="2634" ht="30" customHeight="1" x14ac:dyDescent="0.2"/>
    <row r="2635" ht="30" customHeight="1" x14ac:dyDescent="0.2"/>
    <row r="2636" ht="30" customHeight="1" x14ac:dyDescent="0.2"/>
    <row r="2637" ht="30" customHeight="1" x14ac:dyDescent="0.2"/>
    <row r="2638" ht="30" customHeight="1" x14ac:dyDescent="0.2"/>
    <row r="2639" ht="30" customHeight="1" x14ac:dyDescent="0.2"/>
    <row r="2640" ht="30" customHeight="1" x14ac:dyDescent="0.2"/>
    <row r="2641" ht="30" customHeight="1" x14ac:dyDescent="0.2"/>
    <row r="2642" ht="30" customHeight="1" x14ac:dyDescent="0.2"/>
    <row r="2643" ht="30" customHeight="1" x14ac:dyDescent="0.2"/>
    <row r="2644" ht="30" customHeight="1" x14ac:dyDescent="0.2"/>
    <row r="2645" ht="30" customHeight="1" x14ac:dyDescent="0.2"/>
    <row r="2646" ht="30" customHeight="1" x14ac:dyDescent="0.2"/>
    <row r="2647" ht="30" customHeight="1" x14ac:dyDescent="0.2"/>
    <row r="2648" ht="30" customHeight="1" x14ac:dyDescent="0.2"/>
    <row r="2649" ht="30" customHeight="1" x14ac:dyDescent="0.2"/>
    <row r="2650" ht="30" customHeight="1" x14ac:dyDescent="0.2"/>
    <row r="2651" ht="30" customHeight="1" x14ac:dyDescent="0.2"/>
    <row r="2652" ht="30" customHeight="1" x14ac:dyDescent="0.2"/>
    <row r="2653" ht="30" customHeight="1" x14ac:dyDescent="0.2"/>
    <row r="2654" ht="30" customHeight="1" x14ac:dyDescent="0.2"/>
    <row r="2655" ht="30" customHeight="1" x14ac:dyDescent="0.2"/>
    <row r="2656" ht="30" customHeight="1" x14ac:dyDescent="0.2"/>
    <row r="2657" ht="30" customHeight="1" x14ac:dyDescent="0.2"/>
  </sheetData>
  <mergeCells count="368">
    <mergeCell ref="A2050:L2050"/>
    <mergeCell ref="J2053:L2053"/>
    <mergeCell ref="J2013:L2013"/>
    <mergeCell ref="A2029:L2029"/>
    <mergeCell ref="A2039:L2039"/>
    <mergeCell ref="B2041:L2041"/>
    <mergeCell ref="C2043:F2043"/>
    <mergeCell ref="B2048:L2048"/>
    <mergeCell ref="A1989:L1989"/>
    <mergeCell ref="A1999:L1999"/>
    <mergeCell ref="B2001:L2001"/>
    <mergeCell ref="C2003:F2003"/>
    <mergeCell ref="B2008:L2008"/>
    <mergeCell ref="A2010:L2010"/>
    <mergeCell ref="B1958:L1958"/>
    <mergeCell ref="C1960:F1960"/>
    <mergeCell ref="B1965:L1965"/>
    <mergeCell ref="A1967:L1967"/>
    <mergeCell ref="J1970:L1970"/>
    <mergeCell ref="C1918:F1918"/>
    <mergeCell ref="B1923:L1923"/>
    <mergeCell ref="A1925:L1925"/>
    <mergeCell ref="J1928:L1928"/>
    <mergeCell ref="A1946:L1946"/>
    <mergeCell ref="A1956:L1956"/>
    <mergeCell ref="B1881:L1881"/>
    <mergeCell ref="A1883:L1883"/>
    <mergeCell ref="J1886:L1886"/>
    <mergeCell ref="A1904:L1904"/>
    <mergeCell ref="A1914:L1914"/>
    <mergeCell ref="B1916:L1916"/>
    <mergeCell ref="A1838:L1838"/>
    <mergeCell ref="J1841:L1841"/>
    <mergeCell ref="A1862:L1862"/>
    <mergeCell ref="A1872:L1872"/>
    <mergeCell ref="B1874:L1874"/>
    <mergeCell ref="C1876:F1876"/>
    <mergeCell ref="J1797:L1797"/>
    <mergeCell ref="A1817:L1817"/>
    <mergeCell ref="A1827:L1827"/>
    <mergeCell ref="B1829:L1829"/>
    <mergeCell ref="C1831:F1831"/>
    <mergeCell ref="B1836:L1836"/>
    <mergeCell ref="A1773:L1773"/>
    <mergeCell ref="A1783:L1783"/>
    <mergeCell ref="B1785:L1785"/>
    <mergeCell ref="C1787:F1787"/>
    <mergeCell ref="B1792:L1792"/>
    <mergeCell ref="A1794:L1794"/>
    <mergeCell ref="B1576:L1576"/>
    <mergeCell ref="A1578:L1578"/>
    <mergeCell ref="J1581:L1581"/>
    <mergeCell ref="J1537:L1537"/>
    <mergeCell ref="A1556:L1556"/>
    <mergeCell ref="A1566:L1566"/>
    <mergeCell ref="B1568:L1568"/>
    <mergeCell ref="C1570:F1570"/>
    <mergeCell ref="F1571:H1571"/>
    <mergeCell ref="A1522:L1522"/>
    <mergeCell ref="B1524:L1524"/>
    <mergeCell ref="C1526:F1526"/>
    <mergeCell ref="F1527:H1527"/>
    <mergeCell ref="B1532:L1532"/>
    <mergeCell ref="A1534:L1534"/>
    <mergeCell ref="C1483:F1483"/>
    <mergeCell ref="F1484:H1484"/>
    <mergeCell ref="B1489:L1489"/>
    <mergeCell ref="A1491:L1491"/>
    <mergeCell ref="J1494:L1494"/>
    <mergeCell ref="A1512:L1512"/>
    <mergeCell ref="C1387:F1387"/>
    <mergeCell ref="C1388:D1388"/>
    <mergeCell ref="F1388:H1388"/>
    <mergeCell ref="B1443:L1443"/>
    <mergeCell ref="A1445:L1445"/>
    <mergeCell ref="J1448:L1448"/>
    <mergeCell ref="A1469:L1469"/>
    <mergeCell ref="A1479:L1479"/>
    <mergeCell ref="B1481:L1481"/>
    <mergeCell ref="A1423:L1423"/>
    <mergeCell ref="A1433:L1433"/>
    <mergeCell ref="B1435:L1435"/>
    <mergeCell ref="C1437:F1437"/>
    <mergeCell ref="C1438:D1438"/>
    <mergeCell ref="F1438:H1438"/>
    <mergeCell ref="B1172:L1172"/>
    <mergeCell ref="A1174:L1174"/>
    <mergeCell ref="J1177:L1177"/>
    <mergeCell ref="A1152:L1152"/>
    <mergeCell ref="A1162:L1162"/>
    <mergeCell ref="B1164:L1164"/>
    <mergeCell ref="C1166:F1166"/>
    <mergeCell ref="F1167:H1167"/>
    <mergeCell ref="C1123:F1123"/>
    <mergeCell ref="F1124:H1124"/>
    <mergeCell ref="B1129:L1129"/>
    <mergeCell ref="A1131:L1131"/>
    <mergeCell ref="J1134:L1134"/>
    <mergeCell ref="B1083:L1083"/>
    <mergeCell ref="A1085:L1085"/>
    <mergeCell ref="J1088:L1088"/>
    <mergeCell ref="A1109:L1109"/>
    <mergeCell ref="A1119:L1119"/>
    <mergeCell ref="B1121:L1121"/>
    <mergeCell ref="A1063:L1063"/>
    <mergeCell ref="A1073:L1073"/>
    <mergeCell ref="B1075:L1075"/>
    <mergeCell ref="C1077:F1077"/>
    <mergeCell ref="C1078:D1078"/>
    <mergeCell ref="F1078:H1078"/>
    <mergeCell ref="C1032:F1032"/>
    <mergeCell ref="F1033:H1033"/>
    <mergeCell ref="B1038:L1038"/>
    <mergeCell ref="A1040:L1040"/>
    <mergeCell ref="J1043:L1043"/>
    <mergeCell ref="B995:L995"/>
    <mergeCell ref="A997:L997"/>
    <mergeCell ref="J1000:L1000"/>
    <mergeCell ref="A1018:L1018"/>
    <mergeCell ref="A1028:L1028"/>
    <mergeCell ref="B1030:L1030"/>
    <mergeCell ref="A954:L954"/>
    <mergeCell ref="J957:L957"/>
    <mergeCell ref="A976:L976"/>
    <mergeCell ref="A986:L986"/>
    <mergeCell ref="B988:L988"/>
    <mergeCell ref="C990:F990"/>
    <mergeCell ref="J914:L914"/>
    <mergeCell ref="A933:L933"/>
    <mergeCell ref="A943:L943"/>
    <mergeCell ref="B945:L945"/>
    <mergeCell ref="C947:F947"/>
    <mergeCell ref="B952:L952"/>
    <mergeCell ref="A890:L890"/>
    <mergeCell ref="A900:L900"/>
    <mergeCell ref="B902:L902"/>
    <mergeCell ref="C904:F904"/>
    <mergeCell ref="B909:L909"/>
    <mergeCell ref="A911:L911"/>
    <mergeCell ref="A691:L691"/>
    <mergeCell ref="J694:L694"/>
    <mergeCell ref="J652:L652"/>
    <mergeCell ref="A670:L670"/>
    <mergeCell ref="A680:L680"/>
    <mergeCell ref="B682:L682"/>
    <mergeCell ref="C684:F684"/>
    <mergeCell ref="B689:L689"/>
    <mergeCell ref="A712:L712"/>
    <mergeCell ref="A722:L722"/>
    <mergeCell ref="B724:L724"/>
    <mergeCell ref="C726:F726"/>
    <mergeCell ref="C727:D727"/>
    <mergeCell ref="F727:H727"/>
    <mergeCell ref="B732:L732"/>
    <mergeCell ref="A734:L734"/>
    <mergeCell ref="J737:L737"/>
    <mergeCell ref="A757:L757"/>
    <mergeCell ref="A628:L628"/>
    <mergeCell ref="A638:L638"/>
    <mergeCell ref="B640:L640"/>
    <mergeCell ref="C642:F642"/>
    <mergeCell ref="B647:L647"/>
    <mergeCell ref="A649:L649"/>
    <mergeCell ref="A193:L193"/>
    <mergeCell ref="A183:L183"/>
    <mergeCell ref="A238:L238"/>
    <mergeCell ref="A228:L228"/>
    <mergeCell ref="J208:L208"/>
    <mergeCell ref="A205:L205"/>
    <mergeCell ref="F198:H198"/>
    <mergeCell ref="B203:L203"/>
    <mergeCell ref="C197:F197"/>
    <mergeCell ref="C198:D198"/>
    <mergeCell ref="A274:L274"/>
    <mergeCell ref="J253:L253"/>
    <mergeCell ref="A250:L250"/>
    <mergeCell ref="C289:D289"/>
    <mergeCell ref="F289:H289"/>
    <mergeCell ref="B195:L195"/>
    <mergeCell ref="B248:L248"/>
    <mergeCell ref="C242:F242"/>
    <mergeCell ref="A98:L98"/>
    <mergeCell ref="J340:L340"/>
    <mergeCell ref="A337:L337"/>
    <mergeCell ref="B335:L335"/>
    <mergeCell ref="C330:F330"/>
    <mergeCell ref="C288:F288"/>
    <mergeCell ref="B286:L286"/>
    <mergeCell ref="A284:L284"/>
    <mergeCell ref="A161:L161"/>
    <mergeCell ref="J164:L164"/>
    <mergeCell ref="A140:L140"/>
    <mergeCell ref="A108:L108"/>
    <mergeCell ref="B240:L240"/>
    <mergeCell ref="A150:L150"/>
    <mergeCell ref="B152:L152"/>
    <mergeCell ref="C154:F154"/>
    <mergeCell ref="B159:L159"/>
    <mergeCell ref="B110:L110"/>
    <mergeCell ref="C112:F112"/>
    <mergeCell ref="B117:L117"/>
    <mergeCell ref="A119:L119"/>
    <mergeCell ref="J122:L122"/>
    <mergeCell ref="J33:L33"/>
    <mergeCell ref="A9:L9"/>
    <mergeCell ref="A19:L19"/>
    <mergeCell ref="B21:L21"/>
    <mergeCell ref="C23:F23"/>
    <mergeCell ref="B28:L28"/>
    <mergeCell ref="A30:L30"/>
    <mergeCell ref="C331:D331"/>
    <mergeCell ref="F331:H331"/>
    <mergeCell ref="C243:D243"/>
    <mergeCell ref="F243:H243"/>
    <mergeCell ref="B328:L328"/>
    <mergeCell ref="A326:L326"/>
    <mergeCell ref="A316:L316"/>
    <mergeCell ref="J298:L298"/>
    <mergeCell ref="A295:L295"/>
    <mergeCell ref="B293:L293"/>
    <mergeCell ref="A53:L53"/>
    <mergeCell ref="A63:L63"/>
    <mergeCell ref="B65:L65"/>
    <mergeCell ref="C67:F67"/>
    <mergeCell ref="B72:L72"/>
    <mergeCell ref="A74:L74"/>
    <mergeCell ref="J77:L77"/>
    <mergeCell ref="A357:L357"/>
    <mergeCell ref="A367:L367"/>
    <mergeCell ref="B369:L369"/>
    <mergeCell ref="C371:F371"/>
    <mergeCell ref="C372:D372"/>
    <mergeCell ref="F372:H372"/>
    <mergeCell ref="B377:L377"/>
    <mergeCell ref="A379:L379"/>
    <mergeCell ref="J382:L382"/>
    <mergeCell ref="A399:L399"/>
    <mergeCell ref="A409:L409"/>
    <mergeCell ref="B411:L411"/>
    <mergeCell ref="C413:F413"/>
    <mergeCell ref="C414:D414"/>
    <mergeCell ref="F414:H414"/>
    <mergeCell ref="B419:L419"/>
    <mergeCell ref="A421:L421"/>
    <mergeCell ref="J424:L424"/>
    <mergeCell ref="A444:L444"/>
    <mergeCell ref="A454:L454"/>
    <mergeCell ref="B456:L456"/>
    <mergeCell ref="C458:F458"/>
    <mergeCell ref="C459:D459"/>
    <mergeCell ref="F459:H459"/>
    <mergeCell ref="C504:F504"/>
    <mergeCell ref="B509:L509"/>
    <mergeCell ref="A511:L511"/>
    <mergeCell ref="J514:L514"/>
    <mergeCell ref="B464:L464"/>
    <mergeCell ref="A466:L466"/>
    <mergeCell ref="J469:L469"/>
    <mergeCell ref="A490:L490"/>
    <mergeCell ref="A500:L500"/>
    <mergeCell ref="B502:L502"/>
    <mergeCell ref="A541:L541"/>
    <mergeCell ref="A551:L551"/>
    <mergeCell ref="B553:L553"/>
    <mergeCell ref="C555:F555"/>
    <mergeCell ref="B560:L560"/>
    <mergeCell ref="A562:L562"/>
    <mergeCell ref="A607:L607"/>
    <mergeCell ref="J610:L610"/>
    <mergeCell ref="J565:L565"/>
    <mergeCell ref="A586:L586"/>
    <mergeCell ref="A596:L596"/>
    <mergeCell ref="B598:L598"/>
    <mergeCell ref="C600:F600"/>
    <mergeCell ref="B605:L605"/>
    <mergeCell ref="A767:L767"/>
    <mergeCell ref="B769:L769"/>
    <mergeCell ref="C771:F771"/>
    <mergeCell ref="C772:D772"/>
    <mergeCell ref="F772:H772"/>
    <mergeCell ref="B777:L777"/>
    <mergeCell ref="A779:L779"/>
    <mergeCell ref="J782:L782"/>
    <mergeCell ref="A803:L803"/>
    <mergeCell ref="A813:L813"/>
    <mergeCell ref="B815:L815"/>
    <mergeCell ref="C817:F817"/>
    <mergeCell ref="C818:D818"/>
    <mergeCell ref="F818:H818"/>
    <mergeCell ref="B822:L822"/>
    <mergeCell ref="A824:L824"/>
    <mergeCell ref="J827:L827"/>
    <mergeCell ref="A845:L845"/>
    <mergeCell ref="A855:L855"/>
    <mergeCell ref="B857:L857"/>
    <mergeCell ref="C859:F859"/>
    <mergeCell ref="C860:D860"/>
    <mergeCell ref="F860:H860"/>
    <mergeCell ref="B864:L864"/>
    <mergeCell ref="A866:L866"/>
    <mergeCell ref="J869:L869"/>
    <mergeCell ref="J1309:L1309"/>
    <mergeCell ref="A1306:L1306"/>
    <mergeCell ref="B1304:L1304"/>
    <mergeCell ref="F1299:H1299"/>
    <mergeCell ref="C1298:F1298"/>
    <mergeCell ref="B1296:L1296"/>
    <mergeCell ref="A1217:L1217"/>
    <mergeCell ref="A1294:L1294"/>
    <mergeCell ref="A1284:L1284"/>
    <mergeCell ref="J1266:L1266"/>
    <mergeCell ref="A1263:L1263"/>
    <mergeCell ref="B1261:L1261"/>
    <mergeCell ref="F1256:H1256"/>
    <mergeCell ref="F1210:H1210"/>
    <mergeCell ref="C1210:D1210"/>
    <mergeCell ref="C1209:F1209"/>
    <mergeCell ref="J1353:L1353"/>
    <mergeCell ref="A1195:L1195"/>
    <mergeCell ref="A1328:L1328"/>
    <mergeCell ref="A1338:L1338"/>
    <mergeCell ref="B1340:L1340"/>
    <mergeCell ref="C1342:F1342"/>
    <mergeCell ref="F1343:H1343"/>
    <mergeCell ref="B1215:L1215"/>
    <mergeCell ref="A1600:L1600"/>
    <mergeCell ref="B1207:L1207"/>
    <mergeCell ref="A1205:L1205"/>
    <mergeCell ref="C1255:F1255"/>
    <mergeCell ref="B1253:L1253"/>
    <mergeCell ref="A1251:L1251"/>
    <mergeCell ref="A1241:L1241"/>
    <mergeCell ref="J1220:L1220"/>
    <mergeCell ref="B1348:L1348"/>
    <mergeCell ref="A1350:L1350"/>
    <mergeCell ref="B1393:L1393"/>
    <mergeCell ref="A1395:L1395"/>
    <mergeCell ref="J1398:L1398"/>
    <mergeCell ref="A1373:L1373"/>
    <mergeCell ref="A1383:L1383"/>
    <mergeCell ref="B1385:L1385"/>
    <mergeCell ref="A1610:L1610"/>
    <mergeCell ref="B1612:L1612"/>
    <mergeCell ref="C1614:F1614"/>
    <mergeCell ref="B1619:L1619"/>
    <mergeCell ref="A1621:L1621"/>
    <mergeCell ref="J1624:L1624"/>
    <mergeCell ref="A1644:L1644"/>
    <mergeCell ref="A1654:L1654"/>
    <mergeCell ref="B1656:L1656"/>
    <mergeCell ref="C1658:F1658"/>
    <mergeCell ref="B1663:L1663"/>
    <mergeCell ref="A1665:L1665"/>
    <mergeCell ref="J1668:L1668"/>
    <mergeCell ref="A1689:L1689"/>
    <mergeCell ref="A1699:L1699"/>
    <mergeCell ref="B1701:L1701"/>
    <mergeCell ref="C1703:F1703"/>
    <mergeCell ref="C1745:F1745"/>
    <mergeCell ref="B1750:L1750"/>
    <mergeCell ref="A1752:L1752"/>
    <mergeCell ref="J1755:L1755"/>
    <mergeCell ref="B1708:L1708"/>
    <mergeCell ref="A1710:L1710"/>
    <mergeCell ref="J1713:L1713"/>
    <mergeCell ref="A1731:L1731"/>
    <mergeCell ref="A1741:L1741"/>
    <mergeCell ref="B1743:L1743"/>
  </mergeCells>
  <pageMargins left="0.5" right="0.2" top="0.75" bottom="1" header="0.5" footer="0.5"/>
  <pageSetup paperSize="5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77"/>
  <sheetViews>
    <sheetView topLeftCell="A167"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8554687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5" customHeight="1" x14ac:dyDescent="0.2"/>
    <row r="2" spans="1:12" ht="15" customHeight="1" x14ac:dyDescent="0.2"/>
    <row r="3" spans="1:12" ht="27" customHeight="1" x14ac:dyDescent="0.25">
      <c r="A3" s="3" t="s">
        <v>22</v>
      </c>
    </row>
    <row r="4" spans="1:12" ht="17.25" customHeight="1" x14ac:dyDescent="0.2">
      <c r="A4" s="122" t="s">
        <v>20</v>
      </c>
    </row>
    <row r="5" spans="1:12" ht="18.75" customHeight="1" x14ac:dyDescent="0.2">
      <c r="A5" s="122" t="s">
        <v>21</v>
      </c>
    </row>
    <row r="6" spans="1:12" ht="6" customHeight="1" x14ac:dyDescent="0.2"/>
    <row r="7" spans="1:12" ht="3.75" customHeight="1" x14ac:dyDescent="0.2"/>
    <row r="8" spans="1:12" ht="12.75" customHeight="1" x14ac:dyDescent="0.2"/>
    <row r="9" spans="1:12" ht="15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1.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3.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" customHeight="1" x14ac:dyDescent="0.25">
      <c r="A12" s="1"/>
      <c r="B12" s="1"/>
    </row>
    <row r="13" spans="1:12" ht="13.5" customHeight="1" x14ac:dyDescent="0.25">
      <c r="A13" s="1" t="s">
        <v>7</v>
      </c>
      <c r="B13" s="1"/>
    </row>
    <row r="14" spans="1:12" s="76" customFormat="1" ht="15" customHeight="1" x14ac:dyDescent="0.25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6.5" customHeight="1" x14ac:dyDescent="0.25">
      <c r="A15" s="1" t="s">
        <v>8</v>
      </c>
      <c r="C15" s="9" t="s">
        <v>1</v>
      </c>
      <c r="D15" s="92" t="s">
        <v>96</v>
      </c>
      <c r="E15" s="76"/>
      <c r="F15" s="76"/>
      <c r="G15" s="76"/>
      <c r="H15" s="76"/>
    </row>
    <row r="16" spans="1:12" ht="15.75" customHeight="1" x14ac:dyDescent="0.25">
      <c r="A16" s="1" t="s">
        <v>9</v>
      </c>
      <c r="C16" s="9" t="s">
        <v>1</v>
      </c>
      <c r="D16" s="57" t="s">
        <v>200</v>
      </c>
      <c r="E16" s="76"/>
      <c r="F16" s="76"/>
      <c r="G16" s="76"/>
      <c r="H16" s="76"/>
    </row>
    <row r="17" spans="1:12" ht="18.75" customHeight="1" x14ac:dyDescent="0.2">
      <c r="A17" s="50" t="s">
        <v>10</v>
      </c>
      <c r="B17" s="76"/>
      <c r="C17" s="91" t="s">
        <v>1</v>
      </c>
      <c r="D17" s="50" t="s">
        <v>203</v>
      </c>
      <c r="E17" s="76"/>
      <c r="F17" s="76"/>
      <c r="G17" s="76"/>
      <c r="H17" s="76"/>
      <c r="I17" s="76"/>
      <c r="J17" s="76"/>
      <c r="K17" s="76"/>
      <c r="L17" s="76"/>
    </row>
    <row r="18" spans="1:12" ht="20.25" customHeight="1" x14ac:dyDescent="0.25">
      <c r="A18" s="1"/>
      <c r="B18" s="1"/>
      <c r="D18" s="1"/>
    </row>
    <row r="19" spans="1:12" ht="37.5" customHeight="1" x14ac:dyDescent="0.2">
      <c r="A19" s="277" t="s">
        <v>320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</row>
    <row r="20" spans="1:12" ht="14.25" customHeight="1" x14ac:dyDescent="0.25">
      <c r="A20" s="1"/>
      <c r="B20" s="1"/>
    </row>
    <row r="21" spans="1:12" ht="34.5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18.7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36" customHeight="1" x14ac:dyDescent="0.2">
      <c r="A23" s="50"/>
      <c r="B23" s="143">
        <v>1</v>
      </c>
      <c r="C23" s="284" t="s">
        <v>318</v>
      </c>
      <c r="D23" s="285"/>
      <c r="E23" s="285"/>
      <c r="F23" s="285"/>
      <c r="G23" s="76"/>
      <c r="H23" s="79"/>
      <c r="I23" s="56">
        <v>275000</v>
      </c>
      <c r="J23" s="76"/>
      <c r="K23" s="76"/>
      <c r="L23" s="79"/>
    </row>
    <row r="24" spans="1:12" ht="21.75" customHeight="1" x14ac:dyDescent="0.2">
      <c r="B24" s="96"/>
      <c r="C24" s="124"/>
      <c r="D24" s="124"/>
      <c r="E24" s="127"/>
      <c r="F24" s="125"/>
      <c r="G24" s="124"/>
      <c r="H24" s="124"/>
      <c r="I24" s="23"/>
      <c r="L24" s="17"/>
    </row>
    <row r="25" spans="1:12" ht="22.5" customHeight="1" x14ac:dyDescent="0.25">
      <c r="A25" s="1"/>
      <c r="B25" s="39"/>
      <c r="C25" s="1"/>
      <c r="D25" s="1"/>
      <c r="E25" s="1"/>
      <c r="F25" s="40" t="s">
        <v>5</v>
      </c>
      <c r="G25" s="40"/>
      <c r="H25" s="1"/>
      <c r="I25" s="41">
        <f>SUM(I23:I23)</f>
        <v>275000</v>
      </c>
      <c r="J25" s="1"/>
      <c r="K25" s="1"/>
      <c r="L25" s="42"/>
    </row>
    <row r="26" spans="1:12" ht="11.25" customHeight="1" thickBot="1" x14ac:dyDescent="0.3">
      <c r="A26" s="1"/>
      <c r="B26" s="43"/>
      <c r="C26" s="44"/>
      <c r="D26" s="44"/>
      <c r="E26" s="44"/>
      <c r="F26" s="45"/>
      <c r="G26" s="45"/>
      <c r="H26" s="44"/>
      <c r="I26" s="46"/>
      <c r="J26" s="44"/>
      <c r="K26" s="44"/>
      <c r="L26" s="47"/>
    </row>
    <row r="27" spans="1:12" ht="11.25" customHeight="1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7.25" customHeight="1" x14ac:dyDescent="0.2">
      <c r="A28" s="10" t="s">
        <v>2</v>
      </c>
      <c r="B28" s="279" t="s">
        <v>11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</row>
    <row r="29" spans="1:12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x14ac:dyDescent="0.2">
      <c r="A30" s="280" t="s">
        <v>12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</row>
    <row r="31" spans="1:12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 x14ac:dyDescent="0.25">
      <c r="A33" s="1"/>
      <c r="B33" s="1"/>
      <c r="C33" s="1"/>
      <c r="D33" s="1"/>
      <c r="E33" s="1"/>
      <c r="F33" s="1"/>
      <c r="G33" s="1"/>
      <c r="H33" s="4" t="s">
        <v>199</v>
      </c>
      <c r="J33" s="286" t="s">
        <v>321</v>
      </c>
      <c r="K33" s="286"/>
      <c r="L33" s="286"/>
    </row>
    <row r="34" spans="1:12" ht="15" x14ac:dyDescent="0.25">
      <c r="A34" s="1"/>
      <c r="B34" s="1" t="s">
        <v>15</v>
      </c>
      <c r="C34" s="1"/>
      <c r="D34" s="1"/>
      <c r="E34" s="1"/>
      <c r="F34" s="1"/>
      <c r="G34" s="1"/>
      <c r="H34" s="4" t="s">
        <v>13</v>
      </c>
    </row>
    <row r="35" spans="1:12" ht="11.25" customHeight="1" x14ac:dyDescent="0.25">
      <c r="A35" s="1"/>
      <c r="B35" s="1" t="s">
        <v>18</v>
      </c>
      <c r="C35" s="1"/>
      <c r="D35" s="1"/>
      <c r="E35" s="1"/>
      <c r="F35" s="1"/>
      <c r="G35" s="1"/>
      <c r="H35" s="4" t="s">
        <v>14</v>
      </c>
    </row>
    <row r="36" spans="1:12" ht="8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0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x14ac:dyDescent="0.25">
      <c r="A38" s="1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"/>
    </row>
    <row r="39" spans="1:12" ht="15" x14ac:dyDescent="0.25">
      <c r="A39" s="1"/>
      <c r="K39" s="103"/>
      <c r="L39" s="1"/>
    </row>
    <row r="40" spans="1:12" ht="15" x14ac:dyDescent="0.25">
      <c r="A40" s="1"/>
      <c r="B40" s="95" t="s">
        <v>77</v>
      </c>
      <c r="H40" s="95" t="s">
        <v>96</v>
      </c>
      <c r="I40" s="95"/>
      <c r="J40" s="92"/>
      <c r="K40" s="103"/>
      <c r="L40" s="1"/>
    </row>
    <row r="41" spans="1:12" ht="15" x14ac:dyDescent="0.25">
      <c r="A41" s="1"/>
      <c r="B41" s="99" t="s">
        <v>27</v>
      </c>
      <c r="C41" s="57"/>
      <c r="H41" s="99" t="s">
        <v>100</v>
      </c>
      <c r="K41" s="103"/>
    </row>
    <row r="42" spans="1:12" ht="14.25" customHeight="1" x14ac:dyDescent="0.2"/>
    <row r="43" spans="1:12" ht="14.25" customHeight="1" x14ac:dyDescent="0.2"/>
    <row r="44" spans="1:12" ht="15" customHeight="1" x14ac:dyDescent="0.2"/>
    <row r="45" spans="1:12" ht="15" customHeight="1" x14ac:dyDescent="0.25">
      <c r="A45" s="3" t="s">
        <v>22</v>
      </c>
    </row>
    <row r="46" spans="1:12" ht="18.75" customHeight="1" x14ac:dyDescent="0.2">
      <c r="A46" s="122" t="s">
        <v>20</v>
      </c>
    </row>
    <row r="47" spans="1:12" ht="15" customHeight="1" x14ac:dyDescent="0.2">
      <c r="A47" s="122" t="s">
        <v>21</v>
      </c>
    </row>
    <row r="48" spans="1:12" ht="15" customHeight="1" x14ac:dyDescent="0.2"/>
    <row r="49" spans="1:12" ht="15" customHeight="1" x14ac:dyDescent="0.2"/>
    <row r="50" spans="1:12" ht="18.75" customHeight="1" x14ac:dyDescent="0.2"/>
    <row r="51" spans="1:12" ht="15" customHeight="1" x14ac:dyDescent="0.3">
      <c r="A51" s="276" t="s">
        <v>6</v>
      </c>
      <c r="B51" s="276"/>
      <c r="C51" s="276"/>
      <c r="D51" s="276"/>
      <c r="E51" s="276"/>
      <c r="F51" s="276"/>
      <c r="G51" s="276"/>
      <c r="H51" s="276"/>
      <c r="I51" s="276"/>
      <c r="J51" s="276"/>
      <c r="K51" s="276"/>
      <c r="L51" s="276"/>
    </row>
    <row r="52" spans="1:12" ht="15" customHeigh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spans="1:12" ht="21.75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15" x14ac:dyDescent="0.25">
      <c r="A54" s="1"/>
      <c r="B54" s="1"/>
    </row>
    <row r="55" spans="1:12" ht="12.75" customHeight="1" x14ac:dyDescent="0.25">
      <c r="A55" s="1" t="s">
        <v>7</v>
      </c>
      <c r="B55" s="1"/>
    </row>
    <row r="56" spans="1:12" ht="16.5" customHeight="1" x14ac:dyDescent="0.25">
      <c r="A56" s="1"/>
      <c r="B56" s="1"/>
    </row>
    <row r="57" spans="1:12" ht="18.75" customHeight="1" x14ac:dyDescent="0.25">
      <c r="A57" s="1" t="s">
        <v>8</v>
      </c>
      <c r="C57" s="9" t="s">
        <v>1</v>
      </c>
      <c r="D57" s="92" t="s">
        <v>77</v>
      </c>
      <c r="E57" s="76"/>
      <c r="F57" s="76"/>
      <c r="G57" s="76"/>
      <c r="H57" s="76"/>
    </row>
    <row r="58" spans="1:12" ht="14.25" customHeight="1" x14ac:dyDescent="0.25">
      <c r="A58" s="1" t="s">
        <v>9</v>
      </c>
      <c r="C58" s="9" t="s">
        <v>1</v>
      </c>
      <c r="D58" s="57" t="s">
        <v>201</v>
      </c>
      <c r="E58" s="76"/>
      <c r="F58" s="76"/>
      <c r="G58" s="76"/>
      <c r="H58" s="76"/>
    </row>
    <row r="59" spans="1:12" ht="12.75" customHeight="1" x14ac:dyDescent="0.2">
      <c r="A59" s="50" t="s">
        <v>10</v>
      </c>
      <c r="B59" s="76"/>
      <c r="C59" s="91" t="s">
        <v>1</v>
      </c>
      <c r="D59" s="50" t="s">
        <v>265</v>
      </c>
      <c r="E59" s="76"/>
      <c r="F59" s="76"/>
      <c r="G59" s="76"/>
      <c r="H59" s="76"/>
      <c r="I59" s="76"/>
      <c r="J59" s="76"/>
      <c r="K59" s="76"/>
      <c r="L59" s="76"/>
    </row>
    <row r="60" spans="1:12" ht="15" x14ac:dyDescent="0.25">
      <c r="A60" s="1"/>
      <c r="B60" s="1"/>
      <c r="D60" s="1"/>
    </row>
    <row r="61" spans="1:12" ht="32.25" customHeight="1" x14ac:dyDescent="0.2">
      <c r="A61" s="277" t="s">
        <v>320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</row>
    <row r="62" spans="1:12" ht="18.75" customHeight="1" x14ac:dyDescent="0.25">
      <c r="A62" s="1"/>
      <c r="B62" s="1"/>
    </row>
    <row r="63" spans="1:12" ht="38.25" customHeight="1" thickBot="1" x14ac:dyDescent="0.25">
      <c r="A63" s="10" t="s">
        <v>0</v>
      </c>
      <c r="B63" s="278" t="s">
        <v>91</v>
      </c>
      <c r="C63" s="278"/>
      <c r="D63" s="278"/>
      <c r="E63" s="278"/>
      <c r="F63" s="278"/>
      <c r="G63" s="278"/>
      <c r="H63" s="278"/>
      <c r="I63" s="278"/>
      <c r="J63" s="278"/>
      <c r="K63" s="278"/>
      <c r="L63" s="278"/>
    </row>
    <row r="64" spans="1:12" ht="24" customHeight="1" thickTop="1" x14ac:dyDescent="0.25">
      <c r="A64" s="1"/>
      <c r="B64" s="11" t="s">
        <v>3</v>
      </c>
      <c r="C64" s="12" t="s">
        <v>4</v>
      </c>
      <c r="D64" s="13"/>
      <c r="E64" s="13"/>
      <c r="F64" s="13"/>
      <c r="G64" s="13"/>
      <c r="H64" s="14"/>
      <c r="I64" s="15" t="s">
        <v>5</v>
      </c>
      <c r="J64" s="12" t="s">
        <v>17</v>
      </c>
      <c r="K64" s="13"/>
      <c r="L64" s="14"/>
    </row>
    <row r="65" spans="1:12" ht="27" customHeight="1" x14ac:dyDescent="0.2">
      <c r="A65" s="50"/>
      <c r="B65" s="143">
        <v>1</v>
      </c>
      <c r="C65" s="284" t="s">
        <v>318</v>
      </c>
      <c r="D65" s="285"/>
      <c r="E65" s="285"/>
      <c r="F65" s="285"/>
      <c r="G65" s="76"/>
      <c r="H65" s="79"/>
      <c r="I65" s="56">
        <v>275000</v>
      </c>
      <c r="J65" s="76"/>
      <c r="K65" s="76"/>
      <c r="L65" s="79"/>
    </row>
    <row r="66" spans="1:12" ht="42.75" customHeight="1" x14ac:dyDescent="0.2">
      <c r="B66" s="96"/>
      <c r="C66" s="124"/>
      <c r="D66" s="124"/>
      <c r="E66" s="127"/>
      <c r="F66" s="125"/>
      <c r="G66" s="124"/>
      <c r="H66" s="124"/>
      <c r="I66" s="23"/>
      <c r="L66" s="17"/>
    </row>
    <row r="67" spans="1:12" ht="18" customHeight="1" x14ac:dyDescent="0.25">
      <c r="A67" s="1"/>
      <c r="B67" s="39"/>
      <c r="C67" s="1"/>
      <c r="D67" s="1"/>
      <c r="E67" s="1"/>
      <c r="F67" s="40" t="s">
        <v>5</v>
      </c>
      <c r="G67" s="40"/>
      <c r="H67" s="1"/>
      <c r="I67" s="41">
        <f>SUM(I65:I65)</f>
        <v>275000</v>
      </c>
      <c r="J67" s="1"/>
      <c r="K67" s="1"/>
      <c r="L67" s="42"/>
    </row>
    <row r="68" spans="1:12" ht="15.75" thickBot="1" x14ac:dyDescent="0.3">
      <c r="A68" s="1"/>
      <c r="B68" s="43"/>
      <c r="C68" s="44"/>
      <c r="D68" s="44"/>
      <c r="E68" s="44"/>
      <c r="F68" s="45"/>
      <c r="G68" s="45"/>
      <c r="H68" s="44"/>
      <c r="I68" s="46"/>
      <c r="J68" s="44"/>
      <c r="K68" s="44"/>
      <c r="L68" s="47"/>
    </row>
    <row r="69" spans="1:12" ht="16.5" customHeight="1" thickTop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46.5" customHeight="1" x14ac:dyDescent="0.2">
      <c r="A70" s="10" t="s">
        <v>2</v>
      </c>
      <c r="B70" s="279" t="s">
        <v>11</v>
      </c>
      <c r="C70" s="279"/>
      <c r="D70" s="279"/>
      <c r="E70" s="279"/>
      <c r="F70" s="279"/>
      <c r="G70" s="279"/>
      <c r="H70" s="279"/>
      <c r="I70" s="279"/>
      <c r="J70" s="279"/>
      <c r="K70" s="279"/>
      <c r="L70" s="279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5.5" customHeight="1" x14ac:dyDescent="0.2">
      <c r="A72" s="280" t="s">
        <v>12</v>
      </c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2" customHeight="1" x14ac:dyDescent="0.25">
      <c r="A75" s="1"/>
      <c r="B75" s="1"/>
      <c r="C75" s="1"/>
      <c r="D75" s="1"/>
      <c r="E75" s="1"/>
      <c r="F75" s="1"/>
      <c r="G75" s="1"/>
      <c r="H75" s="4" t="s">
        <v>199</v>
      </c>
      <c r="J75" s="286" t="s">
        <v>321</v>
      </c>
      <c r="K75" s="286"/>
      <c r="L75" s="286"/>
    </row>
    <row r="76" spans="1:12" ht="15" x14ac:dyDescent="0.25">
      <c r="A76" s="1"/>
      <c r="B76" s="1" t="s">
        <v>15</v>
      </c>
      <c r="C76" s="1"/>
      <c r="D76" s="1"/>
      <c r="E76" s="1"/>
      <c r="F76" s="1"/>
      <c r="G76" s="1"/>
      <c r="H76" s="4" t="s">
        <v>13</v>
      </c>
    </row>
    <row r="77" spans="1:12" ht="15" customHeight="1" x14ac:dyDescent="0.25">
      <c r="A77" s="1"/>
      <c r="B77" s="1" t="s">
        <v>18</v>
      </c>
      <c r="C77" s="1"/>
      <c r="D77" s="1"/>
      <c r="E77" s="1"/>
      <c r="F77" s="1"/>
      <c r="G77" s="1"/>
      <c r="H77" s="4" t="s">
        <v>14</v>
      </c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"/>
    </row>
    <row r="81" spans="1:12" ht="21" customHeight="1" x14ac:dyDescent="0.25">
      <c r="A81" s="1"/>
      <c r="K81" s="103"/>
      <c r="L81" s="1"/>
    </row>
    <row r="82" spans="1:12" ht="15" x14ac:dyDescent="0.25">
      <c r="A82" s="1"/>
      <c r="B82" s="95" t="s">
        <v>77</v>
      </c>
      <c r="H82" s="95" t="s">
        <v>77</v>
      </c>
      <c r="I82" s="95"/>
      <c r="J82" s="92"/>
      <c r="K82" s="103"/>
      <c r="L82" s="1"/>
    </row>
    <row r="83" spans="1:12" ht="15" x14ac:dyDescent="0.25">
      <c r="A83" s="1"/>
      <c r="B83" s="99" t="s">
        <v>27</v>
      </c>
      <c r="C83" s="57"/>
      <c r="H83" s="99" t="s">
        <v>27</v>
      </c>
      <c r="K83" s="103"/>
    </row>
    <row r="84" spans="1:12" ht="12.75" x14ac:dyDescent="0.2"/>
    <row r="85" spans="1:12" ht="12.75" x14ac:dyDescent="0.2"/>
    <row r="86" spans="1:12" ht="12.75" x14ac:dyDescent="0.2"/>
    <row r="87" spans="1:12" ht="12.75" x14ac:dyDescent="0.2"/>
    <row r="88" spans="1:12" ht="12.75" x14ac:dyDescent="0.2"/>
    <row r="89" spans="1:12" ht="15.75" x14ac:dyDescent="0.25">
      <c r="A89" s="3" t="s">
        <v>22</v>
      </c>
    </row>
    <row r="90" spans="1:12" ht="15.75" x14ac:dyDescent="0.2">
      <c r="A90" s="122" t="s">
        <v>20</v>
      </c>
    </row>
    <row r="91" spans="1:12" ht="18" customHeight="1" x14ac:dyDescent="0.2">
      <c r="A91" s="122" t="s">
        <v>21</v>
      </c>
    </row>
    <row r="92" spans="1:12" ht="23.25" customHeight="1" x14ac:dyDescent="0.2"/>
    <row r="93" spans="1:12" ht="18.75" customHeight="1" x14ac:dyDescent="0.2"/>
    <row r="94" spans="1:12" ht="14.25" customHeight="1" x14ac:dyDescent="0.2"/>
    <row r="95" spans="1:12" ht="21" customHeight="1" x14ac:dyDescent="0.3">
      <c r="A95" s="276" t="s">
        <v>6</v>
      </c>
      <c r="B95" s="276"/>
      <c r="C95" s="276"/>
      <c r="D95" s="276"/>
      <c r="E95" s="276"/>
      <c r="F95" s="276"/>
      <c r="G95" s="276"/>
      <c r="H95" s="276"/>
      <c r="I95" s="276"/>
      <c r="J95" s="276"/>
      <c r="K95" s="276"/>
      <c r="L95" s="276"/>
    </row>
    <row r="96" spans="1:12" ht="15" customHeight="1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  <row r="97" spans="1:12" ht="18.75" customHeigh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</row>
    <row r="98" spans="1:12" ht="19.5" customHeight="1" x14ac:dyDescent="0.25">
      <c r="A98" s="1"/>
      <c r="B98" s="1"/>
    </row>
    <row r="99" spans="1:12" ht="15" x14ac:dyDescent="0.25">
      <c r="A99" s="1" t="s">
        <v>7</v>
      </c>
      <c r="B99" s="1"/>
    </row>
    <row r="100" spans="1:12" ht="17.25" customHeight="1" x14ac:dyDescent="0.25">
      <c r="A100" s="1"/>
      <c r="B100" s="1"/>
    </row>
    <row r="101" spans="1:12" ht="15" customHeight="1" x14ac:dyDescent="0.25">
      <c r="A101" s="1" t="s">
        <v>8</v>
      </c>
      <c r="C101" s="9" t="s">
        <v>1</v>
      </c>
      <c r="D101" s="92" t="s">
        <v>77</v>
      </c>
      <c r="E101" s="76"/>
      <c r="F101" s="76"/>
      <c r="G101" s="76"/>
      <c r="H101" s="76"/>
    </row>
    <row r="102" spans="1:12" ht="13.5" customHeight="1" x14ac:dyDescent="0.25">
      <c r="A102" s="1" t="s">
        <v>9</v>
      </c>
      <c r="C102" s="9" t="s">
        <v>1</v>
      </c>
      <c r="D102" s="57" t="s">
        <v>201</v>
      </c>
      <c r="E102" s="76"/>
      <c r="F102" s="76"/>
      <c r="G102" s="76"/>
      <c r="H102" s="76"/>
    </row>
    <row r="103" spans="1:12" ht="16.5" customHeight="1" x14ac:dyDescent="0.2">
      <c r="A103" s="50" t="s">
        <v>10</v>
      </c>
      <c r="B103" s="76"/>
      <c r="C103" s="91" t="s">
        <v>1</v>
      </c>
      <c r="D103" s="50" t="s">
        <v>265</v>
      </c>
      <c r="E103" s="76"/>
      <c r="F103" s="76"/>
      <c r="G103" s="76"/>
      <c r="H103" s="76"/>
      <c r="I103" s="76"/>
      <c r="J103" s="76"/>
      <c r="K103" s="76"/>
      <c r="L103" s="76"/>
    </row>
    <row r="104" spans="1:12" ht="17.25" customHeight="1" x14ac:dyDescent="0.25">
      <c r="A104" s="1"/>
      <c r="B104" s="1"/>
      <c r="D104" s="1"/>
    </row>
    <row r="105" spans="1:12" ht="37.5" customHeight="1" x14ac:dyDescent="0.2">
      <c r="A105" s="277" t="s">
        <v>322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</row>
    <row r="106" spans="1:12" ht="6.75" customHeight="1" x14ac:dyDescent="0.25">
      <c r="A106" s="1"/>
      <c r="B106" s="1"/>
    </row>
    <row r="107" spans="1:12" ht="31.5" customHeight="1" thickBot="1" x14ac:dyDescent="0.25">
      <c r="A107" s="10" t="s">
        <v>0</v>
      </c>
      <c r="B107" s="278" t="s">
        <v>91</v>
      </c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</row>
    <row r="108" spans="1:12" ht="24.75" customHeight="1" thickTop="1" x14ac:dyDescent="0.25">
      <c r="A108" s="1"/>
      <c r="B108" s="11" t="s">
        <v>3</v>
      </c>
      <c r="C108" s="12" t="s">
        <v>4</v>
      </c>
      <c r="D108" s="13"/>
      <c r="E108" s="13"/>
      <c r="F108" s="13"/>
      <c r="G108" s="13"/>
      <c r="H108" s="14"/>
      <c r="I108" s="15" t="s">
        <v>5</v>
      </c>
      <c r="J108" s="12" t="s">
        <v>17</v>
      </c>
      <c r="K108" s="13"/>
      <c r="L108" s="14"/>
    </row>
    <row r="109" spans="1:12" ht="42.75" customHeight="1" x14ac:dyDescent="0.2">
      <c r="A109" s="50"/>
      <c r="B109" s="143">
        <v>1</v>
      </c>
      <c r="C109" s="284" t="s">
        <v>323</v>
      </c>
      <c r="D109" s="285"/>
      <c r="E109" s="285"/>
      <c r="F109" s="285"/>
      <c r="G109" s="76"/>
      <c r="H109" s="79"/>
      <c r="I109" s="56">
        <v>150000</v>
      </c>
      <c r="J109" s="76"/>
      <c r="K109" s="76"/>
      <c r="L109" s="79"/>
    </row>
    <row r="110" spans="1:12" ht="15" customHeight="1" x14ac:dyDescent="0.2">
      <c r="B110" s="96"/>
      <c r="C110" s="124"/>
      <c r="D110" s="124"/>
      <c r="E110" s="127"/>
      <c r="F110" s="125"/>
      <c r="G110" s="124"/>
      <c r="H110" s="124"/>
      <c r="I110" s="23"/>
      <c r="L110" s="17"/>
    </row>
    <row r="111" spans="1:12" ht="24.75" customHeight="1" x14ac:dyDescent="0.25">
      <c r="A111" s="1"/>
      <c r="B111" s="39"/>
      <c r="C111" s="1"/>
      <c r="D111" s="1"/>
      <c r="E111" s="1"/>
      <c r="F111" s="40" t="s">
        <v>5</v>
      </c>
      <c r="G111" s="40"/>
      <c r="H111" s="1"/>
      <c r="I111" s="41">
        <f>SUM(I109:I109)</f>
        <v>150000</v>
      </c>
      <c r="J111" s="1"/>
      <c r="K111" s="1"/>
      <c r="L111" s="42"/>
    </row>
    <row r="112" spans="1:12" ht="4.5" customHeight="1" thickBot="1" x14ac:dyDescent="0.3">
      <c r="A112" s="1"/>
      <c r="B112" s="43"/>
      <c r="C112" s="44"/>
      <c r="D112" s="44"/>
      <c r="E112" s="44"/>
      <c r="F112" s="45"/>
      <c r="G112" s="45"/>
      <c r="H112" s="44"/>
      <c r="I112" s="46"/>
      <c r="J112" s="44"/>
      <c r="K112" s="44"/>
      <c r="L112" s="47"/>
    </row>
    <row r="113" spans="1:12" ht="21" customHeight="1" thickTop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51.75" customHeight="1" x14ac:dyDescent="0.2">
      <c r="A114" s="10" t="s">
        <v>2</v>
      </c>
      <c r="B114" s="279" t="s">
        <v>11</v>
      </c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</row>
    <row r="115" spans="1:12" ht="11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2.75" customHeight="1" x14ac:dyDescent="0.2">
      <c r="A116" s="280" t="s">
        <v>12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</row>
    <row r="117" spans="1:1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9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3.5" customHeight="1" x14ac:dyDescent="0.25">
      <c r="A119" s="1"/>
      <c r="B119" s="1"/>
      <c r="C119" s="1"/>
      <c r="D119" s="1"/>
      <c r="E119" s="1"/>
      <c r="F119" s="1"/>
      <c r="G119" s="1"/>
      <c r="H119" s="4" t="s">
        <v>199</v>
      </c>
      <c r="J119" s="286" t="s">
        <v>321</v>
      </c>
      <c r="K119" s="286"/>
      <c r="L119" s="286"/>
    </row>
    <row r="120" spans="1:12" ht="15" customHeight="1" x14ac:dyDescent="0.25">
      <c r="A120" s="1"/>
      <c r="B120" s="1" t="s">
        <v>15</v>
      </c>
      <c r="C120" s="1"/>
      <c r="D120" s="1"/>
      <c r="E120" s="1"/>
      <c r="F120" s="1"/>
      <c r="G120" s="1"/>
      <c r="H120" s="4" t="s">
        <v>13</v>
      </c>
    </row>
    <row r="121" spans="1:12" ht="15" customHeight="1" x14ac:dyDescent="0.25">
      <c r="A121" s="1"/>
      <c r="B121" s="1" t="s">
        <v>18</v>
      </c>
      <c r="C121" s="1"/>
      <c r="D121" s="1"/>
      <c r="E121" s="1"/>
      <c r="F121" s="1"/>
      <c r="G121" s="1"/>
      <c r="H121" s="4" t="s">
        <v>14</v>
      </c>
    </row>
    <row r="122" spans="1:12" ht="1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3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5">
      <c r="A124" s="1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"/>
    </row>
    <row r="125" spans="1:12" ht="15" x14ac:dyDescent="0.25">
      <c r="A125" s="1"/>
      <c r="K125" s="103"/>
      <c r="L125" s="1"/>
    </row>
    <row r="126" spans="1:12" ht="21.75" customHeight="1" x14ac:dyDescent="0.25">
      <c r="A126" s="1"/>
      <c r="B126" s="95" t="s">
        <v>77</v>
      </c>
      <c r="H126" s="95" t="s">
        <v>77</v>
      </c>
      <c r="I126" s="95"/>
      <c r="J126" s="92"/>
      <c r="K126" s="103"/>
      <c r="L126" s="1"/>
    </row>
    <row r="127" spans="1:12" ht="24" customHeight="1" x14ac:dyDescent="0.25">
      <c r="A127" s="1"/>
      <c r="B127" s="99" t="s">
        <v>27</v>
      </c>
      <c r="C127" s="57"/>
      <c r="H127" s="99" t="s">
        <v>27</v>
      </c>
      <c r="K127" s="103"/>
    </row>
    <row r="128" spans="1:12" ht="15" customHeight="1" x14ac:dyDescent="0.2"/>
    <row r="129" spans="1:12" ht="12.75" x14ac:dyDescent="0.2"/>
    <row r="130" spans="1:12" ht="15" customHeight="1" x14ac:dyDescent="0.2"/>
    <row r="131" spans="1:12" ht="14.25" customHeight="1" x14ac:dyDescent="0.25">
      <c r="A131" s="3" t="s">
        <v>22</v>
      </c>
    </row>
    <row r="132" spans="1:12" ht="15.75" x14ac:dyDescent="0.2">
      <c r="A132" s="122" t="s">
        <v>20</v>
      </c>
    </row>
    <row r="133" spans="1:12" ht="15.75" x14ac:dyDescent="0.2">
      <c r="A133" s="122" t="s">
        <v>21</v>
      </c>
    </row>
    <row r="134" spans="1:12" ht="14.25" customHeight="1" x14ac:dyDescent="0.2"/>
    <row r="135" spans="1:12" ht="29.25" customHeight="1" x14ac:dyDescent="0.2"/>
    <row r="136" spans="1:12" ht="16.5" customHeight="1" x14ac:dyDescent="0.2"/>
    <row r="137" spans="1:12" ht="21" customHeight="1" x14ac:dyDescent="0.3">
      <c r="A137" s="276" t="s">
        <v>6</v>
      </c>
      <c r="B137" s="276"/>
      <c r="C137" s="276"/>
      <c r="D137" s="276"/>
      <c r="E137" s="276"/>
      <c r="F137" s="276"/>
      <c r="G137" s="276"/>
      <c r="H137" s="276"/>
      <c r="I137" s="276"/>
      <c r="J137" s="276"/>
      <c r="K137" s="276"/>
      <c r="L137" s="276"/>
    </row>
    <row r="138" spans="1:12" ht="15.75" customHeight="1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</row>
    <row r="139" spans="1:12" ht="20.25" customHeight="1" x14ac:dyDescent="0.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</row>
    <row r="140" spans="1:12" ht="18.75" customHeight="1" x14ac:dyDescent="0.25">
      <c r="A140" s="1"/>
      <c r="B140" s="1"/>
    </row>
    <row r="141" spans="1:12" s="76" customFormat="1" ht="15" customHeight="1" x14ac:dyDescent="0.25">
      <c r="A141" s="1" t="s">
        <v>7</v>
      </c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7.25" customHeight="1" x14ac:dyDescent="0.25">
      <c r="A142" s="1"/>
      <c r="B142" s="1"/>
    </row>
    <row r="143" spans="1:12" ht="15" x14ac:dyDescent="0.25">
      <c r="A143" s="1" t="s">
        <v>8</v>
      </c>
      <c r="C143" s="9" t="s">
        <v>1</v>
      </c>
      <c r="D143" s="92" t="s">
        <v>96</v>
      </c>
      <c r="E143" s="76"/>
      <c r="F143" s="76"/>
      <c r="G143" s="76"/>
      <c r="H143" s="76"/>
    </row>
    <row r="144" spans="1:12" ht="18.75" customHeight="1" x14ac:dyDescent="0.25">
      <c r="A144" s="1" t="s">
        <v>9</v>
      </c>
      <c r="C144" s="9" t="s">
        <v>1</v>
      </c>
      <c r="D144" s="57" t="s">
        <v>200</v>
      </c>
      <c r="E144" s="76"/>
      <c r="F144" s="76"/>
      <c r="G144" s="76"/>
      <c r="H144" s="76"/>
    </row>
    <row r="145" spans="1:12" ht="15" x14ac:dyDescent="0.2">
      <c r="A145" s="50" t="s">
        <v>10</v>
      </c>
      <c r="B145" s="76"/>
      <c r="C145" s="91" t="s">
        <v>1</v>
      </c>
      <c r="D145" s="50" t="s">
        <v>203</v>
      </c>
      <c r="E145" s="76"/>
      <c r="F145" s="76"/>
      <c r="G145" s="76"/>
      <c r="H145" s="76"/>
      <c r="I145" s="76"/>
      <c r="J145" s="76"/>
      <c r="K145" s="76"/>
      <c r="L145" s="76"/>
    </row>
    <row r="146" spans="1:12" ht="19.5" customHeight="1" x14ac:dyDescent="0.25">
      <c r="A146" s="1"/>
      <c r="B146" s="1"/>
      <c r="D146" s="1"/>
    </row>
    <row r="147" spans="1:12" ht="39" customHeight="1" x14ac:dyDescent="0.2">
      <c r="A147" s="277" t="s">
        <v>322</v>
      </c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</row>
    <row r="148" spans="1:12" ht="12" customHeight="1" x14ac:dyDescent="0.25">
      <c r="A148" s="1"/>
      <c r="B148" s="1"/>
    </row>
    <row r="149" spans="1:12" ht="37.5" customHeight="1" thickBot="1" x14ac:dyDescent="0.25">
      <c r="A149" s="10" t="s">
        <v>0</v>
      </c>
      <c r="B149" s="278" t="s">
        <v>91</v>
      </c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</row>
    <row r="150" spans="1:12" ht="27" customHeight="1" thickTop="1" x14ac:dyDescent="0.25">
      <c r="A150" s="1"/>
      <c r="B150" s="11" t="s">
        <v>3</v>
      </c>
      <c r="C150" s="12" t="s">
        <v>4</v>
      </c>
      <c r="D150" s="13"/>
      <c r="E150" s="13"/>
      <c r="F150" s="13"/>
      <c r="G150" s="13"/>
      <c r="H150" s="14"/>
      <c r="I150" s="15" t="s">
        <v>5</v>
      </c>
      <c r="J150" s="12" t="s">
        <v>17</v>
      </c>
      <c r="K150" s="13"/>
      <c r="L150" s="14"/>
    </row>
    <row r="151" spans="1:12" ht="33" customHeight="1" x14ac:dyDescent="0.2">
      <c r="A151" s="50"/>
      <c r="B151" s="143">
        <v>1</v>
      </c>
      <c r="C151" s="284" t="s">
        <v>323</v>
      </c>
      <c r="D151" s="285"/>
      <c r="E151" s="285"/>
      <c r="F151" s="285"/>
      <c r="G151" s="76"/>
      <c r="H151" s="79"/>
      <c r="I151" s="56">
        <v>150000</v>
      </c>
      <c r="J151" s="76"/>
      <c r="K151" s="76"/>
      <c r="L151" s="79"/>
    </row>
    <row r="152" spans="1:12" ht="27" customHeight="1" x14ac:dyDescent="0.2">
      <c r="B152" s="96"/>
      <c r="C152" s="124"/>
      <c r="D152" s="124"/>
      <c r="E152" s="127"/>
      <c r="F152" s="125"/>
      <c r="G152" s="124"/>
      <c r="H152" s="124"/>
      <c r="I152" s="23"/>
      <c r="L152" s="17"/>
    </row>
    <row r="153" spans="1:12" ht="17.25" customHeight="1" x14ac:dyDescent="0.25">
      <c r="A153" s="1"/>
      <c r="B153" s="39"/>
      <c r="C153" s="1"/>
      <c r="D153" s="1"/>
      <c r="E153" s="1"/>
      <c r="F153" s="40" t="s">
        <v>5</v>
      </c>
      <c r="G153" s="40"/>
      <c r="H153" s="1"/>
      <c r="I153" s="41">
        <f>SUM(I151:I151)</f>
        <v>150000</v>
      </c>
      <c r="J153" s="1"/>
      <c r="K153" s="1"/>
      <c r="L153" s="42"/>
    </row>
    <row r="154" spans="1:12" ht="13.5" customHeight="1" thickBot="1" x14ac:dyDescent="0.3">
      <c r="A154" s="1"/>
      <c r="B154" s="43"/>
      <c r="C154" s="44"/>
      <c r="D154" s="44"/>
      <c r="E154" s="44"/>
      <c r="F154" s="45"/>
      <c r="G154" s="45"/>
      <c r="H154" s="44"/>
      <c r="I154" s="46"/>
      <c r="J154" s="44"/>
      <c r="K154" s="44"/>
      <c r="L154" s="47"/>
    </row>
    <row r="155" spans="1:12" ht="10.5" customHeight="1" thickTop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45" customHeight="1" x14ac:dyDescent="0.2">
      <c r="A156" s="10" t="s">
        <v>2</v>
      </c>
      <c r="B156" s="279" t="s">
        <v>11</v>
      </c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</row>
    <row r="157" spans="1:12" ht="17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8" customHeight="1" x14ac:dyDescent="0.2">
      <c r="A158" s="280" t="s">
        <v>12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</row>
    <row r="159" spans="1:12" ht="18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21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5">
      <c r="A161" s="1"/>
      <c r="B161" s="1"/>
      <c r="C161" s="1"/>
      <c r="D161" s="1"/>
      <c r="E161" s="1"/>
      <c r="F161" s="1"/>
      <c r="G161" s="1"/>
      <c r="H161" s="4" t="s">
        <v>199</v>
      </c>
      <c r="J161" s="286" t="s">
        <v>321</v>
      </c>
      <c r="K161" s="286"/>
      <c r="L161" s="286"/>
    </row>
    <row r="162" spans="1:12" ht="13.5" customHeight="1" x14ac:dyDescent="0.25">
      <c r="A162" s="1"/>
      <c r="B162" s="1" t="s">
        <v>15</v>
      </c>
      <c r="C162" s="1"/>
      <c r="D162" s="1"/>
      <c r="E162" s="1"/>
      <c r="F162" s="1"/>
      <c r="G162" s="1"/>
      <c r="H162" s="4" t="s">
        <v>13</v>
      </c>
    </row>
    <row r="163" spans="1:12" ht="12.75" customHeight="1" x14ac:dyDescent="0.25">
      <c r="A163" s="1"/>
      <c r="B163" s="1" t="s">
        <v>18</v>
      </c>
      <c r="C163" s="1"/>
      <c r="D163" s="1"/>
      <c r="E163" s="1"/>
      <c r="F163" s="1"/>
      <c r="G163" s="1"/>
      <c r="H163" s="4" t="s">
        <v>14</v>
      </c>
    </row>
    <row r="164" spans="1:12" ht="6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6.5" customHeight="1" x14ac:dyDescent="0.25">
      <c r="A166" s="1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"/>
    </row>
    <row r="167" spans="1:12" s="76" customFormat="1" ht="15" customHeight="1" x14ac:dyDescent="0.25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103"/>
      <c r="L167" s="1"/>
    </row>
    <row r="168" spans="1:12" ht="15" customHeight="1" x14ac:dyDescent="0.25">
      <c r="A168" s="1"/>
      <c r="B168" s="95" t="s">
        <v>77</v>
      </c>
      <c r="H168" s="95" t="s">
        <v>96</v>
      </c>
      <c r="I168" s="95"/>
      <c r="J168" s="92"/>
      <c r="K168" s="103"/>
      <c r="L168" s="1"/>
    </row>
    <row r="169" spans="1:12" ht="15" x14ac:dyDescent="0.25">
      <c r="A169" s="1"/>
      <c r="B169" s="99" t="s">
        <v>27</v>
      </c>
      <c r="C169" s="57"/>
      <c r="H169" s="99" t="s">
        <v>100</v>
      </c>
      <c r="K169" s="103"/>
    </row>
    <row r="170" spans="1:12" ht="12.75" x14ac:dyDescent="0.2"/>
    <row r="171" spans="1:12" ht="30.75" customHeight="1" x14ac:dyDescent="0.2"/>
    <row r="172" spans="1:12" ht="16.5" customHeight="1" x14ac:dyDescent="0.2"/>
    <row r="173" spans="1:12" ht="15.75" customHeight="1" x14ac:dyDescent="0.2"/>
    <row r="174" spans="1:12" ht="14.25" customHeight="1" x14ac:dyDescent="0.2"/>
    <row r="175" spans="1:12" ht="12.75" x14ac:dyDescent="0.2"/>
    <row r="176" spans="1:12" ht="15" customHeight="1" x14ac:dyDescent="0.2"/>
    <row r="177" spans="1:12" ht="19.5" customHeight="1" x14ac:dyDescent="0.2"/>
    <row r="178" spans="1:12" ht="15.75" customHeight="1" x14ac:dyDescent="0.2"/>
    <row r="179" spans="1:12" ht="18" customHeight="1" x14ac:dyDescent="0.2"/>
    <row r="180" spans="1:12" ht="9" customHeight="1" x14ac:dyDescent="0.2"/>
    <row r="181" spans="1:12" ht="16.5" customHeight="1" x14ac:dyDescent="0.2"/>
    <row r="182" spans="1:12" ht="22.5" customHeight="1" x14ac:dyDescent="0.2"/>
    <row r="183" spans="1:12" ht="14.25" customHeight="1" x14ac:dyDescent="0.2"/>
    <row r="184" spans="1:12" ht="18.75" customHeight="1" x14ac:dyDescent="0.2"/>
    <row r="185" spans="1:12" ht="12.75" x14ac:dyDescent="0.2"/>
    <row r="186" spans="1:12" s="76" customFormat="1" ht="17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26.25" customHeight="1" x14ac:dyDescent="0.2"/>
    <row r="188" spans="1:12" ht="17.25" customHeight="1" x14ac:dyDescent="0.2"/>
    <row r="189" spans="1:12" ht="22.5" customHeight="1" x14ac:dyDescent="0.25">
      <c r="A189" s="3" t="s">
        <v>22</v>
      </c>
    </row>
    <row r="190" spans="1:12" ht="17.25" customHeight="1" x14ac:dyDescent="0.2">
      <c r="A190" s="122" t="s">
        <v>20</v>
      </c>
    </row>
    <row r="191" spans="1:12" ht="17.25" customHeight="1" x14ac:dyDescent="0.2">
      <c r="A191" s="122" t="s">
        <v>21</v>
      </c>
    </row>
    <row r="192" spans="1:12" ht="24" customHeight="1" x14ac:dyDescent="0.2"/>
    <row r="193" spans="1:12" ht="12.75" x14ac:dyDescent="0.2"/>
    <row r="194" spans="1:12" ht="7.5" customHeight="1" x14ac:dyDescent="0.2"/>
    <row r="195" spans="1:12" ht="27.75" customHeight="1" x14ac:dyDescent="0.3">
      <c r="A195" s="276" t="s">
        <v>6</v>
      </c>
      <c r="B195" s="276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</row>
    <row r="196" spans="1:12" ht="22.5" customHeigh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</row>
    <row r="197" spans="1:12" ht="21.75" customHeigh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 spans="1:12" ht="21" customHeight="1" x14ac:dyDescent="0.25">
      <c r="A198" s="1"/>
      <c r="B198" s="1"/>
    </row>
    <row r="199" spans="1:12" ht="15" customHeight="1" x14ac:dyDescent="0.25">
      <c r="A199" s="1" t="s">
        <v>7</v>
      </c>
      <c r="B199" s="1"/>
    </row>
    <row r="200" spans="1:12" ht="5.25" customHeight="1" x14ac:dyDescent="0.25">
      <c r="A200" s="1"/>
      <c r="B200" s="1"/>
    </row>
    <row r="201" spans="1:12" ht="15" customHeight="1" x14ac:dyDescent="0.25">
      <c r="A201" s="1" t="s">
        <v>8</v>
      </c>
      <c r="C201" s="9" t="s">
        <v>1</v>
      </c>
      <c r="D201" s="40" t="s">
        <v>97</v>
      </c>
      <c r="E201" s="76"/>
      <c r="F201" s="76"/>
      <c r="G201" s="76"/>
      <c r="H201" s="76"/>
    </row>
    <row r="202" spans="1:12" ht="15.75" customHeight="1" x14ac:dyDescent="0.25">
      <c r="A202" s="1" t="s">
        <v>9</v>
      </c>
      <c r="C202" s="9" t="s">
        <v>1</v>
      </c>
      <c r="D202" s="7" t="s">
        <v>326</v>
      </c>
      <c r="E202" s="76"/>
      <c r="F202" s="76"/>
      <c r="G202" s="76"/>
      <c r="H202" s="76"/>
    </row>
    <row r="203" spans="1:12" ht="15.75" customHeight="1" x14ac:dyDescent="0.25">
      <c r="A203" s="50" t="s">
        <v>10</v>
      </c>
      <c r="B203" s="76"/>
      <c r="C203" s="91" t="s">
        <v>1</v>
      </c>
      <c r="D203" s="1" t="s">
        <v>327</v>
      </c>
      <c r="E203" s="76"/>
      <c r="F203" s="76"/>
      <c r="G203" s="76"/>
      <c r="H203" s="76"/>
      <c r="I203" s="76"/>
      <c r="J203" s="76"/>
      <c r="K203" s="76"/>
      <c r="L203" s="76"/>
    </row>
    <row r="204" spans="1:12" ht="14.25" customHeight="1" x14ac:dyDescent="0.25">
      <c r="A204" s="1"/>
      <c r="B204" s="1"/>
      <c r="D204" s="1"/>
    </row>
    <row r="205" spans="1:12" ht="28.5" customHeight="1" x14ac:dyDescent="0.2">
      <c r="A205" s="277" t="s">
        <v>325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</row>
    <row r="206" spans="1:12" ht="16.5" customHeight="1" x14ac:dyDescent="0.25">
      <c r="A206" s="1"/>
      <c r="B206" s="1"/>
    </row>
    <row r="207" spans="1:12" ht="36" customHeight="1" thickBot="1" x14ac:dyDescent="0.25">
      <c r="A207" s="10" t="s">
        <v>0</v>
      </c>
      <c r="B207" s="278" t="s">
        <v>91</v>
      </c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</row>
    <row r="208" spans="1:12" ht="24" customHeight="1" thickTop="1" x14ac:dyDescent="0.25">
      <c r="A208" s="1"/>
      <c r="B208" s="11" t="s">
        <v>3</v>
      </c>
      <c r="C208" s="12" t="s">
        <v>4</v>
      </c>
      <c r="D208" s="13"/>
      <c r="E208" s="13"/>
      <c r="F208" s="13"/>
      <c r="G208" s="13"/>
      <c r="H208" s="14"/>
      <c r="I208" s="15" t="s">
        <v>5</v>
      </c>
      <c r="J208" s="12" t="s">
        <v>17</v>
      </c>
      <c r="K208" s="13"/>
      <c r="L208" s="14"/>
    </row>
    <row r="209" spans="1:12" ht="33.75" customHeight="1" x14ac:dyDescent="0.2">
      <c r="A209" s="50"/>
      <c r="B209" s="143">
        <v>1</v>
      </c>
      <c r="C209" s="284" t="s">
        <v>324</v>
      </c>
      <c r="D209" s="285"/>
      <c r="E209" s="285"/>
      <c r="F209" s="285"/>
      <c r="G209" s="76"/>
      <c r="H209" s="79"/>
      <c r="I209" s="56">
        <v>275000</v>
      </c>
      <c r="J209" s="76"/>
      <c r="K209" s="76"/>
      <c r="L209" s="79"/>
    </row>
    <row r="210" spans="1:12" ht="48" customHeight="1" x14ac:dyDescent="0.2">
      <c r="B210" s="96"/>
      <c r="C210" s="124"/>
      <c r="D210" s="124"/>
      <c r="E210" s="127"/>
      <c r="F210" s="125"/>
      <c r="G210" s="124"/>
      <c r="H210" s="124"/>
      <c r="I210" s="23"/>
      <c r="L210" s="17"/>
    </row>
    <row r="211" spans="1:12" ht="24.75" customHeight="1" x14ac:dyDescent="0.25">
      <c r="A211" s="1"/>
      <c r="B211" s="39"/>
      <c r="C211" s="1"/>
      <c r="D211" s="1"/>
      <c r="E211" s="1"/>
      <c r="F211" s="40" t="s">
        <v>5</v>
      </c>
      <c r="G211" s="40"/>
      <c r="H211" s="1"/>
      <c r="I211" s="41">
        <f>SUM(I209:I209)</f>
        <v>275000</v>
      </c>
      <c r="J211" s="1"/>
      <c r="K211" s="1"/>
      <c r="L211" s="42"/>
    </row>
    <row r="212" spans="1:12" ht="15.75" customHeight="1" thickBot="1" x14ac:dyDescent="0.3">
      <c r="A212" s="1"/>
      <c r="B212" s="43"/>
      <c r="C212" s="44"/>
      <c r="D212" s="44"/>
      <c r="E212" s="44"/>
      <c r="F212" s="45"/>
      <c r="G212" s="45"/>
      <c r="H212" s="44"/>
      <c r="I212" s="46"/>
      <c r="J212" s="44"/>
      <c r="K212" s="44"/>
      <c r="L212" s="47"/>
    </row>
    <row r="213" spans="1:12" ht="15" customHeight="1" thickTop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50.25" customHeight="1" x14ac:dyDescent="0.2">
      <c r="A214" s="10" t="s">
        <v>2</v>
      </c>
      <c r="B214" s="279" t="s">
        <v>11</v>
      </c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</row>
    <row r="215" spans="1:12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" x14ac:dyDescent="0.2">
      <c r="A216" s="280" t="s">
        <v>12</v>
      </c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</row>
    <row r="217" spans="1:12" ht="18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0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9.5" customHeight="1" x14ac:dyDescent="0.25">
      <c r="A219" s="1"/>
      <c r="B219" s="1"/>
      <c r="C219" s="1"/>
      <c r="D219" s="1"/>
      <c r="E219" s="1"/>
      <c r="F219" s="1"/>
      <c r="G219" s="1"/>
      <c r="H219" s="4" t="s">
        <v>199</v>
      </c>
      <c r="J219" s="286" t="s">
        <v>321</v>
      </c>
      <c r="K219" s="286"/>
      <c r="L219" s="286"/>
    </row>
    <row r="220" spans="1:12" ht="15.75" customHeight="1" x14ac:dyDescent="0.25">
      <c r="A220" s="1"/>
      <c r="B220" s="1" t="s">
        <v>15</v>
      </c>
      <c r="C220" s="1"/>
      <c r="D220" s="1"/>
      <c r="E220" s="1"/>
      <c r="F220" s="1"/>
      <c r="G220" s="1"/>
      <c r="H220" s="4" t="s">
        <v>13</v>
      </c>
    </row>
    <row r="221" spans="1:12" ht="15.75" customHeight="1" x14ac:dyDescent="0.25">
      <c r="A221" s="1"/>
      <c r="B221" s="1" t="s">
        <v>18</v>
      </c>
      <c r="C221" s="1"/>
      <c r="D221" s="1"/>
      <c r="E221" s="1"/>
      <c r="F221" s="1"/>
      <c r="G221" s="1"/>
      <c r="H221" s="4" t="s">
        <v>14</v>
      </c>
    </row>
    <row r="222" spans="1:12" ht="19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9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s="119" customFormat="1" ht="18" customHeight="1" x14ac:dyDescent="0.25">
      <c r="A224" s="1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"/>
    </row>
    <row r="225" spans="1:12" ht="15" x14ac:dyDescent="0.25">
      <c r="A225" s="1"/>
      <c r="K225" s="103"/>
      <c r="L225" s="1"/>
    </row>
    <row r="226" spans="1:12" ht="12.75" customHeight="1" x14ac:dyDescent="0.25">
      <c r="A226" s="1"/>
      <c r="B226" s="95" t="s">
        <v>77</v>
      </c>
      <c r="H226" s="37" t="s">
        <v>97</v>
      </c>
      <c r="I226" s="95"/>
      <c r="J226" s="92"/>
      <c r="K226" s="103"/>
      <c r="L226" s="1"/>
    </row>
    <row r="227" spans="1:12" s="99" customFormat="1" ht="19.5" customHeight="1" x14ac:dyDescent="0.2">
      <c r="A227" s="48"/>
      <c r="B227" s="99" t="s">
        <v>27</v>
      </c>
      <c r="C227" s="146"/>
      <c r="H227" s="48" t="s">
        <v>98</v>
      </c>
      <c r="K227" s="104"/>
    </row>
    <row r="228" spans="1:12" ht="31.5" customHeight="1" x14ac:dyDescent="0.2"/>
    <row r="229" spans="1:12" ht="16.5" customHeight="1" x14ac:dyDescent="0.2"/>
    <row r="230" spans="1:12" ht="32.25" customHeight="1" x14ac:dyDescent="0.25">
      <c r="A230" s="3" t="s">
        <v>22</v>
      </c>
    </row>
    <row r="231" spans="1:12" ht="21" customHeight="1" x14ac:dyDescent="0.2">
      <c r="A231" s="122" t="s">
        <v>20</v>
      </c>
    </row>
    <row r="232" spans="1:12" ht="21.75" customHeight="1" x14ac:dyDescent="0.2">
      <c r="A232" s="122" t="s">
        <v>21</v>
      </c>
    </row>
    <row r="233" spans="1:12" s="76" customFormat="1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9.5" customHeight="1" x14ac:dyDescent="0.2"/>
    <row r="235" spans="1:12" ht="17.25" customHeight="1" x14ac:dyDescent="0.2"/>
    <row r="236" spans="1:12" ht="17.25" customHeight="1" x14ac:dyDescent="0.3">
      <c r="A236" s="276" t="s">
        <v>6</v>
      </c>
      <c r="B236" s="276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</row>
    <row r="237" spans="1:12" ht="33" customHeight="1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</row>
    <row r="238" spans="1:12" ht="19.5" customHeight="1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</row>
    <row r="239" spans="1:12" ht="6" customHeight="1" x14ac:dyDescent="0.25">
      <c r="A239" s="1"/>
      <c r="B239" s="1"/>
    </row>
    <row r="240" spans="1:12" ht="16.5" customHeight="1" x14ac:dyDescent="0.25">
      <c r="A240" s="1" t="s">
        <v>7</v>
      </c>
      <c r="B240" s="1"/>
    </row>
    <row r="241" spans="1:12" ht="8.25" customHeight="1" x14ac:dyDescent="0.25">
      <c r="A241" s="1"/>
      <c r="B241" s="1"/>
    </row>
    <row r="242" spans="1:12" ht="12" customHeight="1" x14ac:dyDescent="0.25">
      <c r="A242" s="1" t="s">
        <v>8</v>
      </c>
      <c r="C242" s="9" t="s">
        <v>1</v>
      </c>
      <c r="D242" s="40" t="s">
        <v>92</v>
      </c>
      <c r="E242" s="76"/>
      <c r="F242" s="76"/>
      <c r="G242" s="76"/>
      <c r="H242" s="76"/>
    </row>
    <row r="243" spans="1:12" ht="12" customHeight="1" x14ac:dyDescent="0.25">
      <c r="A243" s="1" t="s">
        <v>9</v>
      </c>
      <c r="C243" s="9" t="s">
        <v>1</v>
      </c>
      <c r="D243" s="7" t="s">
        <v>263</v>
      </c>
      <c r="E243" s="76"/>
      <c r="F243" s="76"/>
      <c r="G243" s="76"/>
      <c r="H243" s="76"/>
    </row>
    <row r="244" spans="1:12" ht="15" customHeight="1" x14ac:dyDescent="0.25">
      <c r="A244" s="50" t="s">
        <v>10</v>
      </c>
      <c r="B244" s="76"/>
      <c r="C244" s="91" t="s">
        <v>1</v>
      </c>
      <c r="D244" s="1" t="s">
        <v>264</v>
      </c>
      <c r="E244" s="76"/>
      <c r="F244" s="76"/>
      <c r="G244" s="76"/>
      <c r="H244" s="76"/>
      <c r="I244" s="76"/>
      <c r="J244" s="76"/>
      <c r="K244" s="76"/>
      <c r="L244" s="76"/>
    </row>
    <row r="245" spans="1:12" ht="21" customHeight="1" x14ac:dyDescent="0.25">
      <c r="A245" s="1"/>
      <c r="B245" s="1"/>
      <c r="D245" s="1"/>
    </row>
    <row r="246" spans="1:12" ht="33" customHeight="1" x14ac:dyDescent="0.2">
      <c r="A246" s="277" t="s">
        <v>325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</row>
    <row r="247" spans="1:12" ht="18.75" customHeight="1" x14ac:dyDescent="0.25">
      <c r="A247" s="1"/>
      <c r="B247" s="1"/>
    </row>
    <row r="248" spans="1:12" ht="36.75" customHeight="1" thickBot="1" x14ac:dyDescent="0.25">
      <c r="A248" s="10" t="s">
        <v>0</v>
      </c>
      <c r="B248" s="278" t="s">
        <v>91</v>
      </c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</row>
    <row r="249" spans="1:12" ht="15" customHeight="1" thickTop="1" x14ac:dyDescent="0.25">
      <c r="A249" s="1"/>
      <c r="B249" s="11" t="s">
        <v>3</v>
      </c>
      <c r="C249" s="12" t="s">
        <v>4</v>
      </c>
      <c r="D249" s="13"/>
      <c r="E249" s="13"/>
      <c r="F249" s="13"/>
      <c r="G249" s="13"/>
      <c r="H249" s="14"/>
      <c r="I249" s="15" t="s">
        <v>5</v>
      </c>
      <c r="J249" s="12" t="s">
        <v>17</v>
      </c>
      <c r="K249" s="13"/>
      <c r="L249" s="14"/>
    </row>
    <row r="250" spans="1:12" ht="27.75" customHeight="1" x14ac:dyDescent="0.2">
      <c r="A250" s="50"/>
      <c r="B250" s="143">
        <v>1</v>
      </c>
      <c r="C250" s="284" t="s">
        <v>324</v>
      </c>
      <c r="D250" s="285"/>
      <c r="E250" s="285"/>
      <c r="F250" s="285"/>
      <c r="G250" s="76"/>
      <c r="H250" s="79"/>
      <c r="I250" s="56">
        <v>275000</v>
      </c>
      <c r="J250" s="76"/>
      <c r="K250" s="76"/>
      <c r="L250" s="79"/>
    </row>
    <row r="251" spans="1:12" ht="30" customHeight="1" x14ac:dyDescent="0.2">
      <c r="B251" s="96"/>
      <c r="C251" s="124"/>
      <c r="D251" s="124"/>
      <c r="E251" s="127"/>
      <c r="F251" s="125"/>
      <c r="G251" s="124"/>
      <c r="H251" s="124"/>
      <c r="I251" s="23"/>
      <c r="L251" s="17"/>
    </row>
    <row r="252" spans="1:12" ht="15" x14ac:dyDescent="0.25">
      <c r="A252" s="1"/>
      <c r="B252" s="39"/>
      <c r="C252" s="1"/>
      <c r="D252" s="1"/>
      <c r="E252" s="1"/>
      <c r="F252" s="40" t="s">
        <v>5</v>
      </c>
      <c r="G252" s="40"/>
      <c r="H252" s="1"/>
      <c r="I252" s="41">
        <f>SUM(I250:I250)</f>
        <v>275000</v>
      </c>
      <c r="J252" s="1"/>
      <c r="K252" s="1"/>
      <c r="L252" s="42"/>
    </row>
    <row r="253" spans="1:12" ht="9.75" customHeight="1" thickBot="1" x14ac:dyDescent="0.3">
      <c r="A253" s="1"/>
      <c r="B253" s="43"/>
      <c r="C253" s="44"/>
      <c r="D253" s="44"/>
      <c r="E253" s="44"/>
      <c r="F253" s="45"/>
      <c r="G253" s="45"/>
      <c r="H253" s="44"/>
      <c r="I253" s="46"/>
      <c r="J253" s="44"/>
      <c r="K253" s="44"/>
      <c r="L253" s="47"/>
    </row>
    <row r="254" spans="1:12" ht="14.25" customHeight="1" thickTop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45.75" customHeight="1" x14ac:dyDescent="0.2">
      <c r="A255" s="10" t="s">
        <v>2</v>
      </c>
      <c r="B255" s="279" t="s">
        <v>11</v>
      </c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</row>
    <row r="256" spans="1:12" ht="18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9.5" customHeight="1" x14ac:dyDescent="0.2">
      <c r="A257" s="280" t="s">
        <v>12</v>
      </c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</row>
    <row r="258" spans="1:12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8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" customHeight="1" x14ac:dyDescent="0.25">
      <c r="A260" s="1"/>
      <c r="B260" s="1"/>
      <c r="C260" s="1"/>
      <c r="D260" s="1"/>
      <c r="E260" s="1"/>
      <c r="F260" s="1"/>
      <c r="G260" s="1"/>
      <c r="H260" s="4" t="s">
        <v>199</v>
      </c>
      <c r="J260" s="286" t="s">
        <v>321</v>
      </c>
      <c r="K260" s="286"/>
      <c r="L260" s="286"/>
    </row>
    <row r="261" spans="1:12" ht="15" customHeight="1" x14ac:dyDescent="0.25">
      <c r="A261" s="1"/>
      <c r="B261" s="1" t="s">
        <v>15</v>
      </c>
      <c r="C261" s="1"/>
      <c r="D261" s="1"/>
      <c r="E261" s="1"/>
      <c r="F261" s="1"/>
      <c r="G261" s="1"/>
      <c r="H261" s="4" t="s">
        <v>13</v>
      </c>
    </row>
    <row r="262" spans="1:12" ht="11.25" customHeight="1" x14ac:dyDescent="0.25">
      <c r="A262" s="1"/>
      <c r="B262" s="1" t="s">
        <v>18</v>
      </c>
      <c r="C262" s="1"/>
      <c r="D262" s="1"/>
      <c r="E262" s="1"/>
      <c r="F262" s="1"/>
      <c r="G262" s="1"/>
      <c r="H262" s="4" t="s">
        <v>14</v>
      </c>
    </row>
    <row r="263" spans="1:1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3.5" customHeight="1" x14ac:dyDescent="0.25">
      <c r="A265" s="1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"/>
    </row>
    <row r="266" spans="1:12" ht="15.75" customHeight="1" x14ac:dyDescent="0.25">
      <c r="A266" s="1"/>
      <c r="K266" s="103"/>
      <c r="L266" s="1"/>
    </row>
    <row r="267" spans="1:12" ht="15" customHeight="1" x14ac:dyDescent="0.25">
      <c r="A267" s="1"/>
      <c r="B267" s="95" t="s">
        <v>77</v>
      </c>
      <c r="H267" s="37" t="s">
        <v>92</v>
      </c>
      <c r="I267" s="95"/>
      <c r="J267" s="92"/>
      <c r="K267" s="103"/>
      <c r="L267" s="1"/>
    </row>
    <row r="268" spans="1:12" s="99" customFormat="1" ht="20.25" customHeight="1" x14ac:dyDescent="0.2">
      <c r="A268" s="48"/>
      <c r="B268" s="99" t="s">
        <v>27</v>
      </c>
      <c r="C268" s="146"/>
      <c r="H268" s="48" t="s">
        <v>93</v>
      </c>
      <c r="K268" s="104"/>
    </row>
    <row r="269" spans="1:12" ht="12.75" customHeight="1" x14ac:dyDescent="0.2"/>
    <row r="270" spans="1:12" ht="24" customHeight="1" x14ac:dyDescent="0.2"/>
    <row r="271" spans="1:12" ht="19.5" customHeight="1" x14ac:dyDescent="0.2"/>
    <row r="272" spans="1:12" ht="33.75" customHeight="1" x14ac:dyDescent="0.2"/>
    <row r="273" spans="1:12" ht="15.75" customHeight="1" x14ac:dyDescent="0.2"/>
    <row r="274" spans="1:12" ht="25.5" customHeight="1" x14ac:dyDescent="0.25">
      <c r="A274" s="3" t="s">
        <v>22</v>
      </c>
    </row>
    <row r="275" spans="1:12" ht="18.75" customHeight="1" x14ac:dyDescent="0.2">
      <c r="A275" s="122" t="s">
        <v>20</v>
      </c>
    </row>
    <row r="276" spans="1:12" ht="18" customHeight="1" x14ac:dyDescent="0.2">
      <c r="A276" s="122" t="s">
        <v>21</v>
      </c>
    </row>
    <row r="277" spans="1:12" ht="13.5" customHeight="1" x14ac:dyDescent="0.2"/>
    <row r="278" spans="1:12" ht="15.75" customHeight="1" x14ac:dyDescent="0.2"/>
    <row r="279" spans="1:12" ht="47.25" customHeight="1" x14ac:dyDescent="0.2"/>
    <row r="280" spans="1:12" ht="14.25" customHeight="1" x14ac:dyDescent="0.3">
      <c r="A280" s="276" t="s">
        <v>6</v>
      </c>
      <c r="B280" s="276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</row>
    <row r="281" spans="1:12" ht="18" customHeight="1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</row>
    <row r="282" spans="1:12" ht="18" customHeight="1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</row>
    <row r="283" spans="1:12" ht="3" customHeight="1" x14ac:dyDescent="0.25">
      <c r="A283" s="1"/>
      <c r="B283" s="1"/>
    </row>
    <row r="284" spans="1:12" ht="15" customHeight="1" x14ac:dyDescent="0.25">
      <c r="A284" s="1" t="s">
        <v>7</v>
      </c>
      <c r="B284" s="1"/>
    </row>
    <row r="285" spans="1:12" ht="12.75" customHeight="1" x14ac:dyDescent="0.25">
      <c r="A285" s="1"/>
      <c r="B285" s="1"/>
    </row>
    <row r="286" spans="1:12" ht="14.25" customHeight="1" x14ac:dyDescent="0.25">
      <c r="A286" s="1" t="s">
        <v>8</v>
      </c>
      <c r="C286" s="9" t="s">
        <v>1</v>
      </c>
      <c r="D286" s="67" t="s">
        <v>328</v>
      </c>
      <c r="E286" s="76"/>
      <c r="F286" s="76"/>
      <c r="G286" s="76"/>
      <c r="H286" s="76"/>
    </row>
    <row r="287" spans="1:12" ht="13.5" customHeight="1" x14ac:dyDescent="0.25">
      <c r="A287" s="1" t="s">
        <v>9</v>
      </c>
      <c r="C287" s="9" t="s">
        <v>1</v>
      </c>
      <c r="D287" s="68" t="s">
        <v>330</v>
      </c>
      <c r="E287" s="76"/>
      <c r="F287" s="76"/>
      <c r="G287" s="76"/>
      <c r="H287" s="76"/>
    </row>
    <row r="288" spans="1:12" ht="15" customHeight="1" x14ac:dyDescent="0.2">
      <c r="A288" s="50" t="s">
        <v>10</v>
      </c>
      <c r="B288" s="76"/>
      <c r="C288" s="91" t="s">
        <v>1</v>
      </c>
      <c r="D288" s="50" t="s">
        <v>81</v>
      </c>
      <c r="E288" s="76"/>
      <c r="F288" s="76"/>
      <c r="G288" s="76"/>
      <c r="H288" s="76"/>
      <c r="I288" s="76"/>
      <c r="J288" s="76"/>
      <c r="K288" s="76"/>
      <c r="L288" s="76"/>
    </row>
    <row r="289" spans="1:12" ht="14.25" customHeight="1" x14ac:dyDescent="0.25">
      <c r="A289" s="1"/>
      <c r="B289" s="1"/>
      <c r="D289" s="1"/>
    </row>
    <row r="290" spans="1:12" ht="26.25" customHeight="1" x14ac:dyDescent="0.2">
      <c r="A290" s="277" t="s">
        <v>325</v>
      </c>
      <c r="B290" s="277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</row>
    <row r="291" spans="1:12" ht="15" x14ac:dyDescent="0.25">
      <c r="A291" s="1"/>
      <c r="B291" s="1"/>
    </row>
    <row r="292" spans="1:12" ht="36.75" customHeight="1" thickBot="1" x14ac:dyDescent="0.25">
      <c r="A292" s="10" t="s">
        <v>0</v>
      </c>
      <c r="B292" s="278" t="s">
        <v>91</v>
      </c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</row>
    <row r="293" spans="1:12" ht="17.25" customHeight="1" thickTop="1" x14ac:dyDescent="0.25">
      <c r="A293" s="1"/>
      <c r="B293" s="11" t="s">
        <v>3</v>
      </c>
      <c r="C293" s="12" t="s">
        <v>4</v>
      </c>
      <c r="D293" s="13"/>
      <c r="E293" s="13"/>
      <c r="F293" s="13"/>
      <c r="G293" s="13"/>
      <c r="H293" s="14"/>
      <c r="I293" s="15" t="s">
        <v>5</v>
      </c>
      <c r="J293" s="12" t="s">
        <v>17</v>
      </c>
      <c r="K293" s="13"/>
      <c r="L293" s="14"/>
    </row>
    <row r="294" spans="1:12" ht="20.25" customHeight="1" x14ac:dyDescent="0.2">
      <c r="A294" s="50"/>
      <c r="B294" s="143">
        <v>1</v>
      </c>
      <c r="C294" s="284" t="s">
        <v>324</v>
      </c>
      <c r="D294" s="285"/>
      <c r="E294" s="285"/>
      <c r="F294" s="285"/>
      <c r="G294" s="76"/>
      <c r="H294" s="79"/>
      <c r="I294" s="56">
        <v>275000</v>
      </c>
      <c r="J294" s="76"/>
      <c r="K294" s="76"/>
      <c r="L294" s="79"/>
    </row>
    <row r="295" spans="1:12" ht="39.75" customHeight="1" x14ac:dyDescent="0.2">
      <c r="B295" s="96"/>
      <c r="C295" s="124"/>
      <c r="D295" s="124"/>
      <c r="E295" s="127"/>
      <c r="F295" s="125"/>
      <c r="G295" s="124"/>
      <c r="H295" s="124"/>
      <c r="I295" s="23"/>
      <c r="L295" s="17"/>
    </row>
    <row r="296" spans="1:12" ht="15.75" customHeight="1" x14ac:dyDescent="0.25">
      <c r="A296" s="1"/>
      <c r="B296" s="39"/>
      <c r="C296" s="1"/>
      <c r="D296" s="1"/>
      <c r="E296" s="1"/>
      <c r="F296" s="40" t="s">
        <v>5</v>
      </c>
      <c r="G296" s="40"/>
      <c r="H296" s="1"/>
      <c r="I296" s="41">
        <f>SUM(I294:I294)</f>
        <v>275000</v>
      </c>
      <c r="J296" s="1"/>
      <c r="K296" s="1"/>
      <c r="L296" s="42"/>
    </row>
    <row r="297" spans="1:12" ht="15.75" thickBot="1" x14ac:dyDescent="0.3">
      <c r="A297" s="1"/>
      <c r="B297" s="43"/>
      <c r="C297" s="44"/>
      <c r="D297" s="44"/>
      <c r="E297" s="44"/>
      <c r="F297" s="45"/>
      <c r="G297" s="45"/>
      <c r="H297" s="44"/>
      <c r="I297" s="46"/>
      <c r="J297" s="44"/>
      <c r="K297" s="44"/>
      <c r="L297" s="47"/>
    </row>
    <row r="298" spans="1:12" ht="14.25" customHeight="1" thickTop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47.25" customHeight="1" x14ac:dyDescent="0.2">
      <c r="A299" s="10" t="s">
        <v>2</v>
      </c>
      <c r="B299" s="279" t="s">
        <v>11</v>
      </c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</row>
    <row r="300" spans="1:12" ht="17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7.25" customHeight="1" x14ac:dyDescent="0.2">
      <c r="A301" s="280" t="s">
        <v>12</v>
      </c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</row>
    <row r="302" spans="1:12" ht="15.75" hidden="1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9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" x14ac:dyDescent="0.25">
      <c r="A304" s="1"/>
      <c r="B304" s="1"/>
      <c r="C304" s="1"/>
      <c r="D304" s="1"/>
      <c r="E304" s="1"/>
      <c r="F304" s="1"/>
      <c r="G304" s="1"/>
      <c r="H304" s="4" t="s">
        <v>199</v>
      </c>
      <c r="J304" s="286" t="s">
        <v>321</v>
      </c>
      <c r="K304" s="286"/>
      <c r="L304" s="286"/>
    </row>
    <row r="305" spans="1:12" ht="16.5" customHeight="1" x14ac:dyDescent="0.25">
      <c r="A305" s="1"/>
      <c r="B305" s="1" t="s">
        <v>15</v>
      </c>
      <c r="C305" s="1"/>
      <c r="D305" s="1"/>
      <c r="E305" s="1"/>
      <c r="F305" s="1"/>
      <c r="G305" s="1"/>
      <c r="H305" s="4" t="s">
        <v>13</v>
      </c>
    </row>
    <row r="306" spans="1:12" ht="15.75" customHeight="1" x14ac:dyDescent="0.25">
      <c r="A306" s="1"/>
      <c r="B306" s="1" t="s">
        <v>18</v>
      </c>
      <c r="C306" s="1"/>
      <c r="D306" s="1"/>
      <c r="E306" s="1"/>
      <c r="F306" s="1"/>
      <c r="G306" s="1"/>
      <c r="H306" s="4" t="s">
        <v>14</v>
      </c>
    </row>
    <row r="307" spans="1:1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9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.5" customHeight="1" x14ac:dyDescent="0.25">
      <c r="A309" s="1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"/>
    </row>
    <row r="310" spans="1:12" ht="15" x14ac:dyDescent="0.25">
      <c r="A310" s="1"/>
      <c r="K310" s="103"/>
      <c r="L310" s="1"/>
    </row>
    <row r="311" spans="1:12" ht="16.5" customHeight="1" x14ac:dyDescent="0.25">
      <c r="A311" s="1"/>
      <c r="B311" s="95" t="s">
        <v>77</v>
      </c>
      <c r="H311" s="63" t="s">
        <v>328</v>
      </c>
      <c r="I311" s="95"/>
      <c r="J311" s="92"/>
      <c r="K311" s="103"/>
      <c r="L311" s="1"/>
    </row>
    <row r="312" spans="1:12" ht="23.25" customHeight="1" x14ac:dyDescent="0.2">
      <c r="A312" s="48"/>
      <c r="B312" s="99" t="s">
        <v>27</v>
      </c>
      <c r="C312" s="146"/>
      <c r="D312" s="99"/>
      <c r="E312" s="99"/>
      <c r="F312" s="99"/>
      <c r="G312" s="99"/>
      <c r="H312" s="48" t="s">
        <v>329</v>
      </c>
      <c r="I312" s="99"/>
      <c r="J312" s="99"/>
      <c r="K312" s="104"/>
      <c r="L312" s="99"/>
    </row>
    <row r="313" spans="1:12" ht="11.25" customHeight="1" x14ac:dyDescent="0.2"/>
    <row r="314" spans="1:12" ht="33" customHeight="1" x14ac:dyDescent="0.2"/>
    <row r="315" spans="1:12" ht="6.75" customHeight="1" x14ac:dyDescent="0.2"/>
    <row r="316" spans="1:12" ht="36" customHeight="1" x14ac:dyDescent="0.2"/>
    <row r="317" spans="1:12" ht="15" customHeight="1" x14ac:dyDescent="0.2"/>
    <row r="318" spans="1:12" ht="23.25" customHeight="1" x14ac:dyDescent="0.2"/>
    <row r="319" spans="1:12" ht="28.5" customHeight="1" x14ac:dyDescent="0.2"/>
    <row r="320" spans="1:12" ht="30" customHeight="1" x14ac:dyDescent="0.2"/>
    <row r="321" spans="1:12" ht="24" customHeight="1" x14ac:dyDescent="0.2"/>
    <row r="322" spans="1:12" ht="10.5" customHeight="1" x14ac:dyDescent="0.2"/>
    <row r="323" spans="1:12" ht="15.75" customHeight="1" x14ac:dyDescent="0.2"/>
    <row r="324" spans="1:12" ht="49.5" customHeight="1" x14ac:dyDescent="0.25">
      <c r="A324" s="3" t="s">
        <v>22</v>
      </c>
    </row>
    <row r="325" spans="1:12" ht="17.25" customHeight="1" x14ac:dyDescent="0.2">
      <c r="A325" s="122" t="s">
        <v>20</v>
      </c>
    </row>
    <row r="326" spans="1:12" ht="26.25" customHeight="1" x14ac:dyDescent="0.2">
      <c r="A326" s="122" t="s">
        <v>21</v>
      </c>
    </row>
    <row r="327" spans="1:12" ht="13.5" customHeight="1" x14ac:dyDescent="0.2"/>
    <row r="328" spans="1:12" ht="6" customHeight="1" x14ac:dyDescent="0.2"/>
    <row r="329" spans="1:12" ht="12.75" x14ac:dyDescent="0.2"/>
    <row r="330" spans="1:12" ht="20.25" customHeight="1" x14ac:dyDescent="0.3">
      <c r="A330" s="276" t="s">
        <v>6</v>
      </c>
      <c r="B330" s="276"/>
      <c r="C330" s="276"/>
      <c r="D330" s="276"/>
      <c r="E330" s="276"/>
      <c r="F330" s="276"/>
      <c r="G330" s="276"/>
      <c r="H330" s="276"/>
      <c r="I330" s="276"/>
      <c r="J330" s="276"/>
      <c r="K330" s="276"/>
      <c r="L330" s="276"/>
    </row>
    <row r="331" spans="1:12" ht="15.75" customHeight="1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</row>
    <row r="332" spans="1:12" ht="14.25" customHeight="1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</row>
    <row r="333" spans="1:12" ht="17.25" customHeight="1" x14ac:dyDescent="0.25">
      <c r="A333" s="1"/>
      <c r="B333" s="1"/>
    </row>
    <row r="334" spans="1:12" ht="18.75" customHeight="1" x14ac:dyDescent="0.25">
      <c r="A334" s="1" t="s">
        <v>7</v>
      </c>
      <c r="B334" s="1"/>
    </row>
    <row r="335" spans="1:12" ht="15" x14ac:dyDescent="0.25">
      <c r="A335" s="1"/>
      <c r="B335" s="1"/>
    </row>
    <row r="336" spans="1:12" ht="11.25" customHeight="1" x14ac:dyDescent="0.25">
      <c r="A336" s="1" t="s">
        <v>8</v>
      </c>
      <c r="C336" s="9" t="s">
        <v>1</v>
      </c>
      <c r="D336" s="92" t="s">
        <v>77</v>
      </c>
      <c r="E336" s="76"/>
      <c r="F336" s="76"/>
      <c r="G336" s="76"/>
      <c r="H336" s="76"/>
    </row>
    <row r="337" spans="1:12" ht="15" x14ac:dyDescent="0.25">
      <c r="A337" s="1" t="s">
        <v>9</v>
      </c>
      <c r="C337" s="9" t="s">
        <v>1</v>
      </c>
      <c r="D337" s="57" t="s">
        <v>201</v>
      </c>
      <c r="E337" s="76"/>
      <c r="F337" s="76"/>
      <c r="G337" s="76"/>
      <c r="H337" s="76"/>
    </row>
    <row r="338" spans="1:12" ht="15" customHeight="1" x14ac:dyDescent="0.2">
      <c r="A338" s="50" t="s">
        <v>10</v>
      </c>
      <c r="B338" s="76"/>
      <c r="C338" s="91" t="s">
        <v>1</v>
      </c>
      <c r="D338" s="50" t="s">
        <v>265</v>
      </c>
      <c r="E338" s="76"/>
      <c r="F338" s="76"/>
      <c r="G338" s="76"/>
      <c r="H338" s="76"/>
      <c r="I338" s="76"/>
      <c r="J338" s="76"/>
      <c r="K338" s="76"/>
      <c r="L338" s="76"/>
    </row>
    <row r="339" spans="1:12" ht="15" customHeight="1" x14ac:dyDescent="0.25">
      <c r="A339" s="1"/>
      <c r="B339" s="1"/>
      <c r="D339" s="1"/>
    </row>
    <row r="340" spans="1:12" ht="27" customHeight="1" x14ac:dyDescent="0.2">
      <c r="A340" s="277" t="s">
        <v>331</v>
      </c>
      <c r="B340" s="277"/>
      <c r="C340" s="277"/>
      <c r="D340" s="277"/>
      <c r="E340" s="277"/>
      <c r="F340" s="277"/>
      <c r="G340" s="277"/>
      <c r="H340" s="277"/>
      <c r="I340" s="277"/>
      <c r="J340" s="277"/>
      <c r="K340" s="277"/>
      <c r="L340" s="277"/>
    </row>
    <row r="341" spans="1:12" ht="15" x14ac:dyDescent="0.25">
      <c r="A341" s="1"/>
      <c r="B341" s="1"/>
    </row>
    <row r="342" spans="1:12" ht="33.75" customHeight="1" thickBot="1" x14ac:dyDescent="0.25">
      <c r="A342" s="10" t="s">
        <v>0</v>
      </c>
      <c r="B342" s="278" t="s">
        <v>91</v>
      </c>
      <c r="C342" s="278"/>
      <c r="D342" s="278"/>
      <c r="E342" s="278"/>
      <c r="F342" s="278"/>
      <c r="G342" s="278"/>
      <c r="H342" s="278"/>
      <c r="I342" s="278"/>
      <c r="J342" s="278"/>
      <c r="K342" s="278"/>
      <c r="L342" s="278"/>
    </row>
    <row r="343" spans="1:12" ht="21" customHeight="1" thickTop="1" x14ac:dyDescent="0.25">
      <c r="A343" s="1"/>
      <c r="B343" s="11" t="s">
        <v>3</v>
      </c>
      <c r="C343" s="12" t="s">
        <v>4</v>
      </c>
      <c r="D343" s="13"/>
      <c r="E343" s="13"/>
      <c r="F343" s="13"/>
      <c r="G343" s="13"/>
      <c r="H343" s="14"/>
      <c r="I343" s="15" t="s">
        <v>5</v>
      </c>
      <c r="J343" s="12" t="s">
        <v>17</v>
      </c>
      <c r="K343" s="13"/>
      <c r="L343" s="14"/>
    </row>
    <row r="344" spans="1:12" ht="20.25" customHeight="1" x14ac:dyDescent="0.2">
      <c r="A344" s="50"/>
      <c r="B344" s="143">
        <v>1</v>
      </c>
      <c r="C344" s="284" t="s">
        <v>324</v>
      </c>
      <c r="D344" s="285"/>
      <c r="E344" s="285"/>
      <c r="F344" s="285"/>
      <c r="G344" s="76"/>
      <c r="H344" s="79"/>
      <c r="I344" s="56">
        <v>275000</v>
      </c>
      <c r="J344" s="76"/>
      <c r="K344" s="76"/>
      <c r="L344" s="79"/>
    </row>
    <row r="345" spans="1:12" ht="39.75" customHeight="1" x14ac:dyDescent="0.2">
      <c r="B345" s="96"/>
      <c r="C345" s="124"/>
      <c r="D345" s="124"/>
      <c r="E345" s="127"/>
      <c r="F345" s="125"/>
      <c r="G345" s="124"/>
      <c r="H345" s="124"/>
      <c r="I345" s="23"/>
      <c r="L345" s="17"/>
    </row>
    <row r="346" spans="1:12" ht="15.75" customHeight="1" x14ac:dyDescent="0.25">
      <c r="A346" s="1"/>
      <c r="B346" s="39"/>
      <c r="C346" s="1"/>
      <c r="D346" s="1"/>
      <c r="E346" s="1"/>
      <c r="F346" s="40" t="s">
        <v>5</v>
      </c>
      <c r="G346" s="40"/>
      <c r="H346" s="1"/>
      <c r="I346" s="41">
        <f>SUM(I344:I344)</f>
        <v>275000</v>
      </c>
      <c r="J346" s="1"/>
      <c r="K346" s="1"/>
      <c r="L346" s="42"/>
    </row>
    <row r="347" spans="1:12" ht="21" customHeight="1" thickBot="1" x14ac:dyDescent="0.3">
      <c r="A347" s="1"/>
      <c r="B347" s="43"/>
      <c r="C347" s="44"/>
      <c r="D347" s="44"/>
      <c r="E347" s="44"/>
      <c r="F347" s="45"/>
      <c r="G347" s="45"/>
      <c r="H347" s="44"/>
      <c r="I347" s="46"/>
      <c r="J347" s="44"/>
      <c r="K347" s="44"/>
      <c r="L347" s="47"/>
    </row>
    <row r="348" spans="1:12" ht="15" customHeight="1" thickTop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44.25" customHeight="1" x14ac:dyDescent="0.2">
      <c r="A349" s="10" t="s">
        <v>2</v>
      </c>
      <c r="B349" s="279" t="s">
        <v>11</v>
      </c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</row>
    <row r="350" spans="1:12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" x14ac:dyDescent="0.2">
      <c r="A351" s="280" t="s">
        <v>12</v>
      </c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</row>
    <row r="352" spans="1:12" ht="1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7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" customHeight="1" x14ac:dyDescent="0.25">
      <c r="A354" s="1"/>
      <c r="B354" s="1"/>
      <c r="C354" s="1"/>
      <c r="D354" s="1"/>
      <c r="E354" s="1"/>
      <c r="F354" s="1"/>
      <c r="G354" s="1"/>
      <c r="H354" s="4" t="s">
        <v>199</v>
      </c>
      <c r="J354" s="286" t="s">
        <v>321</v>
      </c>
      <c r="K354" s="286"/>
      <c r="L354" s="286"/>
    </row>
    <row r="355" spans="1:12" ht="15" customHeight="1" x14ac:dyDescent="0.25">
      <c r="A355" s="1"/>
      <c r="B355" s="1" t="s">
        <v>15</v>
      </c>
      <c r="C355" s="1"/>
      <c r="D355" s="1"/>
      <c r="E355" s="1"/>
      <c r="F355" s="1"/>
      <c r="G355" s="1"/>
      <c r="H355" s="4" t="s">
        <v>13</v>
      </c>
    </row>
    <row r="356" spans="1:12" ht="18" customHeight="1" x14ac:dyDescent="0.25">
      <c r="A356" s="1"/>
      <c r="B356" s="1" t="s">
        <v>18</v>
      </c>
      <c r="C356" s="1"/>
      <c r="D356" s="1"/>
      <c r="E356" s="1"/>
      <c r="F356" s="1"/>
      <c r="G356" s="1"/>
      <c r="H356" s="4" t="s">
        <v>14</v>
      </c>
    </row>
    <row r="357" spans="1:12" ht="16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.5" customHeight="1" x14ac:dyDescent="0.25">
      <c r="A359" s="1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"/>
    </row>
    <row r="360" spans="1:12" ht="15" x14ac:dyDescent="0.25">
      <c r="A360" s="1"/>
      <c r="K360" s="103"/>
      <c r="L360" s="1"/>
    </row>
    <row r="361" spans="1:12" ht="21.75" customHeight="1" x14ac:dyDescent="0.25">
      <c r="A361" s="1"/>
      <c r="B361" s="95" t="s">
        <v>77</v>
      </c>
      <c r="H361" s="95" t="s">
        <v>77</v>
      </c>
      <c r="I361" s="95"/>
      <c r="J361" s="92"/>
      <c r="K361" s="103"/>
      <c r="L361" s="1"/>
    </row>
    <row r="362" spans="1:12" ht="15" x14ac:dyDescent="0.25">
      <c r="A362" s="1"/>
      <c r="B362" s="99" t="s">
        <v>27</v>
      </c>
      <c r="C362" s="57"/>
      <c r="H362" s="99" t="s">
        <v>27</v>
      </c>
      <c r="K362" s="103"/>
    </row>
    <row r="363" spans="1:12" ht="27.75" customHeight="1" x14ac:dyDescent="0.2"/>
    <row r="364" spans="1:12" ht="29.25" customHeight="1" x14ac:dyDescent="0.2"/>
    <row r="365" spans="1:12" ht="35.25" customHeight="1" x14ac:dyDescent="0.2"/>
    <row r="366" spans="1:12" ht="18" customHeight="1" x14ac:dyDescent="0.25">
      <c r="A366" s="3" t="s">
        <v>22</v>
      </c>
    </row>
    <row r="367" spans="1:12" ht="15" customHeight="1" x14ac:dyDescent="0.2">
      <c r="A367" s="122" t="s">
        <v>20</v>
      </c>
    </row>
    <row r="368" spans="1:12" ht="19.5" customHeight="1" x14ac:dyDescent="0.2">
      <c r="A368" s="122" t="s">
        <v>21</v>
      </c>
    </row>
    <row r="369" spans="1:12" ht="48.75" customHeight="1" x14ac:dyDescent="0.2"/>
    <row r="370" spans="1:12" ht="15.75" customHeight="1" x14ac:dyDescent="0.2"/>
    <row r="371" spans="1:12" ht="19.5" customHeight="1" x14ac:dyDescent="0.2"/>
    <row r="372" spans="1:12" ht="15" customHeight="1" x14ac:dyDescent="0.3">
      <c r="A372" s="276" t="s">
        <v>6</v>
      </c>
      <c r="B372" s="276"/>
      <c r="C372" s="276"/>
      <c r="D372" s="276"/>
      <c r="E372" s="276"/>
      <c r="F372" s="276"/>
      <c r="G372" s="276"/>
      <c r="H372" s="276"/>
      <c r="I372" s="276"/>
      <c r="J372" s="276"/>
      <c r="K372" s="276"/>
      <c r="L372" s="276"/>
    </row>
    <row r="373" spans="1:12" ht="15.75" customHeight="1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</row>
    <row r="374" spans="1:12" ht="46.5" customHeight="1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</row>
    <row r="375" spans="1:12" ht="15" customHeight="1" x14ac:dyDescent="0.25">
      <c r="A375" s="1"/>
      <c r="B375" s="1"/>
    </row>
    <row r="376" spans="1:12" ht="16.5" customHeight="1" x14ac:dyDescent="0.25">
      <c r="A376" s="1" t="s">
        <v>7</v>
      </c>
      <c r="B376" s="1"/>
    </row>
    <row r="377" spans="1:12" ht="13.5" customHeight="1" x14ac:dyDescent="0.25">
      <c r="A377" s="1"/>
      <c r="B377" s="1"/>
    </row>
    <row r="378" spans="1:12" ht="15" x14ac:dyDescent="0.25">
      <c r="A378" s="1" t="s">
        <v>8</v>
      </c>
      <c r="C378" s="9" t="s">
        <v>1</v>
      </c>
      <c r="D378" s="92" t="s">
        <v>96</v>
      </c>
      <c r="E378" s="76"/>
      <c r="F378" s="76"/>
      <c r="G378" s="76"/>
      <c r="H378" s="76"/>
    </row>
    <row r="379" spans="1:12" ht="15" x14ac:dyDescent="0.25">
      <c r="A379" s="1" t="s">
        <v>9</v>
      </c>
      <c r="C379" s="9" t="s">
        <v>1</v>
      </c>
      <c r="D379" s="57" t="s">
        <v>200</v>
      </c>
      <c r="E379" s="76"/>
      <c r="F379" s="76"/>
      <c r="G379" s="76"/>
      <c r="H379" s="76"/>
    </row>
    <row r="380" spans="1:12" ht="15.75" customHeight="1" x14ac:dyDescent="0.2">
      <c r="A380" s="50" t="s">
        <v>10</v>
      </c>
      <c r="B380" s="76"/>
      <c r="C380" s="91" t="s">
        <v>1</v>
      </c>
      <c r="D380" s="50" t="s">
        <v>203</v>
      </c>
      <c r="E380" s="76"/>
      <c r="F380" s="76"/>
      <c r="G380" s="76"/>
      <c r="H380" s="76"/>
      <c r="I380" s="76"/>
      <c r="J380" s="76"/>
      <c r="K380" s="76"/>
      <c r="L380" s="76"/>
    </row>
    <row r="381" spans="1:12" ht="15" customHeight="1" x14ac:dyDescent="0.25">
      <c r="A381" s="1"/>
      <c r="B381" s="1"/>
      <c r="D381" s="1"/>
    </row>
    <row r="382" spans="1:12" ht="27" customHeight="1" x14ac:dyDescent="0.2">
      <c r="A382" s="277" t="s">
        <v>331</v>
      </c>
      <c r="B382" s="277"/>
      <c r="C382" s="277"/>
      <c r="D382" s="277"/>
      <c r="E382" s="277"/>
      <c r="F382" s="277"/>
      <c r="G382" s="277"/>
      <c r="H382" s="277"/>
      <c r="I382" s="277"/>
      <c r="J382" s="277"/>
      <c r="K382" s="277"/>
      <c r="L382" s="277"/>
    </row>
    <row r="383" spans="1:12" ht="15" x14ac:dyDescent="0.25">
      <c r="A383" s="1"/>
      <c r="B383" s="1"/>
    </row>
    <row r="384" spans="1:12" ht="33.75" customHeight="1" thickBot="1" x14ac:dyDescent="0.25">
      <c r="A384" s="10" t="s">
        <v>0</v>
      </c>
      <c r="B384" s="278" t="s">
        <v>91</v>
      </c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</row>
    <row r="385" spans="1:12" ht="21" customHeight="1" thickTop="1" x14ac:dyDescent="0.25">
      <c r="A385" s="1"/>
      <c r="B385" s="11" t="s">
        <v>3</v>
      </c>
      <c r="C385" s="12" t="s">
        <v>4</v>
      </c>
      <c r="D385" s="13"/>
      <c r="E385" s="13"/>
      <c r="F385" s="13"/>
      <c r="G385" s="13"/>
      <c r="H385" s="14"/>
      <c r="I385" s="15" t="s">
        <v>5</v>
      </c>
      <c r="J385" s="12" t="s">
        <v>17</v>
      </c>
      <c r="K385" s="13"/>
      <c r="L385" s="14"/>
    </row>
    <row r="386" spans="1:12" ht="20.25" customHeight="1" x14ac:dyDescent="0.2">
      <c r="A386" s="50"/>
      <c r="B386" s="143">
        <v>1</v>
      </c>
      <c r="C386" s="284" t="s">
        <v>324</v>
      </c>
      <c r="D386" s="285"/>
      <c r="E386" s="285"/>
      <c r="F386" s="285"/>
      <c r="G386" s="76"/>
      <c r="H386" s="79"/>
      <c r="I386" s="56">
        <v>275000</v>
      </c>
      <c r="J386" s="76"/>
      <c r="K386" s="76"/>
      <c r="L386" s="79"/>
    </row>
    <row r="387" spans="1:12" ht="39.75" customHeight="1" x14ac:dyDescent="0.2">
      <c r="B387" s="96"/>
      <c r="C387" s="124"/>
      <c r="D387" s="124"/>
      <c r="E387" s="127"/>
      <c r="F387" s="125"/>
      <c r="G387" s="124"/>
      <c r="H387" s="124"/>
      <c r="I387" s="23"/>
      <c r="L387" s="17"/>
    </row>
    <row r="388" spans="1:12" ht="15.75" customHeight="1" x14ac:dyDescent="0.25">
      <c r="A388" s="1"/>
      <c r="B388" s="39"/>
      <c r="C388" s="1"/>
      <c r="D388" s="1"/>
      <c r="E388" s="1"/>
      <c r="F388" s="40" t="s">
        <v>5</v>
      </c>
      <c r="G388" s="40"/>
      <c r="H388" s="1"/>
      <c r="I388" s="41">
        <f>SUM(I386:I386)</f>
        <v>275000</v>
      </c>
      <c r="J388" s="1"/>
      <c r="K388" s="1"/>
      <c r="L388" s="42"/>
    </row>
    <row r="389" spans="1:12" ht="21" customHeight="1" thickBot="1" x14ac:dyDescent="0.3">
      <c r="A389" s="1"/>
      <c r="B389" s="43"/>
      <c r="C389" s="44"/>
      <c r="D389" s="44"/>
      <c r="E389" s="44"/>
      <c r="F389" s="45"/>
      <c r="G389" s="45"/>
      <c r="H389" s="44"/>
      <c r="I389" s="46"/>
      <c r="J389" s="44"/>
      <c r="K389" s="44"/>
      <c r="L389" s="47"/>
    </row>
    <row r="390" spans="1:12" ht="21.75" customHeight="1" thickTop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46.5" customHeight="1" x14ac:dyDescent="0.2">
      <c r="A391" s="10" t="s">
        <v>2</v>
      </c>
      <c r="B391" s="279" t="s">
        <v>11</v>
      </c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</row>
    <row r="392" spans="1:1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23.25" customHeight="1" x14ac:dyDescent="0.2">
      <c r="A393" s="280" t="s">
        <v>12</v>
      </c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</row>
    <row r="394" spans="1:1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9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" x14ac:dyDescent="0.25">
      <c r="A396" s="1"/>
      <c r="B396" s="1"/>
      <c r="C396" s="1"/>
      <c r="D396" s="1"/>
      <c r="E396" s="1"/>
      <c r="F396" s="1"/>
      <c r="G396" s="1"/>
      <c r="H396" s="4" t="s">
        <v>199</v>
      </c>
      <c r="J396" s="286" t="s">
        <v>321</v>
      </c>
      <c r="K396" s="286"/>
      <c r="L396" s="286"/>
    </row>
    <row r="397" spans="1:12" ht="15" x14ac:dyDescent="0.25">
      <c r="A397" s="1"/>
      <c r="B397" s="1" t="s">
        <v>15</v>
      </c>
      <c r="C397" s="1"/>
      <c r="D397" s="1"/>
      <c r="E397" s="1"/>
      <c r="F397" s="1"/>
      <c r="G397" s="1"/>
      <c r="H397" s="4" t="s">
        <v>13</v>
      </c>
    </row>
    <row r="398" spans="1:12" ht="15" customHeight="1" x14ac:dyDescent="0.25">
      <c r="A398" s="1"/>
      <c r="B398" s="1" t="s">
        <v>18</v>
      </c>
      <c r="C398" s="1"/>
      <c r="D398" s="1"/>
      <c r="E398" s="1"/>
      <c r="F398" s="1"/>
      <c r="G398" s="1"/>
      <c r="H398" s="4" t="s">
        <v>14</v>
      </c>
    </row>
    <row r="399" spans="1:12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6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2.25" customHeight="1" x14ac:dyDescent="0.25">
      <c r="A401" s="1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"/>
    </row>
    <row r="402" spans="1:12" ht="21" customHeight="1" x14ac:dyDescent="0.25">
      <c r="A402" s="1"/>
      <c r="K402" s="103"/>
      <c r="L402" s="1"/>
    </row>
    <row r="403" spans="1:12" ht="13.5" customHeight="1" x14ac:dyDescent="0.25">
      <c r="A403" s="1"/>
      <c r="B403" s="95" t="s">
        <v>77</v>
      </c>
      <c r="H403" s="95" t="s">
        <v>96</v>
      </c>
      <c r="I403" s="95"/>
      <c r="J403" s="92"/>
      <c r="K403" s="103"/>
      <c r="L403" s="1"/>
    </row>
    <row r="404" spans="1:12" ht="14.25" customHeight="1" x14ac:dyDescent="0.25">
      <c r="A404" s="1"/>
      <c r="B404" s="99" t="s">
        <v>27</v>
      </c>
      <c r="C404" s="57"/>
      <c r="H404" s="99" t="s">
        <v>100</v>
      </c>
      <c r="K404" s="103"/>
    </row>
    <row r="405" spans="1:12" ht="17.25" customHeight="1" x14ac:dyDescent="0.2"/>
    <row r="406" spans="1:12" ht="12.75" x14ac:dyDescent="0.2"/>
    <row r="407" spans="1:12" ht="18" customHeight="1" x14ac:dyDescent="0.2"/>
    <row r="408" spans="1:12" s="76" customFormat="1" ht="14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s="76" customFormat="1" ht="34.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s="76" customFormat="1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38.25" customHeight="1" x14ac:dyDescent="0.2"/>
    <row r="412" spans="1:12" ht="20.25" customHeight="1" x14ac:dyDescent="0.2"/>
    <row r="413" spans="1:12" ht="21" customHeight="1" x14ac:dyDescent="0.2"/>
    <row r="414" spans="1:12" ht="25.5" customHeight="1" x14ac:dyDescent="0.2"/>
    <row r="415" spans="1:12" ht="22.5" customHeight="1" x14ac:dyDescent="0.25">
      <c r="A415" s="3" t="s">
        <v>22</v>
      </c>
    </row>
    <row r="416" spans="1:12" ht="15.75" customHeight="1" x14ac:dyDescent="0.2">
      <c r="A416" s="122" t="s">
        <v>20</v>
      </c>
    </row>
    <row r="417" spans="1:12" ht="21.75" customHeight="1" x14ac:dyDescent="0.2">
      <c r="A417" s="122" t="s">
        <v>21</v>
      </c>
    </row>
    <row r="418" spans="1:12" ht="16.5" customHeight="1" x14ac:dyDescent="0.2"/>
    <row r="419" spans="1:12" ht="47.25" customHeight="1" x14ac:dyDescent="0.2"/>
    <row r="420" spans="1:12" ht="17.25" customHeight="1" x14ac:dyDescent="0.2"/>
    <row r="421" spans="1:12" ht="16.5" customHeight="1" x14ac:dyDescent="0.3">
      <c r="A421" s="276" t="s">
        <v>6</v>
      </c>
      <c r="B421" s="276"/>
      <c r="C421" s="276"/>
      <c r="D421" s="276"/>
      <c r="E421" s="276"/>
      <c r="F421" s="276"/>
      <c r="G421" s="276"/>
      <c r="H421" s="276"/>
      <c r="I421" s="276"/>
      <c r="J421" s="276"/>
      <c r="K421" s="276"/>
      <c r="L421" s="276"/>
    </row>
    <row r="422" spans="1:12" ht="18.75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</row>
    <row r="423" spans="1:12" ht="9.75" customHeight="1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</row>
    <row r="424" spans="1:12" ht="15" x14ac:dyDescent="0.25">
      <c r="A424" s="1"/>
      <c r="B424" s="1"/>
    </row>
    <row r="425" spans="1:12" ht="12.75" customHeight="1" x14ac:dyDescent="0.25">
      <c r="A425" s="1" t="s">
        <v>7</v>
      </c>
      <c r="B425" s="1"/>
    </row>
    <row r="426" spans="1:12" ht="15" x14ac:dyDescent="0.25">
      <c r="A426" s="1"/>
      <c r="B426" s="1"/>
    </row>
    <row r="427" spans="1:12" ht="11.25" customHeight="1" x14ac:dyDescent="0.25">
      <c r="A427" s="1" t="s">
        <v>8</v>
      </c>
      <c r="C427" s="9" t="s">
        <v>1</v>
      </c>
      <c r="D427" s="92" t="s">
        <v>77</v>
      </c>
      <c r="E427" s="76"/>
      <c r="F427" s="76"/>
      <c r="G427" s="76"/>
      <c r="H427" s="76"/>
    </row>
    <row r="428" spans="1:12" ht="12" customHeight="1" x14ac:dyDescent="0.25">
      <c r="A428" s="1" t="s">
        <v>9</v>
      </c>
      <c r="C428" s="9" t="s">
        <v>1</v>
      </c>
      <c r="D428" s="57" t="s">
        <v>201</v>
      </c>
      <c r="E428" s="76"/>
      <c r="F428" s="76"/>
      <c r="G428" s="76"/>
      <c r="H428" s="76"/>
    </row>
    <row r="429" spans="1:12" ht="13.5" customHeight="1" x14ac:dyDescent="0.2">
      <c r="A429" s="50" t="s">
        <v>10</v>
      </c>
      <c r="B429" s="76"/>
      <c r="C429" s="91" t="s">
        <v>1</v>
      </c>
      <c r="D429" s="50" t="s">
        <v>265</v>
      </c>
      <c r="E429" s="76"/>
      <c r="F429" s="76"/>
      <c r="G429" s="76"/>
      <c r="H429" s="76"/>
      <c r="I429" s="76"/>
      <c r="J429" s="76"/>
      <c r="K429" s="76"/>
      <c r="L429" s="76"/>
    </row>
    <row r="430" spans="1:12" ht="22.5" customHeight="1" x14ac:dyDescent="0.25">
      <c r="A430" s="1"/>
      <c r="B430" s="1"/>
      <c r="D430" s="1"/>
    </row>
    <row r="431" spans="1:12" ht="27.75" customHeight="1" x14ac:dyDescent="0.2">
      <c r="A431" s="277" t="s">
        <v>332</v>
      </c>
      <c r="B431" s="277"/>
      <c r="C431" s="277"/>
      <c r="D431" s="277"/>
      <c r="E431" s="277"/>
      <c r="F431" s="277"/>
      <c r="G431" s="277"/>
      <c r="H431" s="277"/>
      <c r="I431" s="277"/>
      <c r="J431" s="277"/>
      <c r="K431" s="277"/>
      <c r="L431" s="277"/>
    </row>
    <row r="432" spans="1:12" ht="11.25" customHeight="1" x14ac:dyDescent="0.25">
      <c r="A432" s="1"/>
      <c r="B432" s="1"/>
    </row>
    <row r="433" spans="1:12" ht="36.75" customHeight="1" thickBot="1" x14ac:dyDescent="0.25">
      <c r="A433" s="10" t="s">
        <v>0</v>
      </c>
      <c r="B433" s="278" t="s">
        <v>91</v>
      </c>
      <c r="C433" s="278"/>
      <c r="D433" s="278"/>
      <c r="E433" s="278"/>
      <c r="F433" s="278"/>
      <c r="G433" s="278"/>
      <c r="H433" s="278"/>
      <c r="I433" s="278"/>
      <c r="J433" s="278"/>
      <c r="K433" s="278"/>
      <c r="L433" s="278"/>
    </row>
    <row r="434" spans="1:12" ht="21.75" customHeight="1" thickTop="1" x14ac:dyDescent="0.25">
      <c r="A434" s="1"/>
      <c r="B434" s="11" t="s">
        <v>3</v>
      </c>
      <c r="C434" s="12" t="s">
        <v>4</v>
      </c>
      <c r="D434" s="13"/>
      <c r="E434" s="13"/>
      <c r="F434" s="13"/>
      <c r="G434" s="13"/>
      <c r="H434" s="14"/>
      <c r="I434" s="15" t="s">
        <v>5</v>
      </c>
      <c r="J434" s="12" t="s">
        <v>17</v>
      </c>
      <c r="K434" s="13"/>
      <c r="L434" s="14"/>
    </row>
    <row r="435" spans="1:12" ht="18" customHeight="1" x14ac:dyDescent="0.2">
      <c r="A435" s="50"/>
      <c r="B435" s="143">
        <v>1</v>
      </c>
      <c r="C435" s="284" t="s">
        <v>303</v>
      </c>
      <c r="D435" s="285"/>
      <c r="E435" s="285"/>
      <c r="F435" s="285"/>
      <c r="G435" s="76"/>
      <c r="H435" s="79"/>
      <c r="I435" s="56">
        <v>250000</v>
      </c>
      <c r="J435" s="76"/>
      <c r="K435" s="76"/>
      <c r="L435" s="79"/>
    </row>
    <row r="436" spans="1:12" ht="23.25" customHeight="1" x14ac:dyDescent="0.2">
      <c r="B436" s="96"/>
      <c r="C436" s="124"/>
      <c r="D436" s="124"/>
      <c r="E436" s="127"/>
      <c r="F436" s="125"/>
      <c r="G436" s="124"/>
      <c r="H436" s="124"/>
      <c r="I436" s="23"/>
      <c r="L436" s="17"/>
    </row>
    <row r="437" spans="1:12" ht="24" customHeight="1" x14ac:dyDescent="0.25">
      <c r="A437" s="1"/>
      <c r="B437" s="39"/>
      <c r="C437" s="1"/>
      <c r="D437" s="1"/>
      <c r="E437" s="1"/>
      <c r="F437" s="40" t="s">
        <v>5</v>
      </c>
      <c r="G437" s="40"/>
      <c r="H437" s="1"/>
      <c r="I437" s="41">
        <f>SUM(I435:I435)</f>
        <v>250000</v>
      </c>
      <c r="J437" s="1"/>
      <c r="K437" s="1"/>
      <c r="L437" s="42"/>
    </row>
    <row r="438" spans="1:12" ht="15.75" customHeight="1" thickBot="1" x14ac:dyDescent="0.3">
      <c r="A438" s="1"/>
      <c r="B438" s="43"/>
      <c r="C438" s="44"/>
      <c r="D438" s="44"/>
      <c r="E438" s="44"/>
      <c r="F438" s="45"/>
      <c r="G438" s="45"/>
      <c r="H438" s="44"/>
      <c r="I438" s="46"/>
      <c r="J438" s="44"/>
      <c r="K438" s="44"/>
      <c r="L438" s="47"/>
    </row>
    <row r="439" spans="1:12" ht="12.75" customHeight="1" thickTop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49.5" customHeight="1" x14ac:dyDescent="0.2">
      <c r="A440" s="10" t="s">
        <v>2</v>
      </c>
      <c r="B440" s="279" t="s">
        <v>11</v>
      </c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</row>
    <row r="441" spans="1:12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" x14ac:dyDescent="0.2">
      <c r="A442" s="280" t="s">
        <v>12</v>
      </c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</row>
    <row r="443" spans="1:12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" x14ac:dyDescent="0.25">
      <c r="A445" s="1"/>
      <c r="B445" s="1"/>
      <c r="C445" s="1"/>
      <c r="D445" s="1"/>
      <c r="E445" s="1"/>
      <c r="F445" s="1"/>
      <c r="G445" s="1"/>
      <c r="H445" s="4" t="s">
        <v>199</v>
      </c>
      <c r="J445" s="286" t="s">
        <v>321</v>
      </c>
      <c r="K445" s="286"/>
      <c r="L445" s="286"/>
    </row>
    <row r="446" spans="1:12" ht="15" x14ac:dyDescent="0.25">
      <c r="A446" s="1"/>
      <c r="B446" s="1" t="s">
        <v>15</v>
      </c>
      <c r="C446" s="1"/>
      <c r="D446" s="1"/>
      <c r="E446" s="1"/>
      <c r="F446" s="1"/>
      <c r="G446" s="1"/>
      <c r="H446" s="4" t="s">
        <v>13</v>
      </c>
    </row>
    <row r="447" spans="1:12" ht="15.75" customHeight="1" x14ac:dyDescent="0.25">
      <c r="A447" s="1"/>
      <c r="B447" s="1" t="s">
        <v>18</v>
      </c>
      <c r="C447" s="1"/>
      <c r="D447" s="1"/>
      <c r="E447" s="1"/>
      <c r="F447" s="1"/>
      <c r="G447" s="1"/>
      <c r="H447" s="4" t="s">
        <v>14</v>
      </c>
    </row>
    <row r="448" spans="1:12" ht="20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9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" customHeight="1" x14ac:dyDescent="0.25">
      <c r="A450" s="1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"/>
    </row>
    <row r="451" spans="1:12" ht="7.5" customHeight="1" x14ac:dyDescent="0.25">
      <c r="A451" s="1"/>
      <c r="K451" s="103"/>
      <c r="L451" s="1"/>
    </row>
    <row r="452" spans="1:12" ht="27" customHeight="1" x14ac:dyDescent="0.25">
      <c r="A452" s="1"/>
      <c r="B452" s="95" t="s">
        <v>77</v>
      </c>
      <c r="H452" s="95" t="s">
        <v>77</v>
      </c>
      <c r="I452" s="95"/>
      <c r="J452" s="92"/>
      <c r="K452" s="103"/>
      <c r="L452" s="1"/>
    </row>
    <row r="453" spans="1:12" ht="15" customHeight="1" x14ac:dyDescent="0.25">
      <c r="A453" s="1"/>
      <c r="B453" s="99" t="s">
        <v>27</v>
      </c>
      <c r="C453" s="57"/>
      <c r="H453" s="99" t="s">
        <v>27</v>
      </c>
      <c r="K453" s="103"/>
    </row>
    <row r="454" spans="1:12" ht="36" customHeight="1" x14ac:dyDescent="0.2"/>
    <row r="455" spans="1:12" ht="23.25" customHeight="1" x14ac:dyDescent="0.2"/>
    <row r="456" spans="1:12" ht="22.5" customHeight="1" x14ac:dyDescent="0.25">
      <c r="A456" s="3" t="s">
        <v>22</v>
      </c>
    </row>
    <row r="457" spans="1:12" ht="20.100000000000001" customHeight="1" x14ac:dyDescent="0.2">
      <c r="A457" s="122" t="s">
        <v>20</v>
      </c>
    </row>
    <row r="458" spans="1:12" ht="24" customHeight="1" x14ac:dyDescent="0.2">
      <c r="A458" s="122" t="s">
        <v>21</v>
      </c>
    </row>
    <row r="459" spans="1:12" ht="12.75" x14ac:dyDescent="0.2"/>
    <row r="460" spans="1:12" ht="12.75" x14ac:dyDescent="0.2"/>
    <row r="461" spans="1:12" ht="14.25" customHeight="1" x14ac:dyDescent="0.2"/>
    <row r="462" spans="1:12" ht="20.25" customHeight="1" x14ac:dyDescent="0.3">
      <c r="A462" s="276" t="s">
        <v>6</v>
      </c>
      <c r="B462" s="276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</row>
    <row r="463" spans="1:12" ht="15" customHeight="1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2" ht="12" customHeight="1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</row>
    <row r="465" spans="1:12" ht="11.25" customHeight="1" x14ac:dyDescent="0.25">
      <c r="A465" s="1"/>
      <c r="B465" s="1"/>
    </row>
    <row r="466" spans="1:12" ht="18.75" customHeight="1" x14ac:dyDescent="0.25">
      <c r="A466" s="1" t="s">
        <v>7</v>
      </c>
      <c r="B466" s="1"/>
    </row>
    <row r="467" spans="1:12" ht="14.25" customHeight="1" x14ac:dyDescent="0.25">
      <c r="A467" s="1"/>
      <c r="B467" s="1"/>
    </row>
    <row r="468" spans="1:12" ht="12" customHeight="1" x14ac:dyDescent="0.25">
      <c r="A468" s="1" t="s">
        <v>8</v>
      </c>
      <c r="C468" s="9" t="s">
        <v>1</v>
      </c>
      <c r="D468" s="92" t="s">
        <v>96</v>
      </c>
      <c r="E468" s="76"/>
      <c r="F468" s="76"/>
      <c r="G468" s="76"/>
      <c r="H468" s="76"/>
    </row>
    <row r="469" spans="1:12" ht="15.75" customHeight="1" x14ac:dyDescent="0.25">
      <c r="A469" s="1" t="s">
        <v>9</v>
      </c>
      <c r="C469" s="9" t="s">
        <v>1</v>
      </c>
      <c r="D469" s="57" t="s">
        <v>200</v>
      </c>
      <c r="E469" s="76"/>
      <c r="F469" s="76"/>
      <c r="G469" s="76"/>
      <c r="H469" s="76"/>
    </row>
    <row r="470" spans="1:12" ht="21.75" customHeight="1" x14ac:dyDescent="0.2">
      <c r="A470" s="50" t="s">
        <v>10</v>
      </c>
      <c r="B470" s="76"/>
      <c r="C470" s="91" t="s">
        <v>1</v>
      </c>
      <c r="D470" s="50" t="s">
        <v>203</v>
      </c>
      <c r="E470" s="76"/>
      <c r="F470" s="76"/>
      <c r="G470" s="76"/>
      <c r="H470" s="76"/>
      <c r="I470" s="76"/>
      <c r="J470" s="76"/>
      <c r="K470" s="76"/>
      <c r="L470" s="76"/>
    </row>
    <row r="471" spans="1:12" ht="20.25" customHeight="1" x14ac:dyDescent="0.25">
      <c r="A471" s="1"/>
      <c r="B471" s="1"/>
      <c r="D471" s="1"/>
    </row>
    <row r="472" spans="1:12" ht="34.5" customHeight="1" x14ac:dyDescent="0.2">
      <c r="A472" s="277" t="s">
        <v>332</v>
      </c>
      <c r="B472" s="277"/>
      <c r="C472" s="277"/>
      <c r="D472" s="277"/>
      <c r="E472" s="277"/>
      <c r="F472" s="277"/>
      <c r="G472" s="277"/>
      <c r="H472" s="277"/>
      <c r="I472" s="277"/>
      <c r="J472" s="277"/>
      <c r="K472" s="277"/>
      <c r="L472" s="277"/>
    </row>
    <row r="473" spans="1:12" ht="15" x14ac:dyDescent="0.25">
      <c r="A473" s="1"/>
      <c r="B473" s="1"/>
    </row>
    <row r="474" spans="1:12" ht="33" customHeight="1" thickBot="1" x14ac:dyDescent="0.25">
      <c r="A474" s="10" t="s">
        <v>0</v>
      </c>
      <c r="B474" s="278" t="s">
        <v>91</v>
      </c>
      <c r="C474" s="278"/>
      <c r="D474" s="278"/>
      <c r="E474" s="278"/>
      <c r="F474" s="278"/>
      <c r="G474" s="278"/>
      <c r="H474" s="278"/>
      <c r="I474" s="278"/>
      <c r="J474" s="278"/>
      <c r="K474" s="278"/>
      <c r="L474" s="278"/>
    </row>
    <row r="475" spans="1:12" ht="18.75" customHeight="1" thickTop="1" x14ac:dyDescent="0.25">
      <c r="A475" s="1"/>
      <c r="B475" s="11" t="s">
        <v>3</v>
      </c>
      <c r="C475" s="12" t="s">
        <v>4</v>
      </c>
      <c r="D475" s="13"/>
      <c r="E475" s="13"/>
      <c r="F475" s="13"/>
      <c r="G475" s="13"/>
      <c r="H475" s="14"/>
      <c r="I475" s="15" t="s">
        <v>5</v>
      </c>
      <c r="J475" s="12" t="s">
        <v>17</v>
      </c>
      <c r="K475" s="13"/>
      <c r="L475" s="14"/>
    </row>
    <row r="476" spans="1:12" ht="19.5" customHeight="1" x14ac:dyDescent="0.2">
      <c r="A476" s="50"/>
      <c r="B476" s="143">
        <v>1</v>
      </c>
      <c r="C476" s="284" t="s">
        <v>303</v>
      </c>
      <c r="D476" s="285"/>
      <c r="E476" s="285"/>
      <c r="F476" s="285"/>
      <c r="G476" s="76"/>
      <c r="H476" s="79"/>
      <c r="I476" s="56">
        <v>250000</v>
      </c>
      <c r="J476" s="76"/>
      <c r="K476" s="76"/>
      <c r="L476" s="79"/>
    </row>
    <row r="477" spans="1:12" ht="49.5" customHeight="1" x14ac:dyDescent="0.2">
      <c r="B477" s="96"/>
      <c r="C477" s="124"/>
      <c r="D477" s="124"/>
      <c r="E477" s="127"/>
      <c r="F477" s="125"/>
      <c r="G477" s="124"/>
      <c r="H477" s="124"/>
      <c r="I477" s="23"/>
      <c r="L477" s="17"/>
    </row>
    <row r="478" spans="1:12" ht="15" customHeight="1" x14ac:dyDescent="0.25">
      <c r="A478" s="1"/>
      <c r="B478" s="39"/>
      <c r="C478" s="1"/>
      <c r="D478" s="1"/>
      <c r="E478" s="1"/>
      <c r="F478" s="40" t="s">
        <v>5</v>
      </c>
      <c r="G478" s="40"/>
      <c r="H478" s="1"/>
      <c r="I478" s="41">
        <f>SUM(I476:I476)</f>
        <v>250000</v>
      </c>
      <c r="J478" s="1"/>
      <c r="K478" s="1"/>
      <c r="L478" s="42"/>
    </row>
    <row r="479" spans="1:12" ht="15" customHeight="1" thickBot="1" x14ac:dyDescent="0.3">
      <c r="A479" s="1"/>
      <c r="B479" s="43"/>
      <c r="C479" s="44"/>
      <c r="D479" s="44"/>
      <c r="E479" s="44"/>
      <c r="F479" s="45"/>
      <c r="G479" s="45"/>
      <c r="H479" s="44"/>
      <c r="I479" s="46"/>
      <c r="J479" s="44"/>
      <c r="K479" s="44"/>
      <c r="L479" s="47"/>
    </row>
    <row r="480" spans="1:12" ht="7.5" customHeight="1" thickTop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47.25" customHeight="1" x14ac:dyDescent="0.2">
      <c r="A481" s="10" t="s">
        <v>2</v>
      </c>
      <c r="B481" s="279" t="s">
        <v>11</v>
      </c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</row>
    <row r="482" spans="1:12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" customHeight="1" x14ac:dyDescent="0.2">
      <c r="A483" s="280" t="s">
        <v>12</v>
      </c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</row>
    <row r="484" spans="1:12" ht="17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" hidden="1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6.5" customHeight="1" x14ac:dyDescent="0.25">
      <c r="A486" s="1"/>
      <c r="B486" s="1"/>
      <c r="C486" s="1"/>
      <c r="D486" s="1"/>
      <c r="E486" s="1"/>
      <c r="F486" s="1"/>
      <c r="G486" s="1"/>
      <c r="H486" s="4" t="s">
        <v>199</v>
      </c>
      <c r="J486" s="286" t="s">
        <v>321</v>
      </c>
      <c r="K486" s="286"/>
      <c r="L486" s="286"/>
    </row>
    <row r="487" spans="1:12" ht="21" customHeight="1" x14ac:dyDescent="0.25">
      <c r="A487" s="1"/>
      <c r="B487" s="1" t="s">
        <v>15</v>
      </c>
      <c r="C487" s="1"/>
      <c r="D487" s="1"/>
      <c r="E487" s="1"/>
      <c r="F487" s="1"/>
      <c r="G487" s="1"/>
      <c r="H487" s="4" t="s">
        <v>13</v>
      </c>
    </row>
    <row r="488" spans="1:12" ht="15" customHeight="1" x14ac:dyDescent="0.25">
      <c r="A488" s="1"/>
      <c r="B488" s="1" t="s">
        <v>18</v>
      </c>
      <c r="C488" s="1"/>
      <c r="D488" s="1"/>
      <c r="E488" s="1"/>
      <c r="F488" s="1"/>
      <c r="G488" s="1"/>
      <c r="H488" s="4" t="s">
        <v>14</v>
      </c>
    </row>
    <row r="489" spans="1:12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2.75" customHeight="1" x14ac:dyDescent="0.25">
      <c r="A491" s="1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"/>
    </row>
    <row r="492" spans="1:12" ht="19.5" customHeight="1" x14ac:dyDescent="0.25">
      <c r="A492" s="1"/>
      <c r="K492" s="103"/>
      <c r="L492" s="1"/>
    </row>
    <row r="493" spans="1:12" ht="11.25" customHeight="1" x14ac:dyDescent="0.25">
      <c r="A493" s="1"/>
      <c r="B493" s="95" t="s">
        <v>77</v>
      </c>
      <c r="H493" s="95" t="s">
        <v>96</v>
      </c>
      <c r="I493" s="95"/>
      <c r="J493" s="92"/>
      <c r="K493" s="103"/>
      <c r="L493" s="1"/>
    </row>
    <row r="494" spans="1:12" ht="21" customHeight="1" x14ac:dyDescent="0.25">
      <c r="A494" s="1"/>
      <c r="B494" s="99" t="s">
        <v>27</v>
      </c>
      <c r="C494" s="57"/>
      <c r="H494" s="99" t="s">
        <v>100</v>
      </c>
      <c r="K494" s="103"/>
    </row>
    <row r="495" spans="1:12" ht="15" customHeight="1" x14ac:dyDescent="0.2"/>
    <row r="496" spans="1:12" ht="33" customHeight="1" x14ac:dyDescent="0.2"/>
    <row r="497" spans="1:12" ht="29.25" customHeight="1" x14ac:dyDescent="0.25">
      <c r="A497" s="3" t="s">
        <v>22</v>
      </c>
    </row>
    <row r="498" spans="1:12" ht="15" customHeight="1" x14ac:dyDescent="0.2">
      <c r="A498" s="122" t="s">
        <v>20</v>
      </c>
    </row>
    <row r="499" spans="1:12" ht="33" customHeight="1" x14ac:dyDescent="0.2">
      <c r="A499" s="122" t="s">
        <v>21</v>
      </c>
    </row>
    <row r="500" spans="1:12" ht="12.75" x14ac:dyDescent="0.2"/>
    <row r="501" spans="1:12" ht="20.25" customHeight="1" x14ac:dyDescent="0.2"/>
    <row r="502" spans="1:12" ht="18" customHeight="1" x14ac:dyDescent="0.2"/>
    <row r="503" spans="1:12" ht="30" customHeight="1" x14ac:dyDescent="0.3">
      <c r="A503" s="276" t="s">
        <v>6</v>
      </c>
      <c r="B503" s="276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</row>
    <row r="504" spans="1:12" ht="25.5" customHeight="1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</row>
    <row r="505" spans="1:12" ht="4.5" customHeight="1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</row>
    <row r="506" spans="1:12" ht="18.75" customHeight="1" x14ac:dyDescent="0.25">
      <c r="A506" s="1"/>
      <c r="B506" s="1"/>
    </row>
    <row r="507" spans="1:12" ht="51" customHeight="1" x14ac:dyDescent="0.25">
      <c r="A507" s="1" t="s">
        <v>7</v>
      </c>
      <c r="B507" s="1"/>
    </row>
    <row r="508" spans="1:12" ht="15.75" customHeight="1" x14ac:dyDescent="0.25">
      <c r="A508" s="1"/>
      <c r="B508" s="1"/>
    </row>
    <row r="509" spans="1:12" ht="14.25" customHeight="1" x14ac:dyDescent="0.25">
      <c r="A509" s="1" t="s">
        <v>8</v>
      </c>
      <c r="C509" s="9" t="s">
        <v>1</v>
      </c>
      <c r="D509" s="67" t="s">
        <v>328</v>
      </c>
      <c r="E509" s="76"/>
      <c r="F509" s="76"/>
      <c r="G509" s="76"/>
      <c r="H509" s="76"/>
    </row>
    <row r="510" spans="1:12" ht="16.5" customHeight="1" x14ac:dyDescent="0.25">
      <c r="A510" s="1" t="s">
        <v>9</v>
      </c>
      <c r="C510" s="9" t="s">
        <v>1</v>
      </c>
      <c r="D510" s="68" t="s">
        <v>330</v>
      </c>
      <c r="E510" s="76"/>
      <c r="F510" s="76"/>
      <c r="G510" s="76"/>
      <c r="H510" s="76"/>
    </row>
    <row r="511" spans="1:12" ht="15.75" customHeight="1" x14ac:dyDescent="0.2">
      <c r="A511" s="50" t="s">
        <v>10</v>
      </c>
      <c r="B511" s="76"/>
      <c r="C511" s="91" t="s">
        <v>1</v>
      </c>
      <c r="D511" s="50" t="s">
        <v>81</v>
      </c>
      <c r="E511" s="76"/>
      <c r="F511" s="76"/>
      <c r="G511" s="76"/>
      <c r="H511" s="76"/>
      <c r="I511" s="76"/>
      <c r="J511" s="76"/>
      <c r="K511" s="76"/>
      <c r="L511" s="76"/>
    </row>
    <row r="512" spans="1:12" ht="14.25" customHeight="1" x14ac:dyDescent="0.25">
      <c r="A512" s="1"/>
      <c r="B512" s="1"/>
      <c r="D512" s="1"/>
    </row>
    <row r="513" spans="1:12" ht="30.75" customHeight="1" x14ac:dyDescent="0.2">
      <c r="A513" s="277" t="s">
        <v>332</v>
      </c>
      <c r="B513" s="277"/>
      <c r="C513" s="277"/>
      <c r="D513" s="277"/>
      <c r="E513" s="277"/>
      <c r="F513" s="277"/>
      <c r="G513" s="277"/>
      <c r="H513" s="277"/>
      <c r="I513" s="277"/>
      <c r="J513" s="277"/>
      <c r="K513" s="277"/>
      <c r="L513" s="277"/>
    </row>
    <row r="514" spans="1:12" ht="16.5" customHeight="1" x14ac:dyDescent="0.25">
      <c r="A514" s="1"/>
      <c r="B514" s="1"/>
    </row>
    <row r="515" spans="1:12" ht="30" customHeight="1" thickBot="1" x14ac:dyDescent="0.25">
      <c r="A515" s="10" t="s">
        <v>0</v>
      </c>
      <c r="B515" s="278" t="s">
        <v>91</v>
      </c>
      <c r="C515" s="278"/>
      <c r="D515" s="278"/>
      <c r="E515" s="278"/>
      <c r="F515" s="278"/>
      <c r="G515" s="278"/>
      <c r="H515" s="278"/>
      <c r="I515" s="278"/>
      <c r="J515" s="278"/>
      <c r="K515" s="278"/>
      <c r="L515" s="278"/>
    </row>
    <row r="516" spans="1:12" ht="15.75" thickTop="1" x14ac:dyDescent="0.25">
      <c r="A516" s="1"/>
      <c r="B516" s="11" t="s">
        <v>3</v>
      </c>
      <c r="C516" s="12" t="s">
        <v>4</v>
      </c>
      <c r="D516" s="13"/>
      <c r="E516" s="13"/>
      <c r="F516" s="13"/>
      <c r="G516" s="13"/>
      <c r="H516" s="14"/>
      <c r="I516" s="15" t="s">
        <v>5</v>
      </c>
      <c r="J516" s="12" t="s">
        <v>17</v>
      </c>
      <c r="K516" s="13"/>
      <c r="L516" s="14"/>
    </row>
    <row r="517" spans="1:12" ht="21" customHeight="1" x14ac:dyDescent="0.2">
      <c r="A517" s="50"/>
      <c r="B517" s="143">
        <v>1</v>
      </c>
      <c r="C517" s="284" t="s">
        <v>303</v>
      </c>
      <c r="D517" s="285"/>
      <c r="E517" s="285"/>
      <c r="F517" s="285"/>
      <c r="G517" s="76"/>
      <c r="H517" s="79"/>
      <c r="I517" s="56">
        <v>250000</v>
      </c>
      <c r="J517" s="76"/>
      <c r="K517" s="76"/>
      <c r="L517" s="79"/>
    </row>
    <row r="518" spans="1:12" ht="29.25" customHeight="1" x14ac:dyDescent="0.2">
      <c r="B518" s="96"/>
      <c r="C518" s="124"/>
      <c r="D518" s="124"/>
      <c r="E518" s="127"/>
      <c r="F518" s="125"/>
      <c r="G518" s="124"/>
      <c r="H518" s="124"/>
      <c r="I518" s="23"/>
      <c r="L518" s="17"/>
    </row>
    <row r="519" spans="1:12" ht="15" customHeight="1" x14ac:dyDescent="0.25">
      <c r="A519" s="1"/>
      <c r="B519" s="39"/>
      <c r="C519" s="1"/>
      <c r="D519" s="1"/>
      <c r="E519" s="1"/>
      <c r="F519" s="40" t="s">
        <v>5</v>
      </c>
      <c r="G519" s="40"/>
      <c r="H519" s="1"/>
      <c r="I519" s="41">
        <f>SUM(I517:I517)</f>
        <v>250000</v>
      </c>
      <c r="J519" s="1"/>
      <c r="K519" s="1"/>
      <c r="L519" s="42"/>
    </row>
    <row r="520" spans="1:12" ht="18.75" customHeight="1" thickBot="1" x14ac:dyDescent="0.3">
      <c r="A520" s="1"/>
      <c r="B520" s="43"/>
      <c r="C520" s="44"/>
      <c r="D520" s="44"/>
      <c r="E520" s="44"/>
      <c r="F520" s="45"/>
      <c r="G520" s="45"/>
      <c r="H520" s="44"/>
      <c r="I520" s="46"/>
      <c r="J520" s="44"/>
      <c r="K520" s="44"/>
      <c r="L520" s="47"/>
    </row>
    <row r="521" spans="1:12" ht="15" customHeight="1" thickTop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45.75" customHeight="1" x14ac:dyDescent="0.2">
      <c r="A522" s="10" t="s">
        <v>2</v>
      </c>
      <c r="B522" s="279" t="s">
        <v>11</v>
      </c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</row>
    <row r="523" spans="1:12" ht="21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4.25" customHeight="1" x14ac:dyDescent="0.2">
      <c r="A524" s="280" t="s">
        <v>12</v>
      </c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</row>
    <row r="525" spans="1:1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4.25" customHeight="1" x14ac:dyDescent="0.25">
      <c r="A527" s="1"/>
      <c r="B527" s="1"/>
      <c r="C527" s="1"/>
      <c r="D527" s="1"/>
      <c r="E527" s="1"/>
      <c r="F527" s="1"/>
      <c r="G527" s="1"/>
      <c r="H527" s="4" t="s">
        <v>199</v>
      </c>
      <c r="J527" s="286" t="s">
        <v>321</v>
      </c>
      <c r="K527" s="286"/>
      <c r="L527" s="286"/>
    </row>
    <row r="528" spans="1:12" ht="13.5" customHeight="1" x14ac:dyDescent="0.25">
      <c r="A528" s="1"/>
      <c r="B528" s="1" t="s">
        <v>15</v>
      </c>
      <c r="C528" s="1"/>
      <c r="D528" s="1"/>
      <c r="E528" s="1"/>
      <c r="F528" s="1"/>
      <c r="G528" s="1"/>
      <c r="H528" s="4" t="s">
        <v>13</v>
      </c>
    </row>
    <row r="529" spans="1:12" ht="12.75" customHeight="1" x14ac:dyDescent="0.25">
      <c r="A529" s="1"/>
      <c r="B529" s="1" t="s">
        <v>18</v>
      </c>
      <c r="C529" s="1"/>
      <c r="D529" s="1"/>
      <c r="E529" s="1"/>
      <c r="F529" s="1"/>
      <c r="G529" s="1"/>
      <c r="H529" s="4" t="s">
        <v>14</v>
      </c>
    </row>
    <row r="530" spans="1:12" ht="16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0.5" customHeight="1" x14ac:dyDescent="0.25">
      <c r="A532" s="1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"/>
    </row>
    <row r="533" spans="1:12" ht="12" customHeight="1" x14ac:dyDescent="0.25">
      <c r="A533" s="1"/>
      <c r="K533" s="103"/>
      <c r="L533" s="1"/>
    </row>
    <row r="534" spans="1:12" ht="15.75" customHeight="1" x14ac:dyDescent="0.25">
      <c r="A534" s="1"/>
      <c r="B534" s="95" t="s">
        <v>77</v>
      </c>
      <c r="H534" s="63" t="s">
        <v>328</v>
      </c>
      <c r="I534" s="95"/>
      <c r="J534" s="92"/>
      <c r="K534" s="103"/>
      <c r="L534" s="1"/>
    </row>
    <row r="535" spans="1:12" ht="15.75" customHeight="1" x14ac:dyDescent="0.2">
      <c r="A535" s="48"/>
      <c r="B535" s="99" t="s">
        <v>27</v>
      </c>
      <c r="C535" s="146"/>
      <c r="D535" s="99"/>
      <c r="E535" s="99"/>
      <c r="F535" s="99"/>
      <c r="G535" s="99"/>
      <c r="H535" s="48" t="s">
        <v>329</v>
      </c>
      <c r="I535" s="99"/>
      <c r="J535" s="99"/>
      <c r="K535" s="104"/>
      <c r="L535" s="99"/>
    </row>
    <row r="536" spans="1:12" ht="12.75" x14ac:dyDescent="0.2"/>
    <row r="537" spans="1:12" ht="12.75" x14ac:dyDescent="0.2"/>
    <row r="538" spans="1:12" ht="15" customHeight="1" x14ac:dyDescent="0.2"/>
    <row r="539" spans="1:12" ht="27.75" customHeight="1" x14ac:dyDescent="0.2"/>
    <row r="540" spans="1:12" ht="15" customHeight="1" x14ac:dyDescent="0.2"/>
    <row r="541" spans="1:12" ht="16.5" customHeight="1" x14ac:dyDescent="0.25">
      <c r="A541" s="3" t="s">
        <v>22</v>
      </c>
    </row>
    <row r="542" spans="1:12" ht="16.5" customHeight="1" x14ac:dyDescent="0.2">
      <c r="A542" s="122" t="s">
        <v>20</v>
      </c>
    </row>
    <row r="543" spans="1:12" ht="19.5" customHeight="1" x14ac:dyDescent="0.2">
      <c r="A543" s="122" t="s">
        <v>21</v>
      </c>
    </row>
    <row r="544" spans="1:12" ht="29.25" customHeight="1" x14ac:dyDescent="0.2"/>
    <row r="545" spans="1:12" ht="29.25" customHeight="1" x14ac:dyDescent="0.2"/>
    <row r="546" spans="1:12" ht="12.75" x14ac:dyDescent="0.2"/>
    <row r="547" spans="1:12" ht="29.25" customHeight="1" x14ac:dyDescent="0.3">
      <c r="A547" s="276" t="s">
        <v>6</v>
      </c>
      <c r="B547" s="276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</row>
    <row r="548" spans="1:12" s="76" customFormat="1" ht="29.25" customHeight="1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</row>
    <row r="549" spans="1:12" s="76" customFormat="1" ht="48" customHeight="1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</row>
    <row r="550" spans="1:12" s="76" customFormat="1" ht="17.25" customHeight="1" x14ac:dyDescent="0.25">
      <c r="A550" s="1"/>
      <c r="B550" s="1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23.25" customHeight="1" x14ac:dyDescent="0.25">
      <c r="A551" s="1" t="s">
        <v>7</v>
      </c>
      <c r="B551" s="1"/>
    </row>
    <row r="552" spans="1:12" ht="14.25" customHeight="1" x14ac:dyDescent="0.25">
      <c r="A552" s="1"/>
      <c r="B552" s="1"/>
    </row>
    <row r="553" spans="1:12" ht="15" customHeight="1" x14ac:dyDescent="0.25">
      <c r="A553" s="1" t="s">
        <v>8</v>
      </c>
      <c r="C553" s="9" t="s">
        <v>1</v>
      </c>
      <c r="D553" s="126" t="s">
        <v>64</v>
      </c>
      <c r="E553" s="76"/>
      <c r="F553" s="76"/>
      <c r="G553" s="76"/>
      <c r="H553" s="76"/>
    </row>
    <row r="554" spans="1:12" ht="15" customHeight="1" x14ac:dyDescent="0.25">
      <c r="A554" s="1" t="s">
        <v>9</v>
      </c>
      <c r="C554" s="9" t="s">
        <v>1</v>
      </c>
      <c r="D554" s="119" t="s">
        <v>236</v>
      </c>
      <c r="E554" s="76"/>
      <c r="F554" s="76"/>
      <c r="G554" s="76"/>
      <c r="H554" s="76"/>
    </row>
    <row r="555" spans="1:12" ht="15" customHeight="1" x14ac:dyDescent="0.2">
      <c r="A555" s="50" t="s">
        <v>10</v>
      </c>
      <c r="B555" s="76"/>
      <c r="C555" s="91" t="s">
        <v>1</v>
      </c>
      <c r="D555" s="124" t="s">
        <v>235</v>
      </c>
      <c r="E555" s="76"/>
      <c r="F555" s="76"/>
      <c r="G555" s="76"/>
      <c r="H555" s="76"/>
      <c r="I555" s="76"/>
      <c r="J555" s="76"/>
      <c r="K555" s="76"/>
      <c r="L555" s="76"/>
    </row>
    <row r="556" spans="1:12" ht="16.5" customHeight="1" x14ac:dyDescent="0.25">
      <c r="A556" s="1"/>
      <c r="B556" s="1"/>
      <c r="D556" s="1"/>
    </row>
    <row r="557" spans="1:12" ht="37.5" customHeight="1" x14ac:dyDescent="0.2">
      <c r="A557" s="277" t="s">
        <v>332</v>
      </c>
      <c r="B557" s="277"/>
      <c r="C557" s="277"/>
      <c r="D557" s="277"/>
      <c r="E557" s="277"/>
      <c r="F557" s="277"/>
      <c r="G557" s="277"/>
      <c r="H557" s="277"/>
      <c r="I557" s="277"/>
      <c r="J557" s="277"/>
      <c r="K557" s="277"/>
      <c r="L557" s="277"/>
    </row>
    <row r="558" spans="1:12" ht="16.5" customHeight="1" x14ac:dyDescent="0.25">
      <c r="A558" s="1"/>
      <c r="B558" s="1"/>
    </row>
    <row r="559" spans="1:12" ht="36" customHeight="1" thickBot="1" x14ac:dyDescent="0.25">
      <c r="A559" s="10" t="s">
        <v>0</v>
      </c>
      <c r="B559" s="278" t="s">
        <v>91</v>
      </c>
      <c r="C559" s="278"/>
      <c r="D559" s="278"/>
      <c r="E559" s="278"/>
      <c r="F559" s="278"/>
      <c r="G559" s="278"/>
      <c r="H559" s="278"/>
      <c r="I559" s="278"/>
      <c r="J559" s="278"/>
      <c r="K559" s="278"/>
      <c r="L559" s="278"/>
    </row>
    <row r="560" spans="1:12" ht="22.5" customHeight="1" thickTop="1" x14ac:dyDescent="0.25">
      <c r="A560" s="1"/>
      <c r="B560" s="11" t="s">
        <v>3</v>
      </c>
      <c r="C560" s="12" t="s">
        <v>4</v>
      </c>
      <c r="D560" s="13"/>
      <c r="E560" s="13"/>
      <c r="F560" s="13"/>
      <c r="G560" s="13"/>
      <c r="H560" s="14"/>
      <c r="I560" s="15" t="s">
        <v>5</v>
      </c>
      <c r="J560" s="12" t="s">
        <v>17</v>
      </c>
      <c r="K560" s="13"/>
      <c r="L560" s="14"/>
    </row>
    <row r="561" spans="1:12" ht="25.5" customHeight="1" x14ac:dyDescent="0.2">
      <c r="A561" s="50"/>
      <c r="B561" s="143">
        <v>1</v>
      </c>
      <c r="C561" s="284" t="s">
        <v>303</v>
      </c>
      <c r="D561" s="285"/>
      <c r="E561" s="285"/>
      <c r="F561" s="285"/>
      <c r="G561" s="76"/>
      <c r="H561" s="79"/>
      <c r="I561" s="56">
        <v>250000</v>
      </c>
      <c r="J561" s="76"/>
      <c r="K561" s="76"/>
      <c r="L561" s="79"/>
    </row>
    <row r="562" spans="1:12" ht="25.5" customHeight="1" x14ac:dyDescent="0.2">
      <c r="B562" s="96"/>
      <c r="C562" s="124"/>
      <c r="D562" s="124"/>
      <c r="E562" s="127"/>
      <c r="F562" s="125"/>
      <c r="G562" s="124"/>
      <c r="H562" s="124"/>
      <c r="I562" s="23"/>
      <c r="L562" s="17"/>
    </row>
    <row r="563" spans="1:12" ht="17.25" customHeight="1" x14ac:dyDescent="0.25">
      <c r="A563" s="1"/>
      <c r="B563" s="39"/>
      <c r="C563" s="1"/>
      <c r="D563" s="1"/>
      <c r="E563" s="1"/>
      <c r="F563" s="40" t="s">
        <v>5</v>
      </c>
      <c r="G563" s="40"/>
      <c r="H563" s="1"/>
      <c r="I563" s="41">
        <f>SUM(I561:I561)</f>
        <v>250000</v>
      </c>
      <c r="J563" s="1"/>
      <c r="K563" s="1"/>
      <c r="L563" s="42"/>
    </row>
    <row r="564" spans="1:12" ht="18" customHeight="1" thickBot="1" x14ac:dyDescent="0.3">
      <c r="A564" s="1"/>
      <c r="B564" s="43"/>
      <c r="C564" s="44"/>
      <c r="D564" s="44"/>
      <c r="E564" s="44"/>
      <c r="F564" s="45"/>
      <c r="G564" s="45"/>
      <c r="H564" s="44"/>
      <c r="I564" s="46"/>
      <c r="J564" s="44"/>
      <c r="K564" s="44"/>
      <c r="L564" s="47"/>
    </row>
    <row r="565" spans="1:12" ht="12" customHeight="1" thickTop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44.25" customHeight="1" x14ac:dyDescent="0.2">
      <c r="A566" s="10" t="s">
        <v>2</v>
      </c>
      <c r="B566" s="279" t="s">
        <v>11</v>
      </c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</row>
    <row r="567" spans="1:1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7.25" customHeight="1" x14ac:dyDescent="0.2">
      <c r="A568" s="280" t="s">
        <v>12</v>
      </c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</row>
    <row r="569" spans="1:12" ht="1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6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" x14ac:dyDescent="0.25">
      <c r="A571" s="1"/>
      <c r="B571" s="1"/>
      <c r="C571" s="1"/>
      <c r="D571" s="1"/>
      <c r="E571" s="1"/>
      <c r="F571" s="1"/>
      <c r="G571" s="1"/>
    </row>
    <row r="572" spans="1:12" ht="15" customHeight="1" x14ac:dyDescent="0.25">
      <c r="A572" s="1"/>
      <c r="B572" s="1"/>
      <c r="C572" s="1"/>
      <c r="D572" s="1"/>
      <c r="E572" s="1"/>
      <c r="F572" s="1"/>
      <c r="G572" s="1"/>
      <c r="H572" s="4" t="s">
        <v>199</v>
      </c>
      <c r="J572" s="286" t="s">
        <v>321</v>
      </c>
      <c r="K572" s="286"/>
      <c r="L572" s="286"/>
    </row>
    <row r="573" spans="1:12" ht="15" x14ac:dyDescent="0.25">
      <c r="A573" s="1"/>
      <c r="B573" s="1" t="s">
        <v>15</v>
      </c>
      <c r="C573" s="1"/>
      <c r="D573" s="1"/>
      <c r="E573" s="1"/>
      <c r="F573" s="1"/>
      <c r="G573" s="1"/>
      <c r="H573" s="4" t="s">
        <v>13</v>
      </c>
    </row>
    <row r="574" spans="1:12" ht="15.75" customHeight="1" x14ac:dyDescent="0.25">
      <c r="A574" s="1"/>
      <c r="B574" s="1" t="s">
        <v>18</v>
      </c>
      <c r="C574" s="1"/>
      <c r="D574" s="1"/>
      <c r="E574" s="1"/>
      <c r="F574" s="1"/>
      <c r="G574" s="1"/>
      <c r="H574" s="4" t="s">
        <v>14</v>
      </c>
    </row>
    <row r="575" spans="1:12" ht="18" hidden="1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7.25" customHeight="1" x14ac:dyDescent="0.25">
      <c r="A577" s="1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"/>
    </row>
    <row r="578" spans="1:12" ht="3.75" customHeight="1" x14ac:dyDescent="0.25">
      <c r="A578" s="1"/>
      <c r="K578" s="103"/>
      <c r="L578" s="1"/>
    </row>
    <row r="579" spans="1:12" ht="29.25" customHeight="1" x14ac:dyDescent="0.25">
      <c r="A579" s="1"/>
      <c r="B579" s="95" t="s">
        <v>77</v>
      </c>
      <c r="H579" s="95" t="s">
        <v>64</v>
      </c>
      <c r="I579" s="95"/>
      <c r="J579" s="92"/>
      <c r="K579" s="103"/>
      <c r="L579" s="1"/>
    </row>
    <row r="580" spans="1:12" ht="13.5" customHeight="1" x14ac:dyDescent="0.25">
      <c r="A580" s="1"/>
      <c r="B580" s="99" t="s">
        <v>27</v>
      </c>
      <c r="C580" s="57"/>
      <c r="H580" s="99" t="s">
        <v>46</v>
      </c>
      <c r="K580" s="103"/>
    </row>
    <row r="581" spans="1:12" ht="19.5" customHeight="1" x14ac:dyDescent="0.2"/>
    <row r="582" spans="1:12" ht="9" customHeight="1" x14ac:dyDescent="0.2"/>
    <row r="583" spans="1:12" ht="28.5" customHeight="1" x14ac:dyDescent="0.2"/>
    <row r="584" spans="1:12" ht="17.25" customHeight="1" x14ac:dyDescent="0.2"/>
    <row r="585" spans="1:12" ht="33" customHeight="1" x14ac:dyDescent="0.2"/>
    <row r="586" spans="1:12" ht="15" customHeight="1" x14ac:dyDescent="0.25">
      <c r="A586" s="3" t="s">
        <v>22</v>
      </c>
    </row>
    <row r="587" spans="1:12" ht="22.5" customHeight="1" x14ac:dyDescent="0.2">
      <c r="A587" s="122" t="s">
        <v>20</v>
      </c>
    </row>
    <row r="588" spans="1:12" ht="34.5" customHeight="1" x14ac:dyDescent="0.2">
      <c r="A588" s="122" t="s">
        <v>21</v>
      </c>
    </row>
    <row r="589" spans="1:12" ht="34.5" customHeight="1" x14ac:dyDescent="0.2"/>
    <row r="590" spans="1:12" ht="15" customHeight="1" x14ac:dyDescent="0.2"/>
    <row r="591" spans="1:12" ht="7.5" customHeight="1" x14ac:dyDescent="0.2"/>
    <row r="592" spans="1:12" ht="17.25" customHeight="1" x14ac:dyDescent="0.3">
      <c r="A592" s="276" t="s">
        <v>6</v>
      </c>
      <c r="B592" s="276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</row>
    <row r="593" spans="1:13" ht="48" customHeight="1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</row>
    <row r="594" spans="1:13" ht="13.5" customHeight="1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</row>
    <row r="595" spans="1:13" ht="18.75" customHeight="1" x14ac:dyDescent="0.25">
      <c r="A595" s="1"/>
      <c r="B595" s="1"/>
    </row>
    <row r="596" spans="1:13" ht="15" x14ac:dyDescent="0.25">
      <c r="A596" s="1" t="s">
        <v>7</v>
      </c>
      <c r="B596" s="1"/>
    </row>
    <row r="597" spans="1:13" ht="14.25" customHeight="1" x14ac:dyDescent="0.25">
      <c r="A597" s="1"/>
      <c r="B597" s="1"/>
    </row>
    <row r="598" spans="1:13" ht="15" x14ac:dyDescent="0.25">
      <c r="A598" s="1" t="s">
        <v>8</v>
      </c>
      <c r="C598" s="9" t="s">
        <v>1</v>
      </c>
      <c r="D598" s="123" t="s">
        <v>78</v>
      </c>
      <c r="E598" s="76"/>
      <c r="F598" s="76"/>
      <c r="G598" s="76"/>
      <c r="H598" s="76"/>
    </row>
    <row r="599" spans="1:13" ht="15" x14ac:dyDescent="0.25">
      <c r="A599" s="1" t="s">
        <v>9</v>
      </c>
      <c r="C599" s="9" t="s">
        <v>1</v>
      </c>
      <c r="D599" s="76" t="s">
        <v>234</v>
      </c>
      <c r="E599" s="76"/>
      <c r="F599" s="76"/>
      <c r="G599" s="76"/>
      <c r="H599" s="76"/>
    </row>
    <row r="600" spans="1:13" ht="17.25" customHeight="1" x14ac:dyDescent="0.2">
      <c r="A600" s="50" t="s">
        <v>10</v>
      </c>
      <c r="B600" s="76"/>
      <c r="C600" s="91" t="s">
        <v>1</v>
      </c>
      <c r="D600" s="50" t="s">
        <v>235</v>
      </c>
      <c r="E600" s="76"/>
      <c r="F600" s="76"/>
      <c r="G600" s="76"/>
      <c r="H600" s="76"/>
      <c r="I600" s="76"/>
      <c r="J600" s="76"/>
      <c r="K600" s="76"/>
      <c r="L600" s="76"/>
    </row>
    <row r="601" spans="1:13" ht="13.5" customHeight="1" x14ac:dyDescent="0.25">
      <c r="A601" s="1"/>
      <c r="B601" s="1"/>
      <c r="D601" s="1"/>
    </row>
    <row r="602" spans="1:13" ht="31.5" customHeight="1" x14ac:dyDescent="0.2">
      <c r="A602" s="277" t="s">
        <v>332</v>
      </c>
      <c r="B602" s="277"/>
      <c r="C602" s="277"/>
      <c r="D602" s="277"/>
      <c r="E602" s="277"/>
      <c r="F602" s="277"/>
      <c r="G602" s="277"/>
      <c r="H602" s="277"/>
      <c r="I602" s="277"/>
      <c r="J602" s="277"/>
      <c r="K602" s="277"/>
      <c r="L602" s="277"/>
    </row>
    <row r="603" spans="1:13" ht="13.5" customHeight="1" x14ac:dyDescent="0.25">
      <c r="A603" s="1"/>
      <c r="B603" s="1"/>
    </row>
    <row r="604" spans="1:13" ht="36" customHeight="1" thickBot="1" x14ac:dyDescent="0.25">
      <c r="A604" s="10" t="s">
        <v>0</v>
      </c>
      <c r="B604" s="278" t="s">
        <v>91</v>
      </c>
      <c r="C604" s="278"/>
      <c r="D604" s="278"/>
      <c r="E604" s="278"/>
      <c r="F604" s="278"/>
      <c r="G604" s="278"/>
      <c r="H604" s="278"/>
      <c r="I604" s="278"/>
      <c r="J604" s="278"/>
      <c r="K604" s="278"/>
      <c r="L604" s="278"/>
    </row>
    <row r="605" spans="1:13" ht="25.5" customHeight="1" thickTop="1" x14ac:dyDescent="0.25">
      <c r="A605" s="1"/>
      <c r="B605" s="11" t="s">
        <v>3</v>
      </c>
      <c r="C605" s="12" t="s">
        <v>4</v>
      </c>
      <c r="D605" s="13"/>
      <c r="E605" s="13"/>
      <c r="F605" s="13"/>
      <c r="G605" s="13"/>
      <c r="H605" s="14"/>
      <c r="I605" s="15" t="s">
        <v>5</v>
      </c>
      <c r="J605" s="12" t="s">
        <v>17</v>
      </c>
      <c r="K605" s="13"/>
      <c r="L605" s="14"/>
      <c r="M605" s="59"/>
    </row>
    <row r="606" spans="1:13" ht="25.5" customHeight="1" x14ac:dyDescent="0.2">
      <c r="A606" s="50"/>
      <c r="B606" s="143">
        <v>1</v>
      </c>
      <c r="C606" s="284" t="s">
        <v>303</v>
      </c>
      <c r="D606" s="285"/>
      <c r="E606" s="285"/>
      <c r="F606" s="285"/>
      <c r="G606" s="76"/>
      <c r="H606" s="79"/>
      <c r="I606" s="56">
        <v>250000</v>
      </c>
      <c r="J606" s="76"/>
      <c r="K606" s="76"/>
      <c r="L606" s="79"/>
    </row>
    <row r="607" spans="1:13" ht="20.25" customHeight="1" x14ac:dyDescent="0.2">
      <c r="B607" s="96"/>
      <c r="C607" s="124"/>
      <c r="D607" s="124"/>
      <c r="E607" s="127"/>
      <c r="F607" s="125"/>
      <c r="G607" s="124"/>
      <c r="H607" s="124"/>
      <c r="I607" s="23"/>
      <c r="L607" s="17"/>
    </row>
    <row r="608" spans="1:13" ht="15" x14ac:dyDescent="0.25">
      <c r="A608" s="1"/>
      <c r="B608" s="39"/>
      <c r="C608" s="1"/>
      <c r="D608" s="1"/>
      <c r="E608" s="1"/>
      <c r="F608" s="40" t="s">
        <v>5</v>
      </c>
      <c r="G608" s="40"/>
      <c r="H608" s="1"/>
      <c r="I608" s="41">
        <f>SUM(I606:I606)</f>
        <v>250000</v>
      </c>
      <c r="J608" s="1"/>
      <c r="K608" s="1"/>
      <c r="L608" s="42"/>
    </row>
    <row r="609" spans="1:12" ht="15.75" thickBot="1" x14ac:dyDescent="0.3">
      <c r="A609" s="1"/>
      <c r="B609" s="43"/>
      <c r="C609" s="44"/>
      <c r="D609" s="44"/>
      <c r="E609" s="44"/>
      <c r="F609" s="45"/>
      <c r="G609" s="45"/>
      <c r="H609" s="44"/>
      <c r="I609" s="46"/>
      <c r="J609" s="44"/>
      <c r="K609" s="44"/>
      <c r="L609" s="47"/>
    </row>
    <row r="610" spans="1:12" ht="15.75" thickTop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52.5" customHeight="1" x14ac:dyDescent="0.2">
      <c r="A611" s="10" t="s">
        <v>2</v>
      </c>
      <c r="B611" s="279" t="s">
        <v>11</v>
      </c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</row>
    <row r="612" spans="1:12" ht="1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27" customHeight="1" x14ac:dyDescent="0.2">
      <c r="A613" s="280" t="s">
        <v>12</v>
      </c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</row>
    <row r="614" spans="1:12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21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6" customHeight="1" x14ac:dyDescent="0.25">
      <c r="A616" s="1"/>
      <c r="B616" s="1"/>
      <c r="C616" s="1"/>
      <c r="D616" s="1"/>
      <c r="E616" s="1"/>
      <c r="F616" s="1"/>
      <c r="G616" s="1"/>
    </row>
    <row r="617" spans="1:12" ht="15" x14ac:dyDescent="0.25">
      <c r="A617" s="1"/>
      <c r="B617" s="1"/>
      <c r="C617" s="1"/>
      <c r="D617" s="1"/>
      <c r="E617" s="1"/>
      <c r="F617" s="1"/>
      <c r="G617" s="1"/>
      <c r="H617" s="4" t="s">
        <v>199</v>
      </c>
      <c r="J617" s="286" t="s">
        <v>321</v>
      </c>
      <c r="K617" s="286"/>
      <c r="L617" s="286"/>
    </row>
    <row r="618" spans="1:12" ht="15" x14ac:dyDescent="0.25">
      <c r="A618" s="1"/>
      <c r="B618" s="1" t="s">
        <v>15</v>
      </c>
      <c r="C618" s="1"/>
      <c r="D618" s="1"/>
      <c r="E618" s="1"/>
      <c r="F618" s="1"/>
      <c r="G618" s="1"/>
      <c r="H618" s="4" t="s">
        <v>13</v>
      </c>
    </row>
    <row r="619" spans="1:12" ht="15" x14ac:dyDescent="0.25">
      <c r="A619" s="1"/>
      <c r="B619" s="1" t="s">
        <v>18</v>
      </c>
      <c r="C619" s="1"/>
      <c r="D619" s="1"/>
      <c r="E619" s="1"/>
      <c r="F619" s="1"/>
      <c r="G619" s="1"/>
      <c r="H619" s="4" t="s">
        <v>14</v>
      </c>
    </row>
    <row r="620" spans="1:12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20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21" hidden="1" customHeight="1" x14ac:dyDescent="0.25">
      <c r="A622" s="1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"/>
    </row>
    <row r="623" spans="1:12" ht="30" customHeight="1" x14ac:dyDescent="0.25">
      <c r="A623" s="1"/>
      <c r="K623" s="103"/>
      <c r="L623" s="1"/>
    </row>
    <row r="624" spans="1:12" ht="21.75" customHeight="1" x14ac:dyDescent="0.25">
      <c r="A624" s="1"/>
      <c r="B624" s="95" t="s">
        <v>77</v>
      </c>
      <c r="H624" s="95" t="s">
        <v>78</v>
      </c>
      <c r="I624" s="95"/>
      <c r="J624" s="92"/>
      <c r="K624" s="103"/>
      <c r="L624" s="1"/>
    </row>
    <row r="625" spans="1:12" ht="15" x14ac:dyDescent="0.25">
      <c r="A625" s="1"/>
      <c r="B625" s="99" t="s">
        <v>27</v>
      </c>
      <c r="C625" s="57"/>
      <c r="H625" s="99" t="s">
        <v>79</v>
      </c>
      <c r="K625" s="103"/>
    </row>
    <row r="626" spans="1:12" ht="12.75" customHeight="1" x14ac:dyDescent="0.2"/>
    <row r="627" spans="1:12" ht="13.5" customHeight="1" x14ac:dyDescent="0.2"/>
    <row r="628" spans="1:12" ht="12.75" x14ac:dyDescent="0.2"/>
    <row r="629" spans="1:12" ht="30" customHeight="1" x14ac:dyDescent="0.2"/>
    <row r="630" spans="1:12" ht="22.5" customHeight="1" x14ac:dyDescent="0.25">
      <c r="A630" s="3" t="s">
        <v>22</v>
      </c>
    </row>
    <row r="631" spans="1:12" ht="18" customHeight="1" x14ac:dyDescent="0.2">
      <c r="A631" s="122" t="s">
        <v>20</v>
      </c>
    </row>
    <row r="632" spans="1:12" ht="13.5" customHeight="1" x14ac:dyDescent="0.2">
      <c r="A632" s="122" t="s">
        <v>21</v>
      </c>
    </row>
    <row r="633" spans="1:12" ht="24" customHeight="1" x14ac:dyDescent="0.2"/>
    <row r="634" spans="1:12" ht="25.5" customHeight="1" x14ac:dyDescent="0.2"/>
    <row r="635" spans="1:12" ht="16.5" customHeight="1" x14ac:dyDescent="0.2"/>
    <row r="636" spans="1:12" ht="27" customHeight="1" x14ac:dyDescent="0.3">
      <c r="A636" s="276" t="s">
        <v>6</v>
      </c>
      <c r="B636" s="276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</row>
    <row r="637" spans="1:12" ht="19.5" customHeight="1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</row>
    <row r="638" spans="1:12" ht="4.5" customHeight="1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</row>
    <row r="639" spans="1:12" ht="16.5" customHeight="1" x14ac:dyDescent="0.25">
      <c r="A639" s="1"/>
      <c r="B639" s="1"/>
    </row>
    <row r="640" spans="1:12" ht="14.25" customHeight="1" x14ac:dyDescent="0.25">
      <c r="A640" s="1" t="s">
        <v>7</v>
      </c>
      <c r="B640" s="1"/>
    </row>
    <row r="641" spans="1:12" ht="16.5" customHeight="1" x14ac:dyDescent="0.25">
      <c r="A641" s="1"/>
      <c r="B641" s="1"/>
    </row>
    <row r="642" spans="1:12" ht="16.5" customHeight="1" x14ac:dyDescent="0.25">
      <c r="A642" s="1" t="s">
        <v>8</v>
      </c>
      <c r="C642" s="9" t="s">
        <v>1</v>
      </c>
      <c r="D642" s="40" t="s">
        <v>107</v>
      </c>
      <c r="E642" s="76"/>
      <c r="F642" s="76"/>
      <c r="G642" s="76"/>
      <c r="H642" s="76"/>
    </row>
    <row r="643" spans="1:12" ht="18.75" customHeight="1" x14ac:dyDescent="0.25">
      <c r="A643" s="1" t="s">
        <v>9</v>
      </c>
      <c r="C643" s="9" t="s">
        <v>1</v>
      </c>
      <c r="D643" s="7" t="s">
        <v>249</v>
      </c>
      <c r="E643" s="76"/>
      <c r="F643" s="76"/>
      <c r="G643" s="76"/>
      <c r="H643" s="76"/>
    </row>
    <row r="644" spans="1:12" ht="15.75" customHeight="1" x14ac:dyDescent="0.25">
      <c r="A644" s="50" t="s">
        <v>10</v>
      </c>
      <c r="B644" s="76"/>
      <c r="C644" s="91" t="s">
        <v>1</v>
      </c>
      <c r="D644" s="1" t="s">
        <v>250</v>
      </c>
      <c r="E644" s="76"/>
      <c r="F644" s="76"/>
      <c r="G644" s="76"/>
      <c r="H644" s="76"/>
      <c r="I644" s="76"/>
      <c r="J644" s="76"/>
      <c r="K644" s="76"/>
      <c r="L644" s="76"/>
    </row>
    <row r="645" spans="1:12" ht="15" customHeight="1" x14ac:dyDescent="0.25">
      <c r="A645" s="1"/>
      <c r="B645" s="1"/>
      <c r="D645" s="1"/>
    </row>
    <row r="646" spans="1:12" ht="30.75" customHeight="1" x14ac:dyDescent="0.2">
      <c r="A646" s="277" t="s">
        <v>332</v>
      </c>
      <c r="B646" s="277"/>
      <c r="C646" s="277"/>
      <c r="D646" s="277"/>
      <c r="E646" s="277"/>
      <c r="F646" s="277"/>
      <c r="G646" s="277"/>
      <c r="H646" s="277"/>
      <c r="I646" s="277"/>
      <c r="J646" s="277"/>
      <c r="K646" s="277"/>
      <c r="L646" s="277"/>
    </row>
    <row r="647" spans="1:12" ht="18.75" customHeight="1" x14ac:dyDescent="0.25">
      <c r="A647" s="1"/>
      <c r="B647" s="1"/>
    </row>
    <row r="648" spans="1:12" ht="35.25" customHeight="1" thickBot="1" x14ac:dyDescent="0.25">
      <c r="A648" s="10" t="s">
        <v>0</v>
      </c>
      <c r="B648" s="278" t="s">
        <v>91</v>
      </c>
      <c r="C648" s="278"/>
      <c r="D648" s="278"/>
      <c r="E648" s="278"/>
      <c r="F648" s="278"/>
      <c r="G648" s="278"/>
      <c r="H648" s="278"/>
      <c r="I648" s="278"/>
      <c r="J648" s="278"/>
      <c r="K648" s="278"/>
      <c r="L648" s="278"/>
    </row>
    <row r="649" spans="1:12" ht="33" customHeight="1" thickTop="1" x14ac:dyDescent="0.25">
      <c r="A649" s="1"/>
      <c r="B649" s="11" t="s">
        <v>3</v>
      </c>
      <c r="C649" s="12" t="s">
        <v>4</v>
      </c>
      <c r="D649" s="13"/>
      <c r="E649" s="13"/>
      <c r="F649" s="13"/>
      <c r="G649" s="13"/>
      <c r="H649" s="14"/>
      <c r="I649" s="15" t="s">
        <v>5</v>
      </c>
      <c r="J649" s="12" t="s">
        <v>17</v>
      </c>
      <c r="K649" s="13"/>
      <c r="L649" s="14"/>
    </row>
    <row r="650" spans="1:12" ht="15" customHeight="1" x14ac:dyDescent="0.2">
      <c r="A650" s="50"/>
      <c r="B650" s="143">
        <v>1</v>
      </c>
      <c r="C650" s="284" t="s">
        <v>303</v>
      </c>
      <c r="D650" s="285"/>
      <c r="E650" s="285"/>
      <c r="F650" s="285"/>
      <c r="G650" s="76"/>
      <c r="H650" s="79"/>
      <c r="I650" s="56">
        <v>250000</v>
      </c>
      <c r="J650" s="76"/>
      <c r="K650" s="76"/>
      <c r="L650" s="79"/>
    </row>
    <row r="651" spans="1:12" ht="32.25" customHeight="1" x14ac:dyDescent="0.2">
      <c r="B651" s="96"/>
      <c r="C651" s="124"/>
      <c r="D651" s="124"/>
      <c r="E651" s="127"/>
      <c r="F651" s="125"/>
      <c r="G651" s="124"/>
      <c r="H651" s="124"/>
      <c r="I651" s="23"/>
      <c r="L651" s="17"/>
    </row>
    <row r="652" spans="1:12" ht="19.5" customHeight="1" x14ac:dyDescent="0.25">
      <c r="A652" s="1"/>
      <c r="B652" s="39"/>
      <c r="C652" s="1"/>
      <c r="D652" s="1"/>
      <c r="E652" s="1"/>
      <c r="F652" s="40" t="s">
        <v>5</v>
      </c>
      <c r="G652" s="40"/>
      <c r="H652" s="1"/>
      <c r="I652" s="41">
        <f>SUM(I650:I650)</f>
        <v>250000</v>
      </c>
      <c r="J652" s="1"/>
      <c r="K652" s="1"/>
      <c r="L652" s="42"/>
    </row>
    <row r="653" spans="1:12" ht="12" customHeight="1" thickBot="1" x14ac:dyDescent="0.3">
      <c r="A653" s="1"/>
      <c r="B653" s="43"/>
      <c r="C653" s="44"/>
      <c r="D653" s="44"/>
      <c r="E653" s="44"/>
      <c r="F653" s="45"/>
      <c r="G653" s="45"/>
      <c r="H653" s="44"/>
      <c r="I653" s="46"/>
      <c r="J653" s="44"/>
      <c r="K653" s="44"/>
      <c r="L653" s="47"/>
    </row>
    <row r="654" spans="1:12" ht="14.25" customHeight="1" thickTop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44.25" customHeight="1" x14ac:dyDescent="0.2">
      <c r="A655" s="10" t="s">
        <v>2</v>
      </c>
      <c r="B655" s="279" t="s">
        <v>11</v>
      </c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</row>
    <row r="656" spans="1:1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2">
      <c r="A657" s="280" t="s">
        <v>12</v>
      </c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</row>
    <row r="658" spans="1:1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4.25" customHeight="1" x14ac:dyDescent="0.25">
      <c r="A660" s="1"/>
      <c r="B660" s="1"/>
      <c r="C660" s="1"/>
      <c r="D660" s="1"/>
      <c r="E660" s="1"/>
      <c r="F660" s="1"/>
      <c r="G660" s="1"/>
    </row>
    <row r="661" spans="1:12" ht="13.5" customHeight="1" x14ac:dyDescent="0.25">
      <c r="A661" s="1"/>
      <c r="B661" s="1"/>
      <c r="C661" s="1"/>
      <c r="D661" s="1"/>
      <c r="E661" s="1"/>
      <c r="F661" s="1"/>
      <c r="G661" s="1"/>
    </row>
    <row r="662" spans="1:12" ht="12.75" customHeight="1" x14ac:dyDescent="0.25">
      <c r="A662" s="1"/>
      <c r="B662" s="1"/>
      <c r="C662" s="1"/>
      <c r="D662" s="1"/>
      <c r="E662" s="1"/>
      <c r="F662" s="1"/>
      <c r="G662" s="1"/>
      <c r="H662" s="4" t="s">
        <v>199</v>
      </c>
      <c r="J662" s="286" t="s">
        <v>321</v>
      </c>
      <c r="K662" s="286"/>
      <c r="L662" s="286"/>
    </row>
    <row r="663" spans="1:12" ht="18" customHeight="1" x14ac:dyDescent="0.25">
      <c r="A663" s="1"/>
      <c r="B663" s="1" t="s">
        <v>15</v>
      </c>
      <c r="C663" s="1"/>
      <c r="D663" s="1"/>
      <c r="E663" s="1"/>
      <c r="F663" s="1"/>
      <c r="G663" s="1"/>
      <c r="H663" s="4" t="s">
        <v>13</v>
      </c>
    </row>
    <row r="664" spans="1:12" ht="21.75" hidden="1" customHeight="1" x14ac:dyDescent="0.25">
      <c r="A664" s="1"/>
      <c r="B664" s="1" t="s">
        <v>18</v>
      </c>
      <c r="C664" s="1"/>
      <c r="D664" s="1"/>
      <c r="E664" s="1"/>
      <c r="F664" s="1"/>
      <c r="G664" s="1"/>
      <c r="H664" s="4" t="s">
        <v>14</v>
      </c>
    </row>
    <row r="665" spans="1:1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20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2.75" customHeight="1" x14ac:dyDescent="0.25">
      <c r="A667" s="1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"/>
    </row>
    <row r="668" spans="1:12" ht="18.75" hidden="1" customHeight="1" x14ac:dyDescent="0.25">
      <c r="A668" s="1"/>
      <c r="K668" s="103"/>
      <c r="L668" s="1"/>
    </row>
    <row r="669" spans="1:12" ht="16.5" customHeight="1" x14ac:dyDescent="0.25">
      <c r="A669" s="1"/>
      <c r="B669" s="95" t="s">
        <v>77</v>
      </c>
      <c r="H669" s="95" t="s">
        <v>107</v>
      </c>
      <c r="I669" s="95"/>
      <c r="J669" s="92"/>
      <c r="K669" s="103"/>
      <c r="L669" s="1"/>
    </row>
    <row r="670" spans="1:12" ht="11.25" customHeight="1" x14ac:dyDescent="0.25">
      <c r="A670" s="1"/>
      <c r="B670" s="99" t="s">
        <v>27</v>
      </c>
      <c r="C670" s="57"/>
      <c r="H670" s="99" t="s">
        <v>72</v>
      </c>
      <c r="K670" s="103"/>
    </row>
    <row r="671" spans="1:12" ht="19.5" customHeight="1" x14ac:dyDescent="0.2"/>
    <row r="672" spans="1:12" ht="15.75" customHeight="1" x14ac:dyDescent="0.2"/>
    <row r="673" spans="1:12" ht="24.75" customHeight="1" x14ac:dyDescent="0.2"/>
    <row r="674" spans="1:12" ht="15.75" customHeight="1" x14ac:dyDescent="0.2"/>
    <row r="675" spans="1:12" ht="21" customHeight="1" x14ac:dyDescent="0.2"/>
    <row r="676" spans="1:12" ht="12.75" customHeight="1" x14ac:dyDescent="0.2"/>
    <row r="677" spans="1:12" ht="15.75" customHeight="1" x14ac:dyDescent="0.2"/>
    <row r="678" spans="1:12" ht="16.5" customHeight="1" x14ac:dyDescent="0.2"/>
    <row r="679" spans="1:12" ht="14.25" customHeight="1" x14ac:dyDescent="0.2"/>
    <row r="680" spans="1:12" ht="14.25" customHeight="1" x14ac:dyDescent="0.2"/>
    <row r="681" spans="1:12" ht="35.25" customHeight="1" x14ac:dyDescent="0.25">
      <c r="A681" s="3" t="s">
        <v>22</v>
      </c>
    </row>
    <row r="682" spans="1:12" ht="15" customHeight="1" x14ac:dyDescent="0.2">
      <c r="A682" s="122" t="s">
        <v>20</v>
      </c>
    </row>
    <row r="683" spans="1:12" ht="35.25" customHeight="1" x14ac:dyDescent="0.2">
      <c r="A683" s="122" t="s">
        <v>21</v>
      </c>
    </row>
    <row r="684" spans="1:12" ht="15.75" customHeight="1" x14ac:dyDescent="0.2"/>
    <row r="685" spans="1:12" ht="23.25" customHeight="1" x14ac:dyDescent="0.2"/>
    <row r="686" spans="1:12" ht="16.5" customHeight="1" x14ac:dyDescent="0.2"/>
    <row r="687" spans="1:12" ht="30.75" customHeight="1" x14ac:dyDescent="0.3">
      <c r="A687" s="276" t="s">
        <v>6</v>
      </c>
      <c r="B687" s="276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</row>
    <row r="688" spans="1:12" ht="20.25" customHeight="1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</row>
    <row r="689" spans="1:12" ht="10.5" customHeight="1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</row>
    <row r="690" spans="1:12" ht="15.75" customHeight="1" x14ac:dyDescent="0.25">
      <c r="A690" s="1"/>
      <c r="B690" s="1"/>
    </row>
    <row r="691" spans="1:12" ht="49.5" customHeight="1" x14ac:dyDescent="0.25">
      <c r="A691" s="1" t="s">
        <v>7</v>
      </c>
      <c r="B691" s="1"/>
    </row>
    <row r="692" spans="1:12" ht="15.75" customHeight="1" x14ac:dyDescent="0.25">
      <c r="A692" s="1"/>
      <c r="B692" s="1"/>
    </row>
    <row r="693" spans="1:12" ht="18.75" customHeight="1" x14ac:dyDescent="0.25">
      <c r="A693" s="1" t="s">
        <v>8</v>
      </c>
      <c r="C693" s="9" t="s">
        <v>1</v>
      </c>
      <c r="D693" s="92" t="s">
        <v>77</v>
      </c>
      <c r="E693" s="76"/>
      <c r="F693" s="76"/>
      <c r="G693" s="76"/>
      <c r="H693" s="76"/>
    </row>
    <row r="694" spans="1:12" ht="12.75" customHeight="1" x14ac:dyDescent="0.25">
      <c r="A694" s="1" t="s">
        <v>9</v>
      </c>
      <c r="C694" s="9" t="s">
        <v>1</v>
      </c>
      <c r="D694" s="57" t="s">
        <v>201</v>
      </c>
      <c r="E694" s="76"/>
      <c r="F694" s="76"/>
      <c r="G694" s="76"/>
      <c r="H694" s="76"/>
    </row>
    <row r="695" spans="1:12" ht="15.75" customHeight="1" x14ac:dyDescent="0.2">
      <c r="A695" s="50" t="s">
        <v>10</v>
      </c>
      <c r="B695" s="76"/>
      <c r="C695" s="91" t="s">
        <v>1</v>
      </c>
      <c r="D695" s="50" t="s">
        <v>265</v>
      </c>
      <c r="E695" s="76"/>
      <c r="F695" s="76"/>
      <c r="G695" s="76"/>
      <c r="H695" s="76"/>
      <c r="I695" s="76"/>
      <c r="J695" s="76"/>
      <c r="K695" s="76"/>
      <c r="L695" s="76"/>
    </row>
    <row r="696" spans="1:12" ht="15.75" customHeight="1" x14ac:dyDescent="0.25">
      <c r="A696" s="1"/>
      <c r="B696" s="1"/>
      <c r="D696" s="1"/>
    </row>
    <row r="697" spans="1:12" ht="30" customHeight="1" x14ac:dyDescent="0.2">
      <c r="A697" s="277" t="s">
        <v>333</v>
      </c>
      <c r="B697" s="277"/>
      <c r="C697" s="277"/>
      <c r="D697" s="277"/>
      <c r="E697" s="277"/>
      <c r="F697" s="277"/>
      <c r="G697" s="277"/>
      <c r="H697" s="277"/>
      <c r="I697" s="277"/>
      <c r="J697" s="277"/>
      <c r="K697" s="277"/>
      <c r="L697" s="277"/>
    </row>
    <row r="698" spans="1:12" ht="14.25" customHeight="1" x14ac:dyDescent="0.25">
      <c r="A698" s="1"/>
      <c r="B698" s="1"/>
    </row>
    <row r="699" spans="1:12" ht="33.75" customHeight="1" thickBot="1" x14ac:dyDescent="0.25">
      <c r="A699" s="10" t="s">
        <v>0</v>
      </c>
      <c r="B699" s="278" t="s">
        <v>91</v>
      </c>
      <c r="C699" s="278"/>
      <c r="D699" s="278"/>
      <c r="E699" s="278"/>
      <c r="F699" s="278"/>
      <c r="G699" s="278"/>
      <c r="H699" s="278"/>
      <c r="I699" s="278"/>
      <c r="J699" s="278"/>
      <c r="K699" s="278"/>
      <c r="L699" s="278"/>
    </row>
    <row r="700" spans="1:12" ht="15" customHeight="1" thickTop="1" x14ac:dyDescent="0.25">
      <c r="A700" s="1"/>
      <c r="B700" s="11" t="s">
        <v>3</v>
      </c>
      <c r="C700" s="12" t="s">
        <v>4</v>
      </c>
      <c r="D700" s="13"/>
      <c r="E700" s="13"/>
      <c r="F700" s="13"/>
      <c r="G700" s="13"/>
      <c r="H700" s="14"/>
      <c r="I700" s="15" t="s">
        <v>5</v>
      </c>
      <c r="J700" s="12" t="s">
        <v>17</v>
      </c>
      <c r="K700" s="13"/>
      <c r="L700" s="14"/>
    </row>
    <row r="701" spans="1:12" ht="15.75" customHeight="1" x14ac:dyDescent="0.2">
      <c r="A701" s="50"/>
      <c r="B701" s="143">
        <v>1</v>
      </c>
      <c r="C701" s="284" t="s">
        <v>303</v>
      </c>
      <c r="D701" s="285"/>
      <c r="E701" s="285"/>
      <c r="F701" s="285"/>
      <c r="G701" s="76"/>
      <c r="H701" s="79"/>
      <c r="I701" s="56">
        <v>250000</v>
      </c>
      <c r="J701" s="76"/>
      <c r="K701" s="76"/>
      <c r="L701" s="79"/>
    </row>
    <row r="702" spans="1:12" ht="35.25" customHeight="1" x14ac:dyDescent="0.2">
      <c r="B702" s="96"/>
      <c r="C702" s="124"/>
      <c r="D702" s="124"/>
      <c r="E702" s="127"/>
      <c r="F702" s="125"/>
      <c r="G702" s="124"/>
      <c r="H702" s="124"/>
      <c r="I702" s="23"/>
      <c r="L702" s="17"/>
    </row>
    <row r="703" spans="1:12" ht="12.75" customHeight="1" x14ac:dyDescent="0.25">
      <c r="A703" s="1"/>
      <c r="B703" s="39"/>
      <c r="C703" s="1"/>
      <c r="D703" s="1"/>
      <c r="E703" s="1"/>
      <c r="F703" s="40" t="s">
        <v>5</v>
      </c>
      <c r="G703" s="40"/>
      <c r="H703" s="1"/>
      <c r="I703" s="41">
        <f>SUM(I701:I701)</f>
        <v>250000</v>
      </c>
      <c r="J703" s="1"/>
      <c r="K703" s="1"/>
      <c r="L703" s="42"/>
    </row>
    <row r="704" spans="1:12" ht="15" customHeight="1" thickBot="1" x14ac:dyDescent="0.3">
      <c r="A704" s="1"/>
      <c r="B704" s="43"/>
      <c r="C704" s="44"/>
      <c r="D704" s="44"/>
      <c r="E704" s="44"/>
      <c r="F704" s="45"/>
      <c r="G704" s="45"/>
      <c r="H704" s="44"/>
      <c r="I704" s="46"/>
      <c r="J704" s="44"/>
      <c r="K704" s="44"/>
      <c r="L704" s="47"/>
    </row>
    <row r="705" spans="1:12" ht="15.75" thickTop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45.75" customHeight="1" x14ac:dyDescent="0.2">
      <c r="A706" s="10" t="s">
        <v>2</v>
      </c>
      <c r="B706" s="279" t="s">
        <v>11</v>
      </c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</row>
    <row r="707" spans="1:12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2">
      <c r="A708" s="280" t="s">
        <v>12</v>
      </c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</row>
    <row r="709" spans="1:12" ht="15" hidden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9.5" customHeight="1" x14ac:dyDescent="0.25">
      <c r="A711" s="1"/>
      <c r="B711" s="1"/>
      <c r="C711" s="1"/>
      <c r="D711" s="1"/>
      <c r="E711" s="1"/>
      <c r="F711" s="1"/>
      <c r="G711" s="1"/>
      <c r="H711" s="4" t="s">
        <v>199</v>
      </c>
      <c r="J711" s="286" t="s">
        <v>321</v>
      </c>
      <c r="K711" s="286"/>
      <c r="L711" s="286"/>
    </row>
    <row r="712" spans="1:12" ht="17.25" customHeight="1" x14ac:dyDescent="0.25">
      <c r="A712" s="1"/>
      <c r="B712" s="1" t="s">
        <v>15</v>
      </c>
      <c r="C712" s="1"/>
      <c r="D712" s="1"/>
      <c r="E712" s="1"/>
      <c r="F712" s="1"/>
      <c r="G712" s="1"/>
      <c r="H712" s="4" t="s">
        <v>13</v>
      </c>
    </row>
    <row r="713" spans="1:12" ht="15" x14ac:dyDescent="0.25">
      <c r="A713" s="1"/>
      <c r="B713" s="1" t="s">
        <v>18</v>
      </c>
      <c r="C713" s="1"/>
      <c r="D713" s="1"/>
      <c r="E713" s="1"/>
      <c r="F713" s="1"/>
      <c r="G713" s="1"/>
      <c r="H713" s="4" t="s">
        <v>14</v>
      </c>
    </row>
    <row r="714" spans="1:12" ht="21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6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8" hidden="1" customHeight="1" x14ac:dyDescent="0.25">
      <c r="A716" s="1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"/>
    </row>
    <row r="717" spans="1:12" ht="23.25" customHeight="1" x14ac:dyDescent="0.25">
      <c r="A717" s="1"/>
      <c r="K717" s="103"/>
      <c r="L717" s="1"/>
    </row>
    <row r="718" spans="1:12" ht="24" customHeight="1" x14ac:dyDescent="0.25">
      <c r="A718" s="1"/>
      <c r="B718" s="95" t="s">
        <v>77</v>
      </c>
      <c r="H718" s="95" t="s">
        <v>77</v>
      </c>
      <c r="I718" s="95"/>
      <c r="J718" s="92"/>
      <c r="K718" s="103"/>
      <c r="L718" s="1"/>
    </row>
    <row r="719" spans="1:12" ht="12.75" customHeight="1" x14ac:dyDescent="0.25">
      <c r="A719" s="1"/>
      <c r="B719" s="99" t="s">
        <v>27</v>
      </c>
      <c r="C719" s="57"/>
      <c r="H719" s="99" t="s">
        <v>27</v>
      </c>
      <c r="K719" s="103"/>
    </row>
    <row r="720" spans="1:12" ht="17.25" customHeight="1" x14ac:dyDescent="0.2"/>
    <row r="721" spans="1:12" ht="17.25" customHeight="1" x14ac:dyDescent="0.2"/>
    <row r="722" spans="1:12" ht="15.75" x14ac:dyDescent="0.25">
      <c r="A722" s="3" t="s">
        <v>22</v>
      </c>
    </row>
    <row r="723" spans="1:12" ht="20.25" customHeight="1" x14ac:dyDescent="0.2">
      <c r="A723" s="122" t="s">
        <v>20</v>
      </c>
    </row>
    <row r="724" spans="1:12" ht="17.25" customHeight="1" x14ac:dyDescent="0.2">
      <c r="A724" s="122" t="s">
        <v>21</v>
      </c>
    </row>
    <row r="725" spans="1:12" ht="12.75" x14ac:dyDescent="0.2"/>
    <row r="726" spans="1:12" ht="30.75" customHeight="1" x14ac:dyDescent="0.2"/>
    <row r="727" spans="1:12" ht="17.25" customHeight="1" x14ac:dyDescent="0.2"/>
    <row r="728" spans="1:12" ht="28.5" customHeight="1" x14ac:dyDescent="0.3">
      <c r="A728" s="276" t="s">
        <v>6</v>
      </c>
      <c r="B728" s="276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</row>
    <row r="729" spans="1:12" ht="19.5" customHeight="1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</row>
    <row r="730" spans="1:12" ht="17.25" customHeight="1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</row>
    <row r="731" spans="1:12" ht="30.75" customHeight="1" x14ac:dyDescent="0.25">
      <c r="A731" s="1"/>
      <c r="B731" s="1"/>
    </row>
    <row r="732" spans="1:12" ht="21.75" customHeight="1" x14ac:dyDescent="0.25">
      <c r="A732" s="1" t="s">
        <v>7</v>
      </c>
      <c r="B732" s="1"/>
    </row>
    <row r="733" spans="1:12" ht="16.5" customHeight="1" x14ac:dyDescent="0.25">
      <c r="A733" s="1"/>
      <c r="B733" s="1"/>
    </row>
    <row r="734" spans="1:12" ht="23.25" customHeight="1" x14ac:dyDescent="0.25">
      <c r="A734" s="1" t="s">
        <v>8</v>
      </c>
      <c r="C734" s="9" t="s">
        <v>1</v>
      </c>
      <c r="D734" s="92" t="s">
        <v>96</v>
      </c>
      <c r="E734" s="76"/>
      <c r="F734" s="76"/>
      <c r="G734" s="76"/>
      <c r="H734" s="76"/>
    </row>
    <row r="735" spans="1:12" ht="15" customHeight="1" x14ac:dyDescent="0.25">
      <c r="A735" s="1" t="s">
        <v>9</v>
      </c>
      <c r="C735" s="9" t="s">
        <v>1</v>
      </c>
      <c r="D735" s="57" t="s">
        <v>200</v>
      </c>
      <c r="E735" s="76"/>
      <c r="F735" s="76"/>
      <c r="G735" s="76"/>
      <c r="H735" s="76"/>
    </row>
    <row r="736" spans="1:12" ht="10.5" customHeight="1" x14ac:dyDescent="0.2">
      <c r="A736" s="50" t="s">
        <v>10</v>
      </c>
      <c r="B736" s="76"/>
      <c r="C736" s="91" t="s">
        <v>1</v>
      </c>
      <c r="D736" s="50" t="s">
        <v>203</v>
      </c>
      <c r="E736" s="76"/>
      <c r="F736" s="76"/>
      <c r="G736" s="76"/>
      <c r="H736" s="76"/>
      <c r="I736" s="76"/>
      <c r="J736" s="76"/>
      <c r="K736" s="76"/>
      <c r="L736" s="76"/>
    </row>
    <row r="737" spans="1:12" ht="20.25" customHeight="1" x14ac:dyDescent="0.25">
      <c r="A737" s="1"/>
      <c r="B737" s="1"/>
      <c r="D737" s="1"/>
    </row>
    <row r="738" spans="1:12" ht="30" customHeight="1" x14ac:dyDescent="0.2">
      <c r="A738" s="277" t="s">
        <v>333</v>
      </c>
      <c r="B738" s="277"/>
      <c r="C738" s="277"/>
      <c r="D738" s="277"/>
      <c r="E738" s="277"/>
      <c r="F738" s="277"/>
      <c r="G738" s="277"/>
      <c r="H738" s="277"/>
      <c r="I738" s="277"/>
      <c r="J738" s="277"/>
      <c r="K738" s="277"/>
      <c r="L738" s="277"/>
    </row>
    <row r="739" spans="1:12" ht="9.75" customHeight="1" x14ac:dyDescent="0.25">
      <c r="A739" s="1"/>
      <c r="B739" s="1"/>
    </row>
    <row r="740" spans="1:12" ht="34.5" customHeight="1" thickBot="1" x14ac:dyDescent="0.25">
      <c r="A740" s="10" t="s">
        <v>0</v>
      </c>
      <c r="B740" s="278" t="s">
        <v>91</v>
      </c>
      <c r="C740" s="278"/>
      <c r="D740" s="278"/>
      <c r="E740" s="278"/>
      <c r="F740" s="278"/>
      <c r="G740" s="278"/>
      <c r="H740" s="278"/>
      <c r="I740" s="278"/>
      <c r="J740" s="278"/>
      <c r="K740" s="278"/>
      <c r="L740" s="278"/>
    </row>
    <row r="741" spans="1:12" ht="14.25" customHeight="1" thickTop="1" x14ac:dyDescent="0.25">
      <c r="A741" s="1"/>
      <c r="B741" s="11" t="s">
        <v>3</v>
      </c>
      <c r="C741" s="12" t="s">
        <v>4</v>
      </c>
      <c r="D741" s="13"/>
      <c r="E741" s="13"/>
      <c r="F741" s="13"/>
      <c r="G741" s="13"/>
      <c r="H741" s="14"/>
      <c r="I741" s="15" t="s">
        <v>5</v>
      </c>
      <c r="J741" s="12" t="s">
        <v>17</v>
      </c>
      <c r="K741" s="13"/>
      <c r="L741" s="14"/>
    </row>
    <row r="742" spans="1:12" ht="15" x14ac:dyDescent="0.2">
      <c r="A742" s="50"/>
      <c r="B742" s="143">
        <v>1</v>
      </c>
      <c r="C742" s="284" t="s">
        <v>303</v>
      </c>
      <c r="D742" s="285"/>
      <c r="E742" s="285"/>
      <c r="F742" s="285"/>
      <c r="G742" s="76"/>
      <c r="H742" s="79"/>
      <c r="I742" s="56">
        <v>250000</v>
      </c>
      <c r="J742" s="76"/>
      <c r="K742" s="76"/>
      <c r="L742" s="79"/>
    </row>
    <row r="743" spans="1:12" s="99" customFormat="1" ht="31.5" customHeight="1" x14ac:dyDescent="0.2">
      <c r="A743" s="4"/>
      <c r="B743" s="96"/>
      <c r="C743" s="124"/>
      <c r="D743" s="124"/>
      <c r="E743" s="127"/>
      <c r="F743" s="125"/>
      <c r="G743" s="124"/>
      <c r="H743" s="124"/>
      <c r="I743" s="23"/>
      <c r="J743" s="4"/>
      <c r="K743" s="4"/>
      <c r="L743" s="17"/>
    </row>
    <row r="744" spans="1:12" ht="16.5" customHeight="1" x14ac:dyDescent="0.25">
      <c r="A744" s="1"/>
      <c r="B744" s="39"/>
      <c r="C744" s="1"/>
      <c r="D744" s="1"/>
      <c r="E744" s="1"/>
      <c r="F744" s="40" t="s">
        <v>5</v>
      </c>
      <c r="G744" s="40"/>
      <c r="H744" s="1"/>
      <c r="I744" s="41">
        <f>SUM(I742:I742)</f>
        <v>250000</v>
      </c>
      <c r="J744" s="1"/>
      <c r="K744" s="1"/>
      <c r="L744" s="42"/>
    </row>
    <row r="745" spans="1:12" ht="15.75" thickBot="1" x14ac:dyDescent="0.3">
      <c r="A745" s="1"/>
      <c r="B745" s="43"/>
      <c r="C745" s="44"/>
      <c r="D745" s="44"/>
      <c r="E745" s="44"/>
      <c r="F745" s="45"/>
      <c r="G745" s="45"/>
      <c r="H745" s="44"/>
      <c r="I745" s="46"/>
      <c r="J745" s="44"/>
      <c r="K745" s="44"/>
      <c r="L745" s="47"/>
    </row>
    <row r="746" spans="1:12" ht="18.75" customHeight="1" thickTop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46.5" customHeight="1" x14ac:dyDescent="0.2">
      <c r="A747" s="10" t="s">
        <v>2</v>
      </c>
      <c r="B747" s="279" t="s">
        <v>11</v>
      </c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</row>
    <row r="748" spans="1:12" ht="6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2" customHeight="1" x14ac:dyDescent="0.2">
      <c r="A749" s="280" t="s">
        <v>12</v>
      </c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</row>
    <row r="750" spans="1:12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20.25" customHeight="1" x14ac:dyDescent="0.25">
      <c r="A752" s="1"/>
      <c r="B752" s="1"/>
      <c r="C752" s="1"/>
      <c r="D752" s="1"/>
      <c r="E752" s="1"/>
      <c r="F752" s="1"/>
      <c r="G752" s="1"/>
      <c r="H752" s="4" t="s">
        <v>199</v>
      </c>
      <c r="J752" s="286" t="s">
        <v>321</v>
      </c>
      <c r="K752" s="286"/>
      <c r="L752" s="286"/>
    </row>
    <row r="753" spans="1:12" ht="15" x14ac:dyDescent="0.25">
      <c r="A753" s="1"/>
      <c r="B753" s="1" t="s">
        <v>15</v>
      </c>
      <c r="C753" s="1"/>
      <c r="D753" s="1"/>
      <c r="E753" s="1"/>
      <c r="F753" s="1"/>
      <c r="G753" s="1"/>
      <c r="H753" s="4" t="s">
        <v>13</v>
      </c>
    </row>
    <row r="754" spans="1:12" ht="15" x14ac:dyDescent="0.25">
      <c r="A754" s="1"/>
      <c r="B754" s="1" t="s">
        <v>18</v>
      </c>
      <c r="C754" s="1"/>
      <c r="D754" s="1"/>
      <c r="E754" s="1"/>
      <c r="F754" s="1"/>
      <c r="G754" s="1"/>
      <c r="H754" s="4" t="s">
        <v>14</v>
      </c>
    </row>
    <row r="755" spans="1:12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9" customHeight="1" x14ac:dyDescent="0.25">
      <c r="A757" s="1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"/>
    </row>
    <row r="758" spans="1:12" ht="15" hidden="1" x14ac:dyDescent="0.25">
      <c r="A758" s="1"/>
      <c r="K758" s="103"/>
      <c r="L758" s="1"/>
    </row>
    <row r="759" spans="1:12" ht="38.25" customHeight="1" x14ac:dyDescent="0.25">
      <c r="A759" s="1"/>
      <c r="B759" s="95" t="s">
        <v>77</v>
      </c>
      <c r="H759" s="95" t="s">
        <v>96</v>
      </c>
      <c r="I759" s="95"/>
      <c r="J759" s="92"/>
      <c r="K759" s="103"/>
      <c r="L759" s="1"/>
    </row>
    <row r="760" spans="1:12" ht="15.75" customHeight="1" x14ac:dyDescent="0.25">
      <c r="A760" s="1"/>
      <c r="B760" s="99" t="s">
        <v>27</v>
      </c>
      <c r="C760" s="57"/>
      <c r="H760" s="99" t="s">
        <v>100</v>
      </c>
      <c r="K760" s="103"/>
    </row>
    <row r="761" spans="1:12" ht="24.75" customHeight="1" x14ac:dyDescent="0.2"/>
    <row r="762" spans="1:12" ht="24.75" customHeight="1" x14ac:dyDescent="0.2"/>
    <row r="763" spans="1:12" ht="16.5" customHeight="1" x14ac:dyDescent="0.25">
      <c r="A763" s="3" t="s">
        <v>22</v>
      </c>
    </row>
    <row r="764" spans="1:12" ht="18.75" customHeight="1" x14ac:dyDescent="0.2">
      <c r="A764" s="122" t="s">
        <v>20</v>
      </c>
    </row>
    <row r="765" spans="1:12" ht="17.25" customHeight="1" x14ac:dyDescent="0.2">
      <c r="A765" s="122" t="s">
        <v>21</v>
      </c>
    </row>
    <row r="766" spans="1:12" ht="12.75" x14ac:dyDescent="0.2"/>
    <row r="767" spans="1:12" ht="15" customHeight="1" x14ac:dyDescent="0.2"/>
    <row r="768" spans="1:12" ht="12.75" x14ac:dyDescent="0.2"/>
    <row r="769" spans="1:12" ht="30.75" customHeight="1" x14ac:dyDescent="0.3">
      <c r="A769" s="276" t="s">
        <v>6</v>
      </c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</row>
    <row r="770" spans="1:12" ht="18" customHeight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</row>
    <row r="771" spans="1:12" ht="3" customHeigh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</row>
    <row r="772" spans="1:12" ht="15.75" customHeight="1" x14ac:dyDescent="0.25">
      <c r="A772" s="1"/>
      <c r="B772" s="1"/>
    </row>
    <row r="773" spans="1:12" ht="22.5" customHeight="1" x14ac:dyDescent="0.25">
      <c r="A773" s="1" t="s">
        <v>7</v>
      </c>
      <c r="B773" s="1"/>
    </row>
    <row r="774" spans="1:12" ht="14.25" customHeight="1" x14ac:dyDescent="0.25">
      <c r="A774" s="1"/>
      <c r="B774" s="1"/>
    </row>
    <row r="775" spans="1:12" ht="15" x14ac:dyDescent="0.25">
      <c r="A775" s="1" t="s">
        <v>8</v>
      </c>
      <c r="C775" s="9" t="s">
        <v>1</v>
      </c>
      <c r="D775" s="67" t="s">
        <v>328</v>
      </c>
      <c r="E775" s="76"/>
      <c r="F775" s="76"/>
      <c r="G775" s="76"/>
      <c r="H775" s="76"/>
    </row>
    <row r="776" spans="1:12" ht="14.25" customHeight="1" x14ac:dyDescent="0.25">
      <c r="A776" s="1" t="s">
        <v>9</v>
      </c>
      <c r="C776" s="9" t="s">
        <v>1</v>
      </c>
      <c r="D776" s="68" t="s">
        <v>330</v>
      </c>
      <c r="E776" s="76"/>
      <c r="F776" s="76"/>
      <c r="G776" s="76"/>
      <c r="H776" s="76"/>
    </row>
    <row r="777" spans="1:12" ht="15" x14ac:dyDescent="0.2">
      <c r="A777" s="50" t="s">
        <v>10</v>
      </c>
      <c r="B777" s="76"/>
      <c r="C777" s="91" t="s">
        <v>1</v>
      </c>
      <c r="D777" s="50" t="s">
        <v>81</v>
      </c>
      <c r="E777" s="76"/>
      <c r="F777" s="76"/>
      <c r="G777" s="76"/>
      <c r="H777" s="76"/>
      <c r="I777" s="76"/>
      <c r="J777" s="76"/>
      <c r="K777" s="76"/>
      <c r="L777" s="76"/>
    </row>
    <row r="778" spans="1:12" ht="18" customHeight="1" x14ac:dyDescent="0.25">
      <c r="A778" s="1"/>
      <c r="B778" s="1"/>
      <c r="D778" s="1"/>
    </row>
    <row r="779" spans="1:12" ht="30" customHeight="1" x14ac:dyDescent="0.2">
      <c r="A779" s="277" t="s">
        <v>333</v>
      </c>
      <c r="B779" s="277"/>
      <c r="C779" s="277"/>
      <c r="D779" s="277"/>
      <c r="E779" s="277"/>
      <c r="F779" s="277"/>
      <c r="G779" s="277"/>
      <c r="H779" s="277"/>
      <c r="I779" s="277"/>
      <c r="J779" s="277"/>
      <c r="K779" s="277"/>
      <c r="L779" s="277"/>
    </row>
    <row r="780" spans="1:12" ht="15" x14ac:dyDescent="0.25">
      <c r="A780" s="1"/>
      <c r="B780" s="1"/>
    </row>
    <row r="781" spans="1:12" ht="34.5" customHeight="1" thickBot="1" x14ac:dyDescent="0.25">
      <c r="A781" s="10" t="s">
        <v>0</v>
      </c>
      <c r="B781" s="278" t="s">
        <v>91</v>
      </c>
      <c r="C781" s="278"/>
      <c r="D781" s="278"/>
      <c r="E781" s="278"/>
      <c r="F781" s="278"/>
      <c r="G781" s="278"/>
      <c r="H781" s="278"/>
      <c r="I781" s="278"/>
      <c r="J781" s="278"/>
      <c r="K781" s="278"/>
      <c r="L781" s="278"/>
    </row>
    <row r="782" spans="1:12" ht="17.25" customHeight="1" thickTop="1" x14ac:dyDescent="0.25">
      <c r="A782" s="1"/>
      <c r="B782" s="11" t="s">
        <v>3</v>
      </c>
      <c r="C782" s="12" t="s">
        <v>4</v>
      </c>
      <c r="D782" s="13"/>
      <c r="E782" s="13"/>
      <c r="F782" s="13"/>
      <c r="G782" s="13"/>
      <c r="H782" s="14"/>
      <c r="I782" s="15" t="s">
        <v>5</v>
      </c>
      <c r="J782" s="12" t="s">
        <v>17</v>
      </c>
      <c r="K782" s="13"/>
      <c r="L782" s="14"/>
    </row>
    <row r="783" spans="1:12" ht="19.5" customHeight="1" x14ac:dyDescent="0.2">
      <c r="A783" s="50"/>
      <c r="B783" s="143">
        <v>1</v>
      </c>
      <c r="C783" s="284" t="s">
        <v>303</v>
      </c>
      <c r="D783" s="285"/>
      <c r="E783" s="285"/>
      <c r="F783" s="285"/>
      <c r="G783" s="76"/>
      <c r="H783" s="79"/>
      <c r="I783" s="56">
        <v>250000</v>
      </c>
      <c r="J783" s="76"/>
      <c r="K783" s="76"/>
      <c r="L783" s="79"/>
    </row>
    <row r="784" spans="1:12" ht="30.75" customHeight="1" x14ac:dyDescent="0.2">
      <c r="B784" s="96"/>
      <c r="C784" s="124"/>
      <c r="D784" s="124"/>
      <c r="E784" s="127"/>
      <c r="F784" s="125"/>
      <c r="G784" s="124"/>
      <c r="H784" s="124"/>
      <c r="I784" s="23"/>
      <c r="L784" s="17"/>
    </row>
    <row r="785" spans="1:12" ht="12" customHeight="1" x14ac:dyDescent="0.25">
      <c r="A785" s="1"/>
      <c r="B785" s="39"/>
      <c r="C785" s="1"/>
      <c r="D785" s="1"/>
      <c r="E785" s="1"/>
      <c r="F785" s="40" t="s">
        <v>5</v>
      </c>
      <c r="G785" s="40"/>
      <c r="H785" s="1"/>
      <c r="I785" s="41">
        <f>SUM(I783:I783)</f>
        <v>250000</v>
      </c>
      <c r="J785" s="1"/>
      <c r="K785" s="1"/>
      <c r="L785" s="42"/>
    </row>
    <row r="786" spans="1:12" ht="15.75" thickBot="1" x14ac:dyDescent="0.3">
      <c r="A786" s="1"/>
      <c r="B786" s="43"/>
      <c r="C786" s="44"/>
      <c r="D786" s="44"/>
      <c r="E786" s="44"/>
      <c r="F786" s="45"/>
      <c r="G786" s="45"/>
      <c r="H786" s="44"/>
      <c r="I786" s="46"/>
      <c r="J786" s="44"/>
      <c r="K786" s="44"/>
      <c r="L786" s="47"/>
    </row>
    <row r="787" spans="1:12" ht="5.25" customHeight="1" thickTop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49.5" customHeight="1" x14ac:dyDescent="0.2">
      <c r="A788" s="10" t="s">
        <v>2</v>
      </c>
      <c r="B788" s="279" t="s">
        <v>11</v>
      </c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</row>
    <row r="789" spans="1:12" ht="1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7.25" customHeight="1" x14ac:dyDescent="0.2">
      <c r="A790" s="280" t="s">
        <v>12</v>
      </c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</row>
    <row r="791" spans="1:12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" x14ac:dyDescent="0.25">
      <c r="A793" s="1"/>
      <c r="B793" s="1"/>
      <c r="C793" s="1"/>
      <c r="D793" s="1"/>
      <c r="E793" s="1"/>
      <c r="F793" s="1"/>
      <c r="G793" s="1"/>
      <c r="H793" s="4" t="s">
        <v>199</v>
      </c>
      <c r="J793" s="286" t="s">
        <v>321</v>
      </c>
      <c r="K793" s="286"/>
      <c r="L793" s="286"/>
    </row>
    <row r="794" spans="1:12" ht="15" x14ac:dyDescent="0.25">
      <c r="A794" s="1"/>
      <c r="B794" s="1" t="s">
        <v>15</v>
      </c>
      <c r="C794" s="1"/>
      <c r="D794" s="1"/>
      <c r="E794" s="1"/>
      <c r="F794" s="1"/>
      <c r="G794" s="1"/>
      <c r="H794" s="4" t="s">
        <v>13</v>
      </c>
    </row>
    <row r="795" spans="1:12" ht="12.75" customHeight="1" x14ac:dyDescent="0.25">
      <c r="A795" s="1"/>
      <c r="B795" s="1" t="s">
        <v>18</v>
      </c>
      <c r="C795" s="1"/>
      <c r="D795" s="1"/>
      <c r="E795" s="1"/>
      <c r="F795" s="1"/>
      <c r="G795" s="1"/>
      <c r="H795" s="4" t="s">
        <v>14</v>
      </c>
    </row>
    <row r="796" spans="1:12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21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2.25" customHeight="1" x14ac:dyDescent="0.25">
      <c r="A798" s="1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"/>
    </row>
    <row r="799" spans="1:12" ht="6" customHeight="1" x14ac:dyDescent="0.25">
      <c r="A799" s="1"/>
      <c r="K799" s="103"/>
      <c r="L799" s="1"/>
    </row>
    <row r="800" spans="1:12" ht="27.75" customHeight="1" x14ac:dyDescent="0.25">
      <c r="A800" s="1"/>
      <c r="B800" s="95" t="s">
        <v>77</v>
      </c>
      <c r="H800" s="147" t="s">
        <v>328</v>
      </c>
      <c r="I800" s="95"/>
      <c r="J800" s="92"/>
      <c r="K800" s="103"/>
      <c r="L800" s="1"/>
    </row>
    <row r="801" spans="1:12" ht="15" x14ac:dyDescent="0.2">
      <c r="A801" s="48"/>
      <c r="B801" s="99" t="s">
        <v>27</v>
      </c>
      <c r="C801" s="146"/>
      <c r="D801" s="99"/>
      <c r="E801" s="99"/>
      <c r="F801" s="99"/>
      <c r="G801" s="99"/>
      <c r="H801" s="48" t="s">
        <v>329</v>
      </c>
      <c r="I801" s="99"/>
      <c r="J801" s="99"/>
      <c r="K801" s="104"/>
      <c r="L801" s="99"/>
    </row>
    <row r="802" spans="1:12" ht="22.5" customHeight="1" x14ac:dyDescent="0.2"/>
    <row r="803" spans="1:12" ht="19.5" customHeight="1" x14ac:dyDescent="0.2"/>
    <row r="804" spans="1:12" ht="18.75" customHeight="1" x14ac:dyDescent="0.2"/>
    <row r="805" spans="1:12" ht="14.25" customHeight="1" x14ac:dyDescent="0.2"/>
    <row r="806" spans="1:12" ht="12.75" customHeight="1" x14ac:dyDescent="0.2"/>
    <row r="807" spans="1:12" ht="20.25" customHeight="1" x14ac:dyDescent="0.25">
      <c r="A807" s="3" t="s">
        <v>22</v>
      </c>
    </row>
    <row r="808" spans="1:12" ht="23.25" customHeight="1" x14ac:dyDescent="0.2">
      <c r="A808" s="122" t="s">
        <v>20</v>
      </c>
    </row>
    <row r="809" spans="1:12" ht="15.75" x14ac:dyDescent="0.2">
      <c r="A809" s="122" t="s">
        <v>21</v>
      </c>
    </row>
    <row r="810" spans="1:12" ht="15" customHeight="1" x14ac:dyDescent="0.2"/>
    <row r="811" spans="1:12" ht="12.75" x14ac:dyDescent="0.2"/>
    <row r="812" spans="1:12" ht="13.5" customHeight="1" x14ac:dyDescent="0.2"/>
    <row r="813" spans="1:12" ht="19.5" customHeight="1" x14ac:dyDescent="0.3">
      <c r="A813" s="276" t="s">
        <v>6</v>
      </c>
      <c r="B813" s="276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</row>
    <row r="814" spans="1:12" ht="14.25" customHeight="1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</row>
    <row r="815" spans="1:12" ht="15" customHeight="1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</row>
    <row r="816" spans="1:12" s="76" customFormat="1" ht="12.75" customHeight="1" x14ac:dyDescent="0.25">
      <c r="A816" s="1"/>
      <c r="B816" s="1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s="76" customFormat="1" ht="15.75" customHeight="1" x14ac:dyDescent="0.25">
      <c r="A817" s="1" t="s">
        <v>7</v>
      </c>
      <c r="B817" s="1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4.25" customHeight="1" x14ac:dyDescent="0.25">
      <c r="A818" s="1"/>
      <c r="B818" s="1"/>
    </row>
    <row r="819" spans="1:12" ht="18" customHeight="1" x14ac:dyDescent="0.25">
      <c r="A819" s="1" t="s">
        <v>8</v>
      </c>
      <c r="C819" s="9" t="s">
        <v>1</v>
      </c>
      <c r="D819" s="126" t="s">
        <v>64</v>
      </c>
      <c r="E819" s="76"/>
      <c r="F819" s="76"/>
      <c r="G819" s="76"/>
      <c r="H819" s="76"/>
    </row>
    <row r="820" spans="1:12" ht="12.75" customHeight="1" x14ac:dyDescent="0.25">
      <c r="A820" s="1" t="s">
        <v>9</v>
      </c>
      <c r="C820" s="9" t="s">
        <v>1</v>
      </c>
      <c r="D820" s="119" t="s">
        <v>236</v>
      </c>
      <c r="E820" s="76"/>
      <c r="F820" s="76"/>
      <c r="G820" s="76"/>
      <c r="H820" s="76"/>
    </row>
    <row r="821" spans="1:12" ht="14.25" customHeight="1" x14ac:dyDescent="0.2">
      <c r="A821" s="50" t="s">
        <v>10</v>
      </c>
      <c r="B821" s="76"/>
      <c r="C821" s="91" t="s">
        <v>1</v>
      </c>
      <c r="D821" s="124" t="s">
        <v>235</v>
      </c>
      <c r="E821" s="76"/>
      <c r="F821" s="76"/>
      <c r="G821" s="76"/>
      <c r="H821" s="76"/>
      <c r="I821" s="76"/>
      <c r="J821" s="76"/>
      <c r="K821" s="76"/>
      <c r="L821" s="76"/>
    </row>
    <row r="822" spans="1:12" ht="13.5" customHeight="1" x14ac:dyDescent="0.25">
      <c r="A822" s="1"/>
      <c r="B822" s="1"/>
      <c r="D822" s="1"/>
    </row>
    <row r="823" spans="1:12" ht="30" customHeight="1" x14ac:dyDescent="0.2">
      <c r="A823" s="277" t="s">
        <v>333</v>
      </c>
      <c r="B823" s="277"/>
      <c r="C823" s="277"/>
      <c r="D823" s="277"/>
      <c r="E823" s="277"/>
      <c r="F823" s="277"/>
      <c r="G823" s="277"/>
      <c r="H823" s="277"/>
      <c r="I823" s="277"/>
      <c r="J823" s="277"/>
      <c r="K823" s="277"/>
      <c r="L823" s="277"/>
    </row>
    <row r="824" spans="1:12" ht="14.25" customHeight="1" x14ac:dyDescent="0.25">
      <c r="A824" s="1"/>
      <c r="B824" s="1"/>
    </row>
    <row r="825" spans="1:12" ht="32.25" customHeight="1" thickBot="1" x14ac:dyDescent="0.25">
      <c r="A825" s="10" t="s">
        <v>0</v>
      </c>
      <c r="B825" s="278" t="s">
        <v>91</v>
      </c>
      <c r="C825" s="278"/>
      <c r="D825" s="278"/>
      <c r="E825" s="278"/>
      <c r="F825" s="278"/>
      <c r="G825" s="278"/>
      <c r="H825" s="278"/>
      <c r="I825" s="278"/>
      <c r="J825" s="278"/>
      <c r="K825" s="278"/>
      <c r="L825" s="278"/>
    </row>
    <row r="826" spans="1:12" ht="12.75" customHeight="1" thickTop="1" x14ac:dyDescent="0.25">
      <c r="A826" s="1"/>
      <c r="B826" s="11" t="s">
        <v>3</v>
      </c>
      <c r="C826" s="12" t="s">
        <v>4</v>
      </c>
      <c r="D826" s="13"/>
      <c r="E826" s="13"/>
      <c r="F826" s="13"/>
      <c r="G826" s="13"/>
      <c r="H826" s="14"/>
      <c r="I826" s="15" t="s">
        <v>5</v>
      </c>
      <c r="J826" s="12" t="s">
        <v>17</v>
      </c>
      <c r="K826" s="13"/>
      <c r="L826" s="14"/>
    </row>
    <row r="827" spans="1:12" ht="17.25" customHeight="1" x14ac:dyDescent="0.2">
      <c r="A827" s="50"/>
      <c r="B827" s="143">
        <v>1</v>
      </c>
      <c r="C827" s="284" t="s">
        <v>303</v>
      </c>
      <c r="D827" s="285"/>
      <c r="E827" s="285"/>
      <c r="F827" s="285"/>
      <c r="G827" s="76"/>
      <c r="H827" s="79"/>
      <c r="I827" s="56">
        <v>250000</v>
      </c>
      <c r="J827" s="76"/>
      <c r="K827" s="76"/>
      <c r="L827" s="79"/>
    </row>
    <row r="828" spans="1:12" ht="33.75" customHeight="1" x14ac:dyDescent="0.2">
      <c r="B828" s="96"/>
      <c r="C828" s="124"/>
      <c r="D828" s="124"/>
      <c r="E828" s="127"/>
      <c r="F828" s="125"/>
      <c r="G828" s="124"/>
      <c r="H828" s="124"/>
      <c r="I828" s="23"/>
      <c r="L828" s="17"/>
    </row>
    <row r="829" spans="1:12" ht="18" customHeight="1" x14ac:dyDescent="0.25">
      <c r="A829" s="1"/>
      <c r="B829" s="39"/>
      <c r="C829" s="1"/>
      <c r="D829" s="1"/>
      <c r="E829" s="1"/>
      <c r="F829" s="40" t="s">
        <v>5</v>
      </c>
      <c r="G829" s="40"/>
      <c r="H829" s="1"/>
      <c r="I829" s="41">
        <f>SUM(I827:I827)</f>
        <v>250000</v>
      </c>
      <c r="J829" s="1"/>
      <c r="K829" s="1"/>
      <c r="L829" s="42"/>
    </row>
    <row r="830" spans="1:12" ht="17.25" customHeight="1" thickBot="1" x14ac:dyDescent="0.3">
      <c r="A830" s="1"/>
      <c r="B830" s="43"/>
      <c r="C830" s="44"/>
      <c r="D830" s="44"/>
      <c r="E830" s="44"/>
      <c r="F830" s="45"/>
      <c r="G830" s="45"/>
      <c r="H830" s="44"/>
      <c r="I830" s="46"/>
      <c r="J830" s="44"/>
      <c r="K830" s="44"/>
      <c r="L830" s="47"/>
    </row>
    <row r="831" spans="1:12" ht="15" customHeight="1" thickTop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46.5" customHeight="1" x14ac:dyDescent="0.2">
      <c r="A832" s="10" t="s">
        <v>2</v>
      </c>
      <c r="B832" s="279" t="s">
        <v>11</v>
      </c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</row>
    <row r="833" spans="1:1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" x14ac:dyDescent="0.2">
      <c r="A834" s="280" t="s">
        <v>12</v>
      </c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</row>
    <row r="835" spans="1:12" ht="18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2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8" customHeight="1" x14ac:dyDescent="0.25">
      <c r="A837" s="1"/>
      <c r="B837" s="1"/>
      <c r="C837" s="1"/>
      <c r="D837" s="1"/>
      <c r="E837" s="1"/>
      <c r="F837" s="1"/>
      <c r="G837" s="1"/>
    </row>
    <row r="838" spans="1:12" ht="15" hidden="1" x14ac:dyDescent="0.25">
      <c r="A838" s="1"/>
      <c r="B838" s="1"/>
      <c r="C838" s="1"/>
      <c r="D838" s="1"/>
      <c r="E838" s="1"/>
      <c r="F838" s="1"/>
      <c r="G838" s="1"/>
      <c r="H838" s="4" t="s">
        <v>199</v>
      </c>
      <c r="J838" s="286" t="s">
        <v>321</v>
      </c>
      <c r="K838" s="286"/>
      <c r="L838" s="286"/>
    </row>
    <row r="839" spans="1:12" ht="20.25" customHeight="1" x14ac:dyDescent="0.25">
      <c r="A839" s="1"/>
      <c r="B839" s="1" t="s">
        <v>15</v>
      </c>
      <c r="C839" s="1"/>
      <c r="D839" s="1"/>
      <c r="E839" s="1"/>
      <c r="F839" s="1"/>
      <c r="G839" s="1"/>
      <c r="H839" s="4" t="s">
        <v>13</v>
      </c>
    </row>
    <row r="840" spans="1:12" ht="13.5" customHeight="1" x14ac:dyDescent="0.25">
      <c r="A840" s="1"/>
      <c r="B840" s="1" t="s">
        <v>18</v>
      </c>
      <c r="C840" s="1"/>
      <c r="D840" s="1"/>
      <c r="E840" s="1"/>
      <c r="F840" s="1"/>
      <c r="G840" s="1"/>
      <c r="H840" s="4" t="s">
        <v>14</v>
      </c>
    </row>
    <row r="841" spans="1:12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8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9.75" customHeight="1" x14ac:dyDescent="0.25">
      <c r="A843" s="1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"/>
    </row>
    <row r="844" spans="1:12" ht="23.25" hidden="1" customHeight="1" x14ac:dyDescent="0.25">
      <c r="A844" s="1"/>
      <c r="K844" s="103"/>
      <c r="L844" s="1"/>
    </row>
    <row r="845" spans="1:12" ht="15" x14ac:dyDescent="0.25">
      <c r="A845" s="1"/>
      <c r="B845" s="95" t="s">
        <v>77</v>
      </c>
      <c r="H845" s="95" t="s">
        <v>64</v>
      </c>
      <c r="I845" s="95"/>
      <c r="J845" s="92"/>
      <c r="K845" s="103"/>
      <c r="L845" s="1"/>
    </row>
    <row r="846" spans="1:12" ht="15.75" customHeight="1" x14ac:dyDescent="0.25">
      <c r="A846" s="1"/>
      <c r="B846" s="99" t="s">
        <v>27</v>
      </c>
      <c r="C846" s="57"/>
      <c r="H846" s="99" t="s">
        <v>46</v>
      </c>
      <c r="K846" s="103"/>
    </row>
    <row r="847" spans="1:12" ht="21" customHeight="1" x14ac:dyDescent="0.2"/>
    <row r="848" spans="1:12" ht="18" customHeight="1" x14ac:dyDescent="0.2"/>
    <row r="849" spans="1:12" ht="18" customHeight="1" x14ac:dyDescent="0.2"/>
    <row r="850" spans="1:12" ht="12.75" x14ac:dyDescent="0.2"/>
    <row r="851" spans="1:12" ht="12.75" customHeight="1" x14ac:dyDescent="0.2"/>
    <row r="852" spans="1:12" ht="34.5" customHeight="1" x14ac:dyDescent="0.25">
      <c r="A852" s="3" t="s">
        <v>22</v>
      </c>
    </row>
    <row r="853" spans="1:12" ht="15.75" customHeight="1" x14ac:dyDescent="0.2">
      <c r="A853" s="122" t="s">
        <v>20</v>
      </c>
    </row>
    <row r="854" spans="1:12" ht="17.25" customHeight="1" x14ac:dyDescent="0.2">
      <c r="A854" s="122" t="s">
        <v>21</v>
      </c>
    </row>
    <row r="855" spans="1:12" ht="22.5" customHeight="1" x14ac:dyDescent="0.2"/>
    <row r="856" spans="1:12" ht="12.75" x14ac:dyDescent="0.2"/>
    <row r="857" spans="1:12" ht="12.75" x14ac:dyDescent="0.2"/>
    <row r="858" spans="1:12" ht="18.75" x14ac:dyDescent="0.3">
      <c r="A858" s="276" t="s">
        <v>6</v>
      </c>
      <c r="B858" s="276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</row>
    <row r="859" spans="1:12" ht="17.25" customHeight="1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</row>
    <row r="860" spans="1:12" ht="18" customHeight="1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</row>
    <row r="861" spans="1:12" ht="18" customHeight="1" x14ac:dyDescent="0.25">
      <c r="A861" s="1"/>
      <c r="B861" s="1"/>
    </row>
    <row r="862" spans="1:12" ht="15.75" customHeight="1" x14ac:dyDescent="0.25">
      <c r="A862" s="1" t="s">
        <v>7</v>
      </c>
      <c r="B862" s="1"/>
    </row>
    <row r="863" spans="1:12" ht="15" x14ac:dyDescent="0.25">
      <c r="A863" s="1"/>
      <c r="B863" s="1"/>
    </row>
    <row r="864" spans="1:12" ht="12" customHeight="1" x14ac:dyDescent="0.25">
      <c r="A864" s="1" t="s">
        <v>8</v>
      </c>
      <c r="C864" s="9" t="s">
        <v>1</v>
      </c>
      <c r="D864" s="40" t="s">
        <v>107</v>
      </c>
      <c r="E864" s="76"/>
      <c r="F864" s="76"/>
      <c r="G864" s="76"/>
      <c r="H864" s="76"/>
    </row>
    <row r="865" spans="1:12" ht="13.5" customHeight="1" x14ac:dyDescent="0.25">
      <c r="A865" s="1" t="s">
        <v>9</v>
      </c>
      <c r="C865" s="9" t="s">
        <v>1</v>
      </c>
      <c r="D865" s="7" t="s">
        <v>249</v>
      </c>
      <c r="E865" s="76"/>
      <c r="F865" s="76"/>
      <c r="G865" s="76"/>
      <c r="H865" s="76"/>
    </row>
    <row r="866" spans="1:12" ht="14.25" customHeight="1" x14ac:dyDescent="0.25">
      <c r="A866" s="50" t="s">
        <v>10</v>
      </c>
      <c r="B866" s="76"/>
      <c r="C866" s="91" t="s">
        <v>1</v>
      </c>
      <c r="D866" s="1" t="s">
        <v>250</v>
      </c>
      <c r="E866" s="76"/>
      <c r="F866" s="76"/>
      <c r="G866" s="76"/>
      <c r="H866" s="76"/>
      <c r="I866" s="76"/>
      <c r="J866" s="76"/>
      <c r="K866" s="76"/>
      <c r="L866" s="76"/>
    </row>
    <row r="867" spans="1:12" ht="15" customHeight="1" x14ac:dyDescent="0.25">
      <c r="A867" s="1"/>
      <c r="B867" s="1"/>
      <c r="D867" s="1"/>
    </row>
    <row r="868" spans="1:12" ht="30" customHeight="1" x14ac:dyDescent="0.2">
      <c r="A868" s="277" t="s">
        <v>333</v>
      </c>
      <c r="B868" s="277"/>
      <c r="C868" s="277"/>
      <c r="D868" s="277"/>
      <c r="E868" s="277"/>
      <c r="F868" s="277"/>
      <c r="G868" s="277"/>
      <c r="H868" s="277"/>
      <c r="I868" s="277"/>
      <c r="J868" s="277"/>
      <c r="K868" s="277"/>
      <c r="L868" s="277"/>
    </row>
    <row r="869" spans="1:12" ht="19.5" customHeight="1" x14ac:dyDescent="0.25">
      <c r="A869" s="1"/>
      <c r="B869" s="1"/>
    </row>
    <row r="870" spans="1:12" ht="32.25" customHeight="1" thickBot="1" x14ac:dyDescent="0.25">
      <c r="A870" s="10" t="s">
        <v>0</v>
      </c>
      <c r="B870" s="278" t="s">
        <v>91</v>
      </c>
      <c r="C870" s="278"/>
      <c r="D870" s="278"/>
      <c r="E870" s="278"/>
      <c r="F870" s="278"/>
      <c r="G870" s="278"/>
      <c r="H870" s="278"/>
      <c r="I870" s="278"/>
      <c r="J870" s="278"/>
      <c r="K870" s="278"/>
      <c r="L870" s="278"/>
    </row>
    <row r="871" spans="1:12" ht="15.75" thickTop="1" x14ac:dyDescent="0.25">
      <c r="A871" s="1"/>
      <c r="B871" s="11" t="s">
        <v>3</v>
      </c>
      <c r="C871" s="12" t="s">
        <v>4</v>
      </c>
      <c r="D871" s="13"/>
      <c r="E871" s="13"/>
      <c r="F871" s="13"/>
      <c r="G871" s="13"/>
      <c r="H871" s="14"/>
      <c r="I871" s="15" t="s">
        <v>5</v>
      </c>
      <c r="J871" s="12" t="s">
        <v>17</v>
      </c>
      <c r="K871" s="13"/>
      <c r="L871" s="14"/>
    </row>
    <row r="872" spans="1:12" ht="18.75" customHeight="1" x14ac:dyDescent="0.2">
      <c r="A872" s="50"/>
      <c r="B872" s="143">
        <v>1</v>
      </c>
      <c r="C872" s="284" t="s">
        <v>303</v>
      </c>
      <c r="D872" s="285"/>
      <c r="E872" s="285"/>
      <c r="F872" s="285"/>
      <c r="G872" s="76"/>
      <c r="H872" s="79"/>
      <c r="I872" s="56">
        <v>250000</v>
      </c>
      <c r="J872" s="76"/>
      <c r="K872" s="76"/>
      <c r="L872" s="79"/>
    </row>
    <row r="873" spans="1:12" ht="34.5" customHeight="1" x14ac:dyDescent="0.2">
      <c r="B873" s="96"/>
      <c r="C873" s="124"/>
      <c r="D873" s="124"/>
      <c r="E873" s="127"/>
      <c r="F873" s="125"/>
      <c r="G873" s="124"/>
      <c r="H873" s="124"/>
      <c r="I873" s="23"/>
      <c r="L873" s="17"/>
    </row>
    <row r="874" spans="1:12" ht="15" customHeight="1" x14ac:dyDescent="0.25">
      <c r="A874" s="1"/>
      <c r="B874" s="39"/>
      <c r="C874" s="1"/>
      <c r="D874" s="1"/>
      <c r="E874" s="1"/>
      <c r="F874" s="40" t="s">
        <v>5</v>
      </c>
      <c r="G874" s="40"/>
      <c r="H874" s="1"/>
      <c r="I874" s="41">
        <f>SUM(I872:I872)</f>
        <v>250000</v>
      </c>
      <c r="J874" s="1"/>
      <c r="K874" s="1"/>
      <c r="L874" s="42"/>
    </row>
    <row r="875" spans="1:12" ht="15.75" thickBot="1" x14ac:dyDescent="0.3">
      <c r="A875" s="1"/>
      <c r="B875" s="43"/>
      <c r="C875" s="44"/>
      <c r="D875" s="44"/>
      <c r="E875" s="44"/>
      <c r="F875" s="45"/>
      <c r="G875" s="45"/>
      <c r="H875" s="44"/>
      <c r="I875" s="46"/>
      <c r="J875" s="44"/>
      <c r="K875" s="44"/>
      <c r="L875" s="47"/>
    </row>
    <row r="876" spans="1:12" ht="15" customHeight="1" thickTop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50.25" customHeight="1" x14ac:dyDescent="0.2">
      <c r="A877" s="10" t="s">
        <v>2</v>
      </c>
      <c r="B877" s="279" t="s">
        <v>11</v>
      </c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</row>
    <row r="878" spans="1:12" ht="16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2.75" customHeight="1" x14ac:dyDescent="0.2">
      <c r="A879" s="280" t="s">
        <v>12</v>
      </c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</row>
    <row r="880" spans="1:12" ht="21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3" customHeight="1" x14ac:dyDescent="0.25">
      <c r="A882" s="1"/>
      <c r="B882" s="1"/>
      <c r="C882" s="1"/>
      <c r="D882" s="1"/>
      <c r="E882" s="1"/>
      <c r="F882" s="1"/>
      <c r="G882" s="1"/>
    </row>
    <row r="883" spans="1:12" ht="23.25" hidden="1" customHeight="1" x14ac:dyDescent="0.25">
      <c r="A883" s="1"/>
      <c r="B883" s="1"/>
      <c r="C883" s="1"/>
      <c r="D883" s="1"/>
      <c r="E883" s="1"/>
      <c r="F883" s="1"/>
      <c r="G883" s="1"/>
    </row>
    <row r="884" spans="1:12" ht="15" x14ac:dyDescent="0.25">
      <c r="A884" s="1"/>
      <c r="B884" s="1"/>
      <c r="C884" s="1"/>
      <c r="D884" s="1"/>
      <c r="E884" s="1"/>
      <c r="F884" s="1"/>
      <c r="G884" s="1"/>
      <c r="H884" s="4" t="s">
        <v>199</v>
      </c>
      <c r="J884" s="286" t="s">
        <v>321</v>
      </c>
      <c r="K884" s="286"/>
      <c r="L884" s="286"/>
    </row>
    <row r="885" spans="1:12" ht="16.5" customHeight="1" x14ac:dyDescent="0.25">
      <c r="A885" s="1"/>
      <c r="B885" s="1" t="s">
        <v>15</v>
      </c>
      <c r="C885" s="1"/>
      <c r="D885" s="1"/>
      <c r="E885" s="1"/>
      <c r="F885" s="1"/>
      <c r="G885" s="1"/>
      <c r="H885" s="4" t="s">
        <v>13</v>
      </c>
    </row>
    <row r="886" spans="1:12" ht="15" customHeight="1" x14ac:dyDescent="0.25">
      <c r="A886" s="1"/>
      <c r="B886" s="1" t="s">
        <v>18</v>
      </c>
      <c r="C886" s="1"/>
      <c r="D886" s="1"/>
      <c r="E886" s="1"/>
      <c r="F886" s="1"/>
      <c r="G886" s="1"/>
      <c r="H886" s="4" t="s">
        <v>14</v>
      </c>
    </row>
    <row r="887" spans="1:1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9.75" customHeight="1" x14ac:dyDescent="0.25">
      <c r="A889" s="1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"/>
    </row>
    <row r="890" spans="1:12" ht="18.75" hidden="1" customHeight="1" x14ac:dyDescent="0.25">
      <c r="A890" s="1"/>
      <c r="K890" s="103"/>
      <c r="L890" s="1"/>
    </row>
    <row r="891" spans="1:12" ht="20.25" customHeight="1" x14ac:dyDescent="0.25">
      <c r="A891" s="1"/>
      <c r="B891" s="95" t="s">
        <v>77</v>
      </c>
      <c r="H891" s="95" t="s">
        <v>107</v>
      </c>
      <c r="I891" s="95"/>
      <c r="J891" s="92"/>
      <c r="K891" s="103"/>
      <c r="L891" s="1"/>
    </row>
    <row r="892" spans="1:12" ht="15" customHeight="1" x14ac:dyDescent="0.25">
      <c r="A892" s="1"/>
      <c r="B892" s="99" t="s">
        <v>27</v>
      </c>
      <c r="C892" s="57"/>
      <c r="H892" s="99" t="s">
        <v>72</v>
      </c>
      <c r="K892" s="103"/>
    </row>
    <row r="893" spans="1:12" ht="12.75" x14ac:dyDescent="0.2"/>
    <row r="894" spans="1:12" ht="12.75" x14ac:dyDescent="0.2"/>
    <row r="895" spans="1:12" ht="12.75" x14ac:dyDescent="0.2"/>
    <row r="896" spans="1:12" ht="12.75" x14ac:dyDescent="0.2"/>
    <row r="897" spans="1:12" ht="28.5" customHeight="1" x14ac:dyDescent="0.25">
      <c r="A897" s="3" t="s">
        <v>22</v>
      </c>
    </row>
    <row r="898" spans="1:12" ht="15.75" x14ac:dyDescent="0.2">
      <c r="A898" s="122" t="s">
        <v>20</v>
      </c>
    </row>
    <row r="899" spans="1:12" ht="15.75" x14ac:dyDescent="0.2">
      <c r="A899" s="122" t="s">
        <v>21</v>
      </c>
    </row>
    <row r="900" spans="1:12" ht="12.75" x14ac:dyDescent="0.2"/>
    <row r="901" spans="1:12" ht="15.75" customHeight="1" x14ac:dyDescent="0.2"/>
    <row r="902" spans="1:12" ht="12.75" x14ac:dyDescent="0.2"/>
    <row r="903" spans="1:12" ht="16.5" customHeight="1" x14ac:dyDescent="0.3">
      <c r="A903" s="276" t="s">
        <v>6</v>
      </c>
      <c r="B903" s="276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</row>
    <row r="904" spans="1:12" ht="18.75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</row>
    <row r="905" spans="1:12" ht="31.5" hidden="1" customHeight="1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</row>
    <row r="906" spans="1:12" ht="22.5" customHeight="1" x14ac:dyDescent="0.25">
      <c r="A906" s="1"/>
      <c r="B906" s="1"/>
    </row>
    <row r="907" spans="1:12" ht="15" customHeight="1" x14ac:dyDescent="0.25">
      <c r="A907" s="1" t="s">
        <v>7</v>
      </c>
      <c r="B907" s="1"/>
    </row>
    <row r="908" spans="1:12" ht="18" customHeight="1" x14ac:dyDescent="0.25">
      <c r="A908" s="1"/>
      <c r="B908" s="1"/>
    </row>
    <row r="909" spans="1:12" ht="18" customHeight="1" x14ac:dyDescent="0.25">
      <c r="A909" s="1" t="s">
        <v>8</v>
      </c>
      <c r="C909" s="9" t="s">
        <v>1</v>
      </c>
      <c r="D909" s="92" t="s">
        <v>96</v>
      </c>
      <c r="E909" s="76"/>
      <c r="F909" s="76"/>
      <c r="G909" s="76"/>
      <c r="H909" s="76"/>
    </row>
    <row r="910" spans="1:12" ht="15" x14ac:dyDescent="0.25">
      <c r="A910" s="1" t="s">
        <v>9</v>
      </c>
      <c r="C910" s="9" t="s">
        <v>1</v>
      </c>
      <c r="D910" s="57" t="s">
        <v>200</v>
      </c>
      <c r="E910" s="76"/>
      <c r="F910" s="76"/>
      <c r="G910" s="76"/>
      <c r="H910" s="76"/>
    </row>
    <row r="911" spans="1:12" ht="21" customHeight="1" x14ac:dyDescent="0.2">
      <c r="A911" s="50" t="s">
        <v>10</v>
      </c>
      <c r="B911" s="76"/>
      <c r="C911" s="91" t="s">
        <v>1</v>
      </c>
      <c r="D911" s="50" t="s">
        <v>203</v>
      </c>
      <c r="E911" s="76"/>
      <c r="F911" s="76"/>
      <c r="G911" s="76"/>
      <c r="H911" s="76"/>
      <c r="I911" s="76"/>
      <c r="J911" s="76"/>
      <c r="K911" s="76"/>
      <c r="L911" s="76"/>
    </row>
    <row r="912" spans="1:12" ht="21" customHeight="1" x14ac:dyDescent="0.25">
      <c r="A912" s="1"/>
      <c r="B912" s="1"/>
      <c r="D912" s="1"/>
    </row>
    <row r="913" spans="1:12" ht="27" customHeight="1" x14ac:dyDescent="0.2">
      <c r="A913" s="277" t="s">
        <v>338</v>
      </c>
      <c r="B913" s="277"/>
      <c r="C913" s="277"/>
      <c r="D913" s="277"/>
      <c r="E913" s="277"/>
      <c r="F913" s="277"/>
      <c r="G913" s="277"/>
      <c r="H913" s="277"/>
      <c r="I913" s="277"/>
      <c r="J913" s="277"/>
      <c r="K913" s="277"/>
      <c r="L913" s="277"/>
    </row>
    <row r="914" spans="1:12" ht="11.25" customHeight="1" x14ac:dyDescent="0.25">
      <c r="A914" s="1"/>
      <c r="B914" s="1"/>
    </row>
    <row r="915" spans="1:12" ht="45.75" customHeight="1" thickBot="1" x14ac:dyDescent="0.25">
      <c r="A915" s="10" t="s">
        <v>0</v>
      </c>
      <c r="B915" s="278" t="s">
        <v>91</v>
      </c>
      <c r="C915" s="278"/>
      <c r="D915" s="278"/>
      <c r="E915" s="278"/>
      <c r="F915" s="278"/>
      <c r="G915" s="278"/>
      <c r="H915" s="278"/>
      <c r="I915" s="278"/>
      <c r="J915" s="278"/>
      <c r="K915" s="278"/>
      <c r="L915" s="278"/>
    </row>
    <row r="916" spans="1:12" ht="15" customHeight="1" thickTop="1" x14ac:dyDescent="0.25">
      <c r="A916" s="1"/>
      <c r="B916" s="11" t="s">
        <v>3</v>
      </c>
      <c r="C916" s="12" t="s">
        <v>4</v>
      </c>
      <c r="D916" s="13"/>
      <c r="E916" s="13"/>
      <c r="F916" s="13"/>
      <c r="G916" s="13"/>
      <c r="H916" s="14"/>
      <c r="I916" s="15" t="s">
        <v>5</v>
      </c>
      <c r="J916" s="12" t="s">
        <v>17</v>
      </c>
      <c r="K916" s="13"/>
      <c r="L916" s="14"/>
    </row>
    <row r="917" spans="1:12" ht="17.25" customHeight="1" x14ac:dyDescent="0.2">
      <c r="A917" s="50"/>
      <c r="B917" s="143">
        <v>1</v>
      </c>
      <c r="C917" s="284" t="s">
        <v>339</v>
      </c>
      <c r="D917" s="285"/>
      <c r="E917" s="285"/>
      <c r="F917" s="285"/>
      <c r="G917" s="76"/>
      <c r="H917" s="79"/>
      <c r="I917" s="56">
        <v>150000</v>
      </c>
      <c r="J917" s="76"/>
      <c r="K917" s="76"/>
      <c r="L917" s="79"/>
    </row>
    <row r="918" spans="1:12" ht="34.5" customHeight="1" x14ac:dyDescent="0.2">
      <c r="B918" s="96"/>
      <c r="C918" s="124"/>
      <c r="D918" s="124"/>
      <c r="E918" s="127"/>
      <c r="F918" s="125"/>
      <c r="G918" s="124"/>
      <c r="H918" s="124"/>
      <c r="I918" s="23"/>
      <c r="L918" s="17"/>
    </row>
    <row r="919" spans="1:12" ht="15.75" customHeight="1" x14ac:dyDescent="0.25">
      <c r="A919" s="1"/>
      <c r="B919" s="39"/>
      <c r="C919" s="1"/>
      <c r="D919" s="1"/>
      <c r="E919" s="1"/>
      <c r="F919" s="40" t="s">
        <v>5</v>
      </c>
      <c r="G919" s="40"/>
      <c r="H919" s="1"/>
      <c r="I919" s="41">
        <f>SUM(I917:I917)</f>
        <v>150000</v>
      </c>
      <c r="J919" s="1"/>
      <c r="K919" s="1"/>
      <c r="L919" s="42"/>
    </row>
    <row r="920" spans="1:12" ht="15.75" thickBot="1" x14ac:dyDescent="0.3">
      <c r="A920" s="1"/>
      <c r="B920" s="43"/>
      <c r="C920" s="44"/>
      <c r="D920" s="44"/>
      <c r="E920" s="44"/>
      <c r="F920" s="45"/>
      <c r="G920" s="45"/>
      <c r="H920" s="44"/>
      <c r="I920" s="46"/>
      <c r="J920" s="44"/>
      <c r="K920" s="44"/>
      <c r="L920" s="47"/>
    </row>
    <row r="921" spans="1:12" ht="15.75" customHeight="1" thickTop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45" customHeight="1" x14ac:dyDescent="0.2">
      <c r="A922" s="10" t="s">
        <v>2</v>
      </c>
      <c r="B922" s="279" t="s">
        <v>11</v>
      </c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</row>
    <row r="923" spans="1:12" ht="16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24" customHeight="1" x14ac:dyDescent="0.2">
      <c r="A924" s="280" t="s">
        <v>12</v>
      </c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</row>
    <row r="925" spans="1:12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7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2" customHeight="1" x14ac:dyDescent="0.25">
      <c r="A927" s="1"/>
      <c r="B927" s="1"/>
      <c r="C927" s="1"/>
      <c r="D927" s="1"/>
      <c r="E927" s="1"/>
      <c r="F927" s="1"/>
      <c r="G927" s="1"/>
      <c r="H927" s="4" t="s">
        <v>199</v>
      </c>
      <c r="J927" s="286" t="s">
        <v>321</v>
      </c>
      <c r="K927" s="286"/>
      <c r="L927" s="286"/>
    </row>
    <row r="928" spans="1:12" ht="14.25" customHeight="1" x14ac:dyDescent="0.25">
      <c r="A928" s="1"/>
      <c r="B928" s="1" t="s">
        <v>15</v>
      </c>
      <c r="C928" s="1"/>
      <c r="D928" s="1"/>
      <c r="E928" s="1"/>
      <c r="F928" s="1"/>
      <c r="G928" s="1"/>
      <c r="H928" s="4" t="s">
        <v>13</v>
      </c>
    </row>
    <row r="929" spans="1:12" ht="15" customHeight="1" x14ac:dyDescent="0.25">
      <c r="A929" s="1"/>
      <c r="B929" s="1" t="s">
        <v>18</v>
      </c>
      <c r="C929" s="1"/>
      <c r="D929" s="1"/>
      <c r="E929" s="1"/>
      <c r="F929" s="1"/>
      <c r="G929" s="1"/>
      <c r="H929" s="4" t="s">
        <v>14</v>
      </c>
    </row>
    <row r="930" spans="1:12" ht="36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8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4.5" customHeight="1" x14ac:dyDescent="0.25">
      <c r="A932" s="1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"/>
    </row>
    <row r="933" spans="1:12" ht="15" x14ac:dyDescent="0.25">
      <c r="A933" s="1"/>
      <c r="K933" s="103"/>
      <c r="L933" s="1"/>
    </row>
    <row r="934" spans="1:12" ht="15" x14ac:dyDescent="0.25">
      <c r="A934" s="1"/>
      <c r="B934" s="95" t="s">
        <v>77</v>
      </c>
      <c r="H934" s="95" t="s">
        <v>96</v>
      </c>
      <c r="I934" s="95"/>
      <c r="J934" s="92"/>
      <c r="K934" s="103"/>
      <c r="L934" s="1"/>
    </row>
    <row r="935" spans="1:12" ht="15" x14ac:dyDescent="0.25">
      <c r="A935" s="1"/>
      <c r="B935" s="99" t="s">
        <v>27</v>
      </c>
      <c r="C935" s="57"/>
      <c r="H935" s="99" t="s">
        <v>100</v>
      </c>
      <c r="K935" s="103"/>
    </row>
    <row r="936" spans="1:12" ht="12.75" x14ac:dyDescent="0.2"/>
    <row r="937" spans="1:12" ht="12.75" x14ac:dyDescent="0.2"/>
    <row r="938" spans="1:12" ht="15.75" customHeight="1" x14ac:dyDescent="0.2"/>
    <row r="939" spans="1:12" ht="18" hidden="1" customHeight="1" x14ac:dyDescent="0.2"/>
    <row r="940" spans="1:12" ht="18" customHeight="1" x14ac:dyDescent="0.25">
      <c r="A940" s="3" t="s">
        <v>22</v>
      </c>
    </row>
    <row r="941" spans="1:12" ht="20.25" customHeight="1" x14ac:dyDescent="0.2">
      <c r="A941" s="122" t="s">
        <v>20</v>
      </c>
    </row>
    <row r="942" spans="1:12" ht="20.25" customHeight="1" x14ac:dyDescent="0.2">
      <c r="A942" s="122" t="s">
        <v>21</v>
      </c>
    </row>
    <row r="943" spans="1:12" ht="12.75" x14ac:dyDescent="0.2"/>
    <row r="944" spans="1:12" ht="15" customHeight="1" x14ac:dyDescent="0.2"/>
    <row r="945" spans="1:12" ht="12.75" x14ac:dyDescent="0.2"/>
    <row r="946" spans="1:12" ht="18.75" x14ac:dyDescent="0.3">
      <c r="A946" s="276" t="s">
        <v>6</v>
      </c>
      <c r="B946" s="276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</row>
    <row r="947" spans="1:12" ht="18.75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</row>
    <row r="948" spans="1:12" ht="28.5" customHeight="1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</row>
    <row r="949" spans="1:12" ht="15" x14ac:dyDescent="0.25">
      <c r="A949" s="1"/>
      <c r="B949" s="1"/>
    </row>
    <row r="950" spans="1:12" ht="32.25" customHeight="1" x14ac:dyDescent="0.25">
      <c r="A950" s="1" t="s">
        <v>7</v>
      </c>
      <c r="B950" s="1"/>
    </row>
    <row r="951" spans="1:12" ht="15" x14ac:dyDescent="0.25">
      <c r="A951" s="1"/>
      <c r="B951" s="1"/>
    </row>
    <row r="952" spans="1:12" ht="15" customHeight="1" x14ac:dyDescent="0.25">
      <c r="A952" s="1" t="s">
        <v>8</v>
      </c>
      <c r="C952" s="9" t="s">
        <v>1</v>
      </c>
      <c r="D952" s="92" t="s">
        <v>340</v>
      </c>
      <c r="E952" s="76"/>
      <c r="F952" s="76"/>
      <c r="G952" s="76"/>
      <c r="H952" s="76"/>
    </row>
    <row r="953" spans="1:12" ht="18.75" customHeight="1" x14ac:dyDescent="0.25">
      <c r="A953" s="1" t="s">
        <v>9</v>
      </c>
      <c r="C953" s="9" t="s">
        <v>1</v>
      </c>
      <c r="D953" s="57" t="s">
        <v>263</v>
      </c>
      <c r="E953" s="76"/>
      <c r="F953" s="76"/>
      <c r="G953" s="76"/>
      <c r="H953" s="76"/>
    </row>
    <row r="954" spans="1:12" ht="26.25" customHeight="1" x14ac:dyDescent="0.2">
      <c r="A954" s="50" t="s">
        <v>10</v>
      </c>
      <c r="B954" s="76"/>
      <c r="C954" s="91" t="s">
        <v>1</v>
      </c>
      <c r="D954" s="50" t="s">
        <v>264</v>
      </c>
      <c r="E954" s="76"/>
      <c r="F954" s="76"/>
      <c r="G954" s="76"/>
      <c r="H954" s="76"/>
      <c r="I954" s="76"/>
      <c r="J954" s="76"/>
      <c r="K954" s="76"/>
      <c r="L954" s="76"/>
    </row>
    <row r="955" spans="1:12" ht="19.5" customHeight="1" x14ac:dyDescent="0.25">
      <c r="A955" s="1"/>
      <c r="B955" s="1"/>
      <c r="D955" s="1"/>
    </row>
    <row r="956" spans="1:12" ht="29.25" customHeight="1" x14ac:dyDescent="0.2">
      <c r="A956" s="277" t="s">
        <v>338</v>
      </c>
      <c r="B956" s="277"/>
      <c r="C956" s="277"/>
      <c r="D956" s="277"/>
      <c r="E956" s="277"/>
      <c r="F956" s="277"/>
      <c r="G956" s="277"/>
      <c r="H956" s="277"/>
      <c r="I956" s="277"/>
      <c r="J956" s="277"/>
      <c r="K956" s="277"/>
      <c r="L956" s="277"/>
    </row>
    <row r="957" spans="1:12" ht="9.75" customHeight="1" x14ac:dyDescent="0.25">
      <c r="A957" s="1"/>
      <c r="B957" s="1"/>
    </row>
    <row r="958" spans="1:12" ht="30.75" customHeight="1" thickBot="1" x14ac:dyDescent="0.25">
      <c r="A958" s="10" t="s">
        <v>0</v>
      </c>
      <c r="B958" s="278" t="s">
        <v>91</v>
      </c>
      <c r="C958" s="278"/>
      <c r="D958" s="278"/>
      <c r="E958" s="278"/>
      <c r="F958" s="278"/>
      <c r="G958" s="278"/>
      <c r="H958" s="278"/>
      <c r="I958" s="278"/>
      <c r="J958" s="278"/>
      <c r="K958" s="278"/>
      <c r="L958" s="278"/>
    </row>
    <row r="959" spans="1:12" ht="23.25" customHeight="1" thickTop="1" x14ac:dyDescent="0.25">
      <c r="A959" s="1"/>
      <c r="B959" s="11" t="s">
        <v>3</v>
      </c>
      <c r="C959" s="12" t="s">
        <v>4</v>
      </c>
      <c r="D959" s="13"/>
      <c r="E959" s="13"/>
      <c r="F959" s="13"/>
      <c r="G959" s="13"/>
      <c r="H959" s="14"/>
      <c r="I959" s="15" t="s">
        <v>5</v>
      </c>
      <c r="J959" s="12" t="s">
        <v>17</v>
      </c>
      <c r="K959" s="13"/>
      <c r="L959" s="14"/>
    </row>
    <row r="960" spans="1:12" ht="21" customHeight="1" x14ac:dyDescent="0.2">
      <c r="A960" s="50"/>
      <c r="B960" s="143">
        <v>1</v>
      </c>
      <c r="C960" s="284" t="s">
        <v>339</v>
      </c>
      <c r="D960" s="285"/>
      <c r="E960" s="285"/>
      <c r="F960" s="285"/>
      <c r="G960" s="76"/>
      <c r="H960" s="79"/>
      <c r="I960" s="56">
        <v>150000</v>
      </c>
      <c r="J960" s="76"/>
      <c r="K960" s="76"/>
      <c r="L960" s="79"/>
    </row>
    <row r="961" spans="1:12" ht="30" customHeight="1" x14ac:dyDescent="0.2">
      <c r="B961" s="96"/>
      <c r="C961" s="124"/>
      <c r="D961" s="124"/>
      <c r="E961" s="127"/>
      <c r="F961" s="125"/>
      <c r="G961" s="124"/>
      <c r="H961" s="124"/>
      <c r="I961" s="23"/>
      <c r="L961" s="17"/>
    </row>
    <row r="962" spans="1:12" ht="19.5" customHeight="1" x14ac:dyDescent="0.25">
      <c r="A962" s="1"/>
      <c r="B962" s="39"/>
      <c r="C962" s="1"/>
      <c r="D962" s="1"/>
      <c r="E962" s="1"/>
      <c r="F962" s="40" t="s">
        <v>5</v>
      </c>
      <c r="G962" s="40"/>
      <c r="H962" s="1"/>
      <c r="I962" s="41">
        <f>SUM(I960:I960)</f>
        <v>150000</v>
      </c>
      <c r="J962" s="1"/>
      <c r="K962" s="1"/>
      <c r="L962" s="42"/>
    </row>
    <row r="963" spans="1:12" ht="17.25" customHeight="1" thickBot="1" x14ac:dyDescent="0.3">
      <c r="A963" s="1"/>
      <c r="B963" s="43"/>
      <c r="C963" s="44"/>
      <c r="D963" s="44"/>
      <c r="E963" s="44"/>
      <c r="F963" s="45"/>
      <c r="G963" s="45"/>
      <c r="H963" s="44"/>
      <c r="I963" s="46"/>
      <c r="J963" s="44"/>
      <c r="K963" s="44"/>
      <c r="L963" s="47"/>
    </row>
    <row r="964" spans="1:12" ht="15" customHeight="1" thickTop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45" customHeight="1" x14ac:dyDescent="0.2">
      <c r="A965" s="10" t="s">
        <v>2</v>
      </c>
      <c r="B965" s="279" t="s">
        <v>11</v>
      </c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</row>
    <row r="966" spans="1:12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" customHeight="1" x14ac:dyDescent="0.2">
      <c r="A967" s="280" t="s">
        <v>12</v>
      </c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</row>
    <row r="968" spans="1:12" ht="10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0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2" customHeight="1" x14ac:dyDescent="0.25">
      <c r="A970" s="1"/>
      <c r="B970" s="1"/>
      <c r="C970" s="1"/>
      <c r="D970" s="1"/>
      <c r="E970" s="1"/>
      <c r="F970" s="1"/>
      <c r="G970" s="1"/>
      <c r="H970" s="4" t="s">
        <v>199</v>
      </c>
      <c r="J970" s="286" t="s">
        <v>321</v>
      </c>
      <c r="K970" s="286"/>
      <c r="L970" s="286"/>
    </row>
    <row r="971" spans="1:12" ht="12" customHeight="1" x14ac:dyDescent="0.25">
      <c r="A971" s="1"/>
      <c r="B971" s="1" t="s">
        <v>15</v>
      </c>
      <c r="C971" s="1"/>
      <c r="D971" s="1"/>
      <c r="E971" s="1"/>
      <c r="F971" s="1"/>
      <c r="G971" s="1"/>
      <c r="H971" s="4" t="s">
        <v>13</v>
      </c>
    </row>
    <row r="972" spans="1:12" s="99" customFormat="1" ht="13.5" customHeight="1" x14ac:dyDescent="0.25">
      <c r="A972" s="1"/>
      <c r="B972" s="1" t="s">
        <v>18</v>
      </c>
      <c r="C972" s="1"/>
      <c r="D972" s="1"/>
      <c r="E972" s="1"/>
      <c r="F972" s="1"/>
      <c r="G972" s="1"/>
      <c r="H972" s="4" t="s">
        <v>14</v>
      </c>
      <c r="I972" s="4"/>
      <c r="J972" s="4"/>
      <c r="K972" s="4"/>
      <c r="L972" s="4"/>
    </row>
    <row r="973" spans="1:12" ht="30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5.25" customHeight="1" x14ac:dyDescent="0.25">
      <c r="A975" s="1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"/>
    </row>
    <row r="976" spans="1:12" ht="15" hidden="1" x14ac:dyDescent="0.25">
      <c r="A976" s="1"/>
      <c r="K976" s="103"/>
      <c r="L976" s="1"/>
    </row>
    <row r="977" spans="1:12" ht="26.25" customHeight="1" x14ac:dyDescent="0.25">
      <c r="A977" s="1"/>
      <c r="B977" s="95" t="s">
        <v>77</v>
      </c>
      <c r="H977" s="95" t="s">
        <v>340</v>
      </c>
      <c r="I977" s="95"/>
      <c r="J977" s="92"/>
      <c r="K977" s="103"/>
      <c r="L977" s="1"/>
    </row>
    <row r="978" spans="1:12" ht="15" x14ac:dyDescent="0.25">
      <c r="A978" s="1"/>
      <c r="B978" s="99" t="s">
        <v>27</v>
      </c>
      <c r="C978" s="57"/>
      <c r="H978" s="99" t="s">
        <v>93</v>
      </c>
      <c r="K978" s="103"/>
    </row>
    <row r="979" spans="1:12" ht="15" customHeight="1" x14ac:dyDescent="0.2"/>
    <row r="980" spans="1:12" ht="10.5" customHeight="1" x14ac:dyDescent="0.2"/>
    <row r="981" spans="1:12" ht="10.5" customHeight="1" x14ac:dyDescent="0.2"/>
    <row r="982" spans="1:12" ht="12.75" x14ac:dyDescent="0.2"/>
    <row r="983" spans="1:12" ht="12.75" x14ac:dyDescent="0.2"/>
    <row r="984" spans="1:12" ht="12.75" x14ac:dyDescent="0.2"/>
    <row r="985" spans="1:12" ht="12.75" x14ac:dyDescent="0.2"/>
    <row r="986" spans="1:12" ht="12.75" x14ac:dyDescent="0.2"/>
    <row r="987" spans="1:12" ht="12.75" x14ac:dyDescent="0.2"/>
    <row r="988" spans="1:12" ht="17.25" customHeight="1" x14ac:dyDescent="0.25">
      <c r="A988" s="3" t="s">
        <v>22</v>
      </c>
    </row>
    <row r="989" spans="1:12" ht="17.25" customHeight="1" x14ac:dyDescent="0.2">
      <c r="A989" s="122" t="s">
        <v>20</v>
      </c>
    </row>
    <row r="990" spans="1:12" ht="18.75" customHeight="1" x14ac:dyDescent="0.2">
      <c r="A990" s="122" t="s">
        <v>21</v>
      </c>
    </row>
    <row r="991" spans="1:12" ht="12.75" x14ac:dyDescent="0.2"/>
    <row r="992" spans="1:12" ht="12.75" x14ac:dyDescent="0.2"/>
    <row r="993" spans="1:12" ht="28.5" customHeight="1" x14ac:dyDescent="0.2"/>
    <row r="994" spans="1:12" ht="18.75" x14ac:dyDescent="0.3">
      <c r="A994" s="276" t="s">
        <v>6</v>
      </c>
      <c r="B994" s="276"/>
      <c r="C994" s="276"/>
      <c r="D994" s="276"/>
      <c r="E994" s="276"/>
      <c r="F994" s="276"/>
      <c r="G994" s="276"/>
      <c r="H994" s="276"/>
      <c r="I994" s="276"/>
      <c r="J994" s="276"/>
      <c r="K994" s="276"/>
      <c r="L994" s="276"/>
    </row>
    <row r="995" spans="1:12" ht="23.25" customHeight="1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</row>
    <row r="996" spans="1:12" ht="18.75" x14ac:dyDescent="0.3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</row>
    <row r="997" spans="1:12" ht="21" hidden="1" customHeight="1" x14ac:dyDescent="0.25">
      <c r="A997" s="1"/>
      <c r="B997" s="1"/>
    </row>
    <row r="998" spans="1:12" ht="16.5" customHeight="1" x14ac:dyDescent="0.25">
      <c r="A998" s="1" t="s">
        <v>7</v>
      </c>
      <c r="B998" s="1"/>
    </row>
    <row r="999" spans="1:12" ht="15" x14ac:dyDescent="0.25">
      <c r="A999" s="1"/>
      <c r="B999" s="1"/>
    </row>
    <row r="1000" spans="1:12" ht="13.5" customHeight="1" x14ac:dyDescent="0.25">
      <c r="A1000" s="1" t="s">
        <v>8</v>
      </c>
      <c r="C1000" s="9" t="s">
        <v>1</v>
      </c>
      <c r="D1000" s="92" t="s">
        <v>96</v>
      </c>
      <c r="E1000" s="76"/>
      <c r="F1000" s="76"/>
      <c r="G1000" s="76"/>
      <c r="H1000" s="76"/>
    </row>
    <row r="1001" spans="1:12" ht="15.75" customHeight="1" x14ac:dyDescent="0.25">
      <c r="A1001" s="1" t="s">
        <v>9</v>
      </c>
      <c r="C1001" s="9" t="s">
        <v>1</v>
      </c>
      <c r="D1001" s="57" t="s">
        <v>200</v>
      </c>
      <c r="E1001" s="76"/>
      <c r="F1001" s="76"/>
      <c r="G1001" s="76"/>
      <c r="H1001" s="76"/>
    </row>
    <row r="1002" spans="1:12" ht="20.25" customHeight="1" x14ac:dyDescent="0.2">
      <c r="A1002" s="50" t="s">
        <v>10</v>
      </c>
      <c r="B1002" s="76"/>
      <c r="C1002" s="91" t="s">
        <v>1</v>
      </c>
      <c r="D1002" s="50" t="s">
        <v>203</v>
      </c>
      <c r="E1002" s="76"/>
      <c r="F1002" s="76"/>
      <c r="G1002" s="76"/>
      <c r="H1002" s="76"/>
      <c r="I1002" s="76"/>
      <c r="J1002" s="76"/>
      <c r="K1002" s="76"/>
      <c r="L1002" s="76"/>
    </row>
    <row r="1003" spans="1:12" ht="9" customHeight="1" x14ac:dyDescent="0.25">
      <c r="A1003" s="1"/>
      <c r="B1003" s="1"/>
      <c r="D1003" s="1"/>
    </row>
    <row r="1004" spans="1:12" ht="25.5" customHeight="1" x14ac:dyDescent="0.2">
      <c r="A1004" s="277" t="s">
        <v>342</v>
      </c>
      <c r="B1004" s="277"/>
      <c r="C1004" s="277"/>
      <c r="D1004" s="277"/>
      <c r="E1004" s="277"/>
      <c r="F1004" s="277"/>
      <c r="G1004" s="277"/>
      <c r="H1004" s="277"/>
      <c r="I1004" s="277"/>
      <c r="J1004" s="277"/>
      <c r="K1004" s="277"/>
      <c r="L1004" s="277"/>
    </row>
    <row r="1005" spans="1:12" ht="9.75" customHeight="1" x14ac:dyDescent="0.25">
      <c r="A1005" s="1"/>
      <c r="B1005" s="1"/>
    </row>
    <row r="1006" spans="1:12" ht="45.75" customHeight="1" thickBot="1" x14ac:dyDescent="0.25">
      <c r="A1006" s="10" t="s">
        <v>0</v>
      </c>
      <c r="B1006" s="278" t="s">
        <v>91</v>
      </c>
      <c r="C1006" s="278"/>
      <c r="D1006" s="278"/>
      <c r="E1006" s="278"/>
      <c r="F1006" s="278"/>
      <c r="G1006" s="278"/>
      <c r="H1006" s="278"/>
      <c r="I1006" s="278"/>
      <c r="J1006" s="278"/>
      <c r="K1006" s="278"/>
      <c r="L1006" s="278"/>
    </row>
    <row r="1007" spans="1:12" ht="18" customHeight="1" thickTop="1" x14ac:dyDescent="0.25">
      <c r="A1007" s="1"/>
      <c r="B1007" s="11" t="s">
        <v>3</v>
      </c>
      <c r="C1007" s="12" t="s">
        <v>4</v>
      </c>
      <c r="D1007" s="13"/>
      <c r="E1007" s="13"/>
      <c r="F1007" s="13"/>
      <c r="G1007" s="13"/>
      <c r="H1007" s="14"/>
      <c r="I1007" s="15" t="s">
        <v>5</v>
      </c>
      <c r="J1007" s="12" t="s">
        <v>17</v>
      </c>
      <c r="K1007" s="13"/>
      <c r="L1007" s="14"/>
    </row>
    <row r="1008" spans="1:12" ht="15" x14ac:dyDescent="0.2">
      <c r="A1008" s="50"/>
      <c r="B1008" s="143">
        <v>1</v>
      </c>
      <c r="C1008" s="284" t="s">
        <v>339</v>
      </c>
      <c r="D1008" s="285"/>
      <c r="E1008" s="285"/>
      <c r="F1008" s="285"/>
      <c r="G1008" s="76"/>
      <c r="H1008" s="79"/>
      <c r="I1008" s="56">
        <v>150000</v>
      </c>
      <c r="J1008" s="76"/>
      <c r="K1008" s="76"/>
      <c r="L1008" s="79"/>
    </row>
    <row r="1009" spans="1:12" ht="35.25" customHeight="1" x14ac:dyDescent="0.2">
      <c r="B1009" s="96"/>
      <c r="C1009" s="124"/>
      <c r="D1009" s="124"/>
      <c r="E1009" s="127"/>
      <c r="F1009" s="125"/>
      <c r="G1009" s="124"/>
      <c r="H1009" s="124"/>
      <c r="I1009" s="23"/>
      <c r="L1009" s="17"/>
    </row>
    <row r="1010" spans="1:12" ht="20.25" customHeight="1" x14ac:dyDescent="0.25">
      <c r="A1010" s="1"/>
      <c r="B1010" s="39"/>
      <c r="C1010" s="1"/>
      <c r="D1010" s="1"/>
      <c r="E1010" s="1"/>
      <c r="F1010" s="40" t="s">
        <v>5</v>
      </c>
      <c r="G1010" s="40"/>
      <c r="H1010" s="1"/>
      <c r="I1010" s="41">
        <f>SUM(I1008:I1008)</f>
        <v>150000</v>
      </c>
      <c r="J1010" s="1"/>
      <c r="K1010" s="1"/>
      <c r="L1010" s="42"/>
    </row>
    <row r="1011" spans="1:12" ht="17.25" customHeight="1" thickBot="1" x14ac:dyDescent="0.3">
      <c r="A1011" s="1"/>
      <c r="B1011" s="43"/>
      <c r="C1011" s="44"/>
      <c r="D1011" s="44"/>
      <c r="E1011" s="44"/>
      <c r="F1011" s="45"/>
      <c r="G1011" s="45"/>
      <c r="H1011" s="44"/>
      <c r="I1011" s="46"/>
      <c r="J1011" s="44"/>
      <c r="K1011" s="44"/>
      <c r="L1011" s="47"/>
    </row>
    <row r="1012" spans="1:12" ht="10.5" customHeight="1" thickTop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ht="44.25" customHeight="1" x14ac:dyDescent="0.2">
      <c r="A1013" s="10" t="s">
        <v>2</v>
      </c>
      <c r="B1013" s="279" t="s">
        <v>11</v>
      </c>
      <c r="C1013" s="279"/>
      <c r="D1013" s="279"/>
      <c r="E1013" s="279"/>
      <c r="F1013" s="279"/>
      <c r="G1013" s="279"/>
      <c r="H1013" s="279"/>
      <c r="I1013" s="279"/>
      <c r="J1013" s="279"/>
      <c r="K1013" s="279"/>
      <c r="L1013" s="279"/>
    </row>
    <row r="1014" spans="1:12" ht="22.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ht="15" x14ac:dyDescent="0.2">
      <c r="A1015" s="280" t="s">
        <v>12</v>
      </c>
      <c r="B1015" s="280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</row>
    <row r="1016" spans="1:12" ht="18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ht="23.2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ht="12" customHeight="1" x14ac:dyDescent="0.25">
      <c r="A1018" s="1"/>
      <c r="B1018" s="1"/>
      <c r="C1018" s="1"/>
      <c r="D1018" s="1"/>
      <c r="E1018" s="1"/>
      <c r="F1018" s="1"/>
      <c r="G1018" s="1"/>
      <c r="H1018" s="4" t="s">
        <v>199</v>
      </c>
      <c r="J1018" s="286" t="s">
        <v>335</v>
      </c>
      <c r="K1018" s="286"/>
      <c r="L1018" s="286"/>
    </row>
    <row r="1019" spans="1:12" ht="13.5" customHeight="1" x14ac:dyDescent="0.25">
      <c r="A1019" s="1"/>
      <c r="B1019" s="1" t="s">
        <v>15</v>
      </c>
      <c r="C1019" s="1"/>
      <c r="D1019" s="1"/>
      <c r="E1019" s="1"/>
      <c r="F1019" s="1"/>
      <c r="G1019" s="1"/>
      <c r="H1019" s="4" t="s">
        <v>13</v>
      </c>
    </row>
    <row r="1020" spans="1:12" ht="17.25" customHeight="1" x14ac:dyDescent="0.25">
      <c r="A1020" s="1"/>
      <c r="B1020" s="1" t="s">
        <v>18</v>
      </c>
      <c r="C1020" s="1"/>
      <c r="D1020" s="1"/>
      <c r="E1020" s="1"/>
      <c r="F1020" s="1"/>
      <c r="G1020" s="1"/>
      <c r="H1020" s="4" t="s">
        <v>14</v>
      </c>
    </row>
    <row r="1021" spans="1:12" ht="16.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ht="8.2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ht="15" x14ac:dyDescent="0.25">
      <c r="A1023" s="1"/>
      <c r="B1023" s="103"/>
      <c r="C1023" s="103"/>
      <c r="D1023" s="103"/>
      <c r="E1023" s="103"/>
      <c r="F1023" s="103"/>
      <c r="G1023" s="103"/>
      <c r="H1023" s="103"/>
      <c r="I1023" s="103"/>
      <c r="J1023" s="103"/>
      <c r="K1023" s="103"/>
      <c r="L1023" s="1"/>
    </row>
    <row r="1024" spans="1:12" ht="15" customHeight="1" x14ac:dyDescent="0.25">
      <c r="A1024" s="1"/>
      <c r="K1024" s="103"/>
      <c r="L1024" s="1"/>
    </row>
    <row r="1025" spans="1:12" ht="15" customHeight="1" x14ac:dyDescent="0.25">
      <c r="A1025" s="1"/>
      <c r="B1025" s="95" t="s">
        <v>77</v>
      </c>
      <c r="H1025" s="95" t="s">
        <v>96</v>
      </c>
      <c r="I1025" s="95"/>
      <c r="J1025" s="92"/>
      <c r="K1025" s="103"/>
      <c r="L1025" s="1"/>
    </row>
    <row r="1026" spans="1:12" ht="15" x14ac:dyDescent="0.25">
      <c r="A1026" s="1"/>
      <c r="B1026" s="99" t="s">
        <v>27</v>
      </c>
      <c r="C1026" s="57"/>
      <c r="H1026" s="99" t="s">
        <v>100</v>
      </c>
      <c r="K1026" s="103"/>
    </row>
    <row r="1027" spans="1:12" ht="12.75" x14ac:dyDescent="0.2"/>
    <row r="1028" spans="1:12" ht="12.75" x14ac:dyDescent="0.2"/>
    <row r="1029" spans="1:12" ht="12.75" x14ac:dyDescent="0.2"/>
    <row r="1030" spans="1:12" ht="15.75" x14ac:dyDescent="0.25">
      <c r="A1030" s="3" t="s">
        <v>22</v>
      </c>
    </row>
    <row r="1031" spans="1:12" ht="15.75" x14ac:dyDescent="0.2">
      <c r="A1031" s="122" t="s">
        <v>20</v>
      </c>
    </row>
    <row r="1032" spans="1:12" ht="15.75" x14ac:dyDescent="0.2">
      <c r="A1032" s="122" t="s">
        <v>21</v>
      </c>
    </row>
    <row r="1033" spans="1:12" ht="12.75" x14ac:dyDescent="0.2"/>
    <row r="1034" spans="1:12" ht="12.75" x14ac:dyDescent="0.2"/>
    <row r="1035" spans="1:12" ht="30" customHeight="1" x14ac:dyDescent="0.2"/>
    <row r="1036" spans="1:12" ht="32.25" customHeight="1" x14ac:dyDescent="0.3">
      <c r="A1036" s="276" t="s">
        <v>6</v>
      </c>
      <c r="B1036" s="276"/>
      <c r="C1036" s="276"/>
      <c r="D1036" s="276"/>
      <c r="E1036" s="276"/>
      <c r="F1036" s="276"/>
      <c r="G1036" s="276"/>
      <c r="H1036" s="276"/>
      <c r="I1036" s="276"/>
      <c r="J1036" s="276"/>
      <c r="K1036" s="276"/>
      <c r="L1036" s="276"/>
    </row>
    <row r="1037" spans="1:12" ht="15.75" customHeight="1" x14ac:dyDescent="0.3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</row>
    <row r="1038" spans="1:12" ht="32.25" customHeight="1" x14ac:dyDescent="0.3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</row>
    <row r="1039" spans="1:12" ht="15" x14ac:dyDescent="0.25">
      <c r="A1039" s="1"/>
      <c r="B1039" s="1"/>
    </row>
    <row r="1040" spans="1:12" ht="20.25" customHeight="1" x14ac:dyDescent="0.25">
      <c r="A1040" s="1" t="s">
        <v>7</v>
      </c>
      <c r="B1040" s="1"/>
    </row>
    <row r="1041" spans="1:12" ht="11.25" customHeight="1" x14ac:dyDescent="0.25">
      <c r="A1041" s="1"/>
      <c r="B1041" s="1"/>
    </row>
    <row r="1042" spans="1:12" ht="21.75" customHeight="1" x14ac:dyDescent="0.25">
      <c r="A1042" s="1" t="s">
        <v>8</v>
      </c>
      <c r="C1042" s="9" t="s">
        <v>1</v>
      </c>
      <c r="D1042" s="92" t="s">
        <v>77</v>
      </c>
      <c r="E1042" s="76"/>
      <c r="F1042" s="76"/>
      <c r="G1042" s="76"/>
      <c r="H1042" s="76"/>
    </row>
    <row r="1043" spans="1:12" ht="15" x14ac:dyDescent="0.25">
      <c r="A1043" s="1" t="s">
        <v>9</v>
      </c>
      <c r="C1043" s="9" t="s">
        <v>1</v>
      </c>
      <c r="D1043" s="57" t="s">
        <v>201</v>
      </c>
      <c r="E1043" s="76"/>
      <c r="F1043" s="76"/>
      <c r="G1043" s="76"/>
      <c r="H1043" s="76"/>
    </row>
    <row r="1044" spans="1:12" ht="15" x14ac:dyDescent="0.2">
      <c r="A1044" s="50" t="s">
        <v>10</v>
      </c>
      <c r="B1044" s="76"/>
      <c r="C1044" s="91" t="s">
        <v>1</v>
      </c>
      <c r="D1044" s="50" t="s">
        <v>265</v>
      </c>
      <c r="E1044" s="76"/>
      <c r="F1044" s="76"/>
      <c r="G1044" s="76"/>
      <c r="H1044" s="76"/>
      <c r="I1044" s="76"/>
      <c r="J1044" s="76"/>
      <c r="K1044" s="76"/>
      <c r="L1044" s="76"/>
    </row>
    <row r="1045" spans="1:12" ht="19.5" customHeight="1" x14ac:dyDescent="0.25">
      <c r="A1045" s="1"/>
      <c r="B1045" s="1"/>
      <c r="D1045" s="1"/>
    </row>
    <row r="1046" spans="1:12" ht="38.25" customHeight="1" x14ac:dyDescent="0.2">
      <c r="A1046" s="277" t="s">
        <v>342</v>
      </c>
      <c r="B1046" s="277"/>
      <c r="C1046" s="277"/>
      <c r="D1046" s="277"/>
      <c r="E1046" s="277"/>
      <c r="F1046" s="277"/>
      <c r="G1046" s="277"/>
      <c r="H1046" s="277"/>
      <c r="I1046" s="277"/>
      <c r="J1046" s="277"/>
      <c r="K1046" s="277"/>
      <c r="L1046" s="277"/>
    </row>
    <row r="1047" spans="1:12" ht="15" x14ac:dyDescent="0.25">
      <c r="A1047" s="1"/>
      <c r="B1047" s="1"/>
    </row>
    <row r="1048" spans="1:12" ht="44.25" customHeight="1" thickBot="1" x14ac:dyDescent="0.25">
      <c r="A1048" s="10" t="s">
        <v>0</v>
      </c>
      <c r="B1048" s="278" t="s">
        <v>91</v>
      </c>
      <c r="C1048" s="278"/>
      <c r="D1048" s="278"/>
      <c r="E1048" s="278"/>
      <c r="F1048" s="278"/>
      <c r="G1048" s="278"/>
      <c r="H1048" s="278"/>
      <c r="I1048" s="278"/>
      <c r="J1048" s="278"/>
      <c r="K1048" s="278"/>
      <c r="L1048" s="278"/>
    </row>
    <row r="1049" spans="1:12" ht="15.75" thickTop="1" x14ac:dyDescent="0.25">
      <c r="A1049" s="1"/>
      <c r="B1049" s="11" t="s">
        <v>3</v>
      </c>
      <c r="C1049" s="12" t="s">
        <v>4</v>
      </c>
      <c r="D1049" s="13"/>
      <c r="E1049" s="13"/>
      <c r="F1049" s="13"/>
      <c r="G1049" s="13"/>
      <c r="H1049" s="14"/>
      <c r="I1049" s="15" t="s">
        <v>5</v>
      </c>
      <c r="J1049" s="12" t="s">
        <v>17</v>
      </c>
      <c r="K1049" s="13"/>
      <c r="L1049" s="14"/>
    </row>
    <row r="1050" spans="1:12" ht="15" customHeight="1" x14ac:dyDescent="0.2">
      <c r="A1050" s="50"/>
      <c r="B1050" s="143">
        <v>1</v>
      </c>
      <c r="C1050" s="284" t="s">
        <v>339</v>
      </c>
      <c r="D1050" s="285"/>
      <c r="E1050" s="285"/>
      <c r="F1050" s="285"/>
      <c r="G1050" s="76"/>
      <c r="H1050" s="79"/>
      <c r="I1050" s="56">
        <v>150000</v>
      </c>
      <c r="J1050" s="76"/>
      <c r="K1050" s="76"/>
      <c r="L1050" s="79"/>
    </row>
    <row r="1051" spans="1:12" ht="35.25" customHeight="1" x14ac:dyDescent="0.2">
      <c r="B1051" s="96"/>
      <c r="C1051" s="124"/>
      <c r="D1051" s="124"/>
      <c r="E1051" s="127"/>
      <c r="F1051" s="125"/>
      <c r="G1051" s="124"/>
      <c r="H1051" s="124"/>
      <c r="I1051" s="23"/>
      <c r="L1051" s="17"/>
    </row>
    <row r="1052" spans="1:12" ht="17.25" customHeight="1" x14ac:dyDescent="0.25">
      <c r="A1052" s="1"/>
      <c r="B1052" s="39"/>
      <c r="C1052" s="1"/>
      <c r="D1052" s="1"/>
      <c r="E1052" s="1"/>
      <c r="F1052" s="40" t="s">
        <v>5</v>
      </c>
      <c r="G1052" s="40"/>
      <c r="H1052" s="1"/>
      <c r="I1052" s="41">
        <f>SUM(I1050:I1050)</f>
        <v>150000</v>
      </c>
      <c r="J1052" s="1"/>
      <c r="K1052" s="1"/>
      <c r="L1052" s="42"/>
    </row>
    <row r="1053" spans="1:12" ht="15.75" customHeight="1" thickBot="1" x14ac:dyDescent="0.3">
      <c r="A1053" s="1"/>
      <c r="B1053" s="43"/>
      <c r="C1053" s="44"/>
      <c r="D1053" s="44"/>
      <c r="E1053" s="44"/>
      <c r="F1053" s="45"/>
      <c r="G1053" s="45"/>
      <c r="H1053" s="44"/>
      <c r="I1053" s="46"/>
      <c r="J1053" s="44"/>
      <c r="K1053" s="44"/>
      <c r="L1053" s="47"/>
    </row>
    <row r="1054" spans="1:12" ht="16.5" customHeight="1" thickTop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ht="46.5" customHeight="1" x14ac:dyDescent="0.2">
      <c r="A1055" s="10" t="s">
        <v>2</v>
      </c>
      <c r="B1055" s="279" t="s">
        <v>11</v>
      </c>
      <c r="C1055" s="279"/>
      <c r="D1055" s="279"/>
      <c r="E1055" s="279"/>
      <c r="F1055" s="279"/>
      <c r="G1055" s="279"/>
      <c r="H1055" s="279"/>
      <c r="I1055" s="279"/>
      <c r="J1055" s="279"/>
      <c r="K1055" s="279"/>
      <c r="L1055" s="279"/>
    </row>
    <row r="1056" spans="1:12" ht="9.75" customHeight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ht="15" x14ac:dyDescent="0.2">
      <c r="A1057" s="280" t="s">
        <v>12</v>
      </c>
      <c r="B1057" s="280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</row>
    <row r="1058" spans="1:12" ht="18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ht="27" hidden="1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s="120" customFormat="1" ht="16.5" customHeight="1" x14ac:dyDescent="0.25">
      <c r="A1060" s="1"/>
      <c r="B1060" s="1"/>
      <c r="C1060" s="1"/>
      <c r="D1060" s="1"/>
      <c r="E1060" s="1"/>
      <c r="F1060" s="1"/>
      <c r="G1060" s="1"/>
      <c r="H1060" s="4" t="s">
        <v>199</v>
      </c>
      <c r="I1060" s="4"/>
      <c r="J1060" s="286" t="s">
        <v>335</v>
      </c>
      <c r="K1060" s="286"/>
      <c r="L1060" s="286"/>
    </row>
    <row r="1061" spans="1:12" ht="13.5" customHeight="1" x14ac:dyDescent="0.25">
      <c r="A1061" s="1"/>
      <c r="B1061" s="1" t="s">
        <v>15</v>
      </c>
      <c r="C1061" s="1"/>
      <c r="D1061" s="1"/>
      <c r="E1061" s="1"/>
      <c r="F1061" s="1"/>
      <c r="G1061" s="1"/>
      <c r="H1061" s="4" t="s">
        <v>13</v>
      </c>
    </row>
    <row r="1062" spans="1:12" ht="15" x14ac:dyDescent="0.25">
      <c r="A1062" s="1"/>
      <c r="B1062" s="1" t="s">
        <v>18</v>
      </c>
      <c r="C1062" s="1"/>
      <c r="D1062" s="1"/>
      <c r="E1062" s="1"/>
      <c r="F1062" s="1"/>
      <c r="G1062" s="1"/>
      <c r="H1062" s="4" t="s">
        <v>14</v>
      </c>
    </row>
    <row r="1063" spans="1:12" ht="1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ht="15.75" customHeight="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ht="6.75" hidden="1" customHeight="1" x14ac:dyDescent="0.25">
      <c r="A1065" s="1"/>
      <c r="B1065" s="103"/>
      <c r="C1065" s="103"/>
      <c r="D1065" s="103"/>
      <c r="E1065" s="103"/>
      <c r="F1065" s="103"/>
      <c r="G1065" s="103"/>
      <c r="H1065" s="103"/>
      <c r="I1065" s="103"/>
      <c r="J1065" s="103"/>
      <c r="K1065" s="103"/>
      <c r="L1065" s="1"/>
    </row>
    <row r="1066" spans="1:12" ht="23.25" hidden="1" customHeight="1" x14ac:dyDescent="0.25">
      <c r="A1066" s="1"/>
      <c r="K1066" s="103"/>
      <c r="L1066" s="1"/>
    </row>
    <row r="1067" spans="1:12" ht="42" customHeight="1" x14ac:dyDescent="0.25">
      <c r="A1067" s="1"/>
      <c r="B1067" s="95" t="s">
        <v>77</v>
      </c>
      <c r="H1067" s="95" t="s">
        <v>77</v>
      </c>
      <c r="I1067" s="95"/>
      <c r="J1067" s="92"/>
      <c r="K1067" s="103"/>
      <c r="L1067" s="1"/>
    </row>
    <row r="1068" spans="1:12" ht="15.75" customHeight="1" x14ac:dyDescent="0.25">
      <c r="A1068" s="1"/>
      <c r="B1068" s="99" t="s">
        <v>27</v>
      </c>
      <c r="C1068" s="57"/>
      <c r="H1068" s="99" t="s">
        <v>27</v>
      </c>
      <c r="K1068" s="103"/>
    </row>
    <row r="1069" spans="1:12" ht="17.25" customHeight="1" x14ac:dyDescent="0.2"/>
    <row r="1070" spans="1:12" ht="12.75" customHeight="1" x14ac:dyDescent="0.2"/>
    <row r="1071" spans="1:12" ht="20.25" customHeight="1" x14ac:dyDescent="0.2"/>
    <row r="1072" spans="1:12" ht="12" customHeight="1" x14ac:dyDescent="0.2"/>
    <row r="1073" spans="1:12" ht="12.75" x14ac:dyDescent="0.2"/>
    <row r="1074" spans="1:12" ht="15.75" x14ac:dyDescent="0.25">
      <c r="A1074" s="3" t="s">
        <v>22</v>
      </c>
    </row>
    <row r="1075" spans="1:12" ht="15.75" x14ac:dyDescent="0.2">
      <c r="A1075" s="122" t="s">
        <v>20</v>
      </c>
    </row>
    <row r="1076" spans="1:12" ht="18" customHeight="1" x14ac:dyDescent="0.2">
      <c r="A1076" s="122" t="s">
        <v>21</v>
      </c>
    </row>
    <row r="1077" spans="1:12" ht="18" customHeight="1" x14ac:dyDescent="0.2"/>
    <row r="1078" spans="1:12" ht="17.25" customHeight="1" x14ac:dyDescent="0.2"/>
    <row r="1079" spans="1:12" ht="12.75" x14ac:dyDescent="0.2"/>
    <row r="1080" spans="1:12" ht="18.75" x14ac:dyDescent="0.3">
      <c r="A1080" s="276" t="s">
        <v>6</v>
      </c>
      <c r="B1080" s="276"/>
      <c r="C1080" s="276"/>
      <c r="D1080" s="276"/>
      <c r="E1080" s="276"/>
      <c r="F1080" s="276"/>
      <c r="G1080" s="276"/>
      <c r="H1080" s="276"/>
      <c r="I1080" s="276"/>
      <c r="J1080" s="276"/>
      <c r="K1080" s="276"/>
      <c r="L1080" s="276"/>
    </row>
    <row r="1081" spans="1:12" ht="9.75" customHeight="1" x14ac:dyDescent="0.3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</row>
    <row r="1082" spans="1:12" ht="9.75" customHeight="1" x14ac:dyDescent="0.3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</row>
    <row r="1083" spans="1:12" ht="15" x14ac:dyDescent="0.25">
      <c r="A1083" s="1"/>
      <c r="B1083" s="1"/>
    </row>
    <row r="1084" spans="1:12" ht="15" x14ac:dyDescent="0.25">
      <c r="A1084" s="1" t="s">
        <v>7</v>
      </c>
      <c r="B1084" s="1"/>
    </row>
    <row r="1085" spans="1:12" ht="9" customHeight="1" x14ac:dyDescent="0.25">
      <c r="A1085" s="1"/>
      <c r="B1085" s="1"/>
    </row>
    <row r="1086" spans="1:12" ht="19.5" customHeight="1" x14ac:dyDescent="0.25">
      <c r="A1086" s="1" t="s">
        <v>8</v>
      </c>
      <c r="C1086" s="9" t="s">
        <v>1</v>
      </c>
      <c r="D1086" s="92" t="s">
        <v>77</v>
      </c>
      <c r="E1086" s="76"/>
      <c r="F1086" s="76"/>
      <c r="G1086" s="76"/>
      <c r="H1086" s="76"/>
    </row>
    <row r="1087" spans="1:12" ht="15" x14ac:dyDescent="0.25">
      <c r="A1087" s="1" t="s">
        <v>9</v>
      </c>
      <c r="C1087" s="9" t="s">
        <v>1</v>
      </c>
      <c r="D1087" s="57" t="s">
        <v>201</v>
      </c>
      <c r="E1087" s="76"/>
      <c r="F1087" s="76"/>
      <c r="G1087" s="76"/>
      <c r="H1087" s="76"/>
    </row>
    <row r="1088" spans="1:12" ht="21" customHeight="1" x14ac:dyDescent="0.2">
      <c r="A1088" s="50" t="s">
        <v>10</v>
      </c>
      <c r="B1088" s="76"/>
      <c r="C1088" s="91" t="s">
        <v>1</v>
      </c>
      <c r="D1088" s="50" t="s">
        <v>265</v>
      </c>
      <c r="E1088" s="76"/>
      <c r="F1088" s="76"/>
      <c r="G1088" s="76"/>
      <c r="H1088" s="76"/>
      <c r="I1088" s="76"/>
      <c r="J1088" s="76"/>
      <c r="K1088" s="76"/>
      <c r="L1088" s="76"/>
    </row>
    <row r="1089" spans="1:12" ht="15" x14ac:dyDescent="0.25">
      <c r="A1089" s="1"/>
      <c r="B1089" s="1"/>
      <c r="D1089" s="1"/>
    </row>
    <row r="1090" spans="1:12" ht="27" customHeight="1" x14ac:dyDescent="0.2">
      <c r="A1090" s="277" t="s">
        <v>332</v>
      </c>
      <c r="B1090" s="277"/>
      <c r="C1090" s="277"/>
      <c r="D1090" s="277"/>
      <c r="E1090" s="277"/>
      <c r="F1090" s="277"/>
      <c r="G1090" s="277"/>
      <c r="H1090" s="277"/>
      <c r="I1090" s="277"/>
      <c r="J1090" s="277"/>
      <c r="K1090" s="277"/>
      <c r="L1090" s="277"/>
    </row>
    <row r="1091" spans="1:12" ht="8.25" customHeight="1" x14ac:dyDescent="0.25">
      <c r="A1091" s="1"/>
      <c r="B1091" s="1"/>
    </row>
    <row r="1092" spans="1:12" ht="33" customHeight="1" thickBot="1" x14ac:dyDescent="0.25">
      <c r="A1092" s="10" t="s">
        <v>0</v>
      </c>
      <c r="B1092" s="278" t="s">
        <v>91</v>
      </c>
      <c r="C1092" s="278"/>
      <c r="D1092" s="278"/>
      <c r="E1092" s="278"/>
      <c r="F1092" s="278"/>
      <c r="G1092" s="278"/>
      <c r="H1092" s="278"/>
      <c r="I1092" s="278"/>
      <c r="J1092" s="278"/>
      <c r="K1092" s="278"/>
      <c r="L1092" s="278"/>
    </row>
    <row r="1093" spans="1:12" ht="15.75" thickTop="1" x14ac:dyDescent="0.25">
      <c r="A1093" s="1"/>
      <c r="B1093" s="11" t="s">
        <v>3</v>
      </c>
      <c r="C1093" s="12" t="s">
        <v>4</v>
      </c>
      <c r="D1093" s="13"/>
      <c r="E1093" s="13"/>
      <c r="F1093" s="13"/>
      <c r="G1093" s="13"/>
      <c r="H1093" s="14"/>
      <c r="I1093" s="15" t="s">
        <v>5</v>
      </c>
      <c r="J1093" s="12" t="s">
        <v>17</v>
      </c>
      <c r="K1093" s="13"/>
      <c r="L1093" s="14"/>
    </row>
    <row r="1094" spans="1:12" ht="24" customHeight="1" x14ac:dyDescent="0.2">
      <c r="A1094" s="50"/>
      <c r="B1094" s="143">
        <v>1</v>
      </c>
      <c r="C1094" s="284" t="s">
        <v>303</v>
      </c>
      <c r="D1094" s="285"/>
      <c r="E1094" s="285"/>
      <c r="F1094" s="285"/>
      <c r="G1094" s="76"/>
      <c r="H1094" s="79"/>
      <c r="I1094" s="56">
        <v>250000</v>
      </c>
      <c r="J1094" s="76"/>
      <c r="K1094" s="76"/>
      <c r="L1094" s="79"/>
    </row>
    <row r="1095" spans="1:12" ht="30" customHeight="1" x14ac:dyDescent="0.2">
      <c r="B1095" s="96"/>
      <c r="C1095" s="124"/>
      <c r="D1095" s="124"/>
      <c r="E1095" s="127"/>
      <c r="F1095" s="125"/>
      <c r="G1095" s="124"/>
      <c r="H1095" s="124"/>
      <c r="I1095" s="23"/>
      <c r="L1095" s="17"/>
    </row>
    <row r="1096" spans="1:12" ht="15" x14ac:dyDescent="0.25">
      <c r="A1096" s="1"/>
      <c r="B1096" s="39"/>
      <c r="C1096" s="1"/>
      <c r="D1096" s="1"/>
      <c r="E1096" s="1"/>
      <c r="F1096" s="40" t="s">
        <v>5</v>
      </c>
      <c r="G1096" s="40"/>
      <c r="H1096" s="1"/>
      <c r="I1096" s="41">
        <f>SUM(I1094:I1094)</f>
        <v>250000</v>
      </c>
      <c r="J1096" s="1"/>
      <c r="K1096" s="1"/>
      <c r="L1096" s="42"/>
    </row>
    <row r="1097" spans="1:12" ht="15.75" thickBot="1" x14ac:dyDescent="0.3">
      <c r="A1097" s="1"/>
      <c r="B1097" s="43"/>
      <c r="C1097" s="44"/>
      <c r="D1097" s="44"/>
      <c r="E1097" s="44"/>
      <c r="F1097" s="45"/>
      <c r="G1097" s="45"/>
      <c r="H1097" s="44"/>
      <c r="I1097" s="46"/>
      <c r="J1097" s="44"/>
      <c r="K1097" s="44"/>
      <c r="L1097" s="47"/>
    </row>
    <row r="1098" spans="1:12" ht="12.75" customHeight="1" thickTop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ht="45.75" customHeight="1" x14ac:dyDescent="0.2">
      <c r="A1099" s="10" t="s">
        <v>2</v>
      </c>
      <c r="B1099" s="279" t="s">
        <v>11</v>
      </c>
      <c r="C1099" s="279"/>
      <c r="D1099" s="279"/>
      <c r="E1099" s="279"/>
      <c r="F1099" s="279"/>
      <c r="G1099" s="279"/>
      <c r="H1099" s="279"/>
      <c r="I1099" s="279"/>
      <c r="J1099" s="279"/>
      <c r="K1099" s="279"/>
      <c r="L1099" s="279"/>
    </row>
    <row r="1100" spans="1:12" ht="15" customHeight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ht="15.75" customHeight="1" x14ac:dyDescent="0.2">
      <c r="A1101" s="280" t="s">
        <v>12</v>
      </c>
      <c r="B1101" s="280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</row>
    <row r="1102" spans="1:12" ht="30" customHeight="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ht="16.5" customHeight="1" x14ac:dyDescent="0.25">
      <c r="A1103" s="1"/>
      <c r="B1103" s="1"/>
      <c r="C1103" s="1"/>
      <c r="D1103" s="1"/>
      <c r="E1103" s="1"/>
      <c r="F1103" s="1"/>
      <c r="G1103" s="1"/>
      <c r="H1103" s="4" t="s">
        <v>199</v>
      </c>
      <c r="J1103" s="286" t="s">
        <v>335</v>
      </c>
      <c r="K1103" s="286"/>
      <c r="L1103" s="286"/>
    </row>
    <row r="1104" spans="1:12" ht="16.5" customHeight="1" x14ac:dyDescent="0.25">
      <c r="A1104" s="1"/>
      <c r="B1104" s="1" t="s">
        <v>15</v>
      </c>
      <c r="C1104" s="1"/>
      <c r="D1104" s="1"/>
      <c r="E1104" s="1"/>
      <c r="F1104" s="1"/>
      <c r="G1104" s="1"/>
      <c r="H1104" s="4" t="s">
        <v>13</v>
      </c>
    </row>
    <row r="1105" spans="1:12" ht="14.25" customHeight="1" x14ac:dyDescent="0.25">
      <c r="A1105" s="1"/>
      <c r="B1105" s="1" t="s">
        <v>18</v>
      </c>
      <c r="C1105" s="1"/>
      <c r="D1105" s="1"/>
      <c r="E1105" s="1"/>
      <c r="F1105" s="1"/>
      <c r="G1105" s="1"/>
      <c r="H1105" s="4" t="s">
        <v>14</v>
      </c>
    </row>
    <row r="1106" spans="1:12" ht="14.25" customHeight="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ht="36" customHeight="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ht="1.5" customHeight="1" x14ac:dyDescent="0.25">
      <c r="A1108" s="1"/>
      <c r="B1108" s="103"/>
      <c r="C1108" s="103"/>
      <c r="D1108" s="103"/>
      <c r="E1108" s="103"/>
      <c r="F1108" s="103"/>
      <c r="G1108" s="103"/>
      <c r="H1108" s="103"/>
      <c r="I1108" s="103"/>
      <c r="J1108" s="103"/>
      <c r="K1108" s="103"/>
      <c r="L1108" s="1"/>
    </row>
    <row r="1109" spans="1:12" ht="15.75" customHeight="1" x14ac:dyDescent="0.25">
      <c r="A1109" s="1"/>
      <c r="K1109" s="103"/>
      <c r="L1109" s="1"/>
    </row>
    <row r="1110" spans="1:12" ht="11.25" customHeight="1" x14ac:dyDescent="0.25">
      <c r="A1110" s="1"/>
      <c r="B1110" s="95" t="s">
        <v>77</v>
      </c>
      <c r="H1110" s="95" t="s">
        <v>77</v>
      </c>
      <c r="I1110" s="95"/>
      <c r="J1110" s="92"/>
      <c r="K1110" s="103"/>
      <c r="L1110" s="1"/>
    </row>
    <row r="1111" spans="1:12" ht="14.25" customHeight="1" x14ac:dyDescent="0.25">
      <c r="A1111" s="1"/>
      <c r="B1111" s="99" t="s">
        <v>27</v>
      </c>
      <c r="C1111" s="57"/>
      <c r="H1111" s="99" t="s">
        <v>27</v>
      </c>
      <c r="K1111" s="103"/>
    </row>
    <row r="1112" spans="1:12" ht="50.25" customHeight="1" x14ac:dyDescent="0.2"/>
    <row r="1113" spans="1:12" ht="16.5" customHeight="1" x14ac:dyDescent="0.2"/>
    <row r="1114" spans="1:12" ht="24" customHeight="1" x14ac:dyDescent="0.2"/>
    <row r="1115" spans="1:12" ht="15" customHeight="1" x14ac:dyDescent="0.2"/>
    <row r="1116" spans="1:12" ht="15" customHeight="1" x14ac:dyDescent="0.2"/>
    <row r="1117" spans="1:12" ht="12.75" x14ac:dyDescent="0.2"/>
    <row r="1118" spans="1:12" ht="18" customHeight="1" x14ac:dyDescent="0.2"/>
    <row r="1119" spans="1:12" ht="12.75" x14ac:dyDescent="0.2"/>
    <row r="1120" spans="1:12" ht="12.75" customHeight="1" x14ac:dyDescent="0.2"/>
    <row r="1121" ht="12.75" x14ac:dyDescent="0.2"/>
    <row r="1122" ht="10.5" customHeight="1" x14ac:dyDescent="0.2"/>
    <row r="1123" ht="10.5" customHeight="1" x14ac:dyDescent="0.2"/>
    <row r="1124" ht="12.75" x14ac:dyDescent="0.2"/>
    <row r="1125" ht="15" customHeight="1" x14ac:dyDescent="0.2"/>
    <row r="1126" ht="12.75" x14ac:dyDescent="0.2"/>
    <row r="1127" ht="15" customHeight="1" x14ac:dyDescent="0.2"/>
    <row r="1128" ht="12.75" x14ac:dyDescent="0.2"/>
    <row r="1129" ht="18" customHeight="1" x14ac:dyDescent="0.2"/>
    <row r="1130" ht="12.75" x14ac:dyDescent="0.2"/>
    <row r="1131" ht="15.75" customHeight="1" x14ac:dyDescent="0.2"/>
    <row r="1132" ht="12.75" x14ac:dyDescent="0.2"/>
    <row r="1133" ht="12.75" x14ac:dyDescent="0.2"/>
    <row r="1134" ht="18.75" customHeight="1" x14ac:dyDescent="0.2"/>
    <row r="1135" ht="12.75" x14ac:dyDescent="0.2"/>
    <row r="1136" ht="18.75" customHeight="1" x14ac:dyDescent="0.2"/>
    <row r="1137" ht="12.75" x14ac:dyDescent="0.2"/>
    <row r="1138" ht="21.75" customHeight="1" x14ac:dyDescent="0.2"/>
    <row r="1139" ht="12.75" x14ac:dyDescent="0.2"/>
    <row r="1140" ht="29.25" customHeight="1" x14ac:dyDescent="0.2"/>
    <row r="1141" ht="18.75" customHeight="1" x14ac:dyDescent="0.2"/>
    <row r="1142" ht="34.5" customHeight="1" x14ac:dyDescent="0.2"/>
    <row r="1143" ht="15" customHeight="1" x14ac:dyDescent="0.2"/>
    <row r="1144" ht="21.75" customHeight="1" x14ac:dyDescent="0.2"/>
    <row r="1145" ht="36.75" customHeight="1" x14ac:dyDescent="0.2"/>
    <row r="1146" ht="12.75" customHeight="1" x14ac:dyDescent="0.2"/>
    <row r="1147" ht="18.75" customHeight="1" x14ac:dyDescent="0.2"/>
    <row r="1148" ht="12.75" x14ac:dyDescent="0.2"/>
    <row r="1149" ht="45" customHeight="1" x14ac:dyDescent="0.2"/>
    <row r="1150" ht="9.75" customHeight="1" x14ac:dyDescent="0.2"/>
    <row r="1151" ht="22.5" customHeight="1" x14ac:dyDescent="0.2"/>
    <row r="1152" ht="19.5" customHeight="1" x14ac:dyDescent="0.2"/>
    <row r="1153" ht="3.75" customHeight="1" x14ac:dyDescent="0.2"/>
    <row r="1154" ht="19.5" customHeight="1" x14ac:dyDescent="0.2"/>
    <row r="1155" ht="15" customHeight="1" x14ac:dyDescent="0.2"/>
    <row r="1156" ht="13.5" customHeight="1" x14ac:dyDescent="0.2"/>
    <row r="1157" ht="19.5" customHeight="1" x14ac:dyDescent="0.2"/>
    <row r="1158" ht="7.5" customHeight="1" x14ac:dyDescent="0.2"/>
    <row r="1159" ht="12.75" x14ac:dyDescent="0.2"/>
    <row r="1160" ht="15" customHeight="1" x14ac:dyDescent="0.2"/>
    <row r="1161" ht="21" customHeight="1" x14ac:dyDescent="0.2"/>
    <row r="1162" ht="20.25" customHeight="1" x14ac:dyDescent="0.2"/>
    <row r="1163" ht="19.5" hidden="1" customHeight="1" x14ac:dyDescent="0.2"/>
    <row r="1164" ht="16.5" customHeight="1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24" customHeight="1" x14ac:dyDescent="0.2"/>
    <row r="1174" ht="12.75" x14ac:dyDescent="0.2"/>
    <row r="1175" ht="21" customHeight="1" x14ac:dyDescent="0.2"/>
    <row r="1176" ht="21" customHeight="1" x14ac:dyDescent="0.2"/>
    <row r="1177" ht="12.75" x14ac:dyDescent="0.2"/>
    <row r="1178" ht="12.75" x14ac:dyDescent="0.2"/>
    <row r="1179" ht="12.75" x14ac:dyDescent="0.2"/>
    <row r="1180" ht="17.25" customHeight="1" x14ac:dyDescent="0.2"/>
    <row r="1181" ht="12.75" x14ac:dyDescent="0.2"/>
    <row r="1182" ht="16.5" customHeight="1" x14ac:dyDescent="0.2"/>
    <row r="1183" ht="25.5" customHeight="1" x14ac:dyDescent="0.2"/>
    <row r="1184" ht="12.75" x14ac:dyDescent="0.2"/>
    <row r="1185" spans="1:12" ht="36.75" customHeight="1" x14ac:dyDescent="0.2"/>
    <row r="1186" spans="1:12" ht="12.75" x14ac:dyDescent="0.2"/>
    <row r="1187" spans="1:12" ht="41.25" customHeight="1" x14ac:dyDescent="0.2"/>
    <row r="1188" spans="1:12" ht="21" customHeight="1" x14ac:dyDescent="0.2"/>
    <row r="1189" spans="1:12" ht="22.5" customHeight="1" x14ac:dyDescent="0.2"/>
    <row r="1190" spans="1:12" ht="10.5" customHeight="1" x14ac:dyDescent="0.2"/>
    <row r="1191" spans="1:12" ht="16.5" customHeight="1" x14ac:dyDescent="0.2"/>
    <row r="1192" spans="1:12" ht="46.5" customHeight="1" x14ac:dyDescent="0.2"/>
    <row r="1193" spans="1:12" ht="13.5" customHeight="1" x14ac:dyDescent="0.2"/>
    <row r="1194" spans="1:12" ht="24.75" customHeight="1" x14ac:dyDescent="0.2"/>
    <row r="1195" spans="1:12" ht="21" customHeight="1" x14ac:dyDescent="0.2"/>
    <row r="1196" spans="1:12" ht="27" customHeight="1" x14ac:dyDescent="0.2"/>
    <row r="1197" spans="1:12" ht="12.75" x14ac:dyDescent="0.2"/>
    <row r="1198" spans="1:12" s="99" customFormat="1" ht="19.5" customHeight="1" x14ac:dyDescent="0.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spans="1:12" s="99" customFormat="1" ht="12.75" x14ac:dyDescent="0.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</row>
    <row r="1200" spans="1:12" ht="19.5" customHeight="1" x14ac:dyDescent="0.2"/>
    <row r="1201" ht="12.75" customHeight="1" x14ac:dyDescent="0.2"/>
    <row r="1202" ht="17.25" customHeight="1" x14ac:dyDescent="0.2"/>
    <row r="1203" ht="15" customHeight="1" x14ac:dyDescent="0.2"/>
    <row r="1204" ht="21" customHeight="1" x14ac:dyDescent="0.2"/>
    <row r="1205" ht="19.5" customHeight="1" x14ac:dyDescent="0.2"/>
    <row r="1206" ht="21" customHeight="1" x14ac:dyDescent="0.2"/>
    <row r="1207" ht="14.25" customHeight="1" x14ac:dyDescent="0.2"/>
    <row r="1208" ht="12.75" x14ac:dyDescent="0.2"/>
    <row r="1209" ht="16.5" customHeight="1" x14ac:dyDescent="0.2"/>
    <row r="1210" ht="12.75" x14ac:dyDescent="0.2"/>
    <row r="1211" ht="12.75" customHeight="1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6.5" customHeight="1" x14ac:dyDescent="0.2"/>
    <row r="1219" ht="12.75" x14ac:dyDescent="0.2"/>
    <row r="1220" ht="20.25" customHeight="1" x14ac:dyDescent="0.2"/>
    <row r="1221" ht="12.75" x14ac:dyDescent="0.2"/>
    <row r="1222" ht="24.75" customHeight="1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8" customHeight="1" x14ac:dyDescent="0.2"/>
    <row r="1231" ht="17.25" customHeight="1" x14ac:dyDescent="0.2"/>
    <row r="1232" ht="18" customHeight="1" x14ac:dyDescent="0.2"/>
    <row r="1233" ht="13.5" customHeight="1" x14ac:dyDescent="0.2"/>
    <row r="1234" ht="18" customHeight="1" x14ac:dyDescent="0.2"/>
    <row r="1235" ht="17.25" customHeight="1" x14ac:dyDescent="0.2"/>
    <row r="1236" ht="41.25" customHeight="1" x14ac:dyDescent="0.2"/>
    <row r="1237" ht="15.75" customHeight="1" x14ac:dyDescent="0.2"/>
    <row r="1238" ht="35.25" customHeight="1" x14ac:dyDescent="0.2"/>
    <row r="1239" ht="18.75" customHeight="1" x14ac:dyDescent="0.2"/>
    <row r="1240" ht="35.25" customHeight="1" x14ac:dyDescent="0.2"/>
    <row r="1241" ht="24.75" customHeight="1" x14ac:dyDescent="0.2"/>
    <row r="1242" ht="28.5" customHeight="1" x14ac:dyDescent="0.2"/>
    <row r="1243" ht="21.75" customHeight="1" x14ac:dyDescent="0.2"/>
    <row r="1244" ht="18.75" customHeight="1" x14ac:dyDescent="0.2"/>
    <row r="1245" ht="17.25" customHeight="1" x14ac:dyDescent="0.2"/>
    <row r="1246" ht="21" customHeight="1" x14ac:dyDescent="0.2"/>
    <row r="1247" ht="45" customHeight="1" x14ac:dyDescent="0.2"/>
    <row r="1248" ht="17.25" customHeight="1" x14ac:dyDescent="0.2"/>
    <row r="1249" ht="23.25" customHeight="1" x14ac:dyDescent="0.2"/>
    <row r="1250" ht="18" customHeight="1" x14ac:dyDescent="0.2"/>
    <row r="1251" ht="11.25" customHeight="1" x14ac:dyDescent="0.2"/>
    <row r="1252" ht="18" customHeight="1" x14ac:dyDescent="0.2"/>
    <row r="1253" ht="12.75" customHeight="1" x14ac:dyDescent="0.2"/>
    <row r="1254" ht="13.5" customHeight="1" x14ac:dyDescent="0.2"/>
    <row r="1255" ht="19.5" customHeight="1" x14ac:dyDescent="0.2"/>
    <row r="1256" ht="22.5" customHeight="1" x14ac:dyDescent="0.2"/>
    <row r="1257" ht="12.75" x14ac:dyDescent="0.2"/>
    <row r="1258" ht="16.5" customHeight="1" x14ac:dyDescent="0.2"/>
    <row r="1259" ht="16.5" customHeight="1" x14ac:dyDescent="0.2"/>
    <row r="1260" ht="12.75" x14ac:dyDescent="0.2"/>
    <row r="1261" ht="27.75" customHeight="1" x14ac:dyDescent="0.2"/>
    <row r="1262" ht="12.75" x14ac:dyDescent="0.2"/>
    <row r="1263" ht="18.75" customHeight="1" x14ac:dyDescent="0.2"/>
    <row r="1264" ht="12.75" x14ac:dyDescent="0.2"/>
    <row r="1265" ht="18" customHeight="1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45.75" hidden="1" customHeight="1" x14ac:dyDescent="0.2"/>
    <row r="1274" ht="32.25" customHeight="1" x14ac:dyDescent="0.2"/>
    <row r="1275" ht="15" customHeight="1" x14ac:dyDescent="0.2"/>
    <row r="1276" ht="12.75" x14ac:dyDescent="0.2"/>
    <row r="1277" ht="12.75" x14ac:dyDescent="0.2"/>
    <row r="1278" ht="12.75" x14ac:dyDescent="0.2"/>
    <row r="1279" ht="41.25" customHeight="1" x14ac:dyDescent="0.2"/>
    <row r="1280" ht="15" customHeight="1" x14ac:dyDescent="0.2"/>
    <row r="1281" ht="39" customHeight="1" x14ac:dyDescent="0.2"/>
    <row r="1282" ht="19.5" customHeight="1" x14ac:dyDescent="0.2"/>
    <row r="1283" ht="23.25" customHeight="1" x14ac:dyDescent="0.2"/>
    <row r="1284" ht="30.75" customHeight="1" x14ac:dyDescent="0.2"/>
    <row r="1285" ht="27.75" customHeight="1" x14ac:dyDescent="0.2"/>
    <row r="1286" ht="12.75" x14ac:dyDescent="0.2"/>
    <row r="1287" ht="15.75" customHeight="1" x14ac:dyDescent="0.2"/>
    <row r="1288" ht="6" customHeight="1" x14ac:dyDescent="0.2"/>
    <row r="1289" ht="12.75" x14ac:dyDescent="0.2"/>
    <row r="1290" ht="48.75" customHeight="1" x14ac:dyDescent="0.2"/>
    <row r="1291" ht="20.25" customHeight="1" x14ac:dyDescent="0.2"/>
    <row r="1292" ht="21.75" customHeight="1" x14ac:dyDescent="0.2"/>
    <row r="1293" ht="18" customHeight="1" x14ac:dyDescent="0.2"/>
    <row r="1294" ht="12.75" x14ac:dyDescent="0.2"/>
    <row r="1295" ht="20.25" customHeight="1" x14ac:dyDescent="0.2"/>
    <row r="1296" ht="18" customHeight="1" x14ac:dyDescent="0.2"/>
    <row r="1297" ht="15" customHeight="1" x14ac:dyDescent="0.2"/>
    <row r="1298" ht="17.25" customHeight="1" x14ac:dyDescent="0.2"/>
    <row r="1299" ht="16.5" hidden="1" customHeight="1" x14ac:dyDescent="0.2"/>
    <row r="1300" ht="21" hidden="1" customHeight="1" x14ac:dyDescent="0.2"/>
    <row r="1301" ht="42" customHeight="1" x14ac:dyDescent="0.2"/>
    <row r="1302" ht="17.25" customHeight="1" x14ac:dyDescent="0.2"/>
    <row r="1303" ht="39.75" customHeight="1" x14ac:dyDescent="0.2"/>
    <row r="1304" ht="25.5" customHeight="1" x14ac:dyDescent="0.2"/>
    <row r="1305" ht="11.25" customHeight="1" x14ac:dyDescent="0.2"/>
    <row r="1306" ht="18.75" customHeight="1" x14ac:dyDescent="0.2"/>
    <row r="1307" ht="21.75" customHeight="1" x14ac:dyDescent="0.2"/>
    <row r="1308" ht="19.5" customHeight="1" x14ac:dyDescent="0.2"/>
    <row r="1309" ht="18" customHeight="1" x14ac:dyDescent="0.2"/>
    <row r="1310" ht="18" customHeight="1" x14ac:dyDescent="0.2"/>
    <row r="1311" ht="12.75" x14ac:dyDescent="0.2"/>
    <row r="1312" ht="24" customHeight="1" x14ac:dyDescent="0.2"/>
    <row r="1313" ht="12.75" x14ac:dyDescent="0.2"/>
    <row r="1314" ht="12.75" customHeight="1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21.75" customHeight="1" x14ac:dyDescent="0.2"/>
    <row r="1323" ht="29.25" customHeight="1" x14ac:dyDescent="0.2"/>
    <row r="1324" ht="15" customHeight="1" x14ac:dyDescent="0.2"/>
    <row r="1325" ht="33.75" customHeight="1" x14ac:dyDescent="0.2"/>
    <row r="1326" ht="43.5" customHeight="1" x14ac:dyDescent="0.2"/>
    <row r="1327" ht="12.75" x14ac:dyDescent="0.2"/>
    <row r="1328" ht="41.25" customHeight="1" x14ac:dyDescent="0.2"/>
    <row r="1329" ht="12.75" x14ac:dyDescent="0.2"/>
    <row r="1330" ht="22.5" customHeight="1" x14ac:dyDescent="0.2"/>
    <row r="1331" ht="18.75" customHeight="1" x14ac:dyDescent="0.2"/>
    <row r="1332" ht="16.5" customHeight="1" x14ac:dyDescent="0.2"/>
    <row r="1333" ht="12.75" x14ac:dyDescent="0.2"/>
    <row r="1334" ht="47.25" customHeight="1" x14ac:dyDescent="0.2"/>
    <row r="1335" ht="12" customHeight="1" x14ac:dyDescent="0.2"/>
    <row r="1336" ht="22.5" customHeight="1" x14ac:dyDescent="0.2"/>
    <row r="1337" ht="12.75" x14ac:dyDescent="0.2"/>
    <row r="1338" ht="24.75" customHeight="1" x14ac:dyDescent="0.2"/>
    <row r="1339" ht="12.75" x14ac:dyDescent="0.2"/>
    <row r="1340" ht="12.75" x14ac:dyDescent="0.2"/>
    <row r="1341" ht="12.75" x14ac:dyDescent="0.2"/>
    <row r="1342" ht="12.75" x14ac:dyDescent="0.2"/>
    <row r="1343" ht="17.25" customHeight="1" x14ac:dyDescent="0.2"/>
    <row r="1344" ht="29.25" hidden="1" customHeight="1" x14ac:dyDescent="0.2"/>
    <row r="1345" ht="14.25" customHeight="1" x14ac:dyDescent="0.2"/>
    <row r="1346" ht="36.75" customHeight="1" x14ac:dyDescent="0.2"/>
    <row r="1347" ht="14.25" customHeight="1" x14ac:dyDescent="0.2"/>
    <row r="1348" ht="39" customHeight="1" x14ac:dyDescent="0.2"/>
    <row r="1349" ht="25.5" customHeight="1" x14ac:dyDescent="0.2"/>
    <row r="1350" ht="18.75" customHeight="1" x14ac:dyDescent="0.2"/>
    <row r="1351" ht="12.75" x14ac:dyDescent="0.2"/>
    <row r="1352" ht="19.5" customHeight="1" x14ac:dyDescent="0.2"/>
    <row r="1353" ht="13.5" customHeight="1" x14ac:dyDescent="0.2"/>
    <row r="1354" ht="21" customHeight="1" x14ac:dyDescent="0.2"/>
    <row r="1355" ht="48" customHeight="1" x14ac:dyDescent="0.2"/>
    <row r="1356" ht="12.75" x14ac:dyDescent="0.2"/>
    <row r="1357" ht="21.75" customHeight="1" x14ac:dyDescent="0.2"/>
    <row r="1358" ht="12.75" x14ac:dyDescent="0.2"/>
    <row r="1359" ht="12.75" customHeight="1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21" customHeight="1" x14ac:dyDescent="0.2"/>
    <row r="1367" ht="30" customHeight="1" x14ac:dyDescent="0.2"/>
    <row r="1368" ht="29.25" customHeight="1" x14ac:dyDescent="0.2"/>
    <row r="1369" ht="21" customHeight="1" x14ac:dyDescent="0.2"/>
    <row r="1370" ht="33" customHeight="1" x14ac:dyDescent="0.2"/>
    <row r="1371" ht="21.75" customHeight="1" x14ac:dyDescent="0.2"/>
    <row r="1372" ht="29.25" customHeight="1" x14ac:dyDescent="0.2"/>
    <row r="1373" ht="24" customHeight="1" x14ac:dyDescent="0.2"/>
    <row r="1374" ht="12.75" x14ac:dyDescent="0.2"/>
    <row r="1375" ht="33.75" customHeight="1" x14ac:dyDescent="0.2"/>
    <row r="1376" ht="18" customHeight="1" x14ac:dyDescent="0.2"/>
    <row r="1377" ht="5.25" customHeight="1" x14ac:dyDescent="0.2"/>
    <row r="1378" ht="23.25" customHeight="1" x14ac:dyDescent="0.2"/>
    <row r="1379" ht="45" customHeight="1" x14ac:dyDescent="0.2"/>
    <row r="1380" ht="12.75" x14ac:dyDescent="0.2"/>
    <row r="1381" ht="18" customHeight="1" x14ac:dyDescent="0.2"/>
    <row r="1382" ht="21" customHeight="1" x14ac:dyDescent="0.2"/>
    <row r="1383" ht="14.25" customHeight="1" x14ac:dyDescent="0.2"/>
    <row r="1384" ht="16.5" customHeight="1" x14ac:dyDescent="0.2"/>
    <row r="1385" ht="12.75" x14ac:dyDescent="0.2"/>
    <row r="1386" ht="12.75" x14ac:dyDescent="0.2"/>
    <row r="1387" ht="12.75" x14ac:dyDescent="0.2"/>
    <row r="1388" ht="12.75" customHeight="1" x14ac:dyDescent="0.2"/>
    <row r="1389" ht="12.75" x14ac:dyDescent="0.2"/>
    <row r="1390" ht="12.75" x14ac:dyDescent="0.2"/>
    <row r="1391" ht="12.75" x14ac:dyDescent="0.2"/>
    <row r="1392" ht="25.5" customHeight="1" x14ac:dyDescent="0.2"/>
    <row r="1393" ht="18" customHeight="1" x14ac:dyDescent="0.2"/>
    <row r="1394" ht="15" customHeight="1" x14ac:dyDescent="0.2"/>
    <row r="1395" ht="13.5" customHeight="1" x14ac:dyDescent="0.2"/>
    <row r="1396" ht="12.75" customHeight="1" x14ac:dyDescent="0.2"/>
    <row r="1397" ht="12.75" x14ac:dyDescent="0.2"/>
    <row r="1398" ht="12.75" x14ac:dyDescent="0.2"/>
    <row r="1399" ht="18" customHeight="1" x14ac:dyDescent="0.2"/>
    <row r="1400" ht="12.75" x14ac:dyDescent="0.2"/>
    <row r="1401" ht="23.25" customHeight="1" x14ac:dyDescent="0.2"/>
    <row r="1402" ht="21.75" customHeight="1" x14ac:dyDescent="0.2"/>
    <row r="1403" ht="11.25" customHeight="1" x14ac:dyDescent="0.2"/>
    <row r="1404" ht="12.75" x14ac:dyDescent="0.2"/>
    <row r="1405" ht="19.5" customHeight="1" x14ac:dyDescent="0.2"/>
    <row r="1406" ht="12.75" x14ac:dyDescent="0.2"/>
    <row r="1407" ht="12.75" x14ac:dyDescent="0.2"/>
    <row r="1408" ht="12.75" x14ac:dyDescent="0.2"/>
    <row r="1409" ht="12.75" x14ac:dyDescent="0.2"/>
    <row r="1410" ht="14.25" customHeight="1" x14ac:dyDescent="0.2"/>
    <row r="1411" ht="12.75" x14ac:dyDescent="0.2"/>
    <row r="1412" ht="15" customHeight="1" x14ac:dyDescent="0.2"/>
    <row r="1413" ht="12.75" x14ac:dyDescent="0.2"/>
    <row r="1414" ht="12.75" x14ac:dyDescent="0.2"/>
    <row r="1415" ht="33" customHeight="1" x14ac:dyDescent="0.2"/>
    <row r="1416" ht="12.75" x14ac:dyDescent="0.2"/>
    <row r="1417" ht="34.5" customHeight="1" x14ac:dyDescent="0.2"/>
    <row r="1418" ht="12.75" x14ac:dyDescent="0.2"/>
    <row r="1419" ht="36" customHeight="1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customHeight="1" x14ac:dyDescent="0.2"/>
    <row r="1426" ht="50.25" customHeight="1" x14ac:dyDescent="0.2"/>
    <row r="1427" ht="21" customHeight="1" x14ac:dyDescent="0.2"/>
    <row r="1428" ht="18" customHeight="1" x14ac:dyDescent="0.2"/>
    <row r="1429" ht="14.25" customHeight="1" x14ac:dyDescent="0.2"/>
    <row r="1430" ht="17.25" customHeight="1" x14ac:dyDescent="0.2"/>
    <row r="1431" ht="17.25" customHeight="1" x14ac:dyDescent="0.2"/>
    <row r="1432" ht="12.75" customHeight="1" x14ac:dyDescent="0.2"/>
    <row r="1433" ht="18.75" customHeight="1" x14ac:dyDescent="0.2"/>
    <row r="1434" ht="12.75" x14ac:dyDescent="0.2"/>
    <row r="1435" ht="13.5" customHeight="1" x14ac:dyDescent="0.2"/>
    <row r="1436" ht="7.5" customHeight="1" x14ac:dyDescent="0.2"/>
    <row r="1437" ht="35.25" customHeight="1" x14ac:dyDescent="0.2"/>
    <row r="1438" ht="12.75" x14ac:dyDescent="0.2"/>
    <row r="1439" ht="19.5" customHeight="1" x14ac:dyDescent="0.2"/>
    <row r="1440" ht="12.75" x14ac:dyDescent="0.2"/>
    <row r="1441" ht="18.75" customHeight="1" x14ac:dyDescent="0.2"/>
    <row r="1442" ht="21" customHeight="1" x14ac:dyDescent="0.2"/>
    <row r="1443" ht="23.25" customHeight="1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5" customHeight="1" x14ac:dyDescent="0.2"/>
    <row r="1451" ht="15.75" customHeight="1" x14ac:dyDescent="0.2"/>
    <row r="1452" ht="12.75" x14ac:dyDescent="0.2"/>
    <row r="1453" ht="6" customHeight="1" x14ac:dyDescent="0.2"/>
    <row r="1454" ht="12.75" x14ac:dyDescent="0.2"/>
    <row r="1455" ht="14.25" customHeight="1" x14ac:dyDescent="0.2"/>
    <row r="1456" ht="12.75" x14ac:dyDescent="0.2"/>
    <row r="1457" ht="18" customHeight="1" x14ac:dyDescent="0.2"/>
    <row r="1458" ht="14.25" customHeight="1" x14ac:dyDescent="0.2"/>
    <row r="1459" ht="18.75" customHeight="1" x14ac:dyDescent="0.2"/>
    <row r="1460" ht="33.75" customHeight="1" x14ac:dyDescent="0.2"/>
    <row r="1461" ht="18.75" customHeight="1" x14ac:dyDescent="0.2"/>
    <row r="1462" ht="35.25" customHeight="1" x14ac:dyDescent="0.2"/>
    <row r="1463" ht="32.25" customHeight="1" x14ac:dyDescent="0.2"/>
    <row r="1464" ht="23.25" customHeight="1" x14ac:dyDescent="0.2"/>
    <row r="1465" ht="12.75" x14ac:dyDescent="0.2"/>
    <row r="1466" ht="30.75" customHeight="1" x14ac:dyDescent="0.2"/>
    <row r="1467" ht="12.75" x14ac:dyDescent="0.2"/>
    <row r="1468" ht="15" customHeight="1" x14ac:dyDescent="0.2"/>
    <row r="1469" ht="12.75" x14ac:dyDescent="0.2"/>
    <row r="1470" ht="12.75" x14ac:dyDescent="0.2"/>
    <row r="1471" ht="45.75" customHeight="1" x14ac:dyDescent="0.2"/>
    <row r="1472" ht="12.75" x14ac:dyDescent="0.2"/>
    <row r="1473" ht="19.5" customHeight="1" x14ac:dyDescent="0.2"/>
    <row r="1474" ht="12.75" x14ac:dyDescent="0.2"/>
    <row r="1475" ht="15.75" customHeight="1" x14ac:dyDescent="0.2"/>
    <row r="1476" ht="12.75" x14ac:dyDescent="0.2"/>
    <row r="1477" ht="12" customHeight="1" x14ac:dyDescent="0.2"/>
    <row r="1478" ht="12.75" x14ac:dyDescent="0.2"/>
    <row r="1479" ht="19.5" customHeight="1" x14ac:dyDescent="0.2"/>
    <row r="1480" ht="31.5" hidden="1" customHeight="1" x14ac:dyDescent="0.2"/>
    <row r="1481" ht="31.5" customHeight="1" x14ac:dyDescent="0.2"/>
    <row r="1482" ht="21" customHeight="1" x14ac:dyDescent="0.2"/>
    <row r="1483" ht="20.25" customHeight="1" x14ac:dyDescent="0.2"/>
    <row r="1484" ht="12.75" x14ac:dyDescent="0.2"/>
    <row r="1485" ht="12.75" x14ac:dyDescent="0.2"/>
    <row r="1486" ht="19.5" customHeight="1" x14ac:dyDescent="0.2"/>
    <row r="1487" ht="21.75" customHeight="1" x14ac:dyDescent="0.2"/>
    <row r="1488" ht="18.75" customHeight="1" x14ac:dyDescent="0.2"/>
    <row r="1489" ht="21.75" customHeight="1" x14ac:dyDescent="0.2"/>
    <row r="1490" ht="18" customHeight="1" x14ac:dyDescent="0.2"/>
    <row r="1491" ht="19.5" customHeight="1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4.25" customHeight="1" x14ac:dyDescent="0.2"/>
    <row r="1498" ht="19.5" customHeight="1" x14ac:dyDescent="0.2"/>
    <row r="1499" ht="14.25" customHeight="1" x14ac:dyDescent="0.2"/>
    <row r="1500" ht="15" customHeight="1" x14ac:dyDescent="0.2"/>
    <row r="1501" ht="17.25" customHeight="1" x14ac:dyDescent="0.2"/>
    <row r="1502" ht="21.75" customHeight="1" x14ac:dyDescent="0.2"/>
    <row r="1503" ht="12.75" x14ac:dyDescent="0.2"/>
    <row r="1504" ht="35.25" customHeight="1" x14ac:dyDescent="0.2"/>
    <row r="1505" ht="14.25" customHeight="1" x14ac:dyDescent="0.2"/>
    <row r="1506" ht="36.75" customHeight="1" x14ac:dyDescent="0.2"/>
    <row r="1507" ht="12.75" x14ac:dyDescent="0.2"/>
    <row r="1508" ht="41.25" customHeight="1" x14ac:dyDescent="0.2"/>
    <row r="1509" ht="12.75" x14ac:dyDescent="0.2"/>
    <row r="1510" ht="12.75" customHeight="1" x14ac:dyDescent="0.2"/>
    <row r="1511" ht="12.75" x14ac:dyDescent="0.2"/>
    <row r="1512" ht="12.75" x14ac:dyDescent="0.2"/>
    <row r="1513" ht="12.75" x14ac:dyDescent="0.2"/>
    <row r="1514" ht="12.75" x14ac:dyDescent="0.2"/>
    <row r="1515" ht="35.25" customHeight="1" x14ac:dyDescent="0.2"/>
    <row r="1516" ht="33" customHeight="1" x14ac:dyDescent="0.2"/>
    <row r="1517" ht="31.5" customHeight="1" x14ac:dyDescent="0.2"/>
    <row r="1518" ht="24" customHeight="1" x14ac:dyDescent="0.2"/>
    <row r="1519" ht="12.75" x14ac:dyDescent="0.2"/>
    <row r="1520" ht="12.75" x14ac:dyDescent="0.2"/>
    <row r="1521" spans="1:12" ht="12.75" x14ac:dyDescent="0.2"/>
    <row r="1522" spans="1:12" ht="18.75" customHeight="1" x14ac:dyDescent="0.2"/>
    <row r="1523" spans="1:12" ht="12.75" x14ac:dyDescent="0.2"/>
    <row r="1524" spans="1:12" ht="40.5" customHeight="1" x14ac:dyDescent="0.2"/>
    <row r="1525" spans="1:12" ht="12.75" x14ac:dyDescent="0.2"/>
    <row r="1526" spans="1:12" ht="13.5" customHeight="1" x14ac:dyDescent="0.2"/>
    <row r="1527" spans="1:12" ht="22.5" customHeight="1" x14ac:dyDescent="0.2"/>
    <row r="1528" spans="1:12" ht="23.25" customHeight="1" x14ac:dyDescent="0.2"/>
    <row r="1529" spans="1:12" s="76" customFormat="1" ht="16.5" customHeight="1" x14ac:dyDescent="0.2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</row>
    <row r="1530" spans="1:12" ht="15" customHeight="1" x14ac:dyDescent="0.2"/>
    <row r="1531" spans="1:12" ht="12.75" x14ac:dyDescent="0.2"/>
    <row r="1532" spans="1:12" ht="12.75" x14ac:dyDescent="0.2"/>
    <row r="1533" spans="1:12" ht="12.75" x14ac:dyDescent="0.2"/>
    <row r="1534" spans="1:12" ht="15" customHeight="1" x14ac:dyDescent="0.2"/>
    <row r="1535" spans="1:12" ht="15.75" customHeight="1" x14ac:dyDescent="0.2"/>
    <row r="1536" spans="1:12" ht="14.25" customHeight="1" x14ac:dyDescent="0.2"/>
    <row r="1537" ht="21.75" customHeight="1" x14ac:dyDescent="0.2"/>
    <row r="1538" ht="18" customHeight="1" x14ac:dyDescent="0.2"/>
    <row r="1539" ht="19.5" customHeight="1" x14ac:dyDescent="0.2"/>
    <row r="1540" ht="17.25" customHeight="1" x14ac:dyDescent="0.2"/>
    <row r="1541" ht="12.75" x14ac:dyDescent="0.2"/>
    <row r="1542" ht="12.75" x14ac:dyDescent="0.2"/>
    <row r="1543" ht="12.75" x14ac:dyDescent="0.2"/>
    <row r="1544" ht="13.5" customHeight="1" x14ac:dyDescent="0.2"/>
    <row r="1545" ht="12.75" x14ac:dyDescent="0.2"/>
    <row r="1546" ht="21" customHeight="1" x14ac:dyDescent="0.2"/>
    <row r="1547" ht="34.5" customHeight="1" x14ac:dyDescent="0.2"/>
    <row r="1548" ht="10.5" customHeight="1" x14ac:dyDescent="0.2"/>
    <row r="1549" ht="32.25" customHeight="1" x14ac:dyDescent="0.2"/>
    <row r="1550" ht="30" customHeight="1" x14ac:dyDescent="0.2"/>
    <row r="1551" ht="12.75" x14ac:dyDescent="0.2"/>
    <row r="1552" ht="25.5" customHeight="1" x14ac:dyDescent="0.2"/>
    <row r="1553" ht="12.75" x14ac:dyDescent="0.2"/>
    <row r="1554" ht="12.75" x14ac:dyDescent="0.2"/>
    <row r="1555" ht="15.75" customHeight="1" x14ac:dyDescent="0.2"/>
    <row r="1556" ht="12.75" x14ac:dyDescent="0.2"/>
    <row r="1557" ht="12.75" customHeight="1" x14ac:dyDescent="0.2"/>
    <row r="1558" ht="47.25" customHeight="1" x14ac:dyDescent="0.2"/>
    <row r="1559" ht="12.75" x14ac:dyDescent="0.2"/>
    <row r="1560" ht="15" customHeight="1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20.25" customHeight="1" x14ac:dyDescent="0.2"/>
    <row r="1570" ht="12.75" x14ac:dyDescent="0.2"/>
    <row r="1571" ht="26.25" customHeight="1" x14ac:dyDescent="0.2"/>
    <row r="1572" ht="21" customHeight="1" x14ac:dyDescent="0.2"/>
    <row r="1573" ht="38.25" customHeight="1" x14ac:dyDescent="0.2"/>
    <row r="1574" ht="25.5" customHeight="1" x14ac:dyDescent="0.2"/>
    <row r="1575" ht="15.75" customHeight="1" x14ac:dyDescent="0.2"/>
    <row r="1576" ht="21.75" customHeight="1" x14ac:dyDescent="0.2"/>
    <row r="1577" ht="12.75" x14ac:dyDescent="0.2"/>
    <row r="1578" ht="12.75" x14ac:dyDescent="0.2"/>
    <row r="1579" ht="12.75" x14ac:dyDescent="0.2"/>
    <row r="1580" ht="12.75" x14ac:dyDescent="0.2"/>
    <row r="1581" ht="24.75" customHeight="1" x14ac:dyDescent="0.2"/>
    <row r="1582" ht="12.75" x14ac:dyDescent="0.2"/>
    <row r="1583" ht="15" customHeight="1" x14ac:dyDescent="0.2"/>
    <row r="1584" ht="46.5" customHeight="1" x14ac:dyDescent="0.2"/>
    <row r="1585" ht="18.75" customHeight="1" x14ac:dyDescent="0.2"/>
    <row r="1586" ht="24" customHeight="1" x14ac:dyDescent="0.2"/>
    <row r="1587" ht="11.25" customHeight="1" x14ac:dyDescent="0.2"/>
    <row r="1588" ht="16.5" customHeight="1" x14ac:dyDescent="0.2"/>
    <row r="1589" ht="12.75" customHeight="1" x14ac:dyDescent="0.2"/>
    <row r="1590" ht="13.5" customHeight="1" x14ac:dyDescent="0.2"/>
    <row r="1591" ht="12.75" x14ac:dyDescent="0.2"/>
    <row r="1592" ht="19.5" customHeight="1" x14ac:dyDescent="0.2"/>
    <row r="1593" ht="12.75" x14ac:dyDescent="0.2"/>
    <row r="1594" ht="39" customHeight="1" x14ac:dyDescent="0.2"/>
    <row r="1595" ht="20.25" customHeight="1" x14ac:dyDescent="0.2"/>
    <row r="1596" ht="45" customHeight="1" x14ac:dyDescent="0.2"/>
    <row r="1597" ht="12.75" x14ac:dyDescent="0.2"/>
    <row r="1598" ht="21" customHeight="1" x14ac:dyDescent="0.2"/>
    <row r="1599" ht="12.75" x14ac:dyDescent="0.2"/>
    <row r="1600" ht="12.75" x14ac:dyDescent="0.2"/>
    <row r="1601" ht="42" customHeight="1" x14ac:dyDescent="0.2"/>
    <row r="1602" ht="12.75" x14ac:dyDescent="0.2"/>
    <row r="1603" ht="12.75" customHeight="1" x14ac:dyDescent="0.2"/>
    <row r="1604" ht="12.75" x14ac:dyDescent="0.2"/>
    <row r="1605" ht="50.25" customHeight="1" x14ac:dyDescent="0.2"/>
    <row r="1606" ht="12.75" customHeight="1" x14ac:dyDescent="0.2"/>
    <row r="1607" ht="15" customHeight="1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5.75" customHeight="1" x14ac:dyDescent="0.2"/>
    <row r="1619" ht="20.25" customHeight="1" x14ac:dyDescent="0.2"/>
    <row r="1620" ht="19.5" customHeight="1" x14ac:dyDescent="0.2"/>
    <row r="1621" ht="18.75" customHeight="1" x14ac:dyDescent="0.2"/>
    <row r="1622" ht="33.75" customHeight="1" x14ac:dyDescent="0.2"/>
    <row r="1623" ht="14.25" customHeight="1" x14ac:dyDescent="0.2"/>
    <row r="1624" ht="39.75" customHeight="1" x14ac:dyDescent="0.2"/>
    <row r="1625" ht="12.75" x14ac:dyDescent="0.2"/>
    <row r="1626" ht="18.75" customHeight="1" x14ac:dyDescent="0.2"/>
    <row r="1627" ht="12.75" x14ac:dyDescent="0.2"/>
    <row r="1628" ht="17.25" customHeight="1" x14ac:dyDescent="0.2"/>
    <row r="1629" ht="12.75" x14ac:dyDescent="0.2"/>
    <row r="1630" ht="22.5" customHeight="1" x14ac:dyDescent="0.2"/>
    <row r="1631" ht="12.75" customHeight="1" x14ac:dyDescent="0.2"/>
    <row r="1632" ht="28.5" customHeight="1" x14ac:dyDescent="0.2"/>
    <row r="1633" ht="10.5" customHeight="1" x14ac:dyDescent="0.2"/>
    <row r="1634" ht="25.5" customHeight="1" x14ac:dyDescent="0.2"/>
    <row r="1635" ht="20.25" customHeight="1" x14ac:dyDescent="0.2"/>
    <row r="1636" ht="19.5" customHeight="1" x14ac:dyDescent="0.2"/>
    <row r="1637" ht="20.25" customHeight="1" x14ac:dyDescent="0.2"/>
    <row r="1638" ht="14.25" customHeight="1" x14ac:dyDescent="0.2"/>
    <row r="1639" ht="12.75" x14ac:dyDescent="0.2"/>
    <row r="1640" ht="53.25" customHeight="1" x14ac:dyDescent="0.2"/>
    <row r="1641" ht="12.75" x14ac:dyDescent="0.2"/>
    <row r="1642" ht="36.75" customHeight="1" x14ac:dyDescent="0.2"/>
    <row r="1643" ht="12.75" x14ac:dyDescent="0.2"/>
    <row r="1644" ht="35.25" customHeight="1" x14ac:dyDescent="0.2"/>
    <row r="1645" ht="31.5" customHeight="1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54" customHeight="1" x14ac:dyDescent="0.2"/>
    <row r="1652" ht="12.75" x14ac:dyDescent="0.2"/>
    <row r="1653" ht="27.75" customHeight="1" x14ac:dyDescent="0.2"/>
    <row r="1654" ht="19.5" customHeight="1" x14ac:dyDescent="0.2"/>
    <row r="1655" ht="19.5" customHeight="1" x14ac:dyDescent="0.2"/>
    <row r="1656" ht="12.75" x14ac:dyDescent="0.2"/>
    <row r="1657" ht="12.75" x14ac:dyDescent="0.2"/>
    <row r="1658" ht="12.75" x14ac:dyDescent="0.2"/>
    <row r="1659" ht="12" customHeight="1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4.25" customHeight="1" x14ac:dyDescent="0.2"/>
    <row r="1668" ht="12.75" x14ac:dyDescent="0.2"/>
    <row r="1669" ht="21" customHeight="1" x14ac:dyDescent="0.2"/>
    <row r="1670" ht="22.5" customHeight="1" x14ac:dyDescent="0.2"/>
    <row r="1671" ht="20.25" customHeight="1" x14ac:dyDescent="0.2"/>
    <row r="1672" ht="18" customHeight="1" x14ac:dyDescent="0.2"/>
    <row r="1673" ht="33" customHeight="1" x14ac:dyDescent="0.2"/>
    <row r="1674" ht="12.75" x14ac:dyDescent="0.2"/>
    <row r="1675" ht="12.75" x14ac:dyDescent="0.2"/>
    <row r="1676" ht="12.75" x14ac:dyDescent="0.2"/>
    <row r="1677" ht="18.75" customHeight="1" x14ac:dyDescent="0.2"/>
    <row r="1678" ht="34.5" hidden="1" customHeight="1" x14ac:dyDescent="0.2"/>
    <row r="1679" ht="20.25" customHeight="1" x14ac:dyDescent="0.2"/>
    <row r="1680" ht="24" customHeight="1" x14ac:dyDescent="0.2"/>
    <row r="1681" ht="10.5" customHeight="1" x14ac:dyDescent="0.2"/>
    <row r="1682" ht="12.75" x14ac:dyDescent="0.2"/>
    <row r="1683" ht="12.75" customHeight="1" x14ac:dyDescent="0.2"/>
    <row r="1684" ht="12.75" x14ac:dyDescent="0.2"/>
    <row r="1685" ht="15" customHeight="1" x14ac:dyDescent="0.2"/>
    <row r="1686" ht="48.75" customHeight="1" x14ac:dyDescent="0.2"/>
    <row r="1687" ht="12.75" x14ac:dyDescent="0.2"/>
    <row r="1688" ht="39" customHeight="1" x14ac:dyDescent="0.2"/>
    <row r="1689" ht="25.5" customHeight="1" x14ac:dyDescent="0.2"/>
    <row r="1690" ht="35.25" customHeight="1" x14ac:dyDescent="0.2"/>
    <row r="1691" ht="26.25" customHeight="1" x14ac:dyDescent="0.2"/>
    <row r="1692" ht="12.75" customHeight="1" x14ac:dyDescent="0.2"/>
    <row r="1693" ht="12.75" x14ac:dyDescent="0.2"/>
    <row r="1694" ht="15" customHeight="1" x14ac:dyDescent="0.2"/>
    <row r="1695" ht="12.75" x14ac:dyDescent="0.2"/>
    <row r="1696" ht="15" customHeight="1" x14ac:dyDescent="0.2"/>
    <row r="1697" ht="52.5" customHeight="1" x14ac:dyDescent="0.2"/>
    <row r="1698" ht="12.75" x14ac:dyDescent="0.2"/>
    <row r="1699" ht="15" customHeight="1" x14ac:dyDescent="0.2"/>
    <row r="1700" ht="12.75" x14ac:dyDescent="0.2"/>
    <row r="1701" ht="15" customHeight="1" x14ac:dyDescent="0.2"/>
    <row r="1702" ht="12.75" x14ac:dyDescent="0.2"/>
    <row r="1703" ht="12.75" x14ac:dyDescent="0.2"/>
    <row r="1704" ht="16.5" customHeight="1" x14ac:dyDescent="0.2"/>
    <row r="1705" ht="15" customHeight="1" x14ac:dyDescent="0.2"/>
    <row r="1706" ht="12.75" x14ac:dyDescent="0.2"/>
    <row r="1707" ht="20.25" customHeight="1" x14ac:dyDescent="0.2"/>
    <row r="1708" ht="12.75" x14ac:dyDescent="0.2"/>
    <row r="1709" ht="15" customHeight="1" x14ac:dyDescent="0.2"/>
    <row r="1710" ht="12.75" x14ac:dyDescent="0.2"/>
    <row r="1711" ht="12.75" x14ac:dyDescent="0.2"/>
    <row r="1712" ht="13.5" customHeight="1" x14ac:dyDescent="0.2"/>
    <row r="1713" ht="12.75" x14ac:dyDescent="0.2"/>
    <row r="1714" ht="12.75" customHeight="1" x14ac:dyDescent="0.2"/>
    <row r="1715" ht="12.75" customHeight="1" x14ac:dyDescent="0.2"/>
    <row r="1716" ht="21.75" customHeight="1" x14ac:dyDescent="0.2"/>
    <row r="1717" ht="30" customHeight="1" x14ac:dyDescent="0.2"/>
    <row r="1718" ht="12.75" x14ac:dyDescent="0.2"/>
    <row r="1719" ht="21" customHeight="1" x14ac:dyDescent="0.2"/>
    <row r="1720" ht="12.75" x14ac:dyDescent="0.2"/>
    <row r="1721" ht="12.75" x14ac:dyDescent="0.2"/>
    <row r="1722" ht="12.75" x14ac:dyDescent="0.2"/>
    <row r="1723" ht="40.5" customHeight="1" x14ac:dyDescent="0.2"/>
    <row r="1724" ht="26.25" customHeight="1" x14ac:dyDescent="0.2"/>
    <row r="1725" ht="1.5" customHeight="1" x14ac:dyDescent="0.2"/>
    <row r="1726" ht="26.25" customHeight="1" x14ac:dyDescent="0.2"/>
    <row r="1727" ht="21.75" customHeight="1" x14ac:dyDescent="0.2"/>
    <row r="1728" ht="13.5" customHeight="1" x14ac:dyDescent="0.2"/>
    <row r="1729" ht="12.75" x14ac:dyDescent="0.2"/>
    <row r="1730" ht="12.75" x14ac:dyDescent="0.2"/>
    <row r="1731" ht="12.75" x14ac:dyDescent="0.2"/>
    <row r="1732" ht="12.75" x14ac:dyDescent="0.2"/>
    <row r="1733" ht="40.5" customHeight="1" x14ac:dyDescent="0.2"/>
    <row r="1734" ht="12.75" x14ac:dyDescent="0.2"/>
    <row r="1735" ht="45.75" customHeight="1" x14ac:dyDescent="0.2"/>
    <row r="1736" ht="12.75" x14ac:dyDescent="0.2"/>
    <row r="1737" ht="26.25" customHeight="1" x14ac:dyDescent="0.2"/>
    <row r="1738" ht="20.25" customHeight="1" x14ac:dyDescent="0.2"/>
    <row r="1739" ht="12.75" x14ac:dyDescent="0.2"/>
    <row r="1740" ht="12.75" x14ac:dyDescent="0.2"/>
    <row r="1741" ht="12.75" x14ac:dyDescent="0.2"/>
    <row r="1742" ht="12.75" x14ac:dyDescent="0.2"/>
    <row r="1743" ht="16.5" customHeight="1" x14ac:dyDescent="0.2"/>
    <row r="1744" ht="49.5" customHeight="1" x14ac:dyDescent="0.2"/>
    <row r="1745" ht="12.75" x14ac:dyDescent="0.2"/>
    <row r="1746" ht="21.75" customHeight="1" x14ac:dyDescent="0.2"/>
    <row r="1747" ht="12.75" x14ac:dyDescent="0.2"/>
    <row r="1748" ht="12.75" x14ac:dyDescent="0.2"/>
    <row r="1749" ht="12.75" x14ac:dyDescent="0.2"/>
    <row r="1750" ht="12.75" customHeight="1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6.5" customHeight="1" x14ac:dyDescent="0.2"/>
    <row r="1758" ht="15.75" customHeight="1" x14ac:dyDescent="0.2"/>
    <row r="1759" ht="15" customHeight="1" x14ac:dyDescent="0.2"/>
    <row r="1760" ht="23.25" customHeight="1" x14ac:dyDescent="0.2"/>
    <row r="1761" ht="12.75" x14ac:dyDescent="0.2"/>
    <row r="1762" ht="21" customHeight="1" x14ac:dyDescent="0.2"/>
    <row r="1763" ht="21" customHeight="1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4.25" customHeight="1" x14ac:dyDescent="0.2"/>
    <row r="1770" ht="21.75" customHeight="1" x14ac:dyDescent="0.2"/>
    <row r="1771" ht="15.75" customHeight="1" x14ac:dyDescent="0.2"/>
    <row r="1772" ht="16.5" customHeight="1" x14ac:dyDescent="0.2"/>
    <row r="1773" ht="15.75" customHeight="1" x14ac:dyDescent="0.2"/>
    <row r="1774" ht="13.5" customHeight="1" x14ac:dyDescent="0.2"/>
    <row r="1775" ht="22.5" customHeight="1" x14ac:dyDescent="0.2"/>
    <row r="1776" ht="31.5" customHeight="1" x14ac:dyDescent="0.2"/>
    <row r="1777" ht="12.75" x14ac:dyDescent="0.2"/>
    <row r="1778" ht="39" customHeight="1" x14ac:dyDescent="0.2"/>
    <row r="1779" ht="12.75" x14ac:dyDescent="0.2"/>
    <row r="1780" ht="27.75" customHeight="1" x14ac:dyDescent="0.2"/>
    <row r="1781" ht="26.25" customHeight="1" x14ac:dyDescent="0.2"/>
    <row r="1782" ht="20.25" customHeight="1" x14ac:dyDescent="0.2"/>
    <row r="1783" ht="12.75" x14ac:dyDescent="0.2"/>
    <row r="1784" ht="12.75" x14ac:dyDescent="0.2"/>
    <row r="1785" ht="12.75" customHeight="1" x14ac:dyDescent="0.2"/>
    <row r="1786" ht="18" customHeight="1" x14ac:dyDescent="0.2"/>
    <row r="1787" ht="46.5" customHeight="1" x14ac:dyDescent="0.2"/>
    <row r="1788" ht="12.75" x14ac:dyDescent="0.2"/>
    <row r="1789" ht="15" customHeight="1" x14ac:dyDescent="0.2"/>
    <row r="1790" ht="12.75" x14ac:dyDescent="0.2"/>
    <row r="1791" ht="12.75" x14ac:dyDescent="0.2"/>
    <row r="1792" ht="16.5" customHeight="1" x14ac:dyDescent="0.2"/>
    <row r="1793" ht="12.75" x14ac:dyDescent="0.2"/>
    <row r="1794" ht="14.25" customHeight="1" x14ac:dyDescent="0.2"/>
    <row r="1795" ht="12.75" x14ac:dyDescent="0.2"/>
    <row r="1796" ht="12.75" x14ac:dyDescent="0.2"/>
    <row r="1797" ht="12.75" x14ac:dyDescent="0.2"/>
    <row r="1798" ht="12" customHeight="1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53.25" customHeight="1" x14ac:dyDescent="0.2"/>
    <row r="1806" ht="9.75" customHeight="1" x14ac:dyDescent="0.2"/>
    <row r="1807" ht="15" customHeight="1" x14ac:dyDescent="0.2"/>
    <row r="1808" ht="23.25" customHeight="1" x14ac:dyDescent="0.2"/>
    <row r="1809" ht="23.25" customHeight="1" x14ac:dyDescent="0.2"/>
    <row r="1810" ht="22.5" customHeight="1" x14ac:dyDescent="0.2"/>
    <row r="1811" ht="13.5" customHeight="1" x14ac:dyDescent="0.2"/>
    <row r="1812" ht="12.75" x14ac:dyDescent="0.2"/>
    <row r="1813" ht="12.75" x14ac:dyDescent="0.2"/>
    <row r="1814" ht="12.75" x14ac:dyDescent="0.2"/>
    <row r="1815" ht="12.75" x14ac:dyDescent="0.2"/>
    <row r="1816" ht="15" customHeight="1" x14ac:dyDescent="0.2"/>
    <row r="1817" ht="21" customHeight="1" x14ac:dyDescent="0.2"/>
    <row r="1818" ht="15.75" customHeight="1" x14ac:dyDescent="0.2"/>
    <row r="1819" ht="15.75" customHeight="1" x14ac:dyDescent="0.2"/>
    <row r="1820" ht="17.25" customHeight="1" x14ac:dyDescent="0.2"/>
    <row r="1821" ht="20.25" customHeight="1" x14ac:dyDescent="0.2"/>
    <row r="1822" ht="30.75" customHeight="1" x14ac:dyDescent="0.2"/>
    <row r="1823" ht="12.75" x14ac:dyDescent="0.2"/>
    <row r="1824" ht="35.25" customHeight="1" x14ac:dyDescent="0.2"/>
    <row r="1825" ht="12.75" x14ac:dyDescent="0.2"/>
    <row r="1826" ht="12.75" x14ac:dyDescent="0.2"/>
    <row r="1827" ht="12.75" x14ac:dyDescent="0.2"/>
    <row r="1828" ht="12.75" x14ac:dyDescent="0.2"/>
    <row r="1829" ht="7.5" customHeight="1" x14ac:dyDescent="0.2"/>
    <row r="1830" ht="12.75" x14ac:dyDescent="0.2"/>
    <row r="1831" ht="12.75" x14ac:dyDescent="0.2"/>
    <row r="1832" ht="12.75" x14ac:dyDescent="0.2"/>
    <row r="1833" ht="12.75" x14ac:dyDescent="0.2"/>
    <row r="1834" ht="47.25" customHeight="1" x14ac:dyDescent="0.2"/>
    <row r="1835" ht="12.75" x14ac:dyDescent="0.2"/>
    <row r="1836" ht="37.5" customHeight="1" x14ac:dyDescent="0.2"/>
    <row r="1837" ht="12.75" x14ac:dyDescent="0.2"/>
    <row r="1838" ht="28.5" customHeight="1" x14ac:dyDescent="0.2"/>
    <row r="1839" ht="12.75" x14ac:dyDescent="0.2"/>
    <row r="1840" ht="27" customHeight="1" x14ac:dyDescent="0.2"/>
    <row r="1841" ht="12.75" x14ac:dyDescent="0.2"/>
    <row r="1842" ht="41.25" customHeight="1" x14ac:dyDescent="0.2"/>
    <row r="1843" ht="12.75" x14ac:dyDescent="0.2"/>
    <row r="1844" ht="12.75" x14ac:dyDescent="0.2"/>
    <row r="1845" ht="12.75" x14ac:dyDescent="0.2"/>
    <row r="1846" ht="12.75" x14ac:dyDescent="0.2"/>
    <row r="1847" ht="47.25" customHeight="1" x14ac:dyDescent="0.2"/>
    <row r="1848" ht="12.75" x14ac:dyDescent="0.2"/>
    <row r="1849" ht="24" customHeight="1" x14ac:dyDescent="0.2"/>
    <row r="1850" ht="12.75" x14ac:dyDescent="0.2"/>
    <row r="1851" ht="17.25" customHeight="1" x14ac:dyDescent="0.2"/>
    <row r="1852" ht="17.25" customHeight="1" x14ac:dyDescent="0.2"/>
    <row r="1853" ht="13.5" customHeight="1" x14ac:dyDescent="0.2"/>
    <row r="1854" ht="12.75" x14ac:dyDescent="0.2"/>
    <row r="1855" ht="38.25" customHeight="1" x14ac:dyDescent="0.2"/>
    <row r="1856" ht="12.75" hidden="1" x14ac:dyDescent="0.2"/>
    <row r="1857" ht="21.75" hidden="1" customHeight="1" x14ac:dyDescent="0.2"/>
    <row r="1858" ht="12.75" x14ac:dyDescent="0.2"/>
    <row r="1859" ht="24.75" customHeight="1" x14ac:dyDescent="0.2"/>
    <row r="1860" ht="20.25" customHeight="1" x14ac:dyDescent="0.2"/>
    <row r="1861" ht="12.75" x14ac:dyDescent="0.2"/>
    <row r="1862" ht="9" customHeight="1" x14ac:dyDescent="0.2"/>
    <row r="1863" ht="14.25" customHeight="1" x14ac:dyDescent="0.2"/>
    <row r="1864" ht="15" customHeight="1" x14ac:dyDescent="0.2"/>
    <row r="1865" ht="18.75" customHeight="1" x14ac:dyDescent="0.2"/>
    <row r="1866" ht="12.75" x14ac:dyDescent="0.2"/>
    <row r="1867" ht="36.75" customHeight="1" x14ac:dyDescent="0.2"/>
    <row r="1868" ht="19.5" customHeight="1" x14ac:dyDescent="0.2"/>
    <row r="1869" ht="19.5" customHeight="1" x14ac:dyDescent="0.2"/>
    <row r="1870" ht="18" customHeight="1" x14ac:dyDescent="0.2"/>
    <row r="1871" ht="22.5" customHeight="1" x14ac:dyDescent="0.2"/>
    <row r="1872" ht="12.75" customHeight="1" x14ac:dyDescent="0.2"/>
    <row r="1873" ht="12.75" x14ac:dyDescent="0.2"/>
    <row r="1874" ht="30.75" customHeight="1" x14ac:dyDescent="0.2"/>
    <row r="1875" ht="12.75" x14ac:dyDescent="0.2"/>
    <row r="1876" ht="12.75" x14ac:dyDescent="0.2"/>
    <row r="1877" ht="12.75" x14ac:dyDescent="0.2"/>
    <row r="1878" ht="12.75" x14ac:dyDescent="0.2"/>
    <row r="1879" ht="24" customHeight="1" x14ac:dyDescent="0.2"/>
    <row r="1880" ht="12.75" x14ac:dyDescent="0.2"/>
    <row r="1881" ht="12.75" x14ac:dyDescent="0.2"/>
    <row r="1882" ht="12.75" x14ac:dyDescent="0.2"/>
    <row r="1883" ht="33.75" customHeight="1" x14ac:dyDescent="0.2"/>
    <row r="1884" ht="12.75" x14ac:dyDescent="0.2"/>
    <row r="1885" ht="34.5" customHeight="1" x14ac:dyDescent="0.2"/>
    <row r="1886" ht="12.75" x14ac:dyDescent="0.2"/>
    <row r="1887" ht="32.25" customHeight="1" x14ac:dyDescent="0.2"/>
    <row r="1888" ht="30.75" customHeight="1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54" customHeight="1" x14ac:dyDescent="0.2"/>
    <row r="1895" ht="12.75" x14ac:dyDescent="0.2"/>
    <row r="1896" ht="15" customHeight="1" x14ac:dyDescent="0.2"/>
    <row r="1897" ht="12.75" x14ac:dyDescent="0.2"/>
    <row r="1898" ht="9.75" customHeight="1" x14ac:dyDescent="0.2"/>
    <row r="1899" ht="12.75" x14ac:dyDescent="0.2"/>
    <row r="1900" ht="15" customHeight="1" x14ac:dyDescent="0.2"/>
    <row r="1901" ht="12.75" x14ac:dyDescent="0.2"/>
    <row r="1902" ht="23.25" customHeight="1" x14ac:dyDescent="0.2"/>
    <row r="1903" ht="2.25" customHeight="1" x14ac:dyDescent="0.2"/>
    <row r="1904" ht="21" customHeight="1" x14ac:dyDescent="0.2"/>
    <row r="1905" ht="12.75" x14ac:dyDescent="0.2"/>
    <row r="1906" ht="16.5" customHeight="1" x14ac:dyDescent="0.2"/>
    <row r="1907" ht="16.5" customHeight="1" x14ac:dyDescent="0.2"/>
    <row r="1908" ht="7.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2.75" x14ac:dyDescent="0.2"/>
    <row r="1915" ht="48" customHeight="1" x14ac:dyDescent="0.2"/>
    <row r="1916" ht="12.75" x14ac:dyDescent="0.2"/>
    <row r="1917" ht="20.25" customHeight="1" x14ac:dyDescent="0.2"/>
    <row r="1918" ht="12.75" x14ac:dyDescent="0.2"/>
    <row r="1919" ht="23.25" customHeight="1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3.5" customHeight="1" x14ac:dyDescent="0.2"/>
    <row r="1926" ht="12.75" x14ac:dyDescent="0.2"/>
    <row r="1927" ht="19.5" customHeight="1" x14ac:dyDescent="0.2"/>
    <row r="1928" ht="12.75" x14ac:dyDescent="0.2"/>
    <row r="1929" ht="12.75" x14ac:dyDescent="0.2"/>
    <row r="1930" ht="12.75" x14ac:dyDescent="0.2"/>
    <row r="1931" ht="51.75" customHeight="1" x14ac:dyDescent="0.2"/>
    <row r="1932" ht="12.75" customHeight="1" x14ac:dyDescent="0.2"/>
    <row r="1933" ht="34.5" customHeight="1" x14ac:dyDescent="0.2"/>
    <row r="1934" ht="24" customHeight="1" x14ac:dyDescent="0.2"/>
    <row r="1935" ht="26.25" customHeight="1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54.75" customHeight="1" x14ac:dyDescent="0.2"/>
    <row r="1943" ht="12.75" x14ac:dyDescent="0.2"/>
    <row r="1944" ht="47.25" customHeight="1" x14ac:dyDescent="0.2"/>
    <row r="1945" ht="12.75" x14ac:dyDescent="0.2"/>
    <row r="1946" ht="15" customHeight="1" x14ac:dyDescent="0.2"/>
    <row r="1947" ht="12.75" x14ac:dyDescent="0.2"/>
    <row r="1948" ht="12.75" x14ac:dyDescent="0.2"/>
    <row r="1949" ht="16.5" customHeight="1" x14ac:dyDescent="0.2"/>
    <row r="1950" ht="15" customHeight="1" x14ac:dyDescent="0.2"/>
    <row r="1951" ht="15" customHeight="1" x14ac:dyDescent="0.2"/>
    <row r="1952" ht="12.75" x14ac:dyDescent="0.2"/>
    <row r="1953" ht="20.25" customHeight="1" x14ac:dyDescent="0.2"/>
    <row r="1954" ht="20.25" customHeight="1" x14ac:dyDescent="0.2"/>
    <row r="1955" ht="12.75" x14ac:dyDescent="0.2"/>
    <row r="1956" ht="12.75" x14ac:dyDescent="0.2"/>
    <row r="1957" ht="13.5" customHeight="1" x14ac:dyDescent="0.2"/>
    <row r="1958" ht="15" customHeight="1" x14ac:dyDescent="0.2"/>
    <row r="1959" ht="15" customHeight="1" x14ac:dyDescent="0.2"/>
    <row r="1960" ht="21.75" customHeight="1" x14ac:dyDescent="0.2"/>
    <row r="1961" ht="12.75" x14ac:dyDescent="0.2"/>
    <row r="1962" ht="21.75" customHeight="1" x14ac:dyDescent="0.2"/>
    <row r="1963" ht="12.75" x14ac:dyDescent="0.2"/>
    <row r="1964" ht="21.75" customHeight="1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9.5" customHeight="1" x14ac:dyDescent="0.2"/>
    <row r="1973" ht="12.75" x14ac:dyDescent="0.2"/>
    <row r="1974" ht="33" customHeight="1" x14ac:dyDescent="0.2"/>
    <row r="1975" ht="12.75" x14ac:dyDescent="0.2"/>
    <row r="1976" ht="12.75" x14ac:dyDescent="0.2"/>
    <row r="1977" ht="12.75" x14ac:dyDescent="0.2"/>
    <row r="1978" ht="17.25" customHeight="1" x14ac:dyDescent="0.2"/>
    <row r="1979" ht="12.75" x14ac:dyDescent="0.2"/>
    <row r="1980" ht="35.25" customHeight="1" x14ac:dyDescent="0.2"/>
    <row r="1981" ht="29.25" customHeight="1" x14ac:dyDescent="0.2"/>
    <row r="1982" ht="38.25" customHeight="1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7.25" customHeight="1" x14ac:dyDescent="0.2"/>
    <row r="1991" ht="45" customHeight="1" x14ac:dyDescent="0.2"/>
    <row r="1992" ht="12.75" x14ac:dyDescent="0.2"/>
    <row r="1993" ht="15" customHeight="1" x14ac:dyDescent="0.2"/>
    <row r="1994" ht="12.75" x14ac:dyDescent="0.2"/>
    <row r="1995" ht="12.75" x14ac:dyDescent="0.2"/>
    <row r="1996" ht="15.75" customHeight="1" x14ac:dyDescent="0.2"/>
    <row r="1997" ht="12.75" x14ac:dyDescent="0.2"/>
    <row r="1998" ht="12.75" customHeight="1" x14ac:dyDescent="0.2"/>
    <row r="1999" ht="17.25" customHeight="1" x14ac:dyDescent="0.2"/>
    <row r="2000" ht="21.75" customHeight="1" x14ac:dyDescent="0.2"/>
    <row r="2001" ht="12.75" x14ac:dyDescent="0.2"/>
    <row r="2002" ht="12.75" x14ac:dyDescent="0.2"/>
    <row r="2003" ht="19.5" customHeight="1" x14ac:dyDescent="0.2"/>
    <row r="2004" ht="19.5" customHeight="1" x14ac:dyDescent="0.2"/>
    <row r="2005" ht="12" customHeight="1" x14ac:dyDescent="0.2"/>
    <row r="2006" ht="14.25" customHeight="1" x14ac:dyDescent="0.2"/>
    <row r="2007" ht="12.75" x14ac:dyDescent="0.2"/>
    <row r="2008" ht="12.75" x14ac:dyDescent="0.2"/>
    <row r="2009" ht="21.75" customHeight="1" x14ac:dyDescent="0.2"/>
    <row r="2010" ht="36" customHeight="1" x14ac:dyDescent="0.2"/>
    <row r="2011" ht="24" customHeight="1" x14ac:dyDescent="0.2"/>
    <row r="2012" ht="23.25" customHeight="1" x14ac:dyDescent="0.2"/>
    <row r="2013" ht="15.75" customHeight="1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5.75" customHeight="1" x14ac:dyDescent="0.2"/>
    <row r="2020" ht="12.75" x14ac:dyDescent="0.2"/>
    <row r="2021" ht="12.75" x14ac:dyDescent="0.2"/>
    <row r="2022" ht="21" customHeight="1" x14ac:dyDescent="0.2"/>
    <row r="2023" ht="21" customHeight="1" x14ac:dyDescent="0.2"/>
    <row r="2024" ht="12.75" x14ac:dyDescent="0.2"/>
    <row r="2025" ht="12.75" x14ac:dyDescent="0.2"/>
    <row r="2026" ht="39.75" customHeight="1" x14ac:dyDescent="0.2"/>
    <row r="2027" ht="12.75" x14ac:dyDescent="0.2"/>
    <row r="2028" ht="36" customHeight="1" x14ac:dyDescent="0.2"/>
    <row r="2029" ht="12.75" x14ac:dyDescent="0.2"/>
    <row r="2030" ht="34.5" customHeight="1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50.25" customHeight="1" x14ac:dyDescent="0.2"/>
    <row r="2038" ht="12.75" x14ac:dyDescent="0.2"/>
    <row r="2039" ht="15" customHeight="1" x14ac:dyDescent="0.2"/>
    <row r="2040" ht="12.75" x14ac:dyDescent="0.2"/>
    <row r="2041" ht="48" customHeight="1" x14ac:dyDescent="0.2"/>
    <row r="2042" ht="19.5" customHeight="1" x14ac:dyDescent="0.2"/>
    <row r="2043" ht="15" customHeight="1" x14ac:dyDescent="0.2"/>
    <row r="2044" ht="12.75" customHeight="1" x14ac:dyDescent="0.2"/>
    <row r="2045" ht="23.25" customHeight="1" x14ac:dyDescent="0.2"/>
    <row r="2046" ht="15.75" customHeight="1" x14ac:dyDescent="0.2"/>
    <row r="2047" ht="13.5" customHeight="1" x14ac:dyDescent="0.2"/>
    <row r="2048" ht="12.75" x14ac:dyDescent="0.2"/>
    <row r="2049" ht="12.75" x14ac:dyDescent="0.2"/>
    <row r="2050" ht="14.25" customHeight="1" x14ac:dyDescent="0.2"/>
    <row r="2051" ht="15" customHeight="1" x14ac:dyDescent="0.2"/>
    <row r="2053" ht="17.25" customHeight="1" x14ac:dyDescent="0.2"/>
    <row r="2054" ht="20.25" customHeight="1" x14ac:dyDescent="0.2"/>
    <row r="2055" ht="17.25" customHeight="1" x14ac:dyDescent="0.2"/>
    <row r="2056" ht="12.75" x14ac:dyDescent="0.2"/>
    <row r="2057" ht="51" customHeight="1" x14ac:dyDescent="0.2"/>
    <row r="2058" ht="12.75" x14ac:dyDescent="0.2"/>
    <row r="2059" ht="13.5" customHeight="1" x14ac:dyDescent="0.2"/>
    <row r="2060" ht="12.75" x14ac:dyDescent="0.2"/>
    <row r="2061" ht="18" customHeight="1" x14ac:dyDescent="0.2"/>
    <row r="2062" ht="12.75" x14ac:dyDescent="0.2"/>
    <row r="2063" ht="12.75" x14ac:dyDescent="0.2"/>
    <row r="2064" ht="12.75" x14ac:dyDescent="0.2"/>
    <row r="2065" ht="17.25" customHeight="1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40.5" customHeight="1" x14ac:dyDescent="0.2"/>
    <row r="2074" ht="12.75" x14ac:dyDescent="0.2"/>
    <row r="2075" ht="32.25" customHeight="1" x14ac:dyDescent="0.2"/>
    <row r="2076" ht="25.5" customHeight="1" x14ac:dyDescent="0.2"/>
    <row r="2077" ht="12.75" x14ac:dyDescent="0.2"/>
    <row r="2078" ht="12.75" x14ac:dyDescent="0.2"/>
    <row r="2079" ht="44.25" customHeight="1" x14ac:dyDescent="0.2"/>
    <row r="2080" ht="12.75" x14ac:dyDescent="0.2"/>
    <row r="2081" ht="12.75" x14ac:dyDescent="0.2"/>
    <row r="2082" ht="12.75" x14ac:dyDescent="0.2"/>
    <row r="2083" ht="12.75" x14ac:dyDescent="0.2"/>
    <row r="2084" ht="48" customHeight="1" x14ac:dyDescent="0.2"/>
    <row r="2085" ht="12.75" x14ac:dyDescent="0.2"/>
    <row r="2086" ht="44.25" customHeight="1" x14ac:dyDescent="0.2"/>
    <row r="2087" ht="19.5" customHeight="1" x14ac:dyDescent="0.2"/>
    <row r="2088" ht="15" customHeight="1" x14ac:dyDescent="0.2"/>
    <row r="2089" ht="20.25" customHeight="1" x14ac:dyDescent="0.2"/>
    <row r="2090" ht="12.75" x14ac:dyDescent="0.2"/>
    <row r="2091" ht="21" customHeight="1" x14ac:dyDescent="0.2"/>
    <row r="2092" ht="12.75" x14ac:dyDescent="0.2"/>
    <row r="2093" ht="21" customHeight="1" x14ac:dyDescent="0.2"/>
    <row r="2094" ht="18.75" customHeight="1" x14ac:dyDescent="0.2"/>
    <row r="2095" ht="19.5" customHeight="1" x14ac:dyDescent="0.2"/>
    <row r="2096" ht="12.75" x14ac:dyDescent="0.2"/>
    <row r="2097" ht="12.75" x14ac:dyDescent="0.2"/>
    <row r="2098" ht="12" customHeight="1" x14ac:dyDescent="0.2"/>
    <row r="2099" ht="13.5" customHeight="1" x14ac:dyDescent="0.2"/>
    <row r="2101" ht="19.5" customHeight="1" x14ac:dyDescent="0.2"/>
    <row r="2102" ht="19.5" customHeight="1" x14ac:dyDescent="0.2"/>
    <row r="2103" ht="12.75" x14ac:dyDescent="0.2"/>
    <row r="2104" ht="25.5" customHeight="1" x14ac:dyDescent="0.2"/>
    <row r="2105" ht="46.5" customHeight="1" x14ac:dyDescent="0.2"/>
    <row r="2106" ht="18.75" customHeight="1" x14ac:dyDescent="0.2"/>
    <row r="2107" ht="25.5" customHeight="1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22.5" customHeight="1" x14ac:dyDescent="0.2"/>
    <row r="2114" ht="12.75" x14ac:dyDescent="0.2"/>
    <row r="2115" ht="12.75" x14ac:dyDescent="0.2"/>
    <row r="2116" ht="12.75" x14ac:dyDescent="0.2"/>
    <row r="2117" ht="46.5" customHeight="1" x14ac:dyDescent="0.2"/>
    <row r="2118" ht="12.75" x14ac:dyDescent="0.2"/>
    <row r="2119" ht="12.75" x14ac:dyDescent="0.2"/>
    <row r="2120" ht="12.75" x14ac:dyDescent="0.2"/>
    <row r="2121" ht="47.25" customHeight="1" x14ac:dyDescent="0.2"/>
    <row r="2122" ht="12.75" x14ac:dyDescent="0.2"/>
    <row r="2123" ht="36.75" customHeight="1" x14ac:dyDescent="0.2"/>
    <row r="2124" ht="24" customHeight="1" x14ac:dyDescent="0.2"/>
    <row r="2125" ht="38.25" customHeight="1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53.25" customHeight="1" x14ac:dyDescent="0.2"/>
    <row r="2133" ht="12.75" x14ac:dyDescent="0.2"/>
    <row r="2134" ht="15" customHeight="1" x14ac:dyDescent="0.2"/>
    <row r="2135" ht="20.25" customHeight="1" x14ac:dyDescent="0.2"/>
    <row r="2136" ht="47.25" customHeight="1" x14ac:dyDescent="0.2"/>
    <row r="2137" ht="18.75" customHeight="1" x14ac:dyDescent="0.2"/>
    <row r="2138" ht="15" customHeight="1" x14ac:dyDescent="0.2"/>
    <row r="2139" ht="20.25" customHeight="1" x14ac:dyDescent="0.2"/>
    <row r="2140" ht="20.25" customHeight="1" x14ac:dyDescent="0.2"/>
    <row r="2141" ht="20.25" customHeight="1" x14ac:dyDescent="0.2"/>
    <row r="2142" ht="15.75" customHeight="1" x14ac:dyDescent="0.2"/>
    <row r="2143" ht="12.75" x14ac:dyDescent="0.2"/>
    <row r="2144" ht="12.75" x14ac:dyDescent="0.2"/>
    <row r="2145" ht="13.5" customHeight="1" x14ac:dyDescent="0.2"/>
    <row r="2146" ht="13.5" customHeight="1" x14ac:dyDescent="0.2"/>
    <row r="2148" ht="50.25" customHeight="1" x14ac:dyDescent="0.2"/>
    <row r="2149" ht="12" customHeight="1" x14ac:dyDescent="0.2"/>
    <row r="2150" ht="21" customHeight="1" x14ac:dyDescent="0.2"/>
    <row r="2151" ht="12.75" x14ac:dyDescent="0.2"/>
    <row r="2152" ht="18" customHeight="1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31.5" customHeight="1" x14ac:dyDescent="0.2"/>
    <row r="2167" ht="12.75" x14ac:dyDescent="0.2"/>
    <row r="2168" ht="24.75" customHeight="1" x14ac:dyDescent="0.2"/>
    <row r="2169" ht="12.75" x14ac:dyDescent="0.2"/>
    <row r="2170" ht="12.75" x14ac:dyDescent="0.2"/>
    <row r="2171" ht="12.75" x14ac:dyDescent="0.2"/>
    <row r="2172" ht="26.25" customHeight="1" x14ac:dyDescent="0.2"/>
    <row r="2173" ht="12.75" x14ac:dyDescent="0.2"/>
    <row r="2174" ht="26.25" customHeight="1" x14ac:dyDescent="0.2"/>
    <row r="2175" ht="12.75" x14ac:dyDescent="0.2"/>
    <row r="2176" ht="12.75" x14ac:dyDescent="0.2"/>
    <row r="2177" ht="12.75" x14ac:dyDescent="0.2"/>
    <row r="2178" ht="22.5" customHeight="1" x14ac:dyDescent="0.2"/>
    <row r="2179" ht="12.75" x14ac:dyDescent="0.2"/>
    <row r="2180" ht="12.75" x14ac:dyDescent="0.2"/>
    <row r="2181" ht="12.75" x14ac:dyDescent="0.2"/>
    <row r="2182" ht="39" customHeight="1" x14ac:dyDescent="0.2"/>
    <row r="2183" ht="12.75" x14ac:dyDescent="0.2"/>
    <row r="2184" ht="37.5" customHeight="1" x14ac:dyDescent="0.2"/>
    <row r="2185" ht="22.5" customHeight="1" x14ac:dyDescent="0.2"/>
    <row r="2186" ht="19.5" customHeight="1" x14ac:dyDescent="0.2"/>
    <row r="2187" ht="19.5" customHeight="1" x14ac:dyDescent="0.2"/>
    <row r="2188" ht="19.5" customHeight="1" x14ac:dyDescent="0.2"/>
    <row r="2189" ht="12.75" x14ac:dyDescent="0.2"/>
    <row r="2190" ht="12.75" x14ac:dyDescent="0.2"/>
    <row r="2191" ht="12.75" x14ac:dyDescent="0.2"/>
    <row r="2192" ht="15" customHeight="1" x14ac:dyDescent="0.2"/>
    <row r="2193" ht="52.5" customHeight="1" x14ac:dyDescent="0.2"/>
    <row r="2194" ht="20.25" customHeight="1" x14ac:dyDescent="0.2"/>
    <row r="2195" ht="30" customHeight="1" x14ac:dyDescent="0.2"/>
    <row r="2197" ht="18" customHeight="1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41.25" customHeight="1" x14ac:dyDescent="0.2"/>
    <row r="2215" ht="12.75" x14ac:dyDescent="0.2"/>
    <row r="2216" ht="15" customHeight="1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45" customHeight="1" x14ac:dyDescent="0.2"/>
    <row r="2227" ht="12.75" x14ac:dyDescent="0.2"/>
    <row r="2228" ht="12.75" x14ac:dyDescent="0.2"/>
    <row r="2229" ht="12.75" x14ac:dyDescent="0.2"/>
    <row r="2230" ht="47.25" customHeight="1" x14ac:dyDescent="0.2"/>
    <row r="2231" ht="12" customHeight="1" x14ac:dyDescent="0.2"/>
    <row r="2232" ht="46.5" customHeight="1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6.5" customHeight="1" x14ac:dyDescent="0.2"/>
    <row r="2239" ht="12.75" x14ac:dyDescent="0.2"/>
    <row r="2240" ht="16.5" customHeight="1" x14ac:dyDescent="0.2"/>
    <row r="2241" ht="45" customHeight="1" x14ac:dyDescent="0.2"/>
    <row r="2242" ht="16.5" customHeight="1" x14ac:dyDescent="0.2"/>
    <row r="2243" ht="23.25" customHeight="1" x14ac:dyDescent="0.2"/>
    <row r="2244" ht="16.5" customHeight="1" x14ac:dyDescent="0.2"/>
    <row r="2245" ht="16.5" customHeight="1" x14ac:dyDescent="0.2"/>
    <row r="2246" ht="16.5" customHeight="1" x14ac:dyDescent="0.2"/>
    <row r="2247" ht="16.5" customHeight="1" x14ac:dyDescent="0.2"/>
    <row r="2248" ht="16.5" customHeight="1" x14ac:dyDescent="0.2"/>
    <row r="2249" ht="16.5" customHeight="1" x14ac:dyDescent="0.2"/>
    <row r="2250" ht="16.5" customHeight="1" x14ac:dyDescent="0.2"/>
    <row r="2251" ht="16.5" customHeight="1" x14ac:dyDescent="0.2"/>
    <row r="2252" ht="16.5" customHeight="1" x14ac:dyDescent="0.2"/>
    <row r="2253" ht="16.5" customHeight="1" x14ac:dyDescent="0.2"/>
    <row r="2254" ht="16.5" customHeight="1" x14ac:dyDescent="0.2"/>
    <row r="2255" ht="16.5" customHeight="1" x14ac:dyDescent="0.2"/>
    <row r="2256" ht="16.5" customHeight="1" x14ac:dyDescent="0.2"/>
    <row r="2257" ht="16.5" customHeight="1" x14ac:dyDescent="0.2"/>
    <row r="2258" ht="16.5" customHeight="1" x14ac:dyDescent="0.2"/>
    <row r="2259" ht="48.75" customHeight="1" x14ac:dyDescent="0.2"/>
    <row r="2260" ht="16.5" customHeight="1" x14ac:dyDescent="0.2"/>
    <row r="2261" ht="40.5" customHeight="1" x14ac:dyDescent="0.2"/>
    <row r="2262" ht="16.5" customHeight="1" x14ac:dyDescent="0.2"/>
    <row r="2263" ht="16.5" customHeight="1" x14ac:dyDescent="0.2"/>
    <row r="2264" ht="16.5" customHeight="1" x14ac:dyDescent="0.2"/>
    <row r="2265" ht="16.5" customHeight="1" x14ac:dyDescent="0.2"/>
    <row r="2266" ht="16.5" customHeight="1" x14ac:dyDescent="0.2"/>
    <row r="2267" ht="16.5" customHeight="1" x14ac:dyDescent="0.2"/>
    <row r="2268" ht="16.5" customHeight="1" x14ac:dyDescent="0.2"/>
    <row r="2269" ht="16.5" customHeight="1" x14ac:dyDescent="0.2"/>
    <row r="2270" ht="16.5" customHeight="1" x14ac:dyDescent="0.2"/>
    <row r="2271" ht="21" customHeight="1" x14ac:dyDescent="0.2"/>
    <row r="2272" ht="16.5" customHeight="1" x14ac:dyDescent="0.2"/>
    <row r="2273" ht="16.5" customHeight="1" x14ac:dyDescent="0.2"/>
    <row r="2274" ht="16.5" customHeight="1" x14ac:dyDescent="0.2"/>
    <row r="2275" ht="39" customHeight="1" x14ac:dyDescent="0.2"/>
    <row r="2276" ht="20.25" customHeight="1" x14ac:dyDescent="0.2"/>
    <row r="2277" ht="39" customHeight="1" x14ac:dyDescent="0.2"/>
    <row r="2278" ht="26.25" customHeight="1" x14ac:dyDescent="0.2"/>
    <row r="2279" ht="45" customHeight="1" x14ac:dyDescent="0.2"/>
    <row r="2280" ht="16.5" customHeight="1" x14ac:dyDescent="0.2"/>
    <row r="2281" ht="16.5" customHeight="1" x14ac:dyDescent="0.2"/>
    <row r="2282" ht="18.75" customHeight="1" x14ac:dyDescent="0.2"/>
    <row r="2283" ht="16.5" customHeight="1" x14ac:dyDescent="0.2"/>
    <row r="2284" ht="16.5" customHeight="1" x14ac:dyDescent="0.2"/>
    <row r="2285" ht="16.5" customHeight="1" x14ac:dyDescent="0.2"/>
    <row r="2286" ht="54.75" customHeight="1" x14ac:dyDescent="0.2"/>
    <row r="2287" ht="16.5" customHeight="1" x14ac:dyDescent="0.2"/>
    <row r="2288" ht="16.5" customHeight="1" x14ac:dyDescent="0.2"/>
    <row r="2289" ht="16.5" customHeight="1" x14ac:dyDescent="0.2"/>
    <row r="2290" ht="19.5" customHeight="1" x14ac:dyDescent="0.2"/>
    <row r="2291" ht="16.5" customHeight="1" x14ac:dyDescent="0.2"/>
    <row r="2292" ht="16.5" customHeight="1" x14ac:dyDescent="0.2"/>
    <row r="2293" ht="16.5" customHeight="1" x14ac:dyDescent="0.2"/>
    <row r="2294" ht="16.5" customHeight="1" x14ac:dyDescent="0.2"/>
    <row r="2295" ht="16.5" customHeight="1" x14ac:dyDescent="0.2"/>
    <row r="2296" ht="16.5" customHeight="1" x14ac:dyDescent="0.2"/>
    <row r="2297" ht="16.5" customHeight="1" x14ac:dyDescent="0.2"/>
    <row r="2298" ht="16.5" customHeight="1" x14ac:dyDescent="0.2"/>
    <row r="2299" ht="16.5" customHeight="1" x14ac:dyDescent="0.2"/>
    <row r="2300" ht="16.5" customHeight="1" x14ac:dyDescent="0.2"/>
    <row r="2301" ht="16.5" customHeight="1" x14ac:dyDescent="0.2"/>
    <row r="2302" ht="16.5" customHeight="1" x14ac:dyDescent="0.2"/>
    <row r="2303" ht="16.5" customHeight="1" x14ac:dyDescent="0.2"/>
    <row r="2304" ht="16.5" customHeight="1" x14ac:dyDescent="0.2"/>
    <row r="2305" ht="45" customHeight="1" x14ac:dyDescent="0.2"/>
    <row r="2306" ht="16.5" customHeight="1" x14ac:dyDescent="0.2"/>
    <row r="2307" ht="33" customHeight="1" x14ac:dyDescent="0.2"/>
    <row r="2308" ht="16.5" customHeight="1" x14ac:dyDescent="0.2"/>
    <row r="2309" ht="30.75" customHeight="1" x14ac:dyDescent="0.2"/>
    <row r="2310" ht="16.5" customHeight="1" x14ac:dyDescent="0.2"/>
    <row r="2311" ht="16.5" customHeight="1" x14ac:dyDescent="0.2"/>
    <row r="2312" ht="16.5" customHeight="1" x14ac:dyDescent="0.2"/>
    <row r="2313" ht="16.5" customHeight="1" x14ac:dyDescent="0.2"/>
    <row r="2314" ht="16.5" customHeight="1" x14ac:dyDescent="0.2"/>
    <row r="2315" ht="16.5" customHeight="1" x14ac:dyDescent="0.2"/>
    <row r="2316" ht="16.5" customHeight="1" x14ac:dyDescent="0.2"/>
    <row r="2317" ht="45.75" customHeight="1" x14ac:dyDescent="0.2"/>
    <row r="2318" ht="16.5" customHeight="1" x14ac:dyDescent="0.2"/>
    <row r="2319" ht="16.5" customHeight="1" x14ac:dyDescent="0.2"/>
    <row r="2320" ht="16.5" customHeight="1" x14ac:dyDescent="0.2"/>
    <row r="2321" ht="37.5" customHeight="1" x14ac:dyDescent="0.2"/>
    <row r="2322" ht="11.25" customHeight="1" x14ac:dyDescent="0.2"/>
    <row r="2323" ht="37.5" customHeight="1" x14ac:dyDescent="0.2"/>
    <row r="2324" ht="25.5" customHeight="1" x14ac:dyDescent="0.2"/>
    <row r="2325" ht="40.5" customHeight="1" x14ac:dyDescent="0.2"/>
    <row r="2326" ht="21" hidden="1" customHeight="1" x14ac:dyDescent="0.2"/>
    <row r="2327" ht="41.25" customHeight="1" x14ac:dyDescent="0.2"/>
    <row r="2328" ht="24.75" customHeight="1" x14ac:dyDescent="0.2"/>
    <row r="2329" ht="16.5" customHeight="1" x14ac:dyDescent="0.2"/>
    <row r="2330" ht="16.5" customHeight="1" x14ac:dyDescent="0.2"/>
    <row r="2331" ht="15" customHeight="1" x14ac:dyDescent="0.2"/>
    <row r="2332" ht="49.5" customHeight="1" x14ac:dyDescent="0.2"/>
    <row r="2333" ht="15" customHeight="1" x14ac:dyDescent="0.2"/>
    <row r="2334" ht="15" customHeight="1" x14ac:dyDescent="0.2"/>
    <row r="2335" ht="15" customHeight="1" x14ac:dyDescent="0.2"/>
    <row r="2336" ht="15" customHeight="1" x14ac:dyDescent="0.2"/>
    <row r="2337" ht="15" customHeight="1" x14ac:dyDescent="0.2"/>
    <row r="2338" ht="13.5" customHeight="1" x14ac:dyDescent="0.2"/>
    <row r="2339" ht="15" customHeight="1" x14ac:dyDescent="0.2"/>
    <row r="2340" ht="15" customHeight="1" x14ac:dyDescent="0.2"/>
    <row r="2341" ht="15" customHeight="1" x14ac:dyDescent="0.2"/>
    <row r="2342" ht="15" customHeight="1" x14ac:dyDescent="0.2"/>
    <row r="2343" ht="15" customHeight="1" x14ac:dyDescent="0.2"/>
    <row r="2344" ht="15" customHeight="1" x14ac:dyDescent="0.2"/>
    <row r="2345" ht="15" customHeight="1" x14ac:dyDescent="0.2"/>
    <row r="2346" ht="15" customHeight="1" x14ac:dyDescent="0.2"/>
    <row r="2347" ht="15" customHeight="1" x14ac:dyDescent="0.2"/>
    <row r="2348" ht="15" customHeight="1" x14ac:dyDescent="0.2"/>
    <row r="2349" ht="15" customHeight="1" x14ac:dyDescent="0.2"/>
    <row r="2350" ht="15" customHeight="1" x14ac:dyDescent="0.2"/>
    <row r="2351" ht="15" customHeight="1" x14ac:dyDescent="0.2"/>
    <row r="2352" ht="15" customHeight="1" x14ac:dyDescent="0.2"/>
    <row r="2353" ht="40.5" customHeight="1" x14ac:dyDescent="0.2"/>
    <row r="2354" ht="15" customHeight="1" x14ac:dyDescent="0.2"/>
    <row r="2355" ht="33.75" customHeight="1" x14ac:dyDescent="0.2"/>
    <row r="2356" ht="15" customHeight="1" x14ac:dyDescent="0.2"/>
    <row r="2357" ht="15" customHeight="1" x14ac:dyDescent="0.2"/>
    <row r="2358" ht="15" customHeight="1" x14ac:dyDescent="0.2"/>
    <row r="2359" ht="15" customHeight="1" x14ac:dyDescent="0.2"/>
    <row r="2360" ht="15" customHeight="1" x14ac:dyDescent="0.2"/>
    <row r="2361" ht="15" customHeight="1" x14ac:dyDescent="0.2"/>
    <row r="2362" ht="15" customHeight="1" x14ac:dyDescent="0.2"/>
    <row r="2363" ht="15" customHeight="1" x14ac:dyDescent="0.2"/>
    <row r="2364" ht="15" customHeight="1" x14ac:dyDescent="0.2"/>
    <row r="2365" ht="44.25" customHeight="1" x14ac:dyDescent="0.2"/>
    <row r="2366" ht="15" customHeight="1" x14ac:dyDescent="0.2"/>
    <row r="2367" ht="15" customHeight="1" x14ac:dyDescent="0.2"/>
    <row r="2368" ht="15" customHeight="1" x14ac:dyDescent="0.2"/>
    <row r="2369" ht="15" customHeight="1" x14ac:dyDescent="0.2"/>
    <row r="2370" ht="15" customHeight="1" x14ac:dyDescent="0.2"/>
    <row r="2371" ht="15" customHeight="1" x14ac:dyDescent="0.2"/>
    <row r="2372" ht="15" customHeight="1" x14ac:dyDescent="0.2"/>
    <row r="2373" ht="15" customHeight="1" x14ac:dyDescent="0.2"/>
    <row r="2374" ht="15" customHeight="1" x14ac:dyDescent="0.2"/>
    <row r="2375" ht="15" customHeight="1" x14ac:dyDescent="0.2"/>
    <row r="2376" ht="15" customHeight="1" x14ac:dyDescent="0.2"/>
    <row r="2377" ht="15" customHeight="1" x14ac:dyDescent="0.2"/>
    <row r="2378" ht="15" customHeight="1" x14ac:dyDescent="0.2"/>
    <row r="2379" ht="15" customHeight="1" x14ac:dyDescent="0.2"/>
    <row r="2380" ht="15" customHeight="1" x14ac:dyDescent="0.2"/>
    <row r="2381" ht="45" customHeight="1" x14ac:dyDescent="0.2"/>
    <row r="2382" ht="15" customHeight="1" x14ac:dyDescent="0.2"/>
    <row r="2383" ht="37.5" customHeight="1" x14ac:dyDescent="0.2"/>
    <row r="2384" ht="37.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89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57.75" customHeight="1" x14ac:dyDescent="0.2"/>
    <row r="2395" ht="15" customHeight="1" x14ac:dyDescent="0.2"/>
    <row r="2396" ht="15" customHeight="1" x14ac:dyDescent="0.2"/>
    <row r="2397" ht="15" customHeight="1" x14ac:dyDescent="0.2"/>
    <row r="2398" ht="15" customHeight="1" x14ac:dyDescent="0.2"/>
    <row r="2399" ht="15" customHeight="1" x14ac:dyDescent="0.2"/>
    <row r="2400" ht="15" customHeight="1" x14ac:dyDescent="0.2"/>
    <row r="2401" ht="15" customHeight="1" x14ac:dyDescent="0.2"/>
    <row r="2402" ht="34.5" customHeight="1" x14ac:dyDescent="0.2"/>
    <row r="2403" ht="15" customHeight="1" x14ac:dyDescent="0.2"/>
    <row r="2404" ht="38.2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45" customHeight="1" x14ac:dyDescent="0.2"/>
    <row r="2415" ht="15" customHeight="1" x14ac:dyDescent="0.2"/>
    <row r="2416" ht="15" customHeight="1" x14ac:dyDescent="0.2"/>
    <row r="2417" ht="15" customHeight="1" x14ac:dyDescent="0.2"/>
    <row r="2418" ht="1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42.75" customHeight="1" x14ac:dyDescent="0.2"/>
    <row r="2439" ht="15" customHeight="1" x14ac:dyDescent="0.2"/>
    <row r="2440" ht="41.2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48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37.5" customHeight="1" x14ac:dyDescent="0.2"/>
    <row r="2491" ht="15" customHeight="1" x14ac:dyDescent="0.2"/>
    <row r="2492" ht="42" customHeight="1" x14ac:dyDescent="0.2"/>
    <row r="2493" ht="15" customHeight="1" x14ac:dyDescent="0.2"/>
    <row r="2494" ht="1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49.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7" ht="30" customHeight="1" x14ac:dyDescent="0.2"/>
    <row r="2528" ht="16.5" customHeight="1" x14ac:dyDescent="0.2"/>
    <row r="2529" ht="19.5" customHeight="1" x14ac:dyDescent="0.2"/>
    <row r="2530" ht="30" customHeight="1" x14ac:dyDescent="0.2"/>
    <row r="2531" ht="30" customHeight="1" x14ac:dyDescent="0.2"/>
    <row r="2532" ht="30" customHeight="1" x14ac:dyDescent="0.2"/>
    <row r="2533" ht="30" customHeight="1" x14ac:dyDescent="0.2"/>
    <row r="2534" ht="7.5" customHeight="1" x14ac:dyDescent="0.2"/>
    <row r="2535" ht="9.75" customHeight="1" x14ac:dyDescent="0.2"/>
    <row r="2536" ht="30" customHeight="1" x14ac:dyDescent="0.2"/>
    <row r="2537" ht="30" customHeight="1" x14ac:dyDescent="0.2"/>
    <row r="2538" ht="10.5" customHeight="1" x14ac:dyDescent="0.2"/>
    <row r="2539" ht="18.75" customHeight="1" x14ac:dyDescent="0.2"/>
    <row r="2540" ht="16.5" customHeight="1" x14ac:dyDescent="0.2"/>
    <row r="2541" ht="17.25" customHeight="1" x14ac:dyDescent="0.2"/>
    <row r="2542" ht="30" customHeight="1" x14ac:dyDescent="0.2"/>
    <row r="2543" ht="30" customHeight="1" x14ac:dyDescent="0.2"/>
    <row r="2544" ht="14.25" customHeight="1" x14ac:dyDescent="0.2"/>
    <row r="2545" ht="30" customHeight="1" x14ac:dyDescent="0.2"/>
    <row r="2546" ht="30" customHeight="1" x14ac:dyDescent="0.2"/>
    <row r="2547" ht="44.25" customHeight="1" x14ac:dyDescent="0.2"/>
    <row r="2548" ht="26.25" customHeight="1" x14ac:dyDescent="0.2"/>
    <row r="2549" ht="13.5" customHeight="1" x14ac:dyDescent="0.2"/>
    <row r="2550" ht="6" customHeight="1" x14ac:dyDescent="0.2"/>
    <row r="2551" ht="13.5" hidden="1" customHeight="1" x14ac:dyDescent="0.2"/>
    <row r="2552" ht="30" customHeight="1" x14ac:dyDescent="0.2"/>
    <row r="2553" ht="21" customHeight="1" x14ac:dyDescent="0.2"/>
    <row r="2554" ht="12" customHeight="1" x14ac:dyDescent="0.2"/>
    <row r="2555" ht="30" customHeight="1" x14ac:dyDescent="0.2"/>
    <row r="2556" ht="50.25" customHeight="1" x14ac:dyDescent="0.2"/>
    <row r="2557" ht="30" customHeight="1" x14ac:dyDescent="0.2"/>
    <row r="2558" ht="18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30" customHeight="1" x14ac:dyDescent="0.2"/>
    <row r="2566" ht="30" customHeight="1" x14ac:dyDescent="0.2"/>
    <row r="2567" ht="30" customHeight="1" x14ac:dyDescent="0.2"/>
    <row r="2568" ht="30" customHeight="1" x14ac:dyDescent="0.2"/>
    <row r="2569" ht="30" customHeight="1" x14ac:dyDescent="0.2"/>
    <row r="2570" ht="30" customHeight="1" x14ac:dyDescent="0.2"/>
    <row r="2571" ht="15" customHeight="1" x14ac:dyDescent="0.2"/>
    <row r="2572" ht="15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6" ht="15" customHeight="1" x14ac:dyDescent="0.2"/>
    <row r="2587" ht="35.25" customHeight="1" x14ac:dyDescent="0.2"/>
    <row r="2588" ht="15" customHeight="1" x14ac:dyDescent="0.2"/>
    <row r="2589" ht="36.75" customHeight="1" x14ac:dyDescent="0.2"/>
    <row r="2590" ht="25.5" customHeight="1" x14ac:dyDescent="0.2"/>
    <row r="2591" ht="33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15" customHeight="1" x14ac:dyDescent="0.2"/>
    <row r="2600" ht="48" customHeight="1" x14ac:dyDescent="0.2"/>
    <row r="2601" ht="15" customHeight="1" x14ac:dyDescent="0.2"/>
    <row r="2602" ht="15" customHeight="1" x14ac:dyDescent="0.2"/>
    <row r="2603" ht="15" customHeight="1" x14ac:dyDescent="0.2"/>
    <row r="2604" ht="15" customHeight="1" x14ac:dyDescent="0.2"/>
    <row r="2605" ht="15" customHeight="1" x14ac:dyDescent="0.2"/>
    <row r="2606" ht="15" customHeight="1" x14ac:dyDescent="0.2"/>
    <row r="2607" ht="15" customHeight="1" x14ac:dyDescent="0.2"/>
    <row r="2608" ht="15" customHeight="1" x14ac:dyDescent="0.2"/>
    <row r="2609" ht="15" customHeight="1" x14ac:dyDescent="0.2"/>
    <row r="2610" ht="15" customHeight="1" x14ac:dyDescent="0.2"/>
    <row r="2611" ht="15" customHeight="1" x14ac:dyDescent="0.2"/>
    <row r="2612" ht="15" customHeight="1" x14ac:dyDescent="0.2"/>
    <row r="2613" ht="15" customHeight="1" x14ac:dyDescent="0.2"/>
    <row r="2614" ht="15" customHeight="1" x14ac:dyDescent="0.2"/>
    <row r="2615" ht="15" customHeight="1" x14ac:dyDescent="0.2"/>
    <row r="2616" ht="15" customHeight="1" x14ac:dyDescent="0.2"/>
    <row r="2617" ht="15" customHeight="1" x14ac:dyDescent="0.2"/>
    <row r="2618" ht="15" customHeight="1" x14ac:dyDescent="0.2"/>
    <row r="2619" ht="30" customHeight="1" x14ac:dyDescent="0.2"/>
    <row r="2620" ht="30" customHeight="1" x14ac:dyDescent="0.2"/>
    <row r="2621" ht="30" customHeight="1" x14ac:dyDescent="0.2"/>
    <row r="2622" ht="30" customHeight="1" x14ac:dyDescent="0.2"/>
    <row r="2623" ht="30" customHeight="1" x14ac:dyDescent="0.2"/>
    <row r="2624" ht="30" customHeight="1" x14ac:dyDescent="0.2"/>
    <row r="2625" ht="30" customHeight="1" x14ac:dyDescent="0.2"/>
    <row r="2626" ht="30" customHeight="1" x14ac:dyDescent="0.2"/>
    <row r="2627" ht="30" customHeight="1" x14ac:dyDescent="0.2"/>
    <row r="2628" ht="30" customHeight="1" x14ac:dyDescent="0.2"/>
    <row r="2629" ht="30" customHeight="1" x14ac:dyDescent="0.2"/>
    <row r="2630" ht="30" customHeight="1" x14ac:dyDescent="0.2"/>
    <row r="2631" ht="30" customHeight="1" x14ac:dyDescent="0.2"/>
    <row r="2632" ht="30" customHeight="1" x14ac:dyDescent="0.2"/>
    <row r="2633" ht="30" customHeight="1" x14ac:dyDescent="0.2"/>
    <row r="2634" ht="30" customHeight="1" x14ac:dyDescent="0.2"/>
    <row r="2635" ht="30" customHeight="1" x14ac:dyDescent="0.2"/>
    <row r="2636" ht="30" customHeight="1" x14ac:dyDescent="0.2"/>
    <row r="2637" ht="30" customHeight="1" x14ac:dyDescent="0.2"/>
    <row r="2638" ht="30" customHeight="1" x14ac:dyDescent="0.2"/>
    <row r="2639" ht="30" customHeight="1" x14ac:dyDescent="0.2"/>
    <row r="2640" ht="30" customHeight="1" x14ac:dyDescent="0.2"/>
    <row r="2641" ht="30" customHeight="1" x14ac:dyDescent="0.2"/>
    <row r="2642" ht="30" customHeight="1" x14ac:dyDescent="0.2"/>
    <row r="2643" ht="30" customHeight="1" x14ac:dyDescent="0.2"/>
    <row r="2644" ht="30" customHeight="1" x14ac:dyDescent="0.2"/>
    <row r="2645" ht="30" customHeight="1" x14ac:dyDescent="0.2"/>
    <row r="2646" ht="30" customHeight="1" x14ac:dyDescent="0.2"/>
    <row r="2647" ht="30" customHeight="1" x14ac:dyDescent="0.2"/>
    <row r="2648" ht="30" customHeight="1" x14ac:dyDescent="0.2"/>
    <row r="2649" ht="30" customHeight="1" x14ac:dyDescent="0.2"/>
    <row r="2650" ht="30" customHeight="1" x14ac:dyDescent="0.2"/>
    <row r="2651" ht="30" customHeight="1" x14ac:dyDescent="0.2"/>
    <row r="2652" ht="30" customHeight="1" x14ac:dyDescent="0.2"/>
    <row r="2653" ht="30" customHeight="1" x14ac:dyDescent="0.2"/>
    <row r="2654" ht="30" customHeight="1" x14ac:dyDescent="0.2"/>
    <row r="2655" ht="30" customHeight="1" x14ac:dyDescent="0.2"/>
    <row r="2656" ht="30" customHeight="1" x14ac:dyDescent="0.2"/>
    <row r="2657" ht="30" customHeight="1" x14ac:dyDescent="0.2"/>
    <row r="2658" ht="30" customHeight="1" x14ac:dyDescent="0.2"/>
    <row r="2659" ht="30" customHeight="1" x14ac:dyDescent="0.2"/>
    <row r="2660" ht="30" customHeight="1" x14ac:dyDescent="0.2"/>
    <row r="2661" ht="30" customHeight="1" x14ac:dyDescent="0.2"/>
    <row r="2662" ht="30" customHeight="1" x14ac:dyDescent="0.2"/>
    <row r="2663" ht="30" customHeight="1" x14ac:dyDescent="0.2"/>
    <row r="2664" ht="30" customHeight="1" x14ac:dyDescent="0.2"/>
    <row r="2665" ht="30" customHeight="1" x14ac:dyDescent="0.2"/>
    <row r="2666" ht="30" customHeight="1" x14ac:dyDescent="0.2"/>
    <row r="2667" ht="30" customHeight="1" x14ac:dyDescent="0.2"/>
    <row r="2668" ht="30" customHeight="1" x14ac:dyDescent="0.2"/>
    <row r="2669" ht="30" customHeight="1" x14ac:dyDescent="0.2"/>
    <row r="2670" ht="30" customHeight="1" x14ac:dyDescent="0.2"/>
    <row r="2671" ht="30" customHeight="1" x14ac:dyDescent="0.2"/>
    <row r="2672" ht="30" customHeight="1" x14ac:dyDescent="0.2"/>
    <row r="2673" ht="30" customHeight="1" x14ac:dyDescent="0.2"/>
    <row r="2674" ht="30" customHeight="1" x14ac:dyDescent="0.2"/>
    <row r="2675" ht="30" customHeight="1" x14ac:dyDescent="0.2"/>
    <row r="2676" ht="30" customHeight="1" x14ac:dyDescent="0.2"/>
    <row r="2677" ht="30" customHeight="1" x14ac:dyDescent="0.2"/>
  </sheetData>
  <mergeCells count="175">
    <mergeCell ref="C1050:F1050"/>
    <mergeCell ref="B1055:L1055"/>
    <mergeCell ref="A1057:L1057"/>
    <mergeCell ref="J1060:L1060"/>
    <mergeCell ref="B1013:L1013"/>
    <mergeCell ref="A1015:L1015"/>
    <mergeCell ref="J1018:L1018"/>
    <mergeCell ref="A1036:L1036"/>
    <mergeCell ref="A1046:L1046"/>
    <mergeCell ref="B1048:L1048"/>
    <mergeCell ref="A967:L967"/>
    <mergeCell ref="J970:L970"/>
    <mergeCell ref="A994:L994"/>
    <mergeCell ref="A1004:L1004"/>
    <mergeCell ref="B1006:L1006"/>
    <mergeCell ref="C1008:F1008"/>
    <mergeCell ref="J927:L927"/>
    <mergeCell ref="A946:L946"/>
    <mergeCell ref="A956:L956"/>
    <mergeCell ref="B958:L958"/>
    <mergeCell ref="C960:F960"/>
    <mergeCell ref="B965:L965"/>
    <mergeCell ref="A903:L903"/>
    <mergeCell ref="A913:L913"/>
    <mergeCell ref="B915:L915"/>
    <mergeCell ref="C917:F917"/>
    <mergeCell ref="B922:L922"/>
    <mergeCell ref="A924:L924"/>
    <mergeCell ref="J662:L662"/>
    <mergeCell ref="J617:L617"/>
    <mergeCell ref="B566:L566"/>
    <mergeCell ref="A568:L568"/>
    <mergeCell ref="J572:L572"/>
    <mergeCell ref="B611:L611"/>
    <mergeCell ref="A613:L613"/>
    <mergeCell ref="A592:L592"/>
    <mergeCell ref="C606:F606"/>
    <mergeCell ref="A636:L636"/>
    <mergeCell ref="A646:L646"/>
    <mergeCell ref="J884:L884"/>
    <mergeCell ref="A879:L879"/>
    <mergeCell ref="B877:L877"/>
    <mergeCell ref="C872:F872"/>
    <mergeCell ref="B870:L870"/>
    <mergeCell ref="J793:L793"/>
    <mergeCell ref="A790:L790"/>
    <mergeCell ref="C561:F561"/>
    <mergeCell ref="B655:L655"/>
    <mergeCell ref="A657:L657"/>
    <mergeCell ref="B648:L648"/>
    <mergeCell ref="C650:F650"/>
    <mergeCell ref="A602:L602"/>
    <mergeCell ref="B604:L604"/>
    <mergeCell ref="B522:L522"/>
    <mergeCell ref="A524:L524"/>
    <mergeCell ref="J527:L527"/>
    <mergeCell ref="A547:L547"/>
    <mergeCell ref="A557:L557"/>
    <mergeCell ref="B559:L559"/>
    <mergeCell ref="A483:L483"/>
    <mergeCell ref="J486:L486"/>
    <mergeCell ref="A503:L503"/>
    <mergeCell ref="A513:L513"/>
    <mergeCell ref="B515:L515"/>
    <mergeCell ref="C517:F517"/>
    <mergeCell ref="J445:L445"/>
    <mergeCell ref="A462:L462"/>
    <mergeCell ref="A472:L472"/>
    <mergeCell ref="B474:L474"/>
    <mergeCell ref="C476:F476"/>
    <mergeCell ref="B481:L481"/>
    <mergeCell ref="A421:L421"/>
    <mergeCell ref="A431:L431"/>
    <mergeCell ref="B433:L433"/>
    <mergeCell ref="C435:F435"/>
    <mergeCell ref="B440:L440"/>
    <mergeCell ref="A442:L442"/>
    <mergeCell ref="A393:L393"/>
    <mergeCell ref="J396:L396"/>
    <mergeCell ref="J354:L354"/>
    <mergeCell ref="A372:L372"/>
    <mergeCell ref="A382:L382"/>
    <mergeCell ref="B384:L384"/>
    <mergeCell ref="C386:F386"/>
    <mergeCell ref="B391:L391"/>
    <mergeCell ref="A351:L351"/>
    <mergeCell ref="A301:L301"/>
    <mergeCell ref="J304:L304"/>
    <mergeCell ref="A257:L257"/>
    <mergeCell ref="J260:L260"/>
    <mergeCell ref="A280:L280"/>
    <mergeCell ref="A290:L290"/>
    <mergeCell ref="B292:L292"/>
    <mergeCell ref="C294:F294"/>
    <mergeCell ref="C209:F209"/>
    <mergeCell ref="B214:L214"/>
    <mergeCell ref="A216:L216"/>
    <mergeCell ref="J219:L219"/>
    <mergeCell ref="A330:L330"/>
    <mergeCell ref="A340:L340"/>
    <mergeCell ref="B342:L342"/>
    <mergeCell ref="C344:F344"/>
    <mergeCell ref="B349:L349"/>
    <mergeCell ref="A823:L823"/>
    <mergeCell ref="A813:L813"/>
    <mergeCell ref="B21:L21"/>
    <mergeCell ref="C23:F23"/>
    <mergeCell ref="B28:L28"/>
    <mergeCell ref="A30:L30"/>
    <mergeCell ref="J33:L33"/>
    <mergeCell ref="A9:L9"/>
    <mergeCell ref="A19:L19"/>
    <mergeCell ref="J75:L75"/>
    <mergeCell ref="A51:L51"/>
    <mergeCell ref="A61:L61"/>
    <mergeCell ref="B63:L63"/>
    <mergeCell ref="C65:F65"/>
    <mergeCell ref="B70:L70"/>
    <mergeCell ref="A72:L72"/>
    <mergeCell ref="A236:L236"/>
    <mergeCell ref="A246:L246"/>
    <mergeCell ref="B248:L248"/>
    <mergeCell ref="C250:F250"/>
    <mergeCell ref="B255:L255"/>
    <mergeCell ref="B299:L299"/>
    <mergeCell ref="A205:L205"/>
    <mergeCell ref="B207:L207"/>
    <mergeCell ref="B747:L747"/>
    <mergeCell ref="C742:F742"/>
    <mergeCell ref="A95:L95"/>
    <mergeCell ref="A105:L105"/>
    <mergeCell ref="B107:L107"/>
    <mergeCell ref="C109:F109"/>
    <mergeCell ref="B114:L114"/>
    <mergeCell ref="A116:L116"/>
    <mergeCell ref="A868:L868"/>
    <mergeCell ref="A158:L158"/>
    <mergeCell ref="J161:L161"/>
    <mergeCell ref="J119:L119"/>
    <mergeCell ref="A137:L137"/>
    <mergeCell ref="A147:L147"/>
    <mergeCell ref="B149:L149"/>
    <mergeCell ref="C151:F151"/>
    <mergeCell ref="B156:L156"/>
    <mergeCell ref="A195:L195"/>
    <mergeCell ref="J838:L838"/>
    <mergeCell ref="A834:L834"/>
    <mergeCell ref="B832:L832"/>
    <mergeCell ref="C827:F827"/>
    <mergeCell ref="A858:L858"/>
    <mergeCell ref="B825:L825"/>
    <mergeCell ref="A687:L687"/>
    <mergeCell ref="J1103:L1103"/>
    <mergeCell ref="A1080:L1080"/>
    <mergeCell ref="A1090:L1090"/>
    <mergeCell ref="B1092:L1092"/>
    <mergeCell ref="C1094:F1094"/>
    <mergeCell ref="B1099:L1099"/>
    <mergeCell ref="A1101:L1101"/>
    <mergeCell ref="B740:L740"/>
    <mergeCell ref="A738:L738"/>
    <mergeCell ref="A728:L728"/>
    <mergeCell ref="J711:L711"/>
    <mergeCell ref="A708:L708"/>
    <mergeCell ref="B706:L706"/>
    <mergeCell ref="C701:F701"/>
    <mergeCell ref="B699:L699"/>
    <mergeCell ref="A697:L697"/>
    <mergeCell ref="B788:L788"/>
    <mergeCell ref="C783:F783"/>
    <mergeCell ref="B781:L781"/>
    <mergeCell ref="A779:L779"/>
    <mergeCell ref="A769:L769"/>
    <mergeCell ref="J752:L752"/>
    <mergeCell ref="A749:L749"/>
  </mergeCells>
  <pageMargins left="0.5" right="0.2" top="0.75" bottom="1" header="0.5" footer="0.5"/>
  <pageSetup paperSize="5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22"/>
  <sheetViews>
    <sheetView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8554687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5" customHeight="1" x14ac:dyDescent="0.25">
      <c r="A1" s="3" t="s">
        <v>22</v>
      </c>
    </row>
    <row r="2" spans="1:12" ht="15" customHeight="1" x14ac:dyDescent="0.2">
      <c r="A2" s="122" t="s">
        <v>20</v>
      </c>
    </row>
    <row r="3" spans="1:12" ht="27" customHeight="1" x14ac:dyDescent="0.2">
      <c r="A3" s="122" t="s">
        <v>21</v>
      </c>
    </row>
    <row r="4" spans="1:12" ht="22.5" customHeight="1" x14ac:dyDescent="0.2"/>
    <row r="5" spans="1:12" ht="13.5" customHeight="1" x14ac:dyDescent="0.2"/>
    <row r="6" spans="1:12" ht="6" customHeight="1" x14ac:dyDescent="0.2"/>
    <row r="7" spans="1:12" ht="27.75" customHeight="1" x14ac:dyDescent="0.3">
      <c r="A7" s="276" t="s">
        <v>6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  <c r="L7" s="276"/>
    </row>
    <row r="8" spans="1:12" ht="12.75" customHeight="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ht="1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1.5" customHeight="1" x14ac:dyDescent="0.25">
      <c r="A10" s="1"/>
      <c r="B10" s="1"/>
    </row>
    <row r="11" spans="1:12" ht="13.5" customHeight="1" x14ac:dyDescent="0.25">
      <c r="A11" s="1" t="s">
        <v>7</v>
      </c>
      <c r="B11" s="1"/>
    </row>
    <row r="12" spans="1:12" ht="15" customHeight="1" x14ac:dyDescent="0.25">
      <c r="A12" s="1"/>
      <c r="B12" s="1"/>
    </row>
    <row r="13" spans="1:12" ht="13.5" customHeight="1" x14ac:dyDescent="0.25">
      <c r="A13" s="1" t="s">
        <v>8</v>
      </c>
      <c r="C13" s="9" t="s">
        <v>1</v>
      </c>
      <c r="D13" s="92" t="s">
        <v>77</v>
      </c>
      <c r="E13" s="76"/>
      <c r="F13" s="76"/>
      <c r="G13" s="76"/>
      <c r="H13" s="76"/>
    </row>
    <row r="14" spans="1:12" s="76" customFormat="1" ht="15" customHeight="1" x14ac:dyDescent="0.25">
      <c r="A14" s="1" t="s">
        <v>9</v>
      </c>
      <c r="B14" s="4"/>
      <c r="C14" s="9" t="s">
        <v>1</v>
      </c>
      <c r="D14" s="57" t="s">
        <v>201</v>
      </c>
      <c r="I14" s="4"/>
      <c r="J14" s="4"/>
      <c r="K14" s="4"/>
      <c r="L14" s="4"/>
    </row>
    <row r="15" spans="1:12" ht="16.5" customHeight="1" x14ac:dyDescent="0.2">
      <c r="A15" s="50" t="s">
        <v>10</v>
      </c>
      <c r="B15" s="76"/>
      <c r="C15" s="91" t="s">
        <v>1</v>
      </c>
      <c r="D15" s="50" t="s">
        <v>265</v>
      </c>
      <c r="E15" s="76"/>
      <c r="F15" s="76"/>
      <c r="G15" s="76"/>
      <c r="H15" s="76"/>
      <c r="I15" s="76"/>
      <c r="J15" s="76"/>
      <c r="K15" s="76"/>
      <c r="L15" s="76"/>
    </row>
    <row r="16" spans="1:12" ht="15.75" customHeight="1" x14ac:dyDescent="0.25">
      <c r="A16" s="1"/>
      <c r="B16" s="1"/>
      <c r="D16" s="1"/>
    </row>
    <row r="17" spans="1:12" ht="38.25" customHeight="1" x14ac:dyDescent="0.2">
      <c r="A17" s="277" t="s">
        <v>316</v>
      </c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</row>
    <row r="18" spans="1:12" ht="20.25" customHeight="1" x14ac:dyDescent="0.25">
      <c r="A18" s="1"/>
      <c r="B18" s="1"/>
    </row>
    <row r="19" spans="1:12" ht="37.5" customHeight="1" thickBot="1" x14ac:dyDescent="0.25">
      <c r="A19" s="10" t="s">
        <v>0</v>
      </c>
      <c r="B19" s="278" t="s">
        <v>91</v>
      </c>
      <c r="C19" s="278"/>
      <c r="D19" s="278"/>
      <c r="E19" s="278"/>
      <c r="F19" s="278"/>
      <c r="G19" s="278"/>
      <c r="H19" s="278"/>
      <c r="I19" s="278"/>
      <c r="J19" s="278"/>
      <c r="K19" s="278"/>
      <c r="L19" s="278"/>
    </row>
    <row r="20" spans="1:12" ht="34.5" customHeight="1" thickTop="1" x14ac:dyDescent="0.25">
      <c r="A20" s="1"/>
      <c r="B20" s="11" t="s">
        <v>3</v>
      </c>
      <c r="C20" s="12" t="s">
        <v>4</v>
      </c>
      <c r="D20" s="13"/>
      <c r="E20" s="13"/>
      <c r="F20" s="13"/>
      <c r="G20" s="13"/>
      <c r="H20" s="14"/>
      <c r="I20" s="15" t="s">
        <v>5</v>
      </c>
      <c r="J20" s="12" t="s">
        <v>17</v>
      </c>
      <c r="K20" s="13"/>
      <c r="L20" s="14"/>
    </row>
    <row r="21" spans="1:12" ht="26.25" customHeight="1" x14ac:dyDescent="0.2">
      <c r="A21" s="50"/>
      <c r="B21" s="143">
        <v>1</v>
      </c>
      <c r="C21" s="285" t="s">
        <v>313</v>
      </c>
      <c r="D21" s="285"/>
      <c r="E21" s="285"/>
      <c r="F21" s="285"/>
      <c r="G21" s="76"/>
      <c r="H21" s="79"/>
      <c r="I21" s="56">
        <v>250000</v>
      </c>
      <c r="J21" s="76"/>
      <c r="K21" s="76"/>
      <c r="L21" s="79"/>
    </row>
    <row r="22" spans="1:12" ht="18.75" customHeight="1" x14ac:dyDescent="0.2">
      <c r="B22" s="16"/>
      <c r="C22" s="124"/>
      <c r="D22" s="124"/>
      <c r="E22" s="127"/>
      <c r="F22" s="125"/>
      <c r="G22" s="124"/>
      <c r="H22" s="124"/>
      <c r="I22" s="56"/>
      <c r="L22" s="17"/>
    </row>
    <row r="23" spans="1:12" ht="24" customHeight="1" x14ac:dyDescent="0.25">
      <c r="A23" s="1"/>
      <c r="B23" s="39"/>
      <c r="C23" s="1"/>
      <c r="D23" s="1"/>
      <c r="E23" s="1"/>
      <c r="F23" s="40" t="s">
        <v>5</v>
      </c>
      <c r="G23" s="40"/>
      <c r="H23" s="1"/>
      <c r="I23" s="41">
        <f>SUM(I21:I21)</f>
        <v>250000</v>
      </c>
      <c r="J23" s="1"/>
      <c r="K23" s="1"/>
      <c r="L23" s="42"/>
    </row>
    <row r="24" spans="1:12" ht="12.75" customHeight="1" thickBot="1" x14ac:dyDescent="0.3">
      <c r="A24" s="1"/>
      <c r="B24" s="43"/>
      <c r="C24" s="44"/>
      <c r="D24" s="44"/>
      <c r="E24" s="44"/>
      <c r="F24" s="45"/>
      <c r="G24" s="45"/>
      <c r="H24" s="44"/>
      <c r="I24" s="46"/>
      <c r="J24" s="44"/>
      <c r="K24" s="44"/>
      <c r="L24" s="47"/>
    </row>
    <row r="25" spans="1:12" ht="22.5" customHeight="1" thickTop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48.75" customHeight="1" x14ac:dyDescent="0.2">
      <c r="A26" s="10" t="s">
        <v>2</v>
      </c>
      <c r="B26" s="279" t="s">
        <v>11</v>
      </c>
      <c r="C26" s="279"/>
      <c r="D26" s="279"/>
      <c r="E26" s="279"/>
      <c r="F26" s="279"/>
      <c r="G26" s="279"/>
      <c r="H26" s="279"/>
      <c r="I26" s="279"/>
      <c r="J26" s="279"/>
      <c r="K26" s="279"/>
      <c r="L26" s="279"/>
    </row>
    <row r="27" spans="1:12" ht="11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 x14ac:dyDescent="0.2">
      <c r="A28" s="280" t="s">
        <v>12</v>
      </c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</row>
    <row r="29" spans="1:12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x14ac:dyDescent="0.25">
      <c r="A31" s="1"/>
      <c r="B31" s="1"/>
      <c r="C31" s="1"/>
      <c r="D31" s="1"/>
      <c r="E31" s="1"/>
      <c r="F31" s="1"/>
      <c r="G31" s="1"/>
      <c r="H31" s="4" t="s">
        <v>199</v>
      </c>
      <c r="J31" s="286" t="s">
        <v>314</v>
      </c>
      <c r="K31" s="286"/>
      <c r="L31" s="286"/>
    </row>
    <row r="32" spans="1:12" ht="15" x14ac:dyDescent="0.25">
      <c r="A32" s="1"/>
      <c r="B32" s="1" t="s">
        <v>15</v>
      </c>
      <c r="C32" s="1"/>
      <c r="D32" s="1"/>
      <c r="E32" s="1"/>
      <c r="F32" s="1"/>
      <c r="G32" s="1"/>
      <c r="H32" s="4" t="s">
        <v>13</v>
      </c>
    </row>
    <row r="33" spans="1:12" ht="15" x14ac:dyDescent="0.25">
      <c r="A33" s="1"/>
      <c r="B33" s="1" t="s">
        <v>18</v>
      </c>
      <c r="C33" s="1"/>
      <c r="D33" s="1"/>
      <c r="E33" s="1"/>
      <c r="F33" s="1"/>
      <c r="G33" s="1"/>
      <c r="H33" s="4" t="s">
        <v>14</v>
      </c>
    </row>
    <row r="34" spans="1:12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8.25" customHeight="1" x14ac:dyDescent="0.25">
      <c r="A36" s="1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"/>
    </row>
    <row r="37" spans="1:12" ht="15" x14ac:dyDescent="0.25">
      <c r="A37" s="1"/>
      <c r="K37" s="103"/>
      <c r="L37" s="1"/>
    </row>
    <row r="38" spans="1:12" ht="15" x14ac:dyDescent="0.25">
      <c r="A38" s="1"/>
      <c r="B38" s="95" t="s">
        <v>77</v>
      </c>
      <c r="H38" s="95" t="s">
        <v>77</v>
      </c>
      <c r="I38" s="95"/>
      <c r="J38" s="92"/>
      <c r="K38" s="103"/>
      <c r="L38" s="1"/>
    </row>
    <row r="39" spans="1:12" ht="15" x14ac:dyDescent="0.25">
      <c r="A39" s="1"/>
      <c r="B39" s="99" t="s">
        <v>27</v>
      </c>
      <c r="C39" s="57"/>
      <c r="H39" s="99" t="s">
        <v>27</v>
      </c>
      <c r="K39" s="103"/>
    </row>
    <row r="40" spans="1:12" ht="12.75" x14ac:dyDescent="0.2"/>
    <row r="41" spans="1:12" ht="12.75" x14ac:dyDescent="0.2"/>
    <row r="42" spans="1:12" ht="14.25" customHeight="1" x14ac:dyDescent="0.2"/>
    <row r="43" spans="1:12" ht="14.25" customHeight="1" x14ac:dyDescent="0.2"/>
    <row r="44" spans="1:12" ht="15" customHeight="1" x14ac:dyDescent="0.25">
      <c r="A44" s="3" t="s">
        <v>22</v>
      </c>
    </row>
    <row r="45" spans="1:12" ht="15" customHeight="1" x14ac:dyDescent="0.2">
      <c r="A45" s="122" t="s">
        <v>20</v>
      </c>
    </row>
    <row r="46" spans="1:12" ht="18.75" customHeight="1" x14ac:dyDescent="0.2">
      <c r="A46" s="122" t="s">
        <v>21</v>
      </c>
    </row>
    <row r="47" spans="1:12" ht="15" customHeight="1" x14ac:dyDescent="0.2"/>
    <row r="48" spans="1:12" ht="15" customHeight="1" x14ac:dyDescent="0.2"/>
    <row r="49" spans="1:12" ht="15" customHeight="1" x14ac:dyDescent="0.2"/>
    <row r="50" spans="1:12" ht="18.75" customHeight="1" x14ac:dyDescent="0.3">
      <c r="A50" s="276" t="s">
        <v>6</v>
      </c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</row>
    <row r="51" spans="1:12" ht="15" customHeigh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1:12" ht="15" customHeigh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spans="1:12" ht="21.75" customHeight="1" x14ac:dyDescent="0.25">
      <c r="A53" s="1"/>
      <c r="B53" s="1"/>
    </row>
    <row r="54" spans="1:12" ht="15" x14ac:dyDescent="0.25">
      <c r="A54" s="1" t="s">
        <v>7</v>
      </c>
      <c r="B54" s="1"/>
    </row>
    <row r="55" spans="1:12" ht="12.75" customHeight="1" x14ac:dyDescent="0.25">
      <c r="A55" s="1"/>
      <c r="B55" s="1"/>
    </row>
    <row r="56" spans="1:12" ht="16.5" customHeight="1" x14ac:dyDescent="0.25">
      <c r="A56" s="1" t="s">
        <v>8</v>
      </c>
      <c r="C56" s="9" t="s">
        <v>1</v>
      </c>
      <c r="D56" s="92" t="s">
        <v>96</v>
      </c>
      <c r="E56" s="76"/>
      <c r="F56" s="76"/>
      <c r="G56" s="76"/>
      <c r="H56" s="76"/>
    </row>
    <row r="57" spans="1:12" ht="18.75" customHeight="1" x14ac:dyDescent="0.25">
      <c r="A57" s="1" t="s">
        <v>9</v>
      </c>
      <c r="C57" s="9" t="s">
        <v>1</v>
      </c>
      <c r="D57" s="57" t="s">
        <v>200</v>
      </c>
      <c r="E57" s="76"/>
      <c r="F57" s="76"/>
      <c r="G57" s="76"/>
      <c r="H57" s="76"/>
    </row>
    <row r="58" spans="1:12" ht="14.25" customHeight="1" x14ac:dyDescent="0.2">
      <c r="A58" s="50" t="s">
        <v>10</v>
      </c>
      <c r="B58" s="76"/>
      <c r="C58" s="91" t="s">
        <v>1</v>
      </c>
      <c r="D58" s="50" t="s">
        <v>203</v>
      </c>
      <c r="E58" s="76"/>
      <c r="F58" s="76"/>
      <c r="G58" s="76"/>
      <c r="H58" s="76"/>
      <c r="I58" s="76"/>
      <c r="J58" s="76"/>
      <c r="K58" s="76"/>
      <c r="L58" s="76"/>
    </row>
    <row r="59" spans="1:12" ht="12.75" customHeight="1" x14ac:dyDescent="0.25">
      <c r="A59" s="1"/>
      <c r="B59" s="1"/>
      <c r="D59" s="1"/>
    </row>
    <row r="60" spans="1:12" ht="26.25" customHeight="1" x14ac:dyDescent="0.2">
      <c r="A60" s="277" t="s">
        <v>316</v>
      </c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</row>
    <row r="61" spans="1:12" ht="13.5" customHeight="1" x14ac:dyDescent="0.25">
      <c r="A61" s="1"/>
      <c r="B61" s="1"/>
    </row>
    <row r="62" spans="1:12" ht="35.25" customHeight="1" thickBot="1" x14ac:dyDescent="0.25">
      <c r="A62" s="10" t="s">
        <v>0</v>
      </c>
      <c r="B62" s="278" t="s">
        <v>91</v>
      </c>
      <c r="C62" s="278"/>
      <c r="D62" s="278"/>
      <c r="E62" s="278"/>
      <c r="F62" s="278"/>
      <c r="G62" s="278"/>
      <c r="H62" s="278"/>
      <c r="I62" s="278"/>
      <c r="J62" s="278"/>
      <c r="K62" s="278"/>
      <c r="L62" s="278"/>
    </row>
    <row r="63" spans="1:12" ht="15" customHeight="1" thickTop="1" x14ac:dyDescent="0.25">
      <c r="A63" s="1"/>
      <c r="B63" s="11" t="s">
        <v>3</v>
      </c>
      <c r="C63" s="12" t="s">
        <v>4</v>
      </c>
      <c r="D63" s="13"/>
      <c r="E63" s="13"/>
      <c r="F63" s="13"/>
      <c r="G63" s="13"/>
      <c r="H63" s="14"/>
      <c r="I63" s="15" t="s">
        <v>5</v>
      </c>
      <c r="J63" s="12" t="s">
        <v>17</v>
      </c>
      <c r="K63" s="13"/>
      <c r="L63" s="14"/>
    </row>
    <row r="64" spans="1:12" ht="31.5" customHeight="1" x14ac:dyDescent="0.2">
      <c r="A64" s="50"/>
      <c r="B64" s="143">
        <v>1</v>
      </c>
      <c r="C64" s="285" t="s">
        <v>313</v>
      </c>
      <c r="D64" s="285"/>
      <c r="E64" s="285"/>
      <c r="F64" s="285"/>
      <c r="G64" s="76"/>
      <c r="H64" s="79"/>
      <c r="I64" s="56">
        <v>250000</v>
      </c>
      <c r="J64" s="76"/>
      <c r="K64" s="76"/>
      <c r="L64" s="79"/>
    </row>
    <row r="65" spans="1:12" ht="27" customHeight="1" x14ac:dyDescent="0.2">
      <c r="B65" s="96"/>
      <c r="C65" s="124"/>
      <c r="D65" s="124"/>
      <c r="E65" s="127"/>
      <c r="F65" s="125"/>
      <c r="G65" s="124"/>
      <c r="H65" s="124"/>
      <c r="I65" s="23"/>
      <c r="L65" s="17"/>
    </row>
    <row r="66" spans="1:12" ht="24" customHeight="1" x14ac:dyDescent="0.25">
      <c r="A66" s="1"/>
      <c r="B66" s="39"/>
      <c r="C66" s="1"/>
      <c r="D66" s="1"/>
      <c r="E66" s="1"/>
      <c r="F66" s="40" t="s">
        <v>5</v>
      </c>
      <c r="G66" s="40"/>
      <c r="H66" s="1"/>
      <c r="I66" s="41">
        <f>SUM(I64:I64)</f>
        <v>250000</v>
      </c>
      <c r="J66" s="1"/>
      <c r="K66" s="1"/>
      <c r="L66" s="42"/>
    </row>
    <row r="67" spans="1:12" ht="18" customHeight="1" thickBot="1" x14ac:dyDescent="0.3">
      <c r="A67" s="1"/>
      <c r="B67" s="43"/>
      <c r="C67" s="44"/>
      <c r="D67" s="44"/>
      <c r="E67" s="44"/>
      <c r="F67" s="45"/>
      <c r="G67" s="45"/>
      <c r="H67" s="44"/>
      <c r="I67" s="46"/>
      <c r="J67" s="44"/>
      <c r="K67" s="44"/>
      <c r="L67" s="47"/>
    </row>
    <row r="68" spans="1:12" ht="15.75" thickTop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48" customHeight="1" x14ac:dyDescent="0.2">
      <c r="A69" s="10" t="s">
        <v>2</v>
      </c>
      <c r="B69" s="279" t="s">
        <v>11</v>
      </c>
      <c r="C69" s="279"/>
      <c r="D69" s="279"/>
      <c r="E69" s="279"/>
      <c r="F69" s="279"/>
      <c r="G69" s="279"/>
      <c r="H69" s="279"/>
      <c r="I69" s="279"/>
      <c r="J69" s="279"/>
      <c r="K69" s="279"/>
      <c r="L69" s="279"/>
    </row>
    <row r="70" spans="1:12" ht="6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">
      <c r="A71" s="280" t="s">
        <v>12</v>
      </c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</row>
    <row r="72" spans="1:12" ht="25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customHeight="1" x14ac:dyDescent="0.25">
      <c r="A74" s="1"/>
      <c r="B74" s="1"/>
      <c r="C74" s="1"/>
      <c r="D74" s="1"/>
      <c r="E74" s="1"/>
      <c r="F74" s="1"/>
      <c r="G74" s="1"/>
      <c r="H74" s="4" t="s">
        <v>199</v>
      </c>
      <c r="J74" s="286" t="s">
        <v>314</v>
      </c>
      <c r="K74" s="286"/>
      <c r="L74" s="286"/>
    </row>
    <row r="75" spans="1:12" ht="12" customHeight="1" x14ac:dyDescent="0.25">
      <c r="A75" s="1"/>
      <c r="B75" s="1" t="s">
        <v>15</v>
      </c>
      <c r="C75" s="1"/>
      <c r="D75" s="1"/>
      <c r="E75" s="1"/>
      <c r="F75" s="1"/>
      <c r="G75" s="1"/>
      <c r="H75" s="4" t="s">
        <v>13</v>
      </c>
    </row>
    <row r="76" spans="1:12" ht="15" x14ac:dyDescent="0.25">
      <c r="A76" s="1"/>
      <c r="B76" s="1" t="s">
        <v>18</v>
      </c>
      <c r="C76" s="1"/>
      <c r="D76" s="1"/>
      <c r="E76" s="1"/>
      <c r="F76" s="1"/>
      <c r="G76" s="1"/>
      <c r="H76" s="4" t="s">
        <v>14</v>
      </c>
    </row>
    <row r="77" spans="1:12" ht="1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customHeight="1" x14ac:dyDescent="0.25">
      <c r="A79" s="1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"/>
    </row>
    <row r="80" spans="1:12" ht="15" x14ac:dyDescent="0.25">
      <c r="A80" s="1"/>
      <c r="K80" s="103"/>
      <c r="L80" s="1"/>
    </row>
    <row r="81" spans="1:12" ht="21" customHeight="1" x14ac:dyDescent="0.25">
      <c r="A81" s="1"/>
      <c r="B81" s="95" t="s">
        <v>77</v>
      </c>
      <c r="H81" s="95" t="s">
        <v>96</v>
      </c>
      <c r="I81" s="95"/>
      <c r="J81" s="92"/>
      <c r="K81" s="103"/>
      <c r="L81" s="1"/>
    </row>
    <row r="82" spans="1:12" ht="15" x14ac:dyDescent="0.25">
      <c r="A82" s="1"/>
      <c r="B82" s="99" t="s">
        <v>27</v>
      </c>
      <c r="C82" s="57"/>
      <c r="H82" s="99" t="s">
        <v>100</v>
      </c>
      <c r="K82" s="103"/>
    </row>
    <row r="83" spans="1:12" ht="12.75" x14ac:dyDescent="0.2"/>
    <row r="84" spans="1:12" ht="12.75" x14ac:dyDescent="0.2"/>
    <row r="85" spans="1:12" ht="12.75" x14ac:dyDescent="0.2"/>
    <row r="86" spans="1:12" ht="12.75" x14ac:dyDescent="0.2"/>
    <row r="87" spans="1:12" ht="12.75" x14ac:dyDescent="0.2"/>
    <row r="88" spans="1:12" ht="15.75" x14ac:dyDescent="0.25">
      <c r="A88" s="3" t="s">
        <v>22</v>
      </c>
    </row>
    <row r="89" spans="1:12" ht="15.75" x14ac:dyDescent="0.2">
      <c r="A89" s="122" t="s">
        <v>20</v>
      </c>
    </row>
    <row r="90" spans="1:12" ht="15.75" x14ac:dyDescent="0.2">
      <c r="A90" s="122" t="s">
        <v>21</v>
      </c>
    </row>
    <row r="91" spans="1:12" ht="18" customHeight="1" x14ac:dyDescent="0.2"/>
    <row r="92" spans="1:12" ht="23.25" customHeight="1" x14ac:dyDescent="0.2"/>
    <row r="93" spans="1:12" ht="18.75" customHeight="1" x14ac:dyDescent="0.2"/>
    <row r="94" spans="1:12" ht="14.25" customHeight="1" x14ac:dyDescent="0.3">
      <c r="A94" s="276" t="s">
        <v>6</v>
      </c>
      <c r="B94" s="276"/>
      <c r="C94" s="276"/>
      <c r="D94" s="276"/>
      <c r="E94" s="276"/>
      <c r="F94" s="276"/>
      <c r="G94" s="276"/>
      <c r="H94" s="276"/>
      <c r="I94" s="276"/>
      <c r="J94" s="276"/>
      <c r="K94" s="276"/>
      <c r="L94" s="276"/>
    </row>
    <row r="95" spans="1:12" ht="21" customHeight="1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</row>
    <row r="96" spans="1:12" ht="15" customHeight="1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  <row r="97" spans="1:12" ht="18.75" customHeight="1" x14ac:dyDescent="0.25">
      <c r="A97" s="1"/>
      <c r="B97" s="1"/>
    </row>
    <row r="98" spans="1:12" ht="19.5" customHeight="1" x14ac:dyDescent="0.25">
      <c r="A98" s="1" t="s">
        <v>7</v>
      </c>
      <c r="B98" s="1"/>
    </row>
    <row r="99" spans="1:12" ht="15" x14ac:dyDescent="0.25">
      <c r="A99" s="1"/>
      <c r="B99" s="1"/>
    </row>
    <row r="100" spans="1:12" ht="17.25" customHeight="1" x14ac:dyDescent="0.25">
      <c r="A100" s="1" t="s">
        <v>8</v>
      </c>
      <c r="C100" s="9" t="s">
        <v>1</v>
      </c>
      <c r="D100" s="92" t="s">
        <v>96</v>
      </c>
      <c r="E100" s="76"/>
      <c r="F100" s="76"/>
      <c r="G100" s="76"/>
      <c r="H100" s="76"/>
    </row>
    <row r="101" spans="1:12" ht="15" customHeight="1" x14ac:dyDescent="0.25">
      <c r="A101" s="1" t="s">
        <v>9</v>
      </c>
      <c r="C101" s="9" t="s">
        <v>1</v>
      </c>
      <c r="D101" s="57" t="s">
        <v>200</v>
      </c>
      <c r="E101" s="76"/>
      <c r="F101" s="76"/>
      <c r="G101" s="76"/>
      <c r="H101" s="76"/>
    </row>
    <row r="102" spans="1:12" ht="13.5" customHeight="1" x14ac:dyDescent="0.2">
      <c r="A102" s="50" t="s">
        <v>10</v>
      </c>
      <c r="B102" s="76"/>
      <c r="C102" s="91" t="s">
        <v>1</v>
      </c>
      <c r="D102" s="50" t="s">
        <v>203</v>
      </c>
      <c r="E102" s="76"/>
      <c r="F102" s="76"/>
      <c r="G102" s="76"/>
      <c r="H102" s="76"/>
      <c r="I102" s="76"/>
      <c r="J102" s="76"/>
      <c r="K102" s="76"/>
      <c r="L102" s="76"/>
    </row>
    <row r="103" spans="1:12" ht="7.5" customHeight="1" x14ac:dyDescent="0.25">
      <c r="A103" s="1"/>
      <c r="B103" s="1"/>
      <c r="D103" s="1"/>
    </row>
    <row r="104" spans="1:12" ht="36" customHeight="1" x14ac:dyDescent="0.2">
      <c r="A104" s="277" t="s">
        <v>315</v>
      </c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</row>
    <row r="105" spans="1:12" ht="14.25" customHeight="1" x14ac:dyDescent="0.25">
      <c r="A105" s="1"/>
      <c r="B105" s="1"/>
    </row>
    <row r="106" spans="1:12" ht="33.75" customHeight="1" thickBot="1" x14ac:dyDescent="0.25">
      <c r="A106" s="10" t="s">
        <v>0</v>
      </c>
      <c r="B106" s="278" t="s">
        <v>91</v>
      </c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</row>
    <row r="107" spans="1:12" ht="15.75" customHeight="1" thickTop="1" x14ac:dyDescent="0.25">
      <c r="A107" s="1"/>
      <c r="B107" s="11" t="s">
        <v>3</v>
      </c>
      <c r="C107" s="12" t="s">
        <v>4</v>
      </c>
      <c r="D107" s="13"/>
      <c r="E107" s="13"/>
      <c r="F107" s="13"/>
      <c r="G107" s="13"/>
      <c r="H107" s="14"/>
      <c r="I107" s="15" t="s">
        <v>5</v>
      </c>
      <c r="J107" s="12" t="s">
        <v>17</v>
      </c>
      <c r="K107" s="13"/>
      <c r="L107" s="14"/>
    </row>
    <row r="108" spans="1:12" ht="24.75" customHeight="1" x14ac:dyDescent="0.2">
      <c r="A108" s="50"/>
      <c r="B108" s="143">
        <v>1</v>
      </c>
      <c r="C108" s="285" t="s">
        <v>303</v>
      </c>
      <c r="D108" s="285"/>
      <c r="E108" s="285"/>
      <c r="F108" s="285"/>
      <c r="G108" s="76"/>
      <c r="H108" s="79"/>
      <c r="I108" s="56">
        <v>250000</v>
      </c>
      <c r="J108" s="76"/>
      <c r="K108" s="76"/>
      <c r="L108" s="79"/>
    </row>
    <row r="109" spans="1:12" ht="42.75" customHeight="1" x14ac:dyDescent="0.2">
      <c r="B109" s="96"/>
      <c r="C109" s="124"/>
      <c r="D109" s="124"/>
      <c r="E109" s="127"/>
      <c r="F109" s="125"/>
      <c r="G109" s="124"/>
      <c r="H109" s="124"/>
      <c r="I109" s="23"/>
      <c r="L109" s="17"/>
    </row>
    <row r="110" spans="1:12" ht="18.75" customHeight="1" x14ac:dyDescent="0.25">
      <c r="A110" s="1"/>
      <c r="B110" s="39"/>
      <c r="C110" s="1"/>
      <c r="D110" s="1"/>
      <c r="E110" s="1"/>
      <c r="F110" s="40" t="s">
        <v>5</v>
      </c>
      <c r="G110" s="40"/>
      <c r="H110" s="1"/>
      <c r="I110" s="41">
        <f>SUM(I108:I108)</f>
        <v>250000</v>
      </c>
      <c r="J110" s="1"/>
      <c r="K110" s="1"/>
      <c r="L110" s="42"/>
    </row>
    <row r="111" spans="1:12" ht="12.75" customHeight="1" thickBot="1" x14ac:dyDescent="0.3">
      <c r="A111" s="1"/>
      <c r="B111" s="43"/>
      <c r="C111" s="44"/>
      <c r="D111" s="44"/>
      <c r="E111" s="44"/>
      <c r="F111" s="45"/>
      <c r="G111" s="45"/>
      <c r="H111" s="44"/>
      <c r="I111" s="46"/>
      <c r="J111" s="44"/>
      <c r="K111" s="44"/>
      <c r="L111" s="47"/>
    </row>
    <row r="112" spans="1:12" ht="18.75" customHeight="1" thickTop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46.5" customHeight="1" x14ac:dyDescent="0.2">
      <c r="A113" s="10" t="s">
        <v>2</v>
      </c>
      <c r="B113" s="279" t="s">
        <v>11</v>
      </c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</row>
    <row r="114" spans="1:12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20.25" customHeight="1" x14ac:dyDescent="0.2">
      <c r="A115" s="280" t="s">
        <v>12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</row>
    <row r="116" spans="1:12" ht="6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9.5" customHeight="1" x14ac:dyDescent="0.25">
      <c r="A118" s="1"/>
      <c r="B118" s="1"/>
      <c r="C118" s="1"/>
      <c r="D118" s="1"/>
      <c r="E118" s="1"/>
      <c r="F118" s="1"/>
      <c r="G118" s="1"/>
      <c r="H118" s="4" t="s">
        <v>199</v>
      </c>
      <c r="J118" s="286" t="s">
        <v>314</v>
      </c>
      <c r="K118" s="286"/>
      <c r="L118" s="286"/>
    </row>
    <row r="119" spans="1:12" ht="13.5" customHeight="1" x14ac:dyDescent="0.25">
      <c r="A119" s="1"/>
      <c r="B119" s="1" t="s">
        <v>15</v>
      </c>
      <c r="C119" s="1"/>
      <c r="D119" s="1"/>
      <c r="E119" s="1"/>
      <c r="F119" s="1"/>
      <c r="G119" s="1"/>
      <c r="H119" s="4" t="s">
        <v>13</v>
      </c>
    </row>
    <row r="120" spans="1:12" ht="15" customHeight="1" x14ac:dyDescent="0.25">
      <c r="A120" s="1"/>
      <c r="B120" s="1" t="s">
        <v>18</v>
      </c>
      <c r="C120" s="1"/>
      <c r="D120" s="1"/>
      <c r="E120" s="1"/>
      <c r="F120" s="1"/>
      <c r="G120" s="1"/>
      <c r="H120" s="4" t="s">
        <v>14</v>
      </c>
    </row>
    <row r="121" spans="1:12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x14ac:dyDescent="0.25">
      <c r="A123" s="1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"/>
    </row>
    <row r="124" spans="1:12" ht="15.75" customHeight="1" x14ac:dyDescent="0.25">
      <c r="A124" s="1"/>
      <c r="K124" s="103"/>
      <c r="L124" s="1"/>
    </row>
    <row r="125" spans="1:12" ht="15" x14ac:dyDescent="0.25">
      <c r="A125" s="1"/>
      <c r="B125" s="95" t="s">
        <v>77</v>
      </c>
      <c r="H125" s="95" t="s">
        <v>96</v>
      </c>
      <c r="I125" s="95"/>
      <c r="J125" s="92"/>
      <c r="K125" s="103"/>
      <c r="L125" s="1"/>
    </row>
    <row r="126" spans="1:12" ht="21.75" customHeight="1" x14ac:dyDescent="0.25">
      <c r="A126" s="1"/>
      <c r="B126" s="99" t="s">
        <v>27</v>
      </c>
      <c r="C126" s="57"/>
      <c r="H126" s="99" t="s">
        <v>100</v>
      </c>
      <c r="K126" s="103"/>
    </row>
    <row r="127" spans="1:12" ht="24" customHeight="1" x14ac:dyDescent="0.2"/>
    <row r="128" spans="1:12" ht="15" customHeight="1" x14ac:dyDescent="0.2"/>
    <row r="129" spans="1:12" ht="12.75" x14ac:dyDescent="0.2"/>
    <row r="130" spans="1:12" ht="15" customHeight="1" x14ac:dyDescent="0.25">
      <c r="A130" s="3" t="s">
        <v>22</v>
      </c>
    </row>
    <row r="131" spans="1:12" ht="14.25" customHeight="1" x14ac:dyDescent="0.2">
      <c r="A131" s="122" t="s">
        <v>20</v>
      </c>
    </row>
    <row r="132" spans="1:12" ht="15.75" x14ac:dyDescent="0.2">
      <c r="A132" s="122" t="s">
        <v>21</v>
      </c>
    </row>
    <row r="133" spans="1:12" ht="12.75" x14ac:dyDescent="0.2"/>
    <row r="134" spans="1:12" ht="14.25" customHeight="1" x14ac:dyDescent="0.2"/>
    <row r="135" spans="1:12" ht="29.25" customHeight="1" x14ac:dyDescent="0.2"/>
    <row r="136" spans="1:12" ht="16.5" customHeight="1" x14ac:dyDescent="0.3">
      <c r="A136" s="276" t="s">
        <v>6</v>
      </c>
      <c r="B136" s="276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</row>
    <row r="137" spans="1:12" ht="21" customHeight="1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</row>
    <row r="138" spans="1:12" ht="15.75" customHeight="1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</row>
    <row r="139" spans="1:12" ht="20.25" customHeight="1" x14ac:dyDescent="0.25">
      <c r="A139" s="1"/>
      <c r="B139" s="1"/>
    </row>
    <row r="140" spans="1:12" ht="18.75" customHeight="1" x14ac:dyDescent="0.25">
      <c r="A140" s="1" t="s">
        <v>7</v>
      </c>
      <c r="B140" s="1"/>
    </row>
    <row r="141" spans="1:12" s="76" customFormat="1" ht="15" customHeight="1" x14ac:dyDescent="0.25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7.25" customHeight="1" x14ac:dyDescent="0.25">
      <c r="A142" s="1" t="s">
        <v>8</v>
      </c>
      <c r="C142" s="9" t="s">
        <v>1</v>
      </c>
      <c r="D142" s="92" t="s">
        <v>77</v>
      </c>
      <c r="E142" s="76"/>
      <c r="F142" s="76"/>
      <c r="G142" s="76"/>
      <c r="H142" s="76"/>
    </row>
    <row r="143" spans="1:12" ht="15" x14ac:dyDescent="0.25">
      <c r="A143" s="1" t="s">
        <v>9</v>
      </c>
      <c r="C143" s="9" t="s">
        <v>1</v>
      </c>
      <c r="D143" s="57" t="s">
        <v>201</v>
      </c>
      <c r="E143" s="76"/>
      <c r="F143" s="76"/>
      <c r="G143" s="76"/>
      <c r="H143" s="76"/>
    </row>
    <row r="144" spans="1:12" ht="18.75" customHeight="1" x14ac:dyDescent="0.2">
      <c r="A144" s="50" t="s">
        <v>10</v>
      </c>
      <c r="B144" s="76"/>
      <c r="C144" s="91" t="s">
        <v>1</v>
      </c>
      <c r="D144" s="50" t="s">
        <v>265</v>
      </c>
      <c r="E144" s="76"/>
      <c r="F144" s="76"/>
      <c r="G144" s="76"/>
      <c r="H144" s="76"/>
      <c r="I144" s="76"/>
      <c r="J144" s="76"/>
      <c r="K144" s="76"/>
      <c r="L144" s="76"/>
    </row>
    <row r="145" spans="1:12" ht="15" x14ac:dyDescent="0.25">
      <c r="A145" s="1"/>
      <c r="B145" s="1"/>
      <c r="D145" s="1"/>
    </row>
    <row r="146" spans="1:12" ht="33.75" customHeight="1" x14ac:dyDescent="0.2">
      <c r="A146" s="277" t="s">
        <v>317</v>
      </c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</row>
    <row r="147" spans="1:12" ht="15" x14ac:dyDescent="0.25">
      <c r="A147" s="1"/>
      <c r="B147" s="1"/>
    </row>
    <row r="148" spans="1:12" ht="35.25" customHeight="1" thickBot="1" x14ac:dyDescent="0.25">
      <c r="A148" s="10" t="s">
        <v>0</v>
      </c>
      <c r="B148" s="278" t="s">
        <v>91</v>
      </c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</row>
    <row r="149" spans="1:12" ht="15.75" customHeight="1" thickTop="1" x14ac:dyDescent="0.25">
      <c r="A149" s="1"/>
      <c r="B149" s="11" t="s">
        <v>3</v>
      </c>
      <c r="C149" s="12" t="s">
        <v>4</v>
      </c>
      <c r="D149" s="13"/>
      <c r="E149" s="13"/>
      <c r="F149" s="13"/>
      <c r="G149" s="13"/>
      <c r="H149" s="14"/>
      <c r="I149" s="15" t="s">
        <v>5</v>
      </c>
      <c r="J149" s="12" t="s">
        <v>17</v>
      </c>
      <c r="K149" s="13"/>
      <c r="L149" s="14"/>
    </row>
    <row r="150" spans="1:12" ht="27" customHeight="1" x14ac:dyDescent="0.2">
      <c r="A150" s="50"/>
      <c r="B150" s="143">
        <v>1</v>
      </c>
      <c r="C150" s="285" t="s">
        <v>318</v>
      </c>
      <c r="D150" s="285"/>
      <c r="E150" s="285"/>
      <c r="F150" s="285"/>
      <c r="G150" s="76"/>
      <c r="H150" s="79"/>
      <c r="I150" s="56">
        <v>275000</v>
      </c>
      <c r="J150" s="76"/>
      <c r="K150" s="76"/>
      <c r="L150" s="79"/>
    </row>
    <row r="151" spans="1:12" ht="33" customHeight="1" x14ac:dyDescent="0.2">
      <c r="B151" s="16"/>
      <c r="C151" s="124"/>
      <c r="D151" s="124"/>
      <c r="E151" s="127"/>
      <c r="F151" s="125"/>
      <c r="G151" s="124"/>
      <c r="H151" s="124"/>
      <c r="I151" s="56"/>
      <c r="L151" s="17"/>
    </row>
    <row r="152" spans="1:12" ht="27" customHeight="1" x14ac:dyDescent="0.25">
      <c r="A152" s="1"/>
      <c r="B152" s="39"/>
      <c r="C152" s="1"/>
      <c r="D152" s="1"/>
      <c r="E152" s="1"/>
      <c r="F152" s="40" t="s">
        <v>5</v>
      </c>
      <c r="G152" s="40"/>
      <c r="H152" s="1"/>
      <c r="I152" s="41">
        <f>SUM(I150:I150)</f>
        <v>275000</v>
      </c>
      <c r="J152" s="1"/>
      <c r="K152" s="1"/>
      <c r="L152" s="42"/>
    </row>
    <row r="153" spans="1:12" ht="8.25" customHeight="1" thickBot="1" x14ac:dyDescent="0.3">
      <c r="A153" s="1"/>
      <c r="B153" s="43"/>
      <c r="C153" s="44"/>
      <c r="D153" s="44"/>
      <c r="E153" s="44"/>
      <c r="F153" s="45"/>
      <c r="G153" s="45"/>
      <c r="H153" s="44"/>
      <c r="I153" s="46"/>
      <c r="J153" s="44"/>
      <c r="K153" s="44"/>
      <c r="L153" s="47"/>
    </row>
    <row r="154" spans="1:12" ht="13.5" customHeight="1" thickTop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44.25" customHeight="1" x14ac:dyDescent="0.2">
      <c r="A155" s="10" t="s">
        <v>2</v>
      </c>
      <c r="B155" s="279" t="s">
        <v>11</v>
      </c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</row>
    <row r="156" spans="1:12" ht="1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7.25" customHeight="1" x14ac:dyDescent="0.2">
      <c r="A157" s="280" t="s">
        <v>12</v>
      </c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</row>
    <row r="158" spans="1:12" ht="18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8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21.75" customHeight="1" x14ac:dyDescent="0.25">
      <c r="A160" s="1"/>
      <c r="B160" s="1"/>
      <c r="C160" s="1"/>
      <c r="D160" s="1"/>
      <c r="E160" s="1"/>
      <c r="F160" s="1"/>
      <c r="G160" s="1"/>
      <c r="H160" s="4" t="s">
        <v>199</v>
      </c>
      <c r="J160" s="286" t="s">
        <v>314</v>
      </c>
      <c r="K160" s="286"/>
      <c r="L160" s="286"/>
    </row>
    <row r="161" spans="1:12" ht="15.75" customHeight="1" x14ac:dyDescent="0.25">
      <c r="A161" s="1"/>
      <c r="B161" s="1" t="s">
        <v>15</v>
      </c>
      <c r="C161" s="1"/>
      <c r="D161" s="1"/>
      <c r="E161" s="1"/>
      <c r="F161" s="1"/>
      <c r="G161" s="1"/>
      <c r="H161" s="4" t="s">
        <v>13</v>
      </c>
    </row>
    <row r="162" spans="1:12" ht="13.5" customHeight="1" x14ac:dyDescent="0.25">
      <c r="A162" s="1"/>
      <c r="B162" s="1" t="s">
        <v>18</v>
      </c>
      <c r="C162" s="1"/>
      <c r="D162" s="1"/>
      <c r="E162" s="1"/>
      <c r="F162" s="1"/>
      <c r="G162" s="1"/>
      <c r="H162" s="4" t="s">
        <v>14</v>
      </c>
    </row>
    <row r="163" spans="1:12" ht="18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6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5">
      <c r="A165" s="1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"/>
    </row>
    <row r="166" spans="1:12" ht="16.5" customHeight="1" x14ac:dyDescent="0.25">
      <c r="A166" s="1"/>
      <c r="K166" s="103"/>
      <c r="L166" s="1"/>
    </row>
    <row r="167" spans="1:12" s="76" customFormat="1" ht="15" customHeight="1" x14ac:dyDescent="0.25">
      <c r="A167" s="1"/>
      <c r="B167" s="95" t="s">
        <v>77</v>
      </c>
      <c r="C167" s="4"/>
      <c r="D167" s="4"/>
      <c r="E167" s="4"/>
      <c r="F167" s="4"/>
      <c r="G167" s="4"/>
      <c r="H167" s="95" t="s">
        <v>77</v>
      </c>
      <c r="I167" s="95"/>
      <c r="J167" s="92"/>
      <c r="K167" s="103"/>
      <c r="L167" s="1"/>
    </row>
    <row r="168" spans="1:12" ht="44.25" customHeight="1" x14ac:dyDescent="0.25">
      <c r="A168" s="1"/>
      <c r="B168" s="99" t="s">
        <v>27</v>
      </c>
      <c r="C168" s="57"/>
      <c r="H168" s="99" t="s">
        <v>27</v>
      </c>
      <c r="K168" s="103"/>
    </row>
    <row r="169" spans="1:12" ht="12.75" x14ac:dyDescent="0.2"/>
    <row r="170" spans="1:12" ht="12.75" x14ac:dyDescent="0.2"/>
    <row r="171" spans="1:12" ht="30.75" customHeight="1" x14ac:dyDescent="0.25">
      <c r="A171" s="3" t="s">
        <v>22</v>
      </c>
    </row>
    <row r="172" spans="1:12" ht="16.5" customHeight="1" x14ac:dyDescent="0.2">
      <c r="A172" s="122" t="s">
        <v>20</v>
      </c>
    </row>
    <row r="173" spans="1:12" ht="15.75" customHeight="1" x14ac:dyDescent="0.2">
      <c r="A173" s="122" t="s">
        <v>21</v>
      </c>
    </row>
    <row r="174" spans="1:12" ht="14.25" customHeight="1" x14ac:dyDescent="0.2"/>
    <row r="175" spans="1:12" ht="12.75" x14ac:dyDescent="0.2"/>
    <row r="176" spans="1:12" ht="15" customHeight="1" x14ac:dyDescent="0.2"/>
    <row r="177" spans="1:12" ht="19.5" customHeight="1" x14ac:dyDescent="0.3">
      <c r="A177" s="276" t="s">
        <v>6</v>
      </c>
      <c r="B177" s="276"/>
      <c r="C177" s="276"/>
      <c r="D177" s="276"/>
      <c r="E177" s="276"/>
      <c r="F177" s="276"/>
      <c r="G177" s="276"/>
      <c r="H177" s="276"/>
      <c r="I177" s="276"/>
      <c r="J177" s="276"/>
      <c r="K177" s="276"/>
      <c r="L177" s="276"/>
    </row>
    <row r="178" spans="1:12" ht="15.75" customHeigh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</row>
    <row r="179" spans="1:12" ht="18" customHeigh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</row>
    <row r="180" spans="1:12" ht="9" customHeight="1" x14ac:dyDescent="0.25">
      <c r="A180" s="1"/>
      <c r="B180" s="1"/>
    </row>
    <row r="181" spans="1:12" ht="16.5" customHeight="1" x14ac:dyDescent="0.25">
      <c r="A181" s="1" t="s">
        <v>7</v>
      </c>
      <c r="B181" s="1"/>
    </row>
    <row r="182" spans="1:12" ht="22.5" customHeight="1" x14ac:dyDescent="0.25">
      <c r="A182" s="1"/>
      <c r="B182" s="1"/>
    </row>
    <row r="183" spans="1:12" ht="14.25" customHeight="1" x14ac:dyDescent="0.25">
      <c r="A183" s="1" t="s">
        <v>8</v>
      </c>
      <c r="C183" s="9" t="s">
        <v>1</v>
      </c>
      <c r="D183" s="92" t="s">
        <v>96</v>
      </c>
      <c r="E183" s="76"/>
      <c r="F183" s="76"/>
      <c r="G183" s="76"/>
      <c r="H183" s="76"/>
    </row>
    <row r="184" spans="1:12" ht="18.75" customHeight="1" x14ac:dyDescent="0.25">
      <c r="A184" s="1" t="s">
        <v>9</v>
      </c>
      <c r="C184" s="9" t="s">
        <v>1</v>
      </c>
      <c r="D184" s="57" t="s">
        <v>200</v>
      </c>
      <c r="E184" s="76"/>
      <c r="F184" s="76"/>
      <c r="G184" s="76"/>
      <c r="H184" s="76"/>
    </row>
    <row r="185" spans="1:12" ht="15" x14ac:dyDescent="0.2">
      <c r="A185" s="50" t="s">
        <v>10</v>
      </c>
      <c r="B185" s="76"/>
      <c r="C185" s="91" t="s">
        <v>1</v>
      </c>
      <c r="D185" s="50" t="s">
        <v>203</v>
      </c>
      <c r="E185" s="76"/>
      <c r="F185" s="76"/>
      <c r="G185" s="76"/>
      <c r="H185" s="76"/>
      <c r="I185" s="76"/>
      <c r="J185" s="76"/>
      <c r="K185" s="76"/>
      <c r="L185" s="76"/>
    </row>
    <row r="186" spans="1:12" s="76" customFormat="1" ht="17.25" customHeight="1" x14ac:dyDescent="0.25">
      <c r="A186" s="1"/>
      <c r="B186" s="1"/>
      <c r="C186" s="4"/>
      <c r="D186" s="1"/>
      <c r="E186" s="4"/>
      <c r="F186" s="4"/>
      <c r="G186" s="4"/>
      <c r="H186" s="4"/>
      <c r="I186" s="4"/>
      <c r="J186" s="4"/>
      <c r="K186" s="4"/>
      <c r="L186" s="4"/>
    </row>
    <row r="187" spans="1:12" ht="26.25" customHeight="1" x14ac:dyDescent="0.2">
      <c r="A187" s="277" t="s">
        <v>317</v>
      </c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</row>
    <row r="188" spans="1:12" ht="17.25" customHeight="1" x14ac:dyDescent="0.25">
      <c r="A188" s="1"/>
      <c r="B188" s="1"/>
    </row>
    <row r="189" spans="1:12" ht="37.5" customHeight="1" thickBot="1" x14ac:dyDescent="0.25">
      <c r="A189" s="10" t="s">
        <v>0</v>
      </c>
      <c r="B189" s="278" t="s">
        <v>91</v>
      </c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</row>
    <row r="190" spans="1:12" ht="17.25" customHeight="1" thickTop="1" x14ac:dyDescent="0.25">
      <c r="A190" s="1"/>
      <c r="B190" s="11" t="s">
        <v>3</v>
      </c>
      <c r="C190" s="12" t="s">
        <v>4</v>
      </c>
      <c r="D190" s="13"/>
      <c r="E190" s="13"/>
      <c r="F190" s="13"/>
      <c r="G190" s="13"/>
      <c r="H190" s="14"/>
      <c r="I190" s="15" t="s">
        <v>5</v>
      </c>
      <c r="J190" s="12" t="s">
        <v>17</v>
      </c>
      <c r="K190" s="13"/>
      <c r="L190" s="14"/>
    </row>
    <row r="191" spans="1:12" ht="17.25" customHeight="1" x14ac:dyDescent="0.2">
      <c r="A191" s="50"/>
      <c r="B191" s="143">
        <v>1</v>
      </c>
      <c r="C191" s="285" t="s">
        <v>318</v>
      </c>
      <c r="D191" s="285"/>
      <c r="E191" s="285"/>
      <c r="F191" s="285"/>
      <c r="G191" s="76"/>
      <c r="H191" s="79"/>
      <c r="I191" s="56">
        <v>275000</v>
      </c>
      <c r="J191" s="76"/>
      <c r="K191" s="76"/>
      <c r="L191" s="79"/>
    </row>
    <row r="192" spans="1:12" ht="45.75" customHeight="1" x14ac:dyDescent="0.2">
      <c r="B192" s="96"/>
      <c r="C192" s="124"/>
      <c r="D192" s="124"/>
      <c r="E192" s="127"/>
      <c r="F192" s="125"/>
      <c r="G192" s="124"/>
      <c r="H192" s="124"/>
      <c r="I192" s="23"/>
      <c r="L192" s="17"/>
    </row>
    <row r="193" spans="1:12" ht="15" x14ac:dyDescent="0.25">
      <c r="A193" s="1"/>
      <c r="B193" s="39"/>
      <c r="C193" s="1"/>
      <c r="D193" s="1"/>
      <c r="E193" s="1"/>
      <c r="F193" s="40" t="s">
        <v>5</v>
      </c>
      <c r="G193" s="40"/>
      <c r="H193" s="1"/>
      <c r="I193" s="41">
        <f>SUM(I191:I191)</f>
        <v>275000</v>
      </c>
      <c r="J193" s="1"/>
      <c r="K193" s="1"/>
      <c r="L193" s="42"/>
    </row>
    <row r="194" spans="1:12" ht="7.5" customHeight="1" thickBot="1" x14ac:dyDescent="0.3">
      <c r="A194" s="1"/>
      <c r="B194" s="43"/>
      <c r="C194" s="44"/>
      <c r="D194" s="44"/>
      <c r="E194" s="44"/>
      <c r="F194" s="45"/>
      <c r="G194" s="45"/>
      <c r="H194" s="44"/>
      <c r="I194" s="46"/>
      <c r="J194" s="44"/>
      <c r="K194" s="44"/>
      <c r="L194" s="47"/>
    </row>
    <row r="195" spans="1:12" ht="14.25" customHeight="1" thickTop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48.75" customHeight="1" x14ac:dyDescent="0.2">
      <c r="A196" s="10" t="s">
        <v>2</v>
      </c>
      <c r="B196" s="279" t="s">
        <v>11</v>
      </c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</row>
    <row r="197" spans="1:12" ht="21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21" customHeight="1" x14ac:dyDescent="0.2">
      <c r="A198" s="280" t="s">
        <v>12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</row>
    <row r="199" spans="1:12" ht="1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5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" customHeight="1" x14ac:dyDescent="0.25">
      <c r="A201" s="1"/>
      <c r="B201" s="1"/>
      <c r="C201" s="1"/>
      <c r="D201" s="1"/>
      <c r="E201" s="1"/>
      <c r="F201" s="1"/>
      <c r="G201" s="1"/>
      <c r="H201" s="4" t="s">
        <v>199</v>
      </c>
      <c r="J201" s="286" t="s">
        <v>314</v>
      </c>
      <c r="K201" s="286"/>
      <c r="L201" s="286"/>
    </row>
    <row r="202" spans="1:12" ht="15.75" customHeight="1" x14ac:dyDescent="0.25">
      <c r="A202" s="1"/>
      <c r="B202" s="1" t="s">
        <v>15</v>
      </c>
      <c r="C202" s="1"/>
      <c r="D202" s="1"/>
      <c r="E202" s="1"/>
      <c r="F202" s="1"/>
      <c r="G202" s="1"/>
      <c r="H202" s="4" t="s">
        <v>13</v>
      </c>
    </row>
    <row r="203" spans="1:12" ht="15.75" customHeight="1" x14ac:dyDescent="0.25">
      <c r="A203" s="1"/>
      <c r="B203" s="1" t="s">
        <v>18</v>
      </c>
      <c r="C203" s="1"/>
      <c r="D203" s="1"/>
      <c r="E203" s="1"/>
      <c r="F203" s="1"/>
      <c r="G203" s="1"/>
      <c r="H203" s="4" t="s">
        <v>14</v>
      </c>
    </row>
    <row r="204" spans="1:12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20.25" hidden="1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6.75" customHeight="1" x14ac:dyDescent="0.25">
      <c r="A206" s="1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"/>
    </row>
    <row r="207" spans="1:12" ht="10.5" customHeight="1" x14ac:dyDescent="0.25">
      <c r="A207" s="1"/>
      <c r="K207" s="103"/>
      <c r="L207" s="1"/>
    </row>
    <row r="208" spans="1:12" ht="45" customHeight="1" x14ac:dyDescent="0.25">
      <c r="A208" s="1"/>
      <c r="B208" s="95" t="s">
        <v>77</v>
      </c>
      <c r="H208" s="95" t="s">
        <v>96</v>
      </c>
      <c r="I208" s="95"/>
      <c r="J208" s="92"/>
      <c r="K208" s="103"/>
      <c r="L208" s="1"/>
    </row>
    <row r="209" spans="1:12" ht="13.5" customHeight="1" x14ac:dyDescent="0.25">
      <c r="A209" s="1"/>
      <c r="B209" s="99" t="s">
        <v>27</v>
      </c>
      <c r="C209" s="57"/>
      <c r="H209" s="99" t="s">
        <v>100</v>
      </c>
      <c r="K209" s="103"/>
    </row>
    <row r="210" spans="1:12" ht="15" customHeight="1" x14ac:dyDescent="0.2"/>
    <row r="211" spans="1:12" ht="24.75" customHeight="1" x14ac:dyDescent="0.2"/>
    <row r="212" spans="1:12" ht="15.75" customHeight="1" x14ac:dyDescent="0.25">
      <c r="A212" s="3" t="s">
        <v>22</v>
      </c>
    </row>
    <row r="213" spans="1:12" ht="15" customHeight="1" x14ac:dyDescent="0.2">
      <c r="A213" s="122" t="s">
        <v>20</v>
      </c>
    </row>
    <row r="214" spans="1:12" ht="15.75" x14ac:dyDescent="0.2">
      <c r="A214" s="122" t="s">
        <v>21</v>
      </c>
    </row>
    <row r="215" spans="1:12" ht="14.25" customHeight="1" x14ac:dyDescent="0.2"/>
    <row r="216" spans="1:12" ht="12.75" x14ac:dyDescent="0.2"/>
    <row r="217" spans="1:12" ht="18" customHeight="1" x14ac:dyDescent="0.2"/>
    <row r="218" spans="1:12" ht="20.25" customHeight="1" x14ac:dyDescent="0.3">
      <c r="A218" s="276" t="s">
        <v>6</v>
      </c>
      <c r="B218" s="276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</row>
    <row r="219" spans="1:12" ht="19.5" customHeigh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</row>
    <row r="220" spans="1:12" ht="15.75" customHeigh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</row>
    <row r="221" spans="1:12" ht="23.25" customHeight="1" x14ac:dyDescent="0.25">
      <c r="A221" s="1"/>
      <c r="B221" s="1"/>
    </row>
    <row r="222" spans="1:12" ht="19.5" customHeight="1" x14ac:dyDescent="0.25">
      <c r="A222" s="1" t="s">
        <v>7</v>
      </c>
      <c r="B222" s="1"/>
    </row>
    <row r="223" spans="1:12" ht="9.75" customHeight="1" x14ac:dyDescent="0.25">
      <c r="A223" s="1"/>
      <c r="B223" s="1"/>
    </row>
    <row r="224" spans="1:12" s="119" customFormat="1" ht="18" customHeight="1" x14ac:dyDescent="0.25">
      <c r="A224" s="1" t="s">
        <v>8</v>
      </c>
      <c r="B224" s="4"/>
      <c r="C224" s="9" t="s">
        <v>1</v>
      </c>
      <c r="D224" s="92" t="s">
        <v>96</v>
      </c>
      <c r="E224" s="76"/>
      <c r="F224" s="76"/>
      <c r="G224" s="76"/>
      <c r="H224" s="76"/>
      <c r="I224" s="4"/>
      <c r="J224" s="4"/>
      <c r="K224" s="4"/>
      <c r="L224" s="4"/>
    </row>
    <row r="225" spans="1:12" ht="15" x14ac:dyDescent="0.25">
      <c r="A225" s="1" t="s">
        <v>9</v>
      </c>
      <c r="C225" s="9" t="s">
        <v>1</v>
      </c>
      <c r="D225" s="57" t="s">
        <v>200</v>
      </c>
      <c r="E225" s="76"/>
      <c r="F225" s="76"/>
      <c r="G225" s="76"/>
      <c r="H225" s="76"/>
    </row>
    <row r="226" spans="1:12" ht="12.75" customHeight="1" x14ac:dyDescent="0.2">
      <c r="A226" s="50" t="s">
        <v>10</v>
      </c>
      <c r="B226" s="76"/>
      <c r="C226" s="91" t="s">
        <v>1</v>
      </c>
      <c r="D226" s="50" t="s">
        <v>203</v>
      </c>
      <c r="E226" s="76"/>
      <c r="F226" s="76"/>
      <c r="G226" s="76"/>
      <c r="H226" s="76"/>
      <c r="I226" s="76"/>
      <c r="J226" s="76"/>
      <c r="K226" s="76"/>
      <c r="L226" s="76"/>
    </row>
    <row r="227" spans="1:12" ht="19.5" customHeight="1" x14ac:dyDescent="0.25">
      <c r="A227" s="1"/>
      <c r="B227" s="1"/>
      <c r="D227" s="1"/>
    </row>
    <row r="228" spans="1:12" ht="31.5" customHeight="1" x14ac:dyDescent="0.2">
      <c r="A228" s="277" t="s">
        <v>319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</row>
    <row r="229" spans="1:12" ht="16.5" customHeight="1" x14ac:dyDescent="0.25">
      <c r="A229" s="1"/>
      <c r="B229" s="1"/>
    </row>
    <row r="230" spans="1:12" ht="32.25" customHeight="1" thickBot="1" x14ac:dyDescent="0.25">
      <c r="A230" s="10" t="s">
        <v>0</v>
      </c>
      <c r="B230" s="278" t="s">
        <v>91</v>
      </c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</row>
    <row r="231" spans="1:12" ht="27" customHeight="1" thickTop="1" x14ac:dyDescent="0.25">
      <c r="A231" s="1"/>
      <c r="B231" s="11" t="s">
        <v>3</v>
      </c>
      <c r="C231" s="12" t="s">
        <v>4</v>
      </c>
      <c r="D231" s="13"/>
      <c r="E231" s="13"/>
      <c r="F231" s="13"/>
      <c r="G231" s="13"/>
      <c r="H231" s="14"/>
      <c r="I231" s="15" t="s">
        <v>5</v>
      </c>
      <c r="J231" s="12" t="s">
        <v>17</v>
      </c>
      <c r="K231" s="13"/>
      <c r="L231" s="14"/>
    </row>
    <row r="232" spans="1:12" ht="21.75" customHeight="1" x14ac:dyDescent="0.2">
      <c r="A232" s="50"/>
      <c r="B232" s="143">
        <v>1</v>
      </c>
      <c r="C232" s="285" t="s">
        <v>303</v>
      </c>
      <c r="D232" s="285"/>
      <c r="E232" s="285"/>
      <c r="F232" s="285"/>
      <c r="G232" s="76"/>
      <c r="H232" s="79"/>
      <c r="I232" s="56">
        <v>250000</v>
      </c>
      <c r="J232" s="76"/>
      <c r="K232" s="76"/>
      <c r="L232" s="79"/>
    </row>
    <row r="233" spans="1:12" s="76" customFormat="1" ht="21" customHeight="1" x14ac:dyDescent="0.2">
      <c r="B233" s="96"/>
      <c r="C233" s="124"/>
      <c r="D233" s="124"/>
      <c r="E233" s="127"/>
      <c r="F233" s="125"/>
      <c r="G233" s="124"/>
      <c r="H233" s="124"/>
      <c r="I233" s="145"/>
      <c r="L233" s="79"/>
    </row>
    <row r="234" spans="1:12" ht="19.5" customHeight="1" x14ac:dyDescent="0.25">
      <c r="A234" s="1"/>
      <c r="B234" s="39"/>
      <c r="C234" s="1"/>
      <c r="D234" s="1"/>
      <c r="E234" s="1"/>
      <c r="F234" s="40" t="s">
        <v>5</v>
      </c>
      <c r="G234" s="40"/>
      <c r="H234" s="1"/>
      <c r="I234" s="41">
        <f>SUM(I232:I232)</f>
        <v>250000</v>
      </c>
      <c r="J234" s="1"/>
      <c r="K234" s="1"/>
      <c r="L234" s="42"/>
    </row>
    <row r="235" spans="1:12" ht="17.25" customHeight="1" thickBot="1" x14ac:dyDescent="0.3">
      <c r="A235" s="1"/>
      <c r="B235" s="43"/>
      <c r="C235" s="44"/>
      <c r="D235" s="44"/>
      <c r="E235" s="44"/>
      <c r="F235" s="45"/>
      <c r="G235" s="45"/>
      <c r="H235" s="44"/>
      <c r="I235" s="46"/>
      <c r="J235" s="44"/>
      <c r="K235" s="44"/>
      <c r="L235" s="47"/>
    </row>
    <row r="236" spans="1:12" ht="17.25" customHeight="1" thickTop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46.5" customHeight="1" x14ac:dyDescent="0.2">
      <c r="A237" s="10" t="s">
        <v>2</v>
      </c>
      <c r="B237" s="279" t="s">
        <v>11</v>
      </c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</row>
    <row r="238" spans="1:12" ht="19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22.5" customHeight="1" x14ac:dyDescent="0.2">
      <c r="A239" s="280" t="s">
        <v>12</v>
      </c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</row>
    <row r="240" spans="1:12" ht="9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8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2" customHeight="1" x14ac:dyDescent="0.25">
      <c r="A242" s="1"/>
      <c r="B242" s="1"/>
      <c r="C242" s="1"/>
      <c r="D242" s="1"/>
      <c r="E242" s="1"/>
      <c r="F242" s="1"/>
      <c r="G242" s="1"/>
      <c r="H242" s="4" t="s">
        <v>199</v>
      </c>
      <c r="J242" s="286" t="s">
        <v>314</v>
      </c>
      <c r="K242" s="286"/>
      <c r="L242" s="286"/>
    </row>
    <row r="243" spans="1:12" ht="12" customHeight="1" x14ac:dyDescent="0.25">
      <c r="A243" s="1"/>
      <c r="B243" s="1" t="s">
        <v>15</v>
      </c>
      <c r="C243" s="1"/>
      <c r="D243" s="1"/>
      <c r="E243" s="1"/>
      <c r="F243" s="1"/>
      <c r="G243" s="1"/>
      <c r="H243" s="4" t="s">
        <v>13</v>
      </c>
    </row>
    <row r="244" spans="1:12" ht="15" customHeight="1" x14ac:dyDescent="0.25">
      <c r="A244" s="1"/>
      <c r="B244" s="1" t="s">
        <v>18</v>
      </c>
      <c r="C244" s="1"/>
      <c r="D244" s="1"/>
      <c r="E244" s="1"/>
      <c r="F244" s="1"/>
      <c r="G244" s="1"/>
      <c r="H244" s="4" t="s">
        <v>14</v>
      </c>
    </row>
    <row r="245" spans="1:12" ht="9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8.75" customHeight="1" x14ac:dyDescent="0.25">
      <c r="A247" s="1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"/>
    </row>
    <row r="248" spans="1:12" ht="12.75" customHeight="1" x14ac:dyDescent="0.25">
      <c r="A248" s="1"/>
      <c r="K248" s="103"/>
      <c r="L248" s="1"/>
    </row>
    <row r="249" spans="1:12" ht="15" customHeight="1" x14ac:dyDescent="0.25">
      <c r="A249" s="1"/>
      <c r="B249" s="95" t="s">
        <v>77</v>
      </c>
      <c r="H249" s="95" t="s">
        <v>96</v>
      </c>
      <c r="I249" s="95"/>
      <c r="J249" s="92"/>
      <c r="K249" s="103"/>
      <c r="L249" s="1"/>
    </row>
    <row r="250" spans="1:12" ht="14.25" customHeight="1" x14ac:dyDescent="0.25">
      <c r="A250" s="1"/>
      <c r="B250" s="99" t="s">
        <v>27</v>
      </c>
      <c r="C250" s="57"/>
      <c r="H250" s="99" t="s">
        <v>100</v>
      </c>
      <c r="K250" s="103"/>
    </row>
    <row r="251" spans="1:12" ht="13.5" customHeight="1" x14ac:dyDescent="0.2"/>
    <row r="252" spans="1:12" ht="12.75" x14ac:dyDescent="0.2"/>
    <row r="253" spans="1:12" ht="18.75" customHeight="1" x14ac:dyDescent="0.2"/>
    <row r="254" spans="1:12" ht="14.25" customHeight="1" x14ac:dyDescent="0.25">
      <c r="A254" s="3" t="s">
        <v>22</v>
      </c>
    </row>
    <row r="255" spans="1:12" ht="15" customHeight="1" x14ac:dyDescent="0.2">
      <c r="A255" s="122" t="s">
        <v>20</v>
      </c>
    </row>
    <row r="256" spans="1:12" ht="18.75" customHeight="1" x14ac:dyDescent="0.2">
      <c r="A256" s="122" t="s">
        <v>21</v>
      </c>
    </row>
    <row r="257" spans="1:12" ht="19.5" customHeight="1" x14ac:dyDescent="0.2"/>
    <row r="258" spans="1:12" ht="12.75" x14ac:dyDescent="0.2"/>
    <row r="259" spans="1:12" ht="18" customHeight="1" x14ac:dyDescent="0.2"/>
    <row r="260" spans="1:12" ht="22.5" customHeight="1" x14ac:dyDescent="0.3">
      <c r="A260" s="276" t="s">
        <v>6</v>
      </c>
      <c r="B260" s="276"/>
      <c r="C260" s="276"/>
      <c r="D260" s="276"/>
      <c r="E260" s="276"/>
      <c r="F260" s="276"/>
      <c r="G260" s="276"/>
      <c r="H260" s="276"/>
      <c r="I260" s="276"/>
      <c r="J260" s="276"/>
      <c r="K260" s="276"/>
      <c r="L260" s="276"/>
    </row>
    <row r="261" spans="1:12" ht="15" customHeight="1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</row>
    <row r="262" spans="1:12" ht="17.25" customHeight="1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</row>
    <row r="263" spans="1:12" ht="15.75" customHeight="1" x14ac:dyDescent="0.25">
      <c r="A263" s="1"/>
      <c r="B263" s="1"/>
    </row>
    <row r="264" spans="1:12" ht="12.75" customHeight="1" x14ac:dyDescent="0.25">
      <c r="A264" s="1" t="s">
        <v>7</v>
      </c>
      <c r="B264" s="1"/>
    </row>
    <row r="265" spans="1:12" ht="13.5" customHeight="1" x14ac:dyDescent="0.25">
      <c r="A265" s="1"/>
      <c r="B265" s="1"/>
    </row>
    <row r="266" spans="1:12" ht="15.75" customHeight="1" x14ac:dyDescent="0.25">
      <c r="A266" s="1" t="s">
        <v>8</v>
      </c>
      <c r="C266" s="9" t="s">
        <v>1</v>
      </c>
      <c r="D266" s="92" t="s">
        <v>77</v>
      </c>
      <c r="E266" s="76"/>
      <c r="F266" s="76"/>
      <c r="G266" s="76"/>
      <c r="H266" s="76"/>
    </row>
    <row r="267" spans="1:12" ht="15" customHeight="1" x14ac:dyDescent="0.25">
      <c r="A267" s="1" t="s">
        <v>9</v>
      </c>
      <c r="C267" s="9" t="s">
        <v>1</v>
      </c>
      <c r="D267" s="57" t="s">
        <v>201</v>
      </c>
      <c r="E267" s="76"/>
      <c r="F267" s="76"/>
      <c r="G267" s="76"/>
      <c r="H267" s="76"/>
    </row>
    <row r="268" spans="1:12" ht="20.25" customHeight="1" x14ac:dyDescent="0.2">
      <c r="A268" s="50" t="s">
        <v>10</v>
      </c>
      <c r="B268" s="76"/>
      <c r="C268" s="91" t="s">
        <v>1</v>
      </c>
      <c r="D268" s="50" t="s">
        <v>265</v>
      </c>
      <c r="E268" s="76"/>
      <c r="F268" s="76"/>
      <c r="G268" s="76"/>
      <c r="H268" s="76"/>
      <c r="I268" s="76"/>
      <c r="J268" s="76"/>
      <c r="K268" s="76"/>
      <c r="L268" s="76"/>
    </row>
    <row r="269" spans="1:12" ht="12.75" customHeight="1" x14ac:dyDescent="0.25">
      <c r="A269" s="1"/>
      <c r="B269" s="1"/>
      <c r="D269" s="1"/>
    </row>
    <row r="270" spans="1:12" ht="24" customHeight="1" x14ac:dyDescent="0.2">
      <c r="A270" s="277" t="s">
        <v>319</v>
      </c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</row>
    <row r="271" spans="1:12" ht="19.5" customHeight="1" x14ac:dyDescent="0.25">
      <c r="A271" s="1"/>
      <c r="B271" s="1"/>
    </row>
    <row r="272" spans="1:12" ht="33.75" customHeight="1" thickBot="1" x14ac:dyDescent="0.25">
      <c r="A272" s="10" t="s">
        <v>0</v>
      </c>
      <c r="B272" s="278" t="s">
        <v>91</v>
      </c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</row>
    <row r="273" spans="1:12" ht="15.75" customHeight="1" thickTop="1" x14ac:dyDescent="0.25">
      <c r="A273" s="1"/>
      <c r="B273" s="11" t="s">
        <v>3</v>
      </c>
      <c r="C273" s="12" t="s">
        <v>4</v>
      </c>
      <c r="D273" s="13"/>
      <c r="E273" s="13"/>
      <c r="F273" s="13"/>
      <c r="G273" s="13"/>
      <c r="H273" s="14"/>
      <c r="I273" s="15" t="s">
        <v>5</v>
      </c>
      <c r="J273" s="12" t="s">
        <v>17</v>
      </c>
      <c r="K273" s="13"/>
      <c r="L273" s="14"/>
    </row>
    <row r="274" spans="1:12" ht="25.5" customHeight="1" x14ac:dyDescent="0.2">
      <c r="A274" s="50"/>
      <c r="B274" s="143">
        <v>1</v>
      </c>
      <c r="C274" s="285" t="s">
        <v>303</v>
      </c>
      <c r="D274" s="285"/>
      <c r="E274" s="285"/>
      <c r="F274" s="285"/>
      <c r="G274" s="76"/>
      <c r="H274" s="79"/>
      <c r="I274" s="56">
        <v>250000</v>
      </c>
      <c r="J274" s="76"/>
      <c r="K274" s="76"/>
      <c r="L274" s="79"/>
    </row>
    <row r="275" spans="1:12" ht="18.75" customHeight="1" x14ac:dyDescent="0.2">
      <c r="B275" s="96"/>
      <c r="C275" s="124"/>
      <c r="D275" s="124"/>
      <c r="E275" s="127"/>
      <c r="F275" s="125"/>
      <c r="G275" s="124"/>
      <c r="H275" s="124"/>
      <c r="I275" s="56"/>
      <c r="L275" s="17"/>
    </row>
    <row r="276" spans="1:12" ht="18" customHeight="1" x14ac:dyDescent="0.25">
      <c r="A276" s="1"/>
      <c r="B276" s="39"/>
      <c r="C276" s="1"/>
      <c r="D276" s="1"/>
      <c r="E276" s="1"/>
      <c r="F276" s="40" t="s">
        <v>5</v>
      </c>
      <c r="G276" s="40"/>
      <c r="H276" s="1"/>
      <c r="I276" s="41">
        <f>SUM(I274:I274)</f>
        <v>250000</v>
      </c>
      <c r="J276" s="1"/>
      <c r="K276" s="1"/>
      <c r="L276" s="42"/>
    </row>
    <row r="277" spans="1:12" ht="13.5" customHeight="1" thickBot="1" x14ac:dyDescent="0.3">
      <c r="A277" s="1"/>
      <c r="B277" s="43"/>
      <c r="C277" s="44"/>
      <c r="D277" s="44"/>
      <c r="E277" s="44"/>
      <c r="F277" s="45"/>
      <c r="G277" s="45"/>
      <c r="H277" s="44"/>
      <c r="I277" s="46"/>
      <c r="J277" s="44"/>
      <c r="K277" s="44"/>
      <c r="L277" s="47"/>
    </row>
    <row r="278" spans="1:12" ht="15.75" customHeight="1" thickTop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47.25" customHeight="1" x14ac:dyDescent="0.2">
      <c r="A279" s="10" t="s">
        <v>2</v>
      </c>
      <c r="B279" s="279" t="s">
        <v>11</v>
      </c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</row>
    <row r="280" spans="1:12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8" customHeight="1" x14ac:dyDescent="0.2">
      <c r="A281" s="280" t="s">
        <v>12</v>
      </c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</row>
    <row r="282" spans="1:12" ht="18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3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" customHeight="1" x14ac:dyDescent="0.25">
      <c r="A284" s="1"/>
      <c r="B284" s="1"/>
      <c r="C284" s="1"/>
      <c r="D284" s="1"/>
      <c r="E284" s="1"/>
      <c r="F284" s="1"/>
      <c r="G284" s="1"/>
      <c r="H284" s="4" t="s">
        <v>199</v>
      </c>
      <c r="J284" s="286" t="s">
        <v>314</v>
      </c>
      <c r="K284" s="286"/>
      <c r="L284" s="286"/>
    </row>
    <row r="285" spans="1:12" ht="12.75" customHeight="1" x14ac:dyDescent="0.25">
      <c r="A285" s="1"/>
      <c r="B285" s="1" t="s">
        <v>15</v>
      </c>
      <c r="C285" s="1"/>
      <c r="D285" s="1"/>
      <c r="E285" s="1"/>
      <c r="F285" s="1"/>
      <c r="G285" s="1"/>
      <c r="H285" s="4" t="s">
        <v>13</v>
      </c>
    </row>
    <row r="286" spans="1:12" ht="14.25" customHeight="1" x14ac:dyDescent="0.25">
      <c r="A286" s="1"/>
      <c r="B286" s="1" t="s">
        <v>18</v>
      </c>
      <c r="C286" s="1"/>
      <c r="D286" s="1"/>
      <c r="E286" s="1"/>
      <c r="F286" s="1"/>
      <c r="G286" s="1"/>
      <c r="H286" s="4" t="s">
        <v>14</v>
      </c>
    </row>
    <row r="287" spans="1:12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4.25" customHeight="1" x14ac:dyDescent="0.25">
      <c r="A289" s="1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"/>
    </row>
    <row r="290" spans="1:12" ht="7.5" customHeight="1" x14ac:dyDescent="0.25">
      <c r="A290" s="1"/>
      <c r="K290" s="103"/>
      <c r="L290" s="1"/>
    </row>
    <row r="291" spans="1:12" ht="15" x14ac:dyDescent="0.25">
      <c r="A291" s="1"/>
      <c r="B291" s="95" t="s">
        <v>77</v>
      </c>
      <c r="H291" s="95" t="s">
        <v>77</v>
      </c>
      <c r="I291" s="95"/>
      <c r="J291" s="92"/>
      <c r="K291" s="103"/>
      <c r="L291" s="1"/>
    </row>
    <row r="292" spans="1:12" ht="12.75" customHeight="1" x14ac:dyDescent="0.25">
      <c r="A292" s="1"/>
      <c r="B292" s="99" t="s">
        <v>27</v>
      </c>
      <c r="C292" s="57"/>
      <c r="H292" s="99" t="s">
        <v>27</v>
      </c>
      <c r="K292" s="103"/>
    </row>
    <row r="293" spans="1:12" ht="17.25" customHeight="1" x14ac:dyDescent="0.2"/>
    <row r="294" spans="1:12" ht="20.25" customHeight="1" x14ac:dyDescent="0.2"/>
    <row r="295" spans="1:12" ht="12.75" x14ac:dyDescent="0.2"/>
    <row r="296" spans="1:12" ht="9" customHeight="1" x14ac:dyDescent="0.2"/>
    <row r="297" spans="1:12" ht="12.75" x14ac:dyDescent="0.2"/>
    <row r="298" spans="1:12" ht="14.25" customHeight="1" x14ac:dyDescent="0.25">
      <c r="A298" s="3" t="s">
        <v>22</v>
      </c>
    </row>
    <row r="299" spans="1:12" ht="15.75" x14ac:dyDescent="0.2">
      <c r="A299" s="122" t="s">
        <v>20</v>
      </c>
    </row>
    <row r="300" spans="1:12" ht="15.75" x14ac:dyDescent="0.2">
      <c r="A300" s="122" t="s">
        <v>21</v>
      </c>
    </row>
    <row r="301" spans="1:12" ht="17.25" customHeight="1" x14ac:dyDescent="0.2"/>
    <row r="302" spans="1:12" ht="15.75" hidden="1" customHeight="1" x14ac:dyDescent="0.2"/>
    <row r="303" spans="1:12" ht="19.5" customHeight="1" x14ac:dyDescent="0.2"/>
    <row r="304" spans="1:12" ht="18.75" x14ac:dyDescent="0.3">
      <c r="A304" s="276" t="s">
        <v>6</v>
      </c>
      <c r="B304" s="276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</row>
    <row r="305" spans="1:12" ht="8.25" customHeight="1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</row>
    <row r="306" spans="1:12" ht="18" hidden="1" customHeight="1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</row>
    <row r="307" spans="1:12" ht="15.75" customHeight="1" x14ac:dyDescent="0.25">
      <c r="A307" s="1"/>
      <c r="B307" s="1"/>
    </row>
    <row r="308" spans="1:12" ht="19.5" customHeight="1" x14ac:dyDescent="0.25">
      <c r="A308" s="1" t="s">
        <v>7</v>
      </c>
      <c r="B308" s="1"/>
    </row>
    <row r="309" spans="1:12" ht="18" customHeight="1" x14ac:dyDescent="0.25">
      <c r="A309" s="1"/>
      <c r="B309" s="1"/>
    </row>
    <row r="310" spans="1:12" ht="15" x14ac:dyDescent="0.25">
      <c r="A310" s="1" t="s">
        <v>8</v>
      </c>
      <c r="C310" s="9" t="s">
        <v>1</v>
      </c>
      <c r="D310" s="126" t="s">
        <v>64</v>
      </c>
      <c r="E310" s="76"/>
      <c r="F310" s="76"/>
      <c r="G310" s="76"/>
      <c r="H310" s="76"/>
    </row>
    <row r="311" spans="1:12" ht="16.5" customHeight="1" x14ac:dyDescent="0.25">
      <c r="A311" s="1" t="s">
        <v>9</v>
      </c>
      <c r="C311" s="9" t="s">
        <v>1</v>
      </c>
      <c r="D311" s="119" t="s">
        <v>236</v>
      </c>
      <c r="E311" s="76"/>
      <c r="F311" s="76"/>
      <c r="G311" s="76"/>
      <c r="H311" s="76"/>
    </row>
    <row r="312" spans="1:12" ht="23.25" customHeight="1" x14ac:dyDescent="0.2">
      <c r="A312" s="50" t="s">
        <v>10</v>
      </c>
      <c r="B312" s="76"/>
      <c r="C312" s="91" t="s">
        <v>1</v>
      </c>
      <c r="D312" s="124" t="s">
        <v>235</v>
      </c>
      <c r="E312" s="76"/>
      <c r="F312" s="76"/>
      <c r="G312" s="76"/>
      <c r="H312" s="76"/>
      <c r="I312" s="76"/>
      <c r="J312" s="76"/>
      <c r="K312" s="76"/>
      <c r="L312" s="76"/>
    </row>
    <row r="313" spans="1:12" ht="11.25" customHeight="1" x14ac:dyDescent="0.25">
      <c r="A313" s="1"/>
      <c r="B313" s="1"/>
      <c r="D313" s="1"/>
    </row>
    <row r="314" spans="1:12" ht="33" customHeight="1" x14ac:dyDescent="0.2">
      <c r="A314" s="277" t="s">
        <v>319</v>
      </c>
      <c r="B314" s="277"/>
      <c r="C314" s="277"/>
      <c r="D314" s="277"/>
      <c r="E314" s="277"/>
      <c r="F314" s="277"/>
      <c r="G314" s="277"/>
      <c r="H314" s="277"/>
      <c r="I314" s="277"/>
      <c r="J314" s="277"/>
      <c r="K314" s="277"/>
      <c r="L314" s="277"/>
    </row>
    <row r="315" spans="1:12" ht="6.75" customHeight="1" x14ac:dyDescent="0.25">
      <c r="A315" s="1"/>
      <c r="B315" s="1"/>
    </row>
    <row r="316" spans="1:12" ht="36" customHeight="1" thickBot="1" x14ac:dyDescent="0.25">
      <c r="A316" s="10" t="s">
        <v>0</v>
      </c>
      <c r="B316" s="278" t="s">
        <v>91</v>
      </c>
      <c r="C316" s="278"/>
      <c r="D316" s="278"/>
      <c r="E316" s="278"/>
      <c r="F316" s="278"/>
      <c r="G316" s="278"/>
      <c r="H316" s="278"/>
      <c r="I316" s="278"/>
      <c r="J316" s="278"/>
      <c r="K316" s="278"/>
      <c r="L316" s="278"/>
    </row>
    <row r="317" spans="1:12" ht="15" customHeight="1" thickTop="1" x14ac:dyDescent="0.25">
      <c r="A317" s="1"/>
      <c r="B317" s="11" t="s">
        <v>3</v>
      </c>
      <c r="C317" s="12" t="s">
        <v>4</v>
      </c>
      <c r="D317" s="13"/>
      <c r="E317" s="13"/>
      <c r="F317" s="13"/>
      <c r="G317" s="13"/>
      <c r="H317" s="14"/>
      <c r="I317" s="15" t="s">
        <v>5</v>
      </c>
      <c r="J317" s="12" t="s">
        <v>17</v>
      </c>
      <c r="K317" s="13"/>
      <c r="L317" s="14"/>
    </row>
    <row r="318" spans="1:12" ht="23.25" customHeight="1" x14ac:dyDescent="0.2">
      <c r="A318" s="50"/>
      <c r="B318" s="143">
        <v>1</v>
      </c>
      <c r="C318" s="285" t="s">
        <v>303</v>
      </c>
      <c r="D318" s="285"/>
      <c r="E318" s="285"/>
      <c r="F318" s="285"/>
      <c r="G318" s="76"/>
      <c r="H318" s="79"/>
      <c r="I318" s="56">
        <v>250000</v>
      </c>
      <c r="J318" s="76"/>
      <c r="K318" s="76"/>
      <c r="L318" s="79"/>
    </row>
    <row r="319" spans="1:12" ht="28.5" customHeight="1" x14ac:dyDescent="0.2">
      <c r="A319" s="76"/>
      <c r="B319" s="96">
        <v>2</v>
      </c>
      <c r="C319" s="321" t="s">
        <v>238</v>
      </c>
      <c r="D319" s="297"/>
      <c r="E319" s="127">
        <v>622000</v>
      </c>
      <c r="F319" s="319" t="s">
        <v>239</v>
      </c>
      <c r="G319" s="297"/>
      <c r="H319" s="320"/>
      <c r="I319" s="56">
        <f>E319*30/100</f>
        <v>186600</v>
      </c>
      <c r="J319" s="76" t="s">
        <v>240</v>
      </c>
      <c r="K319" s="76"/>
      <c r="L319" s="79"/>
    </row>
    <row r="320" spans="1:12" ht="30" customHeight="1" x14ac:dyDescent="0.2">
      <c r="A320" s="76"/>
      <c r="B320" s="96"/>
      <c r="C320" s="124"/>
      <c r="D320" s="124"/>
      <c r="E320" s="127"/>
      <c r="F320" s="125"/>
      <c r="G320" s="124"/>
      <c r="H320" s="124"/>
      <c r="I320" s="145"/>
      <c r="J320" s="76"/>
      <c r="K320" s="76"/>
      <c r="L320" s="79"/>
    </row>
    <row r="321" spans="1:12" ht="24" customHeight="1" x14ac:dyDescent="0.25">
      <c r="A321" s="1"/>
      <c r="B321" s="39"/>
      <c r="C321" s="1"/>
      <c r="D321" s="1"/>
      <c r="E321" s="1"/>
      <c r="F321" s="40" t="s">
        <v>5</v>
      </c>
      <c r="G321" s="40"/>
      <c r="H321" s="1"/>
      <c r="I321" s="41">
        <f>SUM(I318:I319)</f>
        <v>436600</v>
      </c>
      <c r="J321" s="1"/>
      <c r="K321" s="1"/>
      <c r="L321" s="42"/>
    </row>
    <row r="322" spans="1:12" ht="10.5" customHeight="1" thickBot="1" x14ac:dyDescent="0.3">
      <c r="A322" s="1"/>
      <c r="B322" s="43"/>
      <c r="C322" s="44"/>
      <c r="D322" s="44"/>
      <c r="E322" s="44"/>
      <c r="F322" s="45"/>
      <c r="G322" s="45"/>
      <c r="H322" s="44"/>
      <c r="I322" s="46"/>
      <c r="J322" s="44"/>
      <c r="K322" s="44"/>
      <c r="L322" s="47"/>
    </row>
    <row r="323" spans="1:12" ht="15.75" customHeight="1" thickTop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49.5" customHeight="1" x14ac:dyDescent="0.2">
      <c r="A324" s="10" t="s">
        <v>2</v>
      </c>
      <c r="B324" s="279" t="s">
        <v>11</v>
      </c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</row>
    <row r="325" spans="1:12" ht="17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26.25" customHeight="1" x14ac:dyDescent="0.2">
      <c r="A326" s="280" t="s">
        <v>12</v>
      </c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</row>
    <row r="327" spans="1:12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6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" x14ac:dyDescent="0.25">
      <c r="A329" s="1"/>
      <c r="B329" s="1"/>
      <c r="C329" s="1"/>
      <c r="D329" s="1"/>
      <c r="E329" s="1"/>
      <c r="F329" s="1"/>
      <c r="G329" s="1"/>
      <c r="H329" s="4" t="s">
        <v>199</v>
      </c>
      <c r="J329" s="286" t="s">
        <v>314</v>
      </c>
      <c r="K329" s="286"/>
      <c r="L329" s="286"/>
    </row>
    <row r="330" spans="1:12" ht="12.75" customHeight="1" x14ac:dyDescent="0.25">
      <c r="A330" s="1"/>
      <c r="B330" s="1" t="s">
        <v>15</v>
      </c>
      <c r="C330" s="1"/>
      <c r="D330" s="1"/>
      <c r="E330" s="1"/>
      <c r="F330" s="1"/>
      <c r="G330" s="1"/>
      <c r="H330" s="4" t="s">
        <v>13</v>
      </c>
    </row>
    <row r="331" spans="1:12" ht="15.75" customHeight="1" x14ac:dyDescent="0.25">
      <c r="A331" s="1"/>
      <c r="B331" s="1" t="s">
        <v>18</v>
      </c>
      <c r="C331" s="1"/>
      <c r="D331" s="1"/>
      <c r="E331" s="1"/>
      <c r="F331" s="1"/>
      <c r="G331" s="1"/>
      <c r="H331" s="4" t="s">
        <v>14</v>
      </c>
    </row>
    <row r="332" spans="1:12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7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8.75" customHeight="1" x14ac:dyDescent="0.25">
      <c r="A334" s="1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"/>
    </row>
    <row r="335" spans="1:12" ht="15" x14ac:dyDescent="0.25">
      <c r="A335" s="1"/>
      <c r="K335" s="103"/>
      <c r="L335" s="1"/>
    </row>
    <row r="336" spans="1:12" ht="11.25" customHeight="1" x14ac:dyDescent="0.25">
      <c r="A336" s="1"/>
      <c r="B336" s="95" t="s">
        <v>77</v>
      </c>
      <c r="H336" s="95" t="s">
        <v>64</v>
      </c>
      <c r="I336" s="95"/>
      <c r="J336" s="92"/>
      <c r="K336" s="103"/>
      <c r="L336" s="1"/>
    </row>
    <row r="337" spans="1:12" ht="15" x14ac:dyDescent="0.25">
      <c r="A337" s="1"/>
      <c r="B337" s="99" t="s">
        <v>27</v>
      </c>
      <c r="C337" s="57"/>
      <c r="H337" s="99" t="s">
        <v>46</v>
      </c>
      <c r="K337" s="103"/>
    </row>
    <row r="338" spans="1:12" ht="15" customHeight="1" x14ac:dyDescent="0.2"/>
    <row r="339" spans="1:12" ht="25.5" customHeight="1" x14ac:dyDescent="0.2"/>
    <row r="340" spans="1:12" ht="12.75" x14ac:dyDescent="0.2"/>
    <row r="341" spans="1:12" ht="12.75" x14ac:dyDescent="0.2"/>
    <row r="342" spans="1:12" ht="13.5" customHeight="1" x14ac:dyDescent="0.2"/>
    <row r="343" spans="1:12" ht="21" customHeight="1" x14ac:dyDescent="0.25">
      <c r="A343" s="3" t="s">
        <v>22</v>
      </c>
    </row>
    <row r="344" spans="1:12" ht="16.5" customHeight="1" x14ac:dyDescent="0.2">
      <c r="A344" s="122" t="s">
        <v>20</v>
      </c>
    </row>
    <row r="345" spans="1:12" ht="15.75" customHeight="1" x14ac:dyDescent="0.2">
      <c r="A345" s="122" t="s">
        <v>21</v>
      </c>
    </row>
    <row r="346" spans="1:12" ht="16.5" customHeight="1" x14ac:dyDescent="0.2"/>
    <row r="347" spans="1:12" ht="21" customHeight="1" x14ac:dyDescent="0.2"/>
    <row r="348" spans="1:12" ht="15" customHeight="1" x14ac:dyDescent="0.2"/>
    <row r="349" spans="1:12" ht="18.75" x14ac:dyDescent="0.3">
      <c r="A349" s="276" t="s">
        <v>6</v>
      </c>
      <c r="B349" s="276"/>
      <c r="C349" s="276"/>
      <c r="D349" s="276"/>
      <c r="E349" s="276"/>
      <c r="F349" s="276"/>
      <c r="G349" s="276"/>
      <c r="H349" s="276"/>
      <c r="I349" s="276"/>
      <c r="J349" s="276"/>
      <c r="K349" s="276"/>
      <c r="L349" s="276"/>
    </row>
    <row r="350" spans="1:12" ht="13.5" customHeight="1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</row>
    <row r="351" spans="1:12" ht="18.75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2" ht="15" customHeight="1" x14ac:dyDescent="0.25">
      <c r="A352" s="1"/>
      <c r="B352" s="1"/>
    </row>
    <row r="353" spans="1:12" ht="17.25" customHeight="1" x14ac:dyDescent="0.25">
      <c r="A353" s="1" t="s">
        <v>7</v>
      </c>
      <c r="B353" s="1"/>
    </row>
    <row r="354" spans="1:12" ht="15" customHeight="1" x14ac:dyDescent="0.25">
      <c r="A354" s="1"/>
      <c r="B354" s="1"/>
    </row>
    <row r="355" spans="1:12" ht="15" customHeight="1" x14ac:dyDescent="0.25">
      <c r="A355" s="1" t="s">
        <v>8</v>
      </c>
      <c r="C355" s="9" t="s">
        <v>1</v>
      </c>
      <c r="D355" s="123" t="s">
        <v>78</v>
      </c>
      <c r="E355" s="76"/>
      <c r="F355" s="76"/>
      <c r="G355" s="76"/>
      <c r="H355" s="76"/>
    </row>
    <row r="356" spans="1:12" ht="18" customHeight="1" x14ac:dyDescent="0.25">
      <c r="A356" s="1" t="s">
        <v>9</v>
      </c>
      <c r="C356" s="9" t="s">
        <v>1</v>
      </c>
      <c r="D356" s="76" t="s">
        <v>234</v>
      </c>
      <c r="E356" s="76"/>
      <c r="F356" s="76"/>
      <c r="G356" s="76"/>
      <c r="H356" s="76"/>
    </row>
    <row r="357" spans="1:12" ht="16.5" customHeight="1" x14ac:dyDescent="0.2">
      <c r="A357" s="50" t="s">
        <v>10</v>
      </c>
      <c r="B357" s="76"/>
      <c r="C357" s="91" t="s">
        <v>1</v>
      </c>
      <c r="D357" s="50" t="s">
        <v>235</v>
      </c>
      <c r="E357" s="76"/>
      <c r="F357" s="76"/>
      <c r="G357" s="76"/>
      <c r="H357" s="76"/>
      <c r="I357" s="76"/>
      <c r="J357" s="76"/>
      <c r="K357" s="76"/>
      <c r="L357" s="76"/>
    </row>
    <row r="358" spans="1:12" ht="15" customHeight="1" x14ac:dyDescent="0.25">
      <c r="A358" s="1"/>
      <c r="B358" s="1"/>
      <c r="D358" s="1"/>
    </row>
    <row r="359" spans="1:12" ht="27.75" customHeight="1" x14ac:dyDescent="0.2">
      <c r="A359" s="277" t="s">
        <v>319</v>
      </c>
      <c r="B359" s="277"/>
      <c r="C359" s="277"/>
      <c r="D359" s="277"/>
      <c r="E359" s="277"/>
      <c r="F359" s="277"/>
      <c r="G359" s="277"/>
      <c r="H359" s="277"/>
      <c r="I359" s="277"/>
      <c r="J359" s="277"/>
      <c r="K359" s="277"/>
      <c r="L359" s="277"/>
    </row>
    <row r="360" spans="1:12" ht="15" x14ac:dyDescent="0.25">
      <c r="A360" s="1"/>
      <c r="B360" s="1"/>
    </row>
    <row r="361" spans="1:12" ht="34.5" customHeight="1" thickBot="1" x14ac:dyDescent="0.25">
      <c r="A361" s="10" t="s">
        <v>0</v>
      </c>
      <c r="B361" s="278" t="s">
        <v>91</v>
      </c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</row>
    <row r="362" spans="1:12" ht="15.75" thickTop="1" x14ac:dyDescent="0.25">
      <c r="A362" s="1"/>
      <c r="B362" s="11" t="s">
        <v>3</v>
      </c>
      <c r="C362" s="12" t="s">
        <v>4</v>
      </c>
      <c r="D362" s="13"/>
      <c r="E362" s="13"/>
      <c r="F362" s="13"/>
      <c r="G362" s="13"/>
      <c r="H362" s="14"/>
      <c r="I362" s="15" t="s">
        <v>5</v>
      </c>
      <c r="J362" s="12" t="s">
        <v>17</v>
      </c>
      <c r="K362" s="13"/>
      <c r="L362" s="14"/>
    </row>
    <row r="363" spans="1:12" ht="27.75" customHeight="1" x14ac:dyDescent="0.2">
      <c r="A363" s="50"/>
      <c r="B363" s="143">
        <v>1</v>
      </c>
      <c r="C363" s="285" t="s">
        <v>303</v>
      </c>
      <c r="D363" s="285"/>
      <c r="E363" s="285"/>
      <c r="F363" s="285"/>
      <c r="G363" s="76"/>
      <c r="H363" s="79"/>
      <c r="I363" s="56">
        <v>250000</v>
      </c>
      <c r="J363" s="76"/>
      <c r="K363" s="76"/>
      <c r="L363" s="79"/>
    </row>
    <row r="364" spans="1:12" ht="29.25" customHeight="1" x14ac:dyDescent="0.2">
      <c r="A364" s="76"/>
      <c r="B364" s="96">
        <v>2</v>
      </c>
      <c r="C364" s="321" t="s">
        <v>238</v>
      </c>
      <c r="D364" s="297"/>
      <c r="E364" s="127">
        <v>622000</v>
      </c>
      <c r="F364" s="319" t="s">
        <v>239</v>
      </c>
      <c r="G364" s="297"/>
      <c r="H364" s="320"/>
      <c r="I364" s="56">
        <f>E364*30/100</f>
        <v>186600</v>
      </c>
      <c r="J364" s="76" t="s">
        <v>240</v>
      </c>
      <c r="K364" s="76"/>
      <c r="L364" s="79"/>
    </row>
    <row r="365" spans="1:12" ht="35.25" customHeight="1" x14ac:dyDescent="0.2">
      <c r="B365" s="20"/>
      <c r="C365" s="21"/>
      <c r="D365" s="21"/>
      <c r="E365" s="21"/>
      <c r="F365" s="21"/>
      <c r="G365" s="21"/>
      <c r="H365" s="22"/>
      <c r="I365" s="23"/>
      <c r="J365" s="21"/>
      <c r="K365" s="21"/>
      <c r="L365" s="22"/>
    </row>
    <row r="366" spans="1:12" ht="18" customHeight="1" x14ac:dyDescent="0.25">
      <c r="A366" s="1"/>
      <c r="B366" s="39"/>
      <c r="C366" s="1"/>
      <c r="D366" s="1"/>
      <c r="E366" s="1"/>
      <c r="F366" s="40" t="s">
        <v>5</v>
      </c>
      <c r="G366" s="40"/>
      <c r="H366" s="1"/>
      <c r="I366" s="41">
        <f>SUM(I363:I364)</f>
        <v>436600</v>
      </c>
      <c r="J366" s="1"/>
      <c r="K366" s="1"/>
      <c r="L366" s="42"/>
    </row>
    <row r="367" spans="1:12" ht="15" customHeight="1" thickBot="1" x14ac:dyDescent="0.3">
      <c r="A367" s="1"/>
      <c r="B367" s="43"/>
      <c r="C367" s="44"/>
      <c r="D367" s="44"/>
      <c r="E367" s="44"/>
      <c r="F367" s="45"/>
      <c r="G367" s="45"/>
      <c r="H367" s="44"/>
      <c r="I367" s="46"/>
      <c r="J367" s="44"/>
      <c r="K367" s="44"/>
      <c r="L367" s="47"/>
    </row>
    <row r="368" spans="1:12" ht="19.5" customHeight="1" thickTop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48.75" customHeight="1" x14ac:dyDescent="0.2">
      <c r="A369" s="10" t="s">
        <v>2</v>
      </c>
      <c r="B369" s="279" t="s">
        <v>11</v>
      </c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</row>
    <row r="370" spans="1:1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9.5" customHeight="1" x14ac:dyDescent="0.2">
      <c r="A371" s="280" t="s">
        <v>12</v>
      </c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</row>
    <row r="372" spans="1:12" ht="1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46.5" customHeight="1" x14ac:dyDescent="0.25">
      <c r="A374" s="1"/>
      <c r="B374" s="1"/>
      <c r="C374" s="1"/>
      <c r="D374" s="1"/>
      <c r="E374" s="1"/>
      <c r="F374" s="1"/>
      <c r="G374" s="1"/>
      <c r="H374" s="4" t="s">
        <v>199</v>
      </c>
      <c r="J374" s="286" t="s">
        <v>314</v>
      </c>
      <c r="K374" s="286"/>
      <c r="L374" s="286"/>
    </row>
    <row r="375" spans="1:12" ht="15" customHeight="1" x14ac:dyDescent="0.25">
      <c r="A375" s="1"/>
      <c r="B375" s="1" t="s">
        <v>15</v>
      </c>
      <c r="C375" s="1"/>
      <c r="D375" s="1"/>
      <c r="E375" s="1"/>
      <c r="F375" s="1"/>
      <c r="G375" s="1"/>
      <c r="H375" s="4" t="s">
        <v>13</v>
      </c>
    </row>
    <row r="376" spans="1:12" ht="16.5" customHeight="1" x14ac:dyDescent="0.25">
      <c r="A376" s="1"/>
      <c r="B376" s="1" t="s">
        <v>18</v>
      </c>
      <c r="C376" s="1"/>
      <c r="D376" s="1"/>
      <c r="E376" s="1"/>
      <c r="F376" s="1"/>
      <c r="G376" s="1"/>
      <c r="H376" s="4" t="s">
        <v>14</v>
      </c>
    </row>
    <row r="377" spans="1:12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" x14ac:dyDescent="0.25">
      <c r="A379" s="1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"/>
    </row>
    <row r="380" spans="1:12" ht="15.75" customHeight="1" x14ac:dyDescent="0.25">
      <c r="A380" s="1"/>
      <c r="K380" s="103"/>
      <c r="L380" s="1"/>
    </row>
    <row r="381" spans="1:12" ht="15" customHeight="1" x14ac:dyDescent="0.25">
      <c r="A381" s="1"/>
      <c r="B381" s="95" t="s">
        <v>77</v>
      </c>
      <c r="H381" s="95" t="s">
        <v>78</v>
      </c>
      <c r="I381" s="95"/>
      <c r="J381" s="92"/>
      <c r="K381" s="103"/>
      <c r="L381" s="1"/>
    </row>
    <row r="382" spans="1:12" ht="15" x14ac:dyDescent="0.25">
      <c r="A382" s="1"/>
      <c r="B382" s="99" t="s">
        <v>27</v>
      </c>
      <c r="C382" s="57"/>
      <c r="H382" s="99" t="s">
        <v>79</v>
      </c>
      <c r="K382" s="103"/>
    </row>
    <row r="383" spans="1:12" ht="6.75" customHeight="1" x14ac:dyDescent="0.2"/>
    <row r="384" spans="1:12" ht="21" customHeight="1" x14ac:dyDescent="0.2"/>
    <row r="385" ht="7.5" customHeight="1" x14ac:dyDescent="0.2"/>
    <row r="386" ht="15" customHeight="1" x14ac:dyDescent="0.2"/>
    <row r="387" ht="16.5" customHeight="1" x14ac:dyDescent="0.2"/>
    <row r="388" ht="13.5" customHeight="1" x14ac:dyDescent="0.2"/>
    <row r="389" ht="21.75" customHeight="1" x14ac:dyDescent="0.2"/>
    <row r="390" ht="21.75" customHeight="1" x14ac:dyDescent="0.2"/>
    <row r="391" ht="3.75" customHeight="1" x14ac:dyDescent="0.2"/>
    <row r="392" ht="17.25" customHeight="1" x14ac:dyDescent="0.2"/>
    <row r="393" ht="18" customHeight="1" x14ac:dyDescent="0.2"/>
    <row r="394" ht="15.75" customHeight="1" x14ac:dyDescent="0.2"/>
    <row r="395" ht="19.5" customHeight="1" x14ac:dyDescent="0.2"/>
    <row r="396" ht="12.75" x14ac:dyDescent="0.2"/>
    <row r="397" ht="12.75" x14ac:dyDescent="0.2"/>
    <row r="398" ht="15" customHeight="1" x14ac:dyDescent="0.2"/>
    <row r="399" ht="12.75" x14ac:dyDescent="0.2"/>
    <row r="400" ht="16.5" customHeight="1" x14ac:dyDescent="0.2"/>
    <row r="401" spans="1:12" ht="2.25" customHeight="1" x14ac:dyDescent="0.2"/>
    <row r="402" spans="1:12" ht="21" customHeight="1" x14ac:dyDescent="0.2"/>
    <row r="403" spans="1:12" ht="13.5" customHeight="1" x14ac:dyDescent="0.2"/>
    <row r="404" spans="1:12" ht="14.25" customHeight="1" x14ac:dyDescent="0.2"/>
    <row r="405" spans="1:12" ht="17.25" customHeight="1" x14ac:dyDescent="0.2"/>
    <row r="406" spans="1:12" ht="12.75" x14ac:dyDescent="0.2"/>
    <row r="407" spans="1:12" ht="18" customHeight="1" x14ac:dyDescent="0.2"/>
    <row r="408" spans="1:12" s="76" customFormat="1" ht="14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s="76" customFormat="1" ht="34.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s="76" customFormat="1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38.25" customHeight="1" x14ac:dyDescent="0.2"/>
    <row r="412" spans="1:12" ht="20.25" customHeight="1" x14ac:dyDescent="0.2"/>
    <row r="413" spans="1:12" ht="21" customHeight="1" x14ac:dyDescent="0.2"/>
    <row r="414" spans="1:12" ht="25.5" customHeight="1" x14ac:dyDescent="0.2"/>
    <row r="415" spans="1:12" ht="22.5" customHeight="1" x14ac:dyDescent="0.2"/>
    <row r="416" spans="1:12" ht="15.75" customHeight="1" x14ac:dyDescent="0.2"/>
    <row r="417" ht="9.75" customHeight="1" x14ac:dyDescent="0.2"/>
    <row r="418" ht="16.5" customHeight="1" x14ac:dyDescent="0.2"/>
    <row r="419" ht="47.25" customHeight="1" x14ac:dyDescent="0.2"/>
    <row r="420" ht="17.25" customHeight="1" x14ac:dyDescent="0.2"/>
    <row r="421" ht="16.5" customHeight="1" x14ac:dyDescent="0.2"/>
    <row r="422" ht="12.75" x14ac:dyDescent="0.2"/>
    <row r="423" ht="9.75" customHeight="1" x14ac:dyDescent="0.2"/>
    <row r="424" ht="12.75" x14ac:dyDescent="0.2"/>
    <row r="425" ht="12.75" customHeight="1" x14ac:dyDescent="0.2"/>
    <row r="426" ht="12.75" x14ac:dyDescent="0.2"/>
    <row r="427" ht="11.25" customHeight="1" x14ac:dyDescent="0.2"/>
    <row r="428" ht="12.75" hidden="1" x14ac:dyDescent="0.2"/>
    <row r="429" ht="10.5" customHeight="1" x14ac:dyDescent="0.2"/>
    <row r="430" ht="22.5" customHeight="1" x14ac:dyDescent="0.2"/>
    <row r="431" ht="16.5" customHeight="1" x14ac:dyDescent="0.2"/>
    <row r="432" ht="16.5" customHeight="1" x14ac:dyDescent="0.2"/>
    <row r="433" ht="16.5" customHeight="1" x14ac:dyDescent="0.2"/>
    <row r="434" ht="48" customHeight="1" x14ac:dyDescent="0.2"/>
    <row r="435" ht="18" customHeight="1" x14ac:dyDescent="0.2"/>
    <row r="436" ht="23.25" customHeight="1" x14ac:dyDescent="0.2"/>
    <row r="437" ht="24" customHeight="1" x14ac:dyDescent="0.2"/>
    <row r="438" ht="15.75" customHeight="1" x14ac:dyDescent="0.2"/>
    <row r="439" ht="12.75" customHeight="1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5.75" customHeight="1" x14ac:dyDescent="0.2"/>
    <row r="448" ht="20.25" customHeight="1" x14ac:dyDescent="0.2"/>
    <row r="449" ht="13.5" customHeight="1" x14ac:dyDescent="0.2"/>
    <row r="450" ht="15" customHeight="1" x14ac:dyDescent="0.2"/>
    <row r="451" ht="20.25" customHeight="1" x14ac:dyDescent="0.2"/>
    <row r="452" ht="27" customHeight="1" x14ac:dyDescent="0.2"/>
    <row r="453" ht="15" customHeight="1" x14ac:dyDescent="0.2"/>
    <row r="454" ht="36" customHeight="1" x14ac:dyDescent="0.2"/>
    <row r="455" ht="23.25" customHeight="1" x14ac:dyDescent="0.2"/>
    <row r="456" ht="22.5" customHeight="1" x14ac:dyDescent="0.2"/>
    <row r="457" ht="20.100000000000001" customHeight="1" x14ac:dyDescent="0.2"/>
    <row r="458" ht="24" customHeight="1" x14ac:dyDescent="0.2"/>
    <row r="459" ht="12.75" x14ac:dyDescent="0.2"/>
    <row r="460" ht="12.75" x14ac:dyDescent="0.2"/>
    <row r="461" ht="14.25" customHeight="1" x14ac:dyDescent="0.2"/>
    <row r="462" ht="49.5" customHeight="1" x14ac:dyDescent="0.2"/>
    <row r="463" ht="15" customHeight="1" x14ac:dyDescent="0.2"/>
    <row r="464" ht="12" customHeight="1" x14ac:dyDescent="0.2"/>
    <row r="465" ht="11.25" customHeight="1" x14ac:dyDescent="0.2"/>
    <row r="466" ht="7.5" customHeight="1" x14ac:dyDescent="0.2"/>
    <row r="467" ht="14.25" customHeight="1" x14ac:dyDescent="0.2"/>
    <row r="468" ht="12" customHeight="1" x14ac:dyDescent="0.2"/>
    <row r="469" ht="10.5" customHeight="1" x14ac:dyDescent="0.2"/>
    <row r="470" ht="21.75" customHeight="1" x14ac:dyDescent="0.2"/>
    <row r="471" ht="20.25" customHeight="1" x14ac:dyDescent="0.2"/>
    <row r="472" ht="12.75" x14ac:dyDescent="0.2"/>
    <row r="473" ht="12.75" x14ac:dyDescent="0.2"/>
    <row r="474" ht="13.5" customHeight="1" x14ac:dyDescent="0.2"/>
    <row r="475" ht="18.75" customHeight="1" x14ac:dyDescent="0.2"/>
    <row r="476" ht="19.5" customHeight="1" x14ac:dyDescent="0.2"/>
    <row r="477" ht="49.5" customHeight="1" x14ac:dyDescent="0.2"/>
    <row r="478" ht="15" customHeight="1" x14ac:dyDescent="0.2"/>
    <row r="479" ht="15" customHeight="1" x14ac:dyDescent="0.2"/>
    <row r="480" ht="7.5" customHeight="1" x14ac:dyDescent="0.2"/>
    <row r="481" ht="12.75" x14ac:dyDescent="0.2"/>
    <row r="482" ht="13.5" customHeight="1" x14ac:dyDescent="0.2"/>
    <row r="483" ht="12.75" x14ac:dyDescent="0.2"/>
    <row r="484" ht="17.25" customHeight="1" x14ac:dyDescent="0.2"/>
    <row r="485" ht="12.75" hidden="1" x14ac:dyDescent="0.2"/>
    <row r="486" ht="16.5" customHeight="1" x14ac:dyDescent="0.2"/>
    <row r="487" ht="21" customHeight="1" x14ac:dyDescent="0.2"/>
    <row r="488" ht="15" customHeight="1" x14ac:dyDescent="0.2"/>
    <row r="489" ht="12.75" x14ac:dyDescent="0.2"/>
    <row r="490" ht="12.75" x14ac:dyDescent="0.2"/>
    <row r="491" ht="12.75" customHeight="1" x14ac:dyDescent="0.2"/>
    <row r="492" ht="19.5" customHeight="1" x14ac:dyDescent="0.2"/>
    <row r="493" ht="11.25" customHeight="1" x14ac:dyDescent="0.2"/>
    <row r="494" ht="21" customHeight="1" x14ac:dyDescent="0.2"/>
    <row r="495" ht="15" customHeight="1" x14ac:dyDescent="0.2"/>
    <row r="496" ht="33" customHeight="1" x14ac:dyDescent="0.2"/>
    <row r="497" ht="29.25" customHeight="1" x14ac:dyDescent="0.2"/>
    <row r="498" ht="15" customHeight="1" x14ac:dyDescent="0.2"/>
    <row r="499" ht="33" customHeight="1" x14ac:dyDescent="0.2"/>
    <row r="500" ht="12.75" x14ac:dyDescent="0.2"/>
    <row r="501" ht="20.25" customHeight="1" x14ac:dyDescent="0.2"/>
    <row r="502" ht="18" customHeight="1" x14ac:dyDescent="0.2"/>
    <row r="503" ht="30" customHeight="1" x14ac:dyDescent="0.2"/>
    <row r="504" ht="25.5" customHeight="1" x14ac:dyDescent="0.2"/>
    <row r="505" ht="4.5" customHeight="1" x14ac:dyDescent="0.2"/>
    <row r="506" ht="18.75" customHeight="1" x14ac:dyDescent="0.2"/>
    <row r="507" ht="51" customHeight="1" x14ac:dyDescent="0.2"/>
    <row r="508" ht="15.75" customHeight="1" x14ac:dyDescent="0.2"/>
    <row r="509" ht="14.25" customHeight="1" x14ac:dyDescent="0.2"/>
    <row r="510" ht="16.5" customHeight="1" x14ac:dyDescent="0.2"/>
    <row r="511" ht="15.75" customHeight="1" x14ac:dyDescent="0.2"/>
    <row r="512" ht="14.25" customHeight="1" x14ac:dyDescent="0.2"/>
    <row r="513" ht="14.25" customHeight="1" x14ac:dyDescent="0.2"/>
    <row r="514" ht="16.5" customHeight="1" x14ac:dyDescent="0.2"/>
    <row r="515" ht="13.5" customHeight="1" x14ac:dyDescent="0.2"/>
    <row r="516" ht="12.75" x14ac:dyDescent="0.2"/>
    <row r="517" ht="11.25" customHeight="1" x14ac:dyDescent="0.2"/>
    <row r="518" ht="29.25" customHeight="1" x14ac:dyDescent="0.2"/>
    <row r="519" ht="15" customHeight="1" x14ac:dyDescent="0.2"/>
    <row r="520" ht="18.75" customHeight="1" x14ac:dyDescent="0.2"/>
    <row r="521" ht="15" customHeight="1" x14ac:dyDescent="0.2"/>
    <row r="522" ht="12.75" x14ac:dyDescent="0.2"/>
    <row r="523" ht="48" customHeight="1" x14ac:dyDescent="0.2"/>
    <row r="524" ht="14.25" customHeight="1" x14ac:dyDescent="0.2"/>
    <row r="525" ht="15.75" customHeight="1" x14ac:dyDescent="0.2"/>
    <row r="526" ht="3" customHeight="1" x14ac:dyDescent="0.2"/>
    <row r="527" ht="14.25" customHeight="1" x14ac:dyDescent="0.2"/>
    <row r="528" ht="13.5" customHeight="1" x14ac:dyDescent="0.2"/>
    <row r="529" ht="16.5" customHeight="1" x14ac:dyDescent="0.2"/>
    <row r="530" ht="16.5" customHeight="1" x14ac:dyDescent="0.2"/>
    <row r="531" ht="15" customHeight="1" x14ac:dyDescent="0.2"/>
    <row r="532" ht="10.5" customHeight="1" x14ac:dyDescent="0.2"/>
    <row r="533" ht="12" customHeight="1" x14ac:dyDescent="0.2"/>
    <row r="534" ht="15.75" customHeight="1" x14ac:dyDescent="0.2"/>
    <row r="535" ht="15.75" customHeight="1" x14ac:dyDescent="0.2"/>
    <row r="536" ht="12.75" x14ac:dyDescent="0.2"/>
    <row r="537" ht="12.75" x14ac:dyDescent="0.2"/>
    <row r="538" ht="15" customHeight="1" x14ac:dyDescent="0.2"/>
    <row r="539" ht="27.75" customHeight="1" x14ac:dyDescent="0.2"/>
    <row r="540" ht="15" customHeight="1" x14ac:dyDescent="0.2"/>
    <row r="541" ht="33.75" customHeight="1" x14ac:dyDescent="0.2"/>
    <row r="542" ht="16.5" customHeight="1" x14ac:dyDescent="0.2"/>
    <row r="543" ht="33" customHeight="1" x14ac:dyDescent="0.2"/>
    <row r="544" ht="29.25" customHeight="1" x14ac:dyDescent="0.2"/>
    <row r="545" spans="1:12" ht="29.25" customHeight="1" x14ac:dyDescent="0.2"/>
    <row r="546" spans="1:12" ht="12.75" x14ac:dyDescent="0.2"/>
    <row r="547" spans="1:12" ht="10.5" customHeight="1" x14ac:dyDescent="0.2"/>
    <row r="548" spans="1:12" s="76" customFormat="1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s="76" customFormat="1" ht="48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s="76" customFormat="1" ht="17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23.25" customHeight="1" x14ac:dyDescent="0.2"/>
    <row r="552" spans="1:12" ht="14.25" customHeight="1" x14ac:dyDescent="0.2"/>
    <row r="553" spans="1:12" ht="8.25" customHeight="1" x14ac:dyDescent="0.2"/>
    <row r="554" spans="1:12" ht="15.75" customHeight="1" x14ac:dyDescent="0.2"/>
    <row r="555" spans="1:12" ht="15" customHeight="1" x14ac:dyDescent="0.2"/>
    <row r="556" spans="1:12" ht="16.5" customHeight="1" x14ac:dyDescent="0.2"/>
    <row r="557" spans="1:12" ht="13.5" customHeight="1" x14ac:dyDescent="0.2"/>
    <row r="558" spans="1:12" ht="16.5" customHeight="1" x14ac:dyDescent="0.2"/>
    <row r="559" spans="1:12" ht="12" customHeight="1" x14ac:dyDescent="0.2"/>
    <row r="560" spans="1:12" ht="22.5" customHeight="1" x14ac:dyDescent="0.2"/>
    <row r="561" ht="25.5" customHeight="1" x14ac:dyDescent="0.2"/>
    <row r="562" ht="25.5" customHeight="1" x14ac:dyDescent="0.2"/>
    <row r="563" ht="17.25" customHeight="1" x14ac:dyDescent="0.2"/>
    <row r="564" ht="18" customHeight="1" x14ac:dyDescent="0.2"/>
    <row r="565" ht="12" customHeight="1" x14ac:dyDescent="0.2"/>
    <row r="566" ht="17.25" customHeight="1" x14ac:dyDescent="0.2"/>
    <row r="567" ht="15.75" customHeight="1" x14ac:dyDescent="0.2"/>
    <row r="568" ht="17.25" customHeight="1" x14ac:dyDescent="0.2"/>
    <row r="569" ht="31.5" customHeight="1" x14ac:dyDescent="0.2"/>
    <row r="570" ht="16.5" customHeight="1" x14ac:dyDescent="0.2"/>
    <row r="571" ht="12.75" x14ac:dyDescent="0.2"/>
    <row r="572" ht="15" customHeight="1" x14ac:dyDescent="0.2"/>
    <row r="573" ht="12.75" x14ac:dyDescent="0.2"/>
    <row r="574" ht="15.75" customHeight="1" x14ac:dyDescent="0.2"/>
    <row r="575" ht="18" hidden="1" customHeight="1" x14ac:dyDescent="0.2"/>
    <row r="576" ht="15.75" customHeight="1" x14ac:dyDescent="0.2"/>
    <row r="577" ht="17.25" customHeight="1" x14ac:dyDescent="0.2"/>
    <row r="578" ht="3.75" customHeight="1" x14ac:dyDescent="0.2"/>
    <row r="579" ht="29.25" customHeight="1" x14ac:dyDescent="0.2"/>
    <row r="580" ht="13.5" customHeight="1" x14ac:dyDescent="0.2"/>
    <row r="581" ht="19.5" customHeight="1" x14ac:dyDescent="0.2"/>
    <row r="582" ht="9" customHeight="1" x14ac:dyDescent="0.2"/>
    <row r="583" ht="28.5" customHeight="1" x14ac:dyDescent="0.2"/>
    <row r="584" ht="17.25" customHeight="1" x14ac:dyDescent="0.2"/>
    <row r="585" ht="33" customHeight="1" x14ac:dyDescent="0.2"/>
    <row r="586" ht="15" customHeight="1" x14ac:dyDescent="0.2"/>
    <row r="587" ht="22.5" customHeight="1" x14ac:dyDescent="0.2"/>
    <row r="588" ht="34.5" customHeight="1" x14ac:dyDescent="0.2"/>
    <row r="589" ht="34.5" customHeight="1" x14ac:dyDescent="0.2"/>
    <row r="590" ht="15" customHeight="1" x14ac:dyDescent="0.2"/>
    <row r="591" ht="7.5" customHeight="1" x14ac:dyDescent="0.2"/>
    <row r="592" ht="17.25" customHeight="1" x14ac:dyDescent="0.2"/>
    <row r="593" spans="13:13" ht="48" customHeight="1" x14ac:dyDescent="0.2"/>
    <row r="594" spans="13:13" ht="13.5" customHeight="1" x14ac:dyDescent="0.2"/>
    <row r="595" spans="13:13" ht="18.75" customHeight="1" x14ac:dyDescent="0.2"/>
    <row r="596" spans="13:13" ht="12.75" x14ac:dyDescent="0.2"/>
    <row r="597" spans="13:13" ht="14.25" customHeight="1" x14ac:dyDescent="0.2"/>
    <row r="598" spans="13:13" ht="12.75" x14ac:dyDescent="0.2"/>
    <row r="599" spans="13:13" ht="12.75" x14ac:dyDescent="0.2"/>
    <row r="600" spans="13:13" ht="17.25" customHeight="1" x14ac:dyDescent="0.2"/>
    <row r="601" spans="13:13" ht="36.75" customHeight="1" x14ac:dyDescent="0.2"/>
    <row r="602" spans="13:13" ht="12" hidden="1" customHeight="1" x14ac:dyDescent="0.2"/>
    <row r="603" spans="13:13" ht="32.25" hidden="1" customHeight="1" x14ac:dyDescent="0.2"/>
    <row r="604" spans="13:13" ht="15" customHeight="1" x14ac:dyDescent="0.2"/>
    <row r="605" spans="13:13" ht="25.5" customHeight="1" x14ac:dyDescent="0.2">
      <c r="M605" s="59"/>
    </row>
    <row r="606" spans="13:13" ht="25.5" customHeight="1" x14ac:dyDescent="0.2"/>
    <row r="607" spans="13:13" ht="20.25" customHeight="1" x14ac:dyDescent="0.2"/>
    <row r="608" spans="13:13" ht="12.75" x14ac:dyDescent="0.2"/>
    <row r="609" ht="12.75" x14ac:dyDescent="0.2"/>
    <row r="610" ht="12.75" x14ac:dyDescent="0.2"/>
    <row r="611" ht="6" customHeight="1" x14ac:dyDescent="0.2"/>
    <row r="612" ht="15" customHeight="1" x14ac:dyDescent="0.2"/>
    <row r="613" ht="53.25" customHeight="1" x14ac:dyDescent="0.2"/>
    <row r="614" ht="13.5" customHeight="1" x14ac:dyDescent="0.2"/>
    <row r="615" ht="21" customHeight="1" x14ac:dyDescent="0.2"/>
    <row r="616" ht="4.5" customHeight="1" x14ac:dyDescent="0.2"/>
    <row r="617" ht="12.75" x14ac:dyDescent="0.2"/>
    <row r="618" ht="12.75" x14ac:dyDescent="0.2"/>
    <row r="619" ht="12.75" x14ac:dyDescent="0.2"/>
    <row r="620" ht="12.75" x14ac:dyDescent="0.2"/>
    <row r="621" ht="20.25" customHeight="1" x14ac:dyDescent="0.2"/>
    <row r="622" ht="21" hidden="1" customHeight="1" x14ac:dyDescent="0.2"/>
    <row r="623" ht="30" customHeight="1" x14ac:dyDescent="0.2"/>
    <row r="624" ht="21.75" customHeight="1" x14ac:dyDescent="0.2"/>
    <row r="625" ht="12.75" x14ac:dyDescent="0.2"/>
    <row r="626" ht="12.75" customHeight="1" x14ac:dyDescent="0.2"/>
    <row r="627" ht="13.5" customHeight="1" x14ac:dyDescent="0.2"/>
    <row r="628" ht="12.75" x14ac:dyDescent="0.2"/>
    <row r="629" ht="30" customHeight="1" x14ac:dyDescent="0.2"/>
    <row r="630" ht="22.5" customHeight="1" x14ac:dyDescent="0.2"/>
    <row r="631" ht="32.25" customHeight="1" x14ac:dyDescent="0.2"/>
    <row r="632" ht="46.5" hidden="1" customHeight="1" x14ac:dyDescent="0.2"/>
    <row r="633" ht="24" customHeight="1" x14ac:dyDescent="0.2"/>
    <row r="634" ht="25.5" customHeight="1" x14ac:dyDescent="0.2"/>
    <row r="635" ht="16.5" customHeight="1" x14ac:dyDescent="0.2"/>
    <row r="636" ht="13.5" customHeight="1" x14ac:dyDescent="0.2"/>
    <row r="637" ht="19.5" customHeight="1" x14ac:dyDescent="0.2"/>
    <row r="638" ht="15" customHeight="1" x14ac:dyDescent="0.2"/>
    <row r="639" ht="48" customHeight="1" x14ac:dyDescent="0.2"/>
    <row r="640" ht="14.25" customHeight="1" x14ac:dyDescent="0.2"/>
    <row r="641" ht="16.5" customHeight="1" x14ac:dyDescent="0.2"/>
    <row r="642" ht="9.75" customHeight="1" x14ac:dyDescent="0.2"/>
    <row r="643" ht="18.75" customHeight="1" x14ac:dyDescent="0.2"/>
    <row r="644" ht="24" customHeight="1" x14ac:dyDescent="0.2"/>
    <row r="645" ht="15" customHeight="1" x14ac:dyDescent="0.2"/>
    <row r="646" ht="15.75" customHeight="1" x14ac:dyDescent="0.2"/>
    <row r="647" ht="18.75" customHeight="1" x14ac:dyDescent="0.2"/>
    <row r="648" ht="18" customHeight="1" x14ac:dyDescent="0.2"/>
    <row r="649" ht="33" customHeight="1" x14ac:dyDescent="0.2"/>
    <row r="650" ht="15" customHeight="1" x14ac:dyDescent="0.2"/>
    <row r="651" ht="32.25" customHeight="1" x14ac:dyDescent="0.2"/>
    <row r="652" ht="19.5" customHeight="1" x14ac:dyDescent="0.2"/>
    <row r="653" ht="25.5" customHeight="1" x14ac:dyDescent="0.2"/>
    <row r="654" ht="25.5" customHeight="1" x14ac:dyDescent="0.2"/>
    <row r="655" ht="25.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4.25" customHeight="1" x14ac:dyDescent="0.2"/>
    <row r="661" ht="45" customHeight="1" x14ac:dyDescent="0.2"/>
    <row r="662" ht="12.75" customHeight="1" x14ac:dyDescent="0.2"/>
    <row r="663" ht="18" customHeight="1" x14ac:dyDescent="0.2"/>
    <row r="664" ht="21.75" hidden="1" customHeight="1" x14ac:dyDescent="0.2"/>
    <row r="665" ht="15.75" customHeight="1" x14ac:dyDescent="0.2"/>
    <row r="666" ht="20.25" customHeight="1" x14ac:dyDescent="0.2"/>
    <row r="667" ht="12.75" customHeight="1" x14ac:dyDescent="0.2"/>
    <row r="668" ht="18.75" hidden="1" customHeight="1" x14ac:dyDescent="0.2"/>
    <row r="669" ht="16.5" customHeight="1" x14ac:dyDescent="0.2"/>
    <row r="670" ht="15.75" hidden="1" customHeight="1" x14ac:dyDescent="0.2"/>
    <row r="671" ht="19.5" customHeight="1" x14ac:dyDescent="0.2"/>
    <row r="672" ht="15.75" customHeight="1" x14ac:dyDescent="0.2"/>
    <row r="673" ht="24.75" customHeight="1" x14ac:dyDescent="0.2"/>
    <row r="674" ht="15.75" customHeight="1" x14ac:dyDescent="0.2"/>
    <row r="675" ht="21" customHeight="1" x14ac:dyDescent="0.2"/>
    <row r="676" ht="12.75" customHeight="1" x14ac:dyDescent="0.2"/>
    <row r="677" ht="15.75" customHeight="1" x14ac:dyDescent="0.2"/>
    <row r="678" ht="16.5" customHeight="1" x14ac:dyDescent="0.2"/>
    <row r="679" ht="14.25" customHeight="1" x14ac:dyDescent="0.2"/>
    <row r="680" ht="14.25" customHeight="1" x14ac:dyDescent="0.2"/>
    <row r="681" ht="35.25" customHeight="1" x14ac:dyDescent="0.2"/>
    <row r="682" ht="3.75" customHeight="1" x14ac:dyDescent="0.2"/>
    <row r="683" ht="35.25" customHeight="1" x14ac:dyDescent="0.2"/>
    <row r="684" ht="15.75" customHeight="1" x14ac:dyDescent="0.2"/>
    <row r="685" ht="23.25" customHeight="1" x14ac:dyDescent="0.2"/>
    <row r="686" ht="16.5" customHeight="1" x14ac:dyDescent="0.2"/>
    <row r="687" ht="30.75" customHeight="1" x14ac:dyDescent="0.2"/>
    <row r="688" ht="20.25" customHeight="1" x14ac:dyDescent="0.2"/>
    <row r="689" ht="10.5" customHeight="1" x14ac:dyDescent="0.2"/>
    <row r="690" ht="15.75" customHeight="1" x14ac:dyDescent="0.2"/>
    <row r="691" ht="49.5" customHeight="1" x14ac:dyDescent="0.2"/>
    <row r="692" ht="15.75" customHeight="1" x14ac:dyDescent="0.2"/>
    <row r="693" ht="18.75" customHeight="1" x14ac:dyDescent="0.2"/>
    <row r="694" ht="12.75" customHeight="1" x14ac:dyDescent="0.2"/>
    <row r="695" ht="15.75" customHeight="1" x14ac:dyDescent="0.2"/>
    <row r="696" ht="15.75" customHeight="1" x14ac:dyDescent="0.2"/>
    <row r="697" ht="15.75" customHeight="1" x14ac:dyDescent="0.2"/>
    <row r="698" ht="14.25" customHeight="1" x14ac:dyDescent="0.2"/>
    <row r="699" ht="15" customHeight="1" x14ac:dyDescent="0.2"/>
    <row r="700" ht="15" customHeight="1" x14ac:dyDescent="0.2"/>
    <row r="701" ht="15.75" customHeight="1" x14ac:dyDescent="0.2"/>
    <row r="702" ht="24" customHeight="1" x14ac:dyDescent="0.2"/>
    <row r="703" ht="12.75" customHeight="1" x14ac:dyDescent="0.2"/>
    <row r="704" ht="15" customHeight="1" x14ac:dyDescent="0.2"/>
    <row r="705" ht="12.75" x14ac:dyDescent="0.2"/>
    <row r="706" ht="12.75" x14ac:dyDescent="0.2"/>
    <row r="707" ht="12.75" x14ac:dyDescent="0.2"/>
    <row r="708" ht="15.75" customHeight="1" x14ac:dyDescent="0.2"/>
    <row r="709" ht="12.75" hidden="1" x14ac:dyDescent="0.2"/>
    <row r="710" ht="20.25" customHeight="1" x14ac:dyDescent="0.2"/>
    <row r="711" ht="19.5" customHeight="1" x14ac:dyDescent="0.2"/>
    <row r="712" ht="22.5" customHeight="1" x14ac:dyDescent="0.2"/>
    <row r="713" ht="12.75" x14ac:dyDescent="0.2"/>
    <row r="714" ht="21.75" customHeight="1" x14ac:dyDescent="0.2"/>
    <row r="715" ht="12.75" x14ac:dyDescent="0.2"/>
    <row r="716" ht="18" customHeight="1" x14ac:dyDescent="0.2"/>
    <row r="717" ht="23.25" customHeight="1" x14ac:dyDescent="0.2"/>
    <row r="718" ht="24" customHeight="1" x14ac:dyDescent="0.2"/>
    <row r="719" ht="10.5" customHeight="1" x14ac:dyDescent="0.2"/>
    <row r="720" ht="17.25" customHeight="1" x14ac:dyDescent="0.2"/>
    <row r="721" ht="17.25" customHeight="1" x14ac:dyDescent="0.2"/>
    <row r="722" ht="12.75" x14ac:dyDescent="0.2"/>
    <row r="723" ht="20.25" customHeight="1" x14ac:dyDescent="0.2"/>
    <row r="724" ht="17.25" customHeight="1" x14ac:dyDescent="0.2"/>
    <row r="725" ht="12.75" x14ac:dyDescent="0.2"/>
    <row r="726" ht="30.75" customHeight="1" x14ac:dyDescent="0.2"/>
    <row r="727" ht="17.25" customHeight="1" x14ac:dyDescent="0.2"/>
    <row r="728" ht="39.75" customHeight="1" x14ac:dyDescent="0.2"/>
    <row r="729" ht="19.5" customHeight="1" x14ac:dyDescent="0.2"/>
    <row r="730" ht="17.25" customHeight="1" x14ac:dyDescent="0.2"/>
    <row r="731" ht="30.75" customHeight="1" x14ac:dyDescent="0.2"/>
    <row r="732" ht="21.75" customHeight="1" x14ac:dyDescent="0.2"/>
    <row r="733" ht="16.5" customHeight="1" x14ac:dyDescent="0.2"/>
    <row r="734" ht="23.25" customHeight="1" x14ac:dyDescent="0.2"/>
    <row r="735" ht="49.5" customHeight="1" x14ac:dyDescent="0.2"/>
    <row r="736" ht="10.5" customHeight="1" x14ac:dyDescent="0.2"/>
    <row r="737" spans="1:12" ht="12.75" x14ac:dyDescent="0.2"/>
    <row r="738" spans="1:12" ht="14.25" customHeight="1" x14ac:dyDescent="0.2"/>
    <row r="739" spans="1:12" ht="9.75" customHeight="1" x14ac:dyDescent="0.2"/>
    <row r="740" spans="1:12" ht="12.75" x14ac:dyDescent="0.2"/>
    <row r="741" spans="1:12" ht="14.25" customHeight="1" x14ac:dyDescent="0.2"/>
    <row r="742" spans="1:12" ht="12.75" x14ac:dyDescent="0.2"/>
    <row r="743" spans="1:12" s="99" customFormat="1" ht="21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6.5" customHeight="1" x14ac:dyDescent="0.2"/>
    <row r="745" spans="1:12" ht="12.75" x14ac:dyDescent="0.2"/>
    <row r="746" spans="1:12" ht="18.75" customHeight="1" x14ac:dyDescent="0.2"/>
    <row r="747" spans="1:12" ht="18" customHeight="1" x14ac:dyDescent="0.2"/>
    <row r="748" spans="1:12" ht="12.75" x14ac:dyDescent="0.2"/>
    <row r="749" spans="1:12" ht="12" customHeight="1" x14ac:dyDescent="0.2"/>
    <row r="750" spans="1:12" ht="12.75" x14ac:dyDescent="0.2"/>
    <row r="751" spans="1:12" ht="15.75" customHeight="1" x14ac:dyDescent="0.2"/>
    <row r="752" spans="1:12" ht="20.25" customHeight="1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38.25" customHeight="1" x14ac:dyDescent="0.2"/>
    <row r="760" ht="15.75" customHeight="1" x14ac:dyDescent="0.2"/>
    <row r="761" ht="24.75" customHeight="1" x14ac:dyDescent="0.2"/>
    <row r="762" ht="24.75" customHeight="1" x14ac:dyDescent="0.2"/>
    <row r="763" ht="16.5" customHeight="1" x14ac:dyDescent="0.2"/>
    <row r="764" ht="18.75" customHeight="1" x14ac:dyDescent="0.2"/>
    <row r="765" ht="17.25" customHeight="1" x14ac:dyDescent="0.2"/>
    <row r="766" ht="12.75" x14ac:dyDescent="0.2"/>
    <row r="767" ht="15" customHeight="1" x14ac:dyDescent="0.2"/>
    <row r="768" ht="12.75" x14ac:dyDescent="0.2"/>
    <row r="769" ht="30.75" customHeight="1" x14ac:dyDescent="0.2"/>
    <row r="770" ht="18" customHeight="1" x14ac:dyDescent="0.2"/>
    <row r="771" ht="30.75" customHeight="1" x14ac:dyDescent="0.2"/>
    <row r="772" ht="15.75" customHeight="1" x14ac:dyDescent="0.2"/>
    <row r="773" ht="22.5" customHeight="1" x14ac:dyDescent="0.2"/>
    <row r="774" ht="32.25" customHeight="1" x14ac:dyDescent="0.2"/>
    <row r="775" ht="12.75" x14ac:dyDescent="0.2"/>
    <row r="776" ht="6" customHeight="1" x14ac:dyDescent="0.2"/>
    <row r="777" ht="12.75" x14ac:dyDescent="0.2"/>
    <row r="778" ht="50.25" customHeight="1" x14ac:dyDescent="0.2"/>
    <row r="779" ht="15.75" customHeight="1" x14ac:dyDescent="0.2"/>
    <row r="780" ht="12.75" x14ac:dyDescent="0.2"/>
    <row r="781" ht="12.75" customHeight="1" x14ac:dyDescent="0.2"/>
    <row r="782" ht="17.25" customHeight="1" x14ac:dyDescent="0.2"/>
    <row r="783" ht="19.5" customHeight="1" x14ac:dyDescent="0.2"/>
    <row r="784" ht="15.75" customHeight="1" x14ac:dyDescent="0.2"/>
    <row r="785" ht="12" customHeight="1" x14ac:dyDescent="0.2"/>
    <row r="786" ht="12.75" x14ac:dyDescent="0.2"/>
    <row r="787" ht="32.25" customHeight="1" x14ac:dyDescent="0.2"/>
    <row r="788" ht="14.25" customHeight="1" x14ac:dyDescent="0.2"/>
    <row r="789" ht="5.25" customHeight="1" x14ac:dyDescent="0.2"/>
    <row r="790" ht="17.25" customHeight="1" x14ac:dyDescent="0.2"/>
    <row r="791" ht="14.25" customHeight="1" x14ac:dyDescent="0.2"/>
    <row r="792" ht="12.75" x14ac:dyDescent="0.2"/>
    <row r="793" ht="12.75" x14ac:dyDescent="0.2"/>
    <row r="794" ht="12.75" x14ac:dyDescent="0.2"/>
    <row r="795" ht="21" customHeight="1" x14ac:dyDescent="0.2"/>
    <row r="796" ht="12.75" x14ac:dyDescent="0.2"/>
    <row r="797" ht="21" customHeight="1" x14ac:dyDescent="0.2"/>
    <row r="798" ht="12.75" x14ac:dyDescent="0.2"/>
    <row r="799" ht="12.75" x14ac:dyDescent="0.2"/>
    <row r="800" ht="57.75" customHeight="1" x14ac:dyDescent="0.2"/>
    <row r="801" spans="1:12" ht="12.75" x14ac:dyDescent="0.2"/>
    <row r="802" spans="1:12" ht="22.5" customHeight="1" x14ac:dyDescent="0.2"/>
    <row r="803" spans="1:12" ht="19.5" customHeight="1" x14ac:dyDescent="0.2"/>
    <row r="804" spans="1:12" ht="18.75" customHeight="1" x14ac:dyDescent="0.2"/>
    <row r="805" spans="1:12" ht="14.25" customHeight="1" x14ac:dyDescent="0.2"/>
    <row r="806" spans="1:12" ht="12.75" customHeight="1" x14ac:dyDescent="0.2"/>
    <row r="807" spans="1:12" ht="20.25" customHeight="1" x14ac:dyDescent="0.2"/>
    <row r="808" spans="1:12" ht="23.25" customHeight="1" x14ac:dyDescent="0.2"/>
    <row r="809" spans="1:12" ht="12.75" x14ac:dyDescent="0.2"/>
    <row r="810" spans="1:12" ht="15" customHeight="1" x14ac:dyDescent="0.2"/>
    <row r="811" spans="1:12" ht="12.75" x14ac:dyDescent="0.2"/>
    <row r="812" spans="1:12" ht="13.5" customHeight="1" x14ac:dyDescent="0.2"/>
    <row r="813" spans="1:12" ht="19.5" customHeight="1" x14ac:dyDescent="0.2"/>
    <row r="814" spans="1:12" ht="14.25" customHeight="1" x14ac:dyDescent="0.2"/>
    <row r="815" spans="1:12" ht="15" customHeight="1" x14ac:dyDescent="0.2"/>
    <row r="816" spans="1:12" s="76" customFormat="1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s="76" customFormat="1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42" customHeight="1" x14ac:dyDescent="0.2"/>
    <row r="819" spans="1:12" ht="9.75" customHeight="1" x14ac:dyDescent="0.2"/>
    <row r="820" spans="1:12" ht="39.75" customHeight="1" x14ac:dyDescent="0.2"/>
    <row r="821" spans="1:12" ht="22.5" customHeight="1" x14ac:dyDescent="0.2"/>
    <row r="822" spans="1:12" ht="28.5" customHeight="1" x14ac:dyDescent="0.2"/>
    <row r="823" spans="1:12" ht="19.5" customHeight="1" x14ac:dyDescent="0.2"/>
    <row r="824" spans="1:12" ht="22.5" customHeight="1" x14ac:dyDescent="0.2"/>
    <row r="825" spans="1:12" ht="17.25" customHeight="1" x14ac:dyDescent="0.2"/>
    <row r="826" spans="1:12" ht="12.75" customHeight="1" x14ac:dyDescent="0.2"/>
    <row r="827" spans="1:12" ht="9" customHeight="1" x14ac:dyDescent="0.2"/>
    <row r="828" spans="1:12" ht="51.75" customHeight="1" x14ac:dyDescent="0.2"/>
    <row r="829" spans="1:12" ht="18" customHeight="1" x14ac:dyDescent="0.2"/>
    <row r="830" spans="1:12" ht="17.25" customHeight="1" x14ac:dyDescent="0.2"/>
    <row r="831" spans="1:12" ht="15" customHeight="1" x14ac:dyDescent="0.2"/>
    <row r="832" spans="1:12" ht="12.75" x14ac:dyDescent="0.2"/>
    <row r="833" ht="22.5" customHeight="1" x14ac:dyDescent="0.2"/>
    <row r="834" ht="12.75" x14ac:dyDescent="0.2"/>
    <row r="835" ht="18.75" customHeight="1" x14ac:dyDescent="0.2"/>
    <row r="836" ht="12.75" x14ac:dyDescent="0.2"/>
    <row r="837" ht="18" customHeight="1" x14ac:dyDescent="0.2"/>
    <row r="838" ht="12.75" hidden="1" x14ac:dyDescent="0.2"/>
    <row r="839" ht="20.25" customHeight="1" x14ac:dyDescent="0.2"/>
    <row r="840" ht="13.5" customHeight="1" x14ac:dyDescent="0.2"/>
    <row r="841" ht="12.75" x14ac:dyDescent="0.2"/>
    <row r="842" ht="18.75" customHeight="1" x14ac:dyDescent="0.2"/>
    <row r="843" ht="12.75" x14ac:dyDescent="0.2"/>
    <row r="844" ht="23.25" customHeight="1" x14ac:dyDescent="0.2"/>
    <row r="845" ht="12.75" x14ac:dyDescent="0.2"/>
    <row r="846" ht="15.75" customHeight="1" x14ac:dyDescent="0.2"/>
    <row r="847" ht="21" customHeight="1" x14ac:dyDescent="0.2"/>
    <row r="848" ht="18" customHeight="1" x14ac:dyDescent="0.2"/>
    <row r="849" spans="1:12" ht="24" customHeight="1" x14ac:dyDescent="0.2"/>
    <row r="850" spans="1:12" ht="12.75" x14ac:dyDescent="0.2"/>
    <row r="851" spans="1:12" ht="18.75" customHeight="1" x14ac:dyDescent="0.2"/>
    <row r="852" spans="1:12" ht="12.75" customHeight="1" x14ac:dyDescent="0.2"/>
    <row r="853" spans="1:12" ht="18" customHeight="1" x14ac:dyDescent="0.2"/>
    <row r="854" spans="1:12" ht="15" customHeight="1" x14ac:dyDescent="0.2"/>
    <row r="855" spans="1:12" s="85" customFormat="1" ht="20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" customHeight="1" x14ac:dyDescent="0.2"/>
    <row r="857" spans="1:12" ht="15" customHeight="1" x14ac:dyDescent="0.2"/>
    <row r="858" spans="1:12" ht="12.75" x14ac:dyDescent="0.2"/>
    <row r="859" spans="1:12" ht="21" customHeight="1" x14ac:dyDescent="0.2"/>
    <row r="860" spans="1:12" ht="42.75" customHeight="1" x14ac:dyDescent="0.2"/>
    <row r="861" spans="1:12" ht="8.25" customHeight="1" x14ac:dyDescent="0.2"/>
    <row r="862" spans="1:12" ht="37.5" customHeight="1" x14ac:dyDescent="0.2"/>
    <row r="863" spans="1:12" ht="26.25" customHeight="1" x14ac:dyDescent="0.2"/>
    <row r="864" spans="1:12" ht="20.25" customHeight="1" x14ac:dyDescent="0.2"/>
    <row r="865" ht="31.5" customHeight="1" x14ac:dyDescent="0.2"/>
    <row r="866" ht="15.75" customHeight="1" x14ac:dyDescent="0.2"/>
    <row r="867" ht="15.75" customHeight="1" x14ac:dyDescent="0.2"/>
    <row r="868" ht="3.75" customHeight="1" x14ac:dyDescent="0.2"/>
    <row r="869" ht="17.25" customHeight="1" x14ac:dyDescent="0.2"/>
    <row r="870" ht="48.75" customHeight="1" x14ac:dyDescent="0.2"/>
    <row r="871" ht="19.5" customHeight="1" x14ac:dyDescent="0.2"/>
    <row r="872" ht="24" customHeight="1" x14ac:dyDescent="0.2"/>
    <row r="873" ht="24" customHeight="1" x14ac:dyDescent="0.2"/>
    <row r="874" ht="2.25" customHeight="1" x14ac:dyDescent="0.2"/>
    <row r="875" ht="31.5" customHeight="1" x14ac:dyDescent="0.2"/>
    <row r="876" ht="12.75" x14ac:dyDescent="0.2"/>
    <row r="877" ht="17.25" customHeight="1" x14ac:dyDescent="0.2"/>
    <row r="878" ht="4.5" customHeight="1" x14ac:dyDescent="0.2"/>
    <row r="879" ht="26.25" customHeight="1" x14ac:dyDescent="0.2"/>
    <row r="880" ht="18" customHeight="1" x14ac:dyDescent="0.2"/>
    <row r="881" ht="12.75" x14ac:dyDescent="0.2"/>
    <row r="882" ht="21" customHeight="1" x14ac:dyDescent="0.2"/>
    <row r="883" ht="12.75" x14ac:dyDescent="0.2"/>
    <row r="884" ht="12.75" x14ac:dyDescent="0.2"/>
    <row r="885" ht="12.75" x14ac:dyDescent="0.2"/>
    <row r="886" ht="12.75" x14ac:dyDescent="0.2"/>
    <row r="887" ht="16.5" customHeight="1" x14ac:dyDescent="0.2"/>
    <row r="888" ht="12.75" x14ac:dyDescent="0.2"/>
    <row r="889" ht="12.75" x14ac:dyDescent="0.2"/>
    <row r="890" ht="12.75" x14ac:dyDescent="0.2"/>
    <row r="891" ht="19.5" customHeight="1" x14ac:dyDescent="0.2"/>
    <row r="892" ht="12.75" x14ac:dyDescent="0.2"/>
    <row r="893" ht="18" customHeight="1" x14ac:dyDescent="0.2"/>
    <row r="894" ht="12.75" x14ac:dyDescent="0.2"/>
    <row r="895" ht="12.75" customHeight="1" x14ac:dyDescent="0.2"/>
    <row r="896" ht="34.5" customHeight="1" x14ac:dyDescent="0.2"/>
    <row r="897" ht="3" customHeight="1" x14ac:dyDescent="0.2"/>
    <row r="898" ht="36" hidden="1" customHeight="1" x14ac:dyDescent="0.2"/>
    <row r="899" ht="22.5" customHeight="1" x14ac:dyDescent="0.2"/>
    <row r="900" ht="12.75" x14ac:dyDescent="0.2"/>
    <row r="901" ht="12.75" x14ac:dyDescent="0.2"/>
    <row r="902" ht="12.75" x14ac:dyDescent="0.2"/>
    <row r="903" ht="17.25" customHeight="1" x14ac:dyDescent="0.2"/>
    <row r="904" ht="18" customHeight="1" x14ac:dyDescent="0.2"/>
    <row r="905" ht="18" customHeight="1" x14ac:dyDescent="0.2"/>
    <row r="906" ht="34.5" customHeight="1" x14ac:dyDescent="0.2"/>
    <row r="907" ht="12.75" x14ac:dyDescent="0.2"/>
    <row r="908" ht="36" customHeight="1" x14ac:dyDescent="0.2"/>
    <row r="909" ht="21.75" customHeight="1" x14ac:dyDescent="0.2"/>
    <row r="910" ht="25.5" customHeight="1" x14ac:dyDescent="0.2"/>
    <row r="911" ht="15" customHeight="1" x14ac:dyDescent="0.2"/>
    <row r="912" ht="29.25" customHeight="1" x14ac:dyDescent="0.2"/>
    <row r="913" ht="19.5" customHeight="1" x14ac:dyDescent="0.2"/>
    <row r="914" ht="12.75" customHeight="1" x14ac:dyDescent="0.2"/>
    <row r="915" ht="12.75" x14ac:dyDescent="0.2"/>
    <row r="916" ht="49.5" customHeight="1" x14ac:dyDescent="0.2"/>
    <row r="917" ht="12.75" x14ac:dyDescent="0.2"/>
    <row r="918" ht="15" customHeight="1" x14ac:dyDescent="0.2"/>
    <row r="919" ht="12.75" x14ac:dyDescent="0.2"/>
    <row r="920" ht="15" customHeight="1" x14ac:dyDescent="0.2"/>
    <row r="921" ht="15" customHeight="1" x14ac:dyDescent="0.2"/>
    <row r="922" ht="16.5" customHeight="1" x14ac:dyDescent="0.2"/>
    <row r="923" ht="12.75" customHeight="1" x14ac:dyDescent="0.2"/>
    <row r="924" ht="21" customHeight="1" x14ac:dyDescent="0.2"/>
    <row r="925" ht="33.75" customHeight="1" x14ac:dyDescent="0.2"/>
    <row r="926" ht="12.75" x14ac:dyDescent="0.2"/>
    <row r="927" ht="23.25" customHeight="1" x14ac:dyDescent="0.2"/>
    <row r="928" ht="12.75" x14ac:dyDescent="0.2"/>
    <row r="929" ht="16.5" customHeight="1" x14ac:dyDescent="0.2"/>
    <row r="930" ht="21.75" customHeight="1" x14ac:dyDescent="0.2"/>
    <row r="931" ht="46.5" customHeight="1" x14ac:dyDescent="0.2"/>
    <row r="932" ht="12.75" x14ac:dyDescent="0.2"/>
    <row r="933" ht="22.5" customHeight="1" x14ac:dyDescent="0.2"/>
    <row r="934" ht="18.75" customHeight="1" x14ac:dyDescent="0.2"/>
    <row r="935" ht="20.25" customHeight="1" x14ac:dyDescent="0.2"/>
    <row r="936" ht="15" customHeight="1" x14ac:dyDescent="0.2"/>
    <row r="937" ht="12.75" x14ac:dyDescent="0.2"/>
    <row r="938" ht="12.75" x14ac:dyDescent="0.2"/>
    <row r="939" ht="12.75" x14ac:dyDescent="0.2"/>
    <row r="940" ht="12.75" x14ac:dyDescent="0.2"/>
    <row r="941" ht="28.5" customHeight="1" x14ac:dyDescent="0.2"/>
    <row r="942" ht="12.75" x14ac:dyDescent="0.2"/>
    <row r="943" ht="12.75" x14ac:dyDescent="0.2"/>
    <row r="944" ht="12.75" x14ac:dyDescent="0.2"/>
    <row r="945" ht="15.75" customHeight="1" x14ac:dyDescent="0.2"/>
    <row r="946" ht="12.75" x14ac:dyDescent="0.2"/>
    <row r="947" ht="12.75" customHeight="1" x14ac:dyDescent="0.2"/>
    <row r="948" ht="12.75" x14ac:dyDescent="0.2"/>
    <row r="949" ht="31.5" customHeight="1" x14ac:dyDescent="0.2"/>
    <row r="950" ht="22.5" customHeight="1" x14ac:dyDescent="0.2"/>
    <row r="951" ht="39" customHeight="1" x14ac:dyDescent="0.2"/>
    <row r="952" ht="18" customHeight="1" x14ac:dyDescent="0.2"/>
    <row r="953" ht="18" customHeight="1" x14ac:dyDescent="0.2"/>
    <row r="954" ht="12.75" x14ac:dyDescent="0.2"/>
    <row r="955" ht="21" customHeight="1" x14ac:dyDescent="0.2"/>
    <row r="956" ht="21" customHeight="1" x14ac:dyDescent="0.2"/>
    <row r="957" ht="15.75" customHeight="1" x14ac:dyDescent="0.2"/>
    <row r="958" ht="11.25" customHeight="1" x14ac:dyDescent="0.2"/>
    <row r="959" ht="45.75" customHeight="1" x14ac:dyDescent="0.2"/>
    <row r="960" ht="15" customHeight="1" x14ac:dyDescent="0.2"/>
    <row r="961" ht="17.25" customHeight="1" x14ac:dyDescent="0.2"/>
    <row r="962" ht="17.25" customHeight="1" x14ac:dyDescent="0.2"/>
    <row r="963" ht="15.75" customHeight="1" x14ac:dyDescent="0.2"/>
    <row r="964" ht="12.75" x14ac:dyDescent="0.2"/>
    <row r="965" ht="15.75" customHeight="1" x14ac:dyDescent="0.2"/>
    <row r="966" ht="13.5" customHeight="1" x14ac:dyDescent="0.2"/>
    <row r="967" ht="23.25" customHeight="1" x14ac:dyDescent="0.2"/>
    <row r="968" ht="13.5" customHeight="1" x14ac:dyDescent="0.2"/>
    <row r="969" ht="14.25" customHeight="1" x14ac:dyDescent="0.2"/>
    <row r="970" ht="7.5" customHeight="1" x14ac:dyDescent="0.2"/>
    <row r="971" ht="20.25" customHeight="1" x14ac:dyDescent="0.2"/>
    <row r="972" ht="14.25" customHeight="1" x14ac:dyDescent="0.2"/>
    <row r="973" ht="21" customHeight="1" x14ac:dyDescent="0.2"/>
    <row r="974" ht="49.5" customHeight="1" x14ac:dyDescent="0.2"/>
    <row r="975" ht="18" customHeight="1" x14ac:dyDescent="0.2"/>
    <row r="976" ht="16.5" customHeight="1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5.75" customHeight="1" x14ac:dyDescent="0.2"/>
    <row r="983" ht="18" hidden="1" customHeight="1" x14ac:dyDescent="0.2"/>
    <row r="984" ht="18" customHeight="1" x14ac:dyDescent="0.2"/>
    <row r="985" ht="20.25" customHeight="1" x14ac:dyDescent="0.2"/>
    <row r="986" ht="20.25" customHeight="1" x14ac:dyDescent="0.2"/>
    <row r="987" ht="12.75" x14ac:dyDescent="0.2"/>
    <row r="988" ht="15" customHeight="1" x14ac:dyDescent="0.2"/>
    <row r="989" ht="12.75" x14ac:dyDescent="0.2"/>
    <row r="990" ht="12.75" x14ac:dyDescent="0.2"/>
    <row r="991" ht="12.75" x14ac:dyDescent="0.2"/>
    <row r="992" ht="28.5" customHeight="1" x14ac:dyDescent="0.2"/>
    <row r="993" ht="12.75" x14ac:dyDescent="0.2"/>
    <row r="994" ht="32.25" customHeight="1" x14ac:dyDescent="0.2"/>
    <row r="995" ht="12.75" x14ac:dyDescent="0.2"/>
    <row r="996" ht="32.25" customHeight="1" x14ac:dyDescent="0.2"/>
    <row r="997" ht="31.5" customHeight="1" x14ac:dyDescent="0.2"/>
    <row r="998" ht="39.75" customHeight="1" x14ac:dyDescent="0.2"/>
    <row r="999" ht="19.5" customHeight="1" x14ac:dyDescent="0.2"/>
    <row r="1000" ht="4.5" customHeight="1" x14ac:dyDescent="0.2"/>
    <row r="1001" ht="9.75" customHeight="1" x14ac:dyDescent="0.2"/>
    <row r="1002" ht="47.25" customHeight="1" x14ac:dyDescent="0.2"/>
    <row r="1003" ht="12" customHeight="1" x14ac:dyDescent="0.2"/>
    <row r="1004" ht="21" customHeight="1" x14ac:dyDescent="0.2"/>
    <row r="1005" ht="12" customHeight="1" x14ac:dyDescent="0.2"/>
    <row r="1006" ht="9.75" customHeight="1" x14ac:dyDescent="0.2"/>
    <row r="1007" ht="17.25" customHeight="1" x14ac:dyDescent="0.2"/>
    <row r="1008" ht="15" customHeight="1" x14ac:dyDescent="0.2"/>
    <row r="1009" spans="1:12" ht="16.5" customHeight="1" x14ac:dyDescent="0.2"/>
    <row r="1010" spans="1:12" ht="24.75" customHeight="1" x14ac:dyDescent="0.2"/>
    <row r="1011" spans="1:12" ht="15" customHeight="1" x14ac:dyDescent="0.2"/>
    <row r="1012" spans="1:12" ht="10.5" customHeight="1" x14ac:dyDescent="0.2"/>
    <row r="1013" spans="1:12" ht="17.25" customHeight="1" x14ac:dyDescent="0.2"/>
    <row r="1014" spans="1:12" ht="12" customHeight="1" x14ac:dyDescent="0.2"/>
    <row r="1015" spans="1:12" ht="23.25" customHeight="1" x14ac:dyDescent="0.2"/>
    <row r="1016" spans="1:12" s="99" customFormat="1" ht="21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</row>
    <row r="1017" spans="1:12" ht="30.75" customHeight="1" x14ac:dyDescent="0.2"/>
    <row r="1018" spans="1:12" ht="12.75" x14ac:dyDescent="0.2"/>
    <row r="1019" spans="1:12" ht="5.25" customHeight="1" x14ac:dyDescent="0.2"/>
    <row r="1020" spans="1:12" ht="12.75" x14ac:dyDescent="0.2"/>
    <row r="1021" spans="1:12" ht="45.75" customHeight="1" x14ac:dyDescent="0.2"/>
    <row r="1022" spans="1:12" ht="12.75" x14ac:dyDescent="0.2"/>
    <row r="1023" spans="1:12" ht="15" customHeight="1" x14ac:dyDescent="0.2"/>
    <row r="1024" spans="1:12" ht="10.5" customHeight="1" x14ac:dyDescent="0.2"/>
    <row r="1025" ht="10.5" customHeight="1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7.25" customHeight="1" x14ac:dyDescent="0.2"/>
    <row r="1033" ht="17.25" customHeight="1" x14ac:dyDescent="0.2"/>
    <row r="1034" ht="18.75" customHeight="1" x14ac:dyDescent="0.2"/>
    <row r="1035" ht="12.75" x14ac:dyDescent="0.2"/>
    <row r="1036" ht="12.75" x14ac:dyDescent="0.2"/>
    <row r="1037" ht="28.5" customHeight="1" x14ac:dyDescent="0.2"/>
    <row r="1038" ht="12.75" x14ac:dyDescent="0.2"/>
    <row r="1039" ht="39.75" customHeight="1" x14ac:dyDescent="0.2"/>
    <row r="1040" ht="12.75" x14ac:dyDescent="0.2"/>
    <row r="1041" ht="21" customHeight="1" x14ac:dyDescent="0.2"/>
    <row r="1042" ht="36" customHeight="1" x14ac:dyDescent="0.2"/>
    <row r="1043" ht="12.75" x14ac:dyDescent="0.2"/>
    <row r="1044" ht="13.5" customHeight="1" x14ac:dyDescent="0.2"/>
    <row r="1045" ht="15.75" customHeight="1" x14ac:dyDescent="0.2"/>
    <row r="1046" ht="46.5" customHeight="1" x14ac:dyDescent="0.2"/>
    <row r="1047" ht="5.25" customHeight="1" x14ac:dyDescent="0.2"/>
    <row r="1048" ht="25.5" customHeight="1" x14ac:dyDescent="0.2"/>
    <row r="1049" ht="9.75" customHeight="1" x14ac:dyDescent="0.2"/>
    <row r="1050" ht="27" customHeight="1" x14ac:dyDescent="0.2"/>
    <row r="1051" ht="18" customHeight="1" x14ac:dyDescent="0.2"/>
    <row r="1052" ht="12.75" x14ac:dyDescent="0.2"/>
    <row r="1053" ht="15.75" customHeight="1" x14ac:dyDescent="0.2"/>
    <row r="1054" ht="20.25" customHeight="1" x14ac:dyDescent="0.2"/>
    <row r="1055" ht="17.25" customHeight="1" x14ac:dyDescent="0.2"/>
    <row r="1056" ht="10.5" customHeight="1" x14ac:dyDescent="0.2"/>
    <row r="1057" ht="15" customHeight="1" x14ac:dyDescent="0.2"/>
    <row r="1058" ht="22.5" customHeight="1" x14ac:dyDescent="0.2"/>
    <row r="1059" ht="12.75" x14ac:dyDescent="0.2"/>
    <row r="1060" ht="18.75" customHeight="1" x14ac:dyDescent="0.2"/>
    <row r="1061" ht="23.25" customHeight="1" x14ac:dyDescent="0.2"/>
    <row r="1062" ht="35.25" customHeight="1" x14ac:dyDescent="0.2"/>
    <row r="1063" ht="21" customHeight="1" x14ac:dyDescent="0.2"/>
    <row r="1064" ht="17.25" customHeight="1" x14ac:dyDescent="0.2"/>
    <row r="1065" ht="16.5" customHeight="1" x14ac:dyDescent="0.2"/>
    <row r="1066" ht="29.25" customHeight="1" x14ac:dyDescent="0.2"/>
    <row r="1067" ht="12.75" x14ac:dyDescent="0.2"/>
    <row r="1068" ht="15" customHeight="1" x14ac:dyDescent="0.2"/>
    <row r="1069" ht="7.5" customHeight="1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30" customHeight="1" x14ac:dyDescent="0.2"/>
    <row r="1080" ht="32.25" customHeight="1" x14ac:dyDescent="0.2"/>
    <row r="1081" ht="15.75" customHeight="1" x14ac:dyDescent="0.2"/>
    <row r="1082" ht="32.25" customHeight="1" x14ac:dyDescent="0.2"/>
    <row r="1083" ht="12.75" x14ac:dyDescent="0.2"/>
    <row r="1084" ht="20.25" customHeight="1" x14ac:dyDescent="0.2"/>
    <row r="1085" ht="30" customHeight="1" x14ac:dyDescent="0.2"/>
    <row r="1086" ht="21.75" customHeight="1" x14ac:dyDescent="0.2"/>
    <row r="1087" ht="12.75" x14ac:dyDescent="0.2"/>
    <row r="1088" ht="12.75" x14ac:dyDescent="0.2"/>
    <row r="1089" spans="1:12" ht="47.25" customHeight="1" x14ac:dyDescent="0.2"/>
    <row r="1090" spans="1:12" ht="12.75" x14ac:dyDescent="0.2"/>
    <row r="1091" spans="1:12" ht="12.75" x14ac:dyDescent="0.2"/>
    <row r="1092" spans="1:12" ht="16.5" customHeight="1" x14ac:dyDescent="0.2"/>
    <row r="1093" spans="1:12" ht="12.75" x14ac:dyDescent="0.2"/>
    <row r="1094" spans="1:12" ht="15" customHeight="1" x14ac:dyDescent="0.2"/>
    <row r="1095" spans="1:12" ht="17.25" customHeight="1" x14ac:dyDescent="0.2"/>
    <row r="1096" spans="1:12" ht="17.25" customHeight="1" x14ac:dyDescent="0.2"/>
    <row r="1097" spans="1:12" ht="15.75" customHeight="1" x14ac:dyDescent="0.2"/>
    <row r="1098" spans="1:12" ht="16.5" customHeight="1" x14ac:dyDescent="0.2"/>
    <row r="1099" spans="1:12" ht="15.75" customHeight="1" x14ac:dyDescent="0.2"/>
    <row r="1100" spans="1:12" ht="9.75" customHeight="1" x14ac:dyDescent="0.2"/>
    <row r="1101" spans="1:12" ht="12.75" x14ac:dyDescent="0.2"/>
    <row r="1102" spans="1:12" ht="37.5" customHeight="1" x14ac:dyDescent="0.2"/>
    <row r="1103" spans="1:12" ht="27" customHeight="1" x14ac:dyDescent="0.2"/>
    <row r="1104" spans="1:12" s="120" customFormat="1" ht="33.75" customHeight="1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 ht="13.5" customHeight="1" x14ac:dyDescent="0.2"/>
    <row r="1106" ht="12.75" x14ac:dyDescent="0.2"/>
    <row r="1107" ht="12.75" x14ac:dyDescent="0.2"/>
    <row r="1108" ht="18" customHeight="1" x14ac:dyDescent="0.2"/>
    <row r="1109" ht="6.75" customHeight="1" x14ac:dyDescent="0.2"/>
    <row r="1110" ht="23.25" customHeight="1" x14ac:dyDescent="0.2"/>
    <row r="1111" ht="42" customHeight="1" x14ac:dyDescent="0.2"/>
    <row r="1112" ht="23.25" hidden="1" customHeight="1" x14ac:dyDescent="0.2"/>
    <row r="1113" ht="17.25" customHeight="1" x14ac:dyDescent="0.2"/>
    <row r="1114" ht="12.75" customHeight="1" x14ac:dyDescent="0.2"/>
    <row r="1115" ht="20.25" customHeight="1" x14ac:dyDescent="0.2"/>
    <row r="1116" ht="12" customHeight="1" x14ac:dyDescent="0.2"/>
    <row r="1117" ht="12.75" x14ac:dyDescent="0.2"/>
    <row r="1118" ht="12.75" x14ac:dyDescent="0.2"/>
    <row r="1119" ht="12.75" x14ac:dyDescent="0.2"/>
    <row r="1120" ht="27" customHeight="1" x14ac:dyDescent="0.2"/>
    <row r="1121" ht="18" customHeight="1" x14ac:dyDescent="0.2"/>
    <row r="1122" ht="35.25" customHeight="1" x14ac:dyDescent="0.2"/>
    <row r="1123" ht="12.75" x14ac:dyDescent="0.2"/>
    <row r="1124" ht="12.75" x14ac:dyDescent="0.2"/>
    <row r="1125" ht="54.75" customHeight="1" x14ac:dyDescent="0.2"/>
    <row r="1126" ht="12.75" x14ac:dyDescent="0.2"/>
    <row r="1127" ht="12.75" x14ac:dyDescent="0.2"/>
    <row r="1128" ht="12.75" x14ac:dyDescent="0.2"/>
    <row r="1129" ht="48" customHeight="1" x14ac:dyDescent="0.2"/>
    <row r="1130" ht="19.5" customHeight="1" x14ac:dyDescent="0.2"/>
    <row r="1131" ht="12.75" x14ac:dyDescent="0.2"/>
    <row r="1132" ht="21" customHeight="1" x14ac:dyDescent="0.2"/>
    <row r="1133" ht="12.75" x14ac:dyDescent="0.2"/>
    <row r="1134" ht="20.25" customHeight="1" x14ac:dyDescent="0.2"/>
    <row r="1135" ht="14.25" customHeight="1" x14ac:dyDescent="0.2"/>
    <row r="1136" ht="15.75" customHeight="1" x14ac:dyDescent="0.2"/>
    <row r="1137" ht="12.75" x14ac:dyDescent="0.2"/>
    <row r="1138" ht="12.75" hidden="1" x14ac:dyDescent="0.2"/>
    <row r="1139" ht="12.75" x14ac:dyDescent="0.2"/>
    <row r="1140" ht="12.75" x14ac:dyDescent="0.2"/>
    <row r="1141" ht="12.75" x14ac:dyDescent="0.2"/>
    <row r="1142" ht="21" customHeight="1" x14ac:dyDescent="0.2"/>
    <row r="1143" ht="12.75" x14ac:dyDescent="0.2"/>
    <row r="1144" ht="15" customHeight="1" x14ac:dyDescent="0.2"/>
    <row r="1145" ht="6.75" customHeight="1" x14ac:dyDescent="0.2"/>
    <row r="1146" ht="30" customHeight="1" x14ac:dyDescent="0.2"/>
    <row r="1147" ht="19.5" customHeight="1" x14ac:dyDescent="0.2"/>
    <row r="1148" ht="33.75" customHeight="1" x14ac:dyDescent="0.2"/>
    <row r="1149" ht="27" customHeight="1" x14ac:dyDescent="0.2"/>
    <row r="1150" ht="28.5" customHeight="1" x14ac:dyDescent="0.2"/>
    <row r="1151" ht="12.75" x14ac:dyDescent="0.2"/>
    <row r="1152" ht="36" customHeight="1" x14ac:dyDescent="0.2"/>
    <row r="1153" ht="31.5" customHeight="1" x14ac:dyDescent="0.2"/>
    <row r="1154" ht="15.75" customHeight="1" x14ac:dyDescent="0.2"/>
    <row r="1155" ht="11.25" customHeight="1" x14ac:dyDescent="0.2"/>
    <row r="1156" ht="10.5" customHeight="1" x14ac:dyDescent="0.2"/>
    <row r="1157" ht="50.25" customHeight="1" x14ac:dyDescent="0.2"/>
    <row r="1158" ht="16.5" customHeight="1" x14ac:dyDescent="0.2"/>
    <row r="1159" ht="24" customHeight="1" x14ac:dyDescent="0.2"/>
    <row r="1160" ht="15" customHeight="1" x14ac:dyDescent="0.2"/>
    <row r="1161" ht="15" customHeight="1" x14ac:dyDescent="0.2"/>
    <row r="1162" ht="12.75" x14ac:dyDescent="0.2"/>
    <row r="1163" ht="18" customHeight="1" x14ac:dyDescent="0.2"/>
    <row r="1164" ht="12.75" x14ac:dyDescent="0.2"/>
    <row r="1165" ht="12.75" customHeight="1" x14ac:dyDescent="0.2"/>
    <row r="1166" ht="12.75" x14ac:dyDescent="0.2"/>
    <row r="1167" ht="10.5" customHeight="1" x14ac:dyDescent="0.2"/>
    <row r="1168" ht="10.5" customHeight="1" x14ac:dyDescent="0.2"/>
    <row r="1169" ht="12.75" x14ac:dyDescent="0.2"/>
    <row r="1170" ht="15" customHeight="1" x14ac:dyDescent="0.2"/>
    <row r="1171" ht="12.75" x14ac:dyDescent="0.2"/>
    <row r="1172" ht="15" customHeight="1" x14ac:dyDescent="0.2"/>
    <row r="1173" ht="12.75" x14ac:dyDescent="0.2"/>
    <row r="1174" ht="18" customHeight="1" x14ac:dyDescent="0.2"/>
    <row r="1175" ht="12.75" x14ac:dyDescent="0.2"/>
    <row r="1176" ht="15.75" customHeight="1" x14ac:dyDescent="0.2"/>
    <row r="1177" ht="12.75" x14ac:dyDescent="0.2"/>
    <row r="1178" ht="12.75" x14ac:dyDescent="0.2"/>
    <row r="1179" ht="18.75" customHeight="1" x14ac:dyDescent="0.2"/>
    <row r="1180" ht="12.75" x14ac:dyDescent="0.2"/>
    <row r="1181" ht="18.75" customHeight="1" x14ac:dyDescent="0.2"/>
    <row r="1182" ht="12.75" x14ac:dyDescent="0.2"/>
    <row r="1183" ht="21.75" customHeight="1" x14ac:dyDescent="0.2"/>
    <row r="1184" ht="12.75" x14ac:dyDescent="0.2"/>
    <row r="1185" ht="29.25" customHeight="1" x14ac:dyDescent="0.2"/>
    <row r="1186" ht="18.75" customHeight="1" x14ac:dyDescent="0.2"/>
    <row r="1187" ht="34.5" customHeight="1" x14ac:dyDescent="0.2"/>
    <row r="1188" ht="15" customHeight="1" x14ac:dyDescent="0.2"/>
    <row r="1189" ht="21.75" customHeight="1" x14ac:dyDescent="0.2"/>
    <row r="1190" ht="36.75" customHeight="1" x14ac:dyDescent="0.2"/>
    <row r="1191" ht="12.75" customHeight="1" x14ac:dyDescent="0.2"/>
    <row r="1192" ht="18.75" customHeight="1" x14ac:dyDescent="0.2"/>
    <row r="1193" ht="12.75" x14ac:dyDescent="0.2"/>
    <row r="1194" ht="45" customHeight="1" x14ac:dyDescent="0.2"/>
    <row r="1195" ht="9.75" customHeight="1" x14ac:dyDescent="0.2"/>
    <row r="1196" ht="22.5" customHeight="1" x14ac:dyDescent="0.2"/>
    <row r="1197" ht="19.5" customHeight="1" x14ac:dyDescent="0.2"/>
    <row r="1198" ht="3.75" customHeight="1" x14ac:dyDescent="0.2"/>
    <row r="1199" ht="19.5" customHeight="1" x14ac:dyDescent="0.2"/>
    <row r="1200" ht="15" customHeight="1" x14ac:dyDescent="0.2"/>
    <row r="1201" ht="13.5" customHeight="1" x14ac:dyDescent="0.2"/>
    <row r="1202" ht="19.5" customHeight="1" x14ac:dyDescent="0.2"/>
    <row r="1203" ht="7.5" customHeight="1" x14ac:dyDescent="0.2"/>
    <row r="1204" ht="12.75" x14ac:dyDescent="0.2"/>
    <row r="1205" ht="15" customHeight="1" x14ac:dyDescent="0.2"/>
    <row r="1206" ht="21" customHeight="1" x14ac:dyDescent="0.2"/>
    <row r="1207" ht="20.25" customHeight="1" x14ac:dyDescent="0.2"/>
    <row r="1208" ht="19.5" hidden="1" customHeight="1" x14ac:dyDescent="0.2"/>
    <row r="1209" ht="16.5" customHeight="1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24" customHeight="1" x14ac:dyDescent="0.2"/>
    <row r="1219" ht="12.75" x14ac:dyDescent="0.2"/>
    <row r="1220" ht="21" customHeight="1" x14ac:dyDescent="0.2"/>
    <row r="1221" ht="21" customHeight="1" x14ac:dyDescent="0.2"/>
    <row r="1222" ht="12.75" x14ac:dyDescent="0.2"/>
    <row r="1223" ht="12.75" x14ac:dyDescent="0.2"/>
    <row r="1224" ht="12.75" x14ac:dyDescent="0.2"/>
    <row r="1225" ht="17.25" customHeight="1" x14ac:dyDescent="0.2"/>
    <row r="1226" ht="12.75" x14ac:dyDescent="0.2"/>
    <row r="1227" ht="16.5" customHeight="1" x14ac:dyDescent="0.2"/>
    <row r="1228" ht="25.5" customHeight="1" x14ac:dyDescent="0.2"/>
    <row r="1229" ht="12.75" x14ac:dyDescent="0.2"/>
    <row r="1230" ht="36.75" customHeight="1" x14ac:dyDescent="0.2"/>
    <row r="1231" ht="12.75" x14ac:dyDescent="0.2"/>
    <row r="1232" ht="41.25" customHeight="1" x14ac:dyDescent="0.2"/>
    <row r="1233" spans="1:12" ht="21" customHeight="1" x14ac:dyDescent="0.2"/>
    <row r="1234" spans="1:12" ht="22.5" customHeight="1" x14ac:dyDescent="0.2"/>
    <row r="1235" spans="1:12" ht="10.5" customHeight="1" x14ac:dyDescent="0.2"/>
    <row r="1236" spans="1:12" ht="16.5" customHeight="1" x14ac:dyDescent="0.2"/>
    <row r="1237" spans="1:12" ht="46.5" customHeight="1" x14ac:dyDescent="0.2"/>
    <row r="1238" spans="1:12" ht="13.5" customHeight="1" x14ac:dyDescent="0.2"/>
    <row r="1239" spans="1:12" ht="24.75" customHeight="1" x14ac:dyDescent="0.2"/>
    <row r="1240" spans="1:12" ht="21" customHeight="1" x14ac:dyDescent="0.2"/>
    <row r="1241" spans="1:12" ht="27" customHeight="1" x14ac:dyDescent="0.2"/>
    <row r="1242" spans="1:12" ht="12.75" x14ac:dyDescent="0.2"/>
    <row r="1243" spans="1:12" s="99" customFormat="1" ht="19.5" customHeight="1" x14ac:dyDescent="0.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</row>
    <row r="1244" spans="1:12" s="99" customFormat="1" ht="12.75" x14ac:dyDescent="0.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</row>
    <row r="1245" spans="1:12" ht="19.5" customHeight="1" x14ac:dyDescent="0.2"/>
    <row r="1246" spans="1:12" ht="12.75" customHeight="1" x14ac:dyDescent="0.2"/>
    <row r="1247" spans="1:12" ht="17.25" customHeight="1" x14ac:dyDescent="0.2"/>
    <row r="1248" spans="1:12" ht="15" customHeight="1" x14ac:dyDescent="0.2"/>
    <row r="1249" ht="21" customHeight="1" x14ac:dyDescent="0.2"/>
    <row r="1250" ht="19.5" customHeight="1" x14ac:dyDescent="0.2"/>
    <row r="1251" ht="21" customHeight="1" x14ac:dyDescent="0.2"/>
    <row r="1252" ht="14.25" customHeight="1" x14ac:dyDescent="0.2"/>
    <row r="1253" ht="12.75" x14ac:dyDescent="0.2"/>
    <row r="1254" ht="16.5" customHeight="1" x14ac:dyDescent="0.2"/>
    <row r="1255" ht="12.75" x14ac:dyDescent="0.2"/>
    <row r="1256" ht="12.75" customHeight="1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6.5" customHeight="1" x14ac:dyDescent="0.2"/>
    <row r="1264" ht="12.75" x14ac:dyDescent="0.2"/>
    <row r="1265" ht="20.25" customHeight="1" x14ac:dyDescent="0.2"/>
    <row r="1266" ht="12.75" x14ac:dyDescent="0.2"/>
    <row r="1267" ht="24.75" customHeight="1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8" customHeight="1" x14ac:dyDescent="0.2"/>
    <row r="1276" ht="17.25" customHeight="1" x14ac:dyDescent="0.2"/>
    <row r="1277" ht="18" customHeight="1" x14ac:dyDescent="0.2"/>
    <row r="1278" ht="13.5" customHeight="1" x14ac:dyDescent="0.2"/>
    <row r="1279" ht="18" customHeight="1" x14ac:dyDescent="0.2"/>
    <row r="1280" ht="17.25" customHeight="1" x14ac:dyDescent="0.2"/>
    <row r="1281" ht="41.25" customHeight="1" x14ac:dyDescent="0.2"/>
    <row r="1282" ht="15.75" customHeight="1" x14ac:dyDescent="0.2"/>
    <row r="1283" ht="35.25" customHeight="1" x14ac:dyDescent="0.2"/>
    <row r="1284" ht="18.75" customHeight="1" x14ac:dyDescent="0.2"/>
    <row r="1285" ht="35.25" customHeight="1" x14ac:dyDescent="0.2"/>
    <row r="1286" ht="24.75" customHeight="1" x14ac:dyDescent="0.2"/>
    <row r="1287" ht="28.5" customHeight="1" x14ac:dyDescent="0.2"/>
    <row r="1288" ht="21.75" customHeight="1" x14ac:dyDescent="0.2"/>
    <row r="1289" ht="18.75" customHeight="1" x14ac:dyDescent="0.2"/>
    <row r="1290" ht="17.25" customHeight="1" x14ac:dyDescent="0.2"/>
    <row r="1291" ht="21" customHeight="1" x14ac:dyDescent="0.2"/>
    <row r="1292" ht="45" customHeight="1" x14ac:dyDescent="0.2"/>
    <row r="1293" ht="17.25" customHeight="1" x14ac:dyDescent="0.2"/>
    <row r="1294" ht="23.25" customHeight="1" x14ac:dyDescent="0.2"/>
    <row r="1295" ht="18" customHeight="1" x14ac:dyDescent="0.2"/>
    <row r="1296" ht="11.25" customHeight="1" x14ac:dyDescent="0.2"/>
    <row r="1297" ht="18" customHeight="1" x14ac:dyDescent="0.2"/>
    <row r="1298" ht="12.75" customHeight="1" x14ac:dyDescent="0.2"/>
    <row r="1299" ht="13.5" customHeight="1" x14ac:dyDescent="0.2"/>
    <row r="1300" ht="19.5" customHeight="1" x14ac:dyDescent="0.2"/>
    <row r="1301" ht="22.5" customHeight="1" x14ac:dyDescent="0.2"/>
    <row r="1302" ht="12.75" x14ac:dyDescent="0.2"/>
    <row r="1303" ht="16.5" customHeight="1" x14ac:dyDescent="0.2"/>
    <row r="1304" ht="16.5" customHeight="1" x14ac:dyDescent="0.2"/>
    <row r="1305" ht="12.75" x14ac:dyDescent="0.2"/>
    <row r="1306" ht="27.75" customHeight="1" x14ac:dyDescent="0.2"/>
    <row r="1307" ht="12.75" x14ac:dyDescent="0.2"/>
    <row r="1308" ht="18.75" customHeight="1" x14ac:dyDescent="0.2"/>
    <row r="1309" ht="12.75" x14ac:dyDescent="0.2"/>
    <row r="1310" ht="18" customHeight="1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45.75" hidden="1" customHeight="1" x14ac:dyDescent="0.2"/>
    <row r="1319" ht="32.25" customHeight="1" x14ac:dyDescent="0.2"/>
    <row r="1320" ht="15" customHeight="1" x14ac:dyDescent="0.2"/>
    <row r="1321" ht="12.75" x14ac:dyDescent="0.2"/>
    <row r="1322" ht="12.75" x14ac:dyDescent="0.2"/>
    <row r="1323" ht="12.75" x14ac:dyDescent="0.2"/>
    <row r="1324" ht="41.25" customHeight="1" x14ac:dyDescent="0.2"/>
    <row r="1325" ht="15" customHeight="1" x14ac:dyDescent="0.2"/>
    <row r="1326" ht="39" customHeight="1" x14ac:dyDescent="0.2"/>
    <row r="1327" ht="19.5" customHeight="1" x14ac:dyDescent="0.2"/>
    <row r="1328" ht="23.25" customHeight="1" x14ac:dyDescent="0.2"/>
    <row r="1329" ht="30.75" customHeight="1" x14ac:dyDescent="0.2"/>
    <row r="1330" ht="27.75" customHeight="1" x14ac:dyDescent="0.2"/>
    <row r="1331" ht="12.75" x14ac:dyDescent="0.2"/>
    <row r="1332" ht="15.75" customHeight="1" x14ac:dyDescent="0.2"/>
    <row r="1333" ht="6" customHeight="1" x14ac:dyDescent="0.2"/>
    <row r="1334" ht="12.75" x14ac:dyDescent="0.2"/>
    <row r="1335" ht="48.75" customHeight="1" x14ac:dyDescent="0.2"/>
    <row r="1336" ht="20.25" customHeight="1" x14ac:dyDescent="0.2"/>
    <row r="1337" ht="21.75" customHeight="1" x14ac:dyDescent="0.2"/>
    <row r="1338" ht="18" customHeight="1" x14ac:dyDescent="0.2"/>
    <row r="1339" ht="12.75" x14ac:dyDescent="0.2"/>
    <row r="1340" ht="20.25" customHeight="1" x14ac:dyDescent="0.2"/>
    <row r="1341" ht="18" customHeight="1" x14ac:dyDescent="0.2"/>
    <row r="1342" ht="15" customHeight="1" x14ac:dyDescent="0.2"/>
    <row r="1343" ht="17.25" customHeight="1" x14ac:dyDescent="0.2"/>
    <row r="1344" ht="16.5" hidden="1" customHeight="1" x14ac:dyDescent="0.2"/>
    <row r="1345" ht="21" hidden="1" customHeight="1" x14ac:dyDescent="0.2"/>
    <row r="1346" ht="42" customHeight="1" x14ac:dyDescent="0.2"/>
    <row r="1347" ht="17.25" customHeight="1" x14ac:dyDescent="0.2"/>
    <row r="1348" ht="39.75" customHeight="1" x14ac:dyDescent="0.2"/>
    <row r="1349" ht="25.5" customHeight="1" x14ac:dyDescent="0.2"/>
    <row r="1350" ht="11.25" customHeight="1" x14ac:dyDescent="0.2"/>
    <row r="1351" ht="18.75" customHeight="1" x14ac:dyDescent="0.2"/>
    <row r="1352" ht="21.75" customHeight="1" x14ac:dyDescent="0.2"/>
    <row r="1353" ht="19.5" customHeight="1" x14ac:dyDescent="0.2"/>
    <row r="1354" ht="18" customHeight="1" x14ac:dyDescent="0.2"/>
    <row r="1355" ht="18" customHeight="1" x14ac:dyDescent="0.2"/>
    <row r="1356" ht="12.75" x14ac:dyDescent="0.2"/>
    <row r="1357" ht="24" customHeight="1" x14ac:dyDescent="0.2"/>
    <row r="1358" ht="12.75" x14ac:dyDescent="0.2"/>
    <row r="1359" ht="12.75" customHeight="1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21.75" customHeight="1" x14ac:dyDescent="0.2"/>
    <row r="1368" ht="29.25" customHeight="1" x14ac:dyDescent="0.2"/>
    <row r="1369" ht="15" customHeight="1" x14ac:dyDescent="0.2"/>
    <row r="1370" ht="33.75" customHeight="1" x14ac:dyDescent="0.2"/>
    <row r="1371" ht="43.5" customHeight="1" x14ac:dyDescent="0.2"/>
    <row r="1372" ht="12.75" x14ac:dyDescent="0.2"/>
    <row r="1373" ht="41.25" customHeight="1" x14ac:dyDescent="0.2"/>
    <row r="1374" ht="12.75" x14ac:dyDescent="0.2"/>
    <row r="1375" ht="22.5" customHeight="1" x14ac:dyDescent="0.2"/>
    <row r="1376" ht="18.75" customHeight="1" x14ac:dyDescent="0.2"/>
    <row r="1377" ht="16.5" customHeight="1" x14ac:dyDescent="0.2"/>
    <row r="1378" ht="12.75" x14ac:dyDescent="0.2"/>
    <row r="1379" ht="47.25" customHeight="1" x14ac:dyDescent="0.2"/>
    <row r="1380" ht="12" customHeight="1" x14ac:dyDescent="0.2"/>
    <row r="1381" ht="22.5" customHeight="1" x14ac:dyDescent="0.2"/>
    <row r="1382" ht="12.75" x14ac:dyDescent="0.2"/>
    <row r="1383" ht="24.75" customHeight="1" x14ac:dyDescent="0.2"/>
    <row r="1384" ht="12.75" x14ac:dyDescent="0.2"/>
    <row r="1385" ht="12.75" x14ac:dyDescent="0.2"/>
    <row r="1386" ht="12.75" x14ac:dyDescent="0.2"/>
    <row r="1387" ht="12.75" x14ac:dyDescent="0.2"/>
    <row r="1388" ht="17.25" customHeight="1" x14ac:dyDescent="0.2"/>
    <row r="1389" ht="29.25" hidden="1" customHeight="1" x14ac:dyDescent="0.2"/>
    <row r="1390" ht="14.25" customHeight="1" x14ac:dyDescent="0.2"/>
    <row r="1391" ht="36.75" customHeight="1" x14ac:dyDescent="0.2"/>
    <row r="1392" ht="14.25" customHeight="1" x14ac:dyDescent="0.2"/>
    <row r="1393" ht="39" customHeight="1" x14ac:dyDescent="0.2"/>
    <row r="1394" ht="25.5" customHeight="1" x14ac:dyDescent="0.2"/>
    <row r="1395" ht="18.75" customHeight="1" x14ac:dyDescent="0.2"/>
    <row r="1396" ht="12.75" x14ac:dyDescent="0.2"/>
    <row r="1397" ht="19.5" customHeight="1" x14ac:dyDescent="0.2"/>
    <row r="1398" ht="13.5" customHeight="1" x14ac:dyDescent="0.2"/>
    <row r="1399" ht="21" customHeight="1" x14ac:dyDescent="0.2"/>
    <row r="1400" ht="48" customHeight="1" x14ac:dyDescent="0.2"/>
    <row r="1401" ht="12.75" x14ac:dyDescent="0.2"/>
    <row r="1402" ht="21.75" customHeight="1" x14ac:dyDescent="0.2"/>
    <row r="1403" ht="12.75" x14ac:dyDescent="0.2"/>
    <row r="1404" ht="12.75" customHeight="1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21" customHeight="1" x14ac:dyDescent="0.2"/>
    <row r="1412" ht="30" customHeight="1" x14ac:dyDescent="0.2"/>
    <row r="1413" ht="29.25" customHeight="1" x14ac:dyDescent="0.2"/>
    <row r="1414" ht="21" customHeight="1" x14ac:dyDescent="0.2"/>
    <row r="1415" ht="33" customHeight="1" x14ac:dyDescent="0.2"/>
    <row r="1416" ht="21.75" customHeight="1" x14ac:dyDescent="0.2"/>
    <row r="1417" ht="29.25" customHeight="1" x14ac:dyDescent="0.2"/>
    <row r="1418" ht="24" customHeight="1" x14ac:dyDescent="0.2"/>
    <row r="1419" ht="12.75" x14ac:dyDescent="0.2"/>
    <row r="1420" ht="33.75" customHeight="1" x14ac:dyDescent="0.2"/>
    <row r="1421" ht="18" customHeight="1" x14ac:dyDescent="0.2"/>
    <row r="1422" ht="5.25" customHeight="1" x14ac:dyDescent="0.2"/>
    <row r="1423" ht="23.25" customHeight="1" x14ac:dyDescent="0.2"/>
    <row r="1424" ht="45" customHeight="1" x14ac:dyDescent="0.2"/>
    <row r="1425" ht="12.75" x14ac:dyDescent="0.2"/>
    <row r="1426" ht="18" customHeight="1" x14ac:dyDescent="0.2"/>
    <row r="1427" ht="21" customHeight="1" x14ac:dyDescent="0.2"/>
    <row r="1428" ht="14.25" customHeight="1" x14ac:dyDescent="0.2"/>
    <row r="1429" ht="16.5" customHeight="1" x14ac:dyDescent="0.2"/>
    <row r="1430" ht="12.75" x14ac:dyDescent="0.2"/>
    <row r="1431" ht="12.75" x14ac:dyDescent="0.2"/>
    <row r="1432" ht="12.75" x14ac:dyDescent="0.2"/>
    <row r="1433" ht="12.75" customHeight="1" x14ac:dyDescent="0.2"/>
    <row r="1434" ht="12.75" x14ac:dyDescent="0.2"/>
    <row r="1435" ht="12.75" x14ac:dyDescent="0.2"/>
    <row r="1436" ht="12.75" x14ac:dyDescent="0.2"/>
    <row r="1437" ht="25.5" customHeight="1" x14ac:dyDescent="0.2"/>
    <row r="1438" ht="18" customHeight="1" x14ac:dyDescent="0.2"/>
    <row r="1439" ht="15" customHeight="1" x14ac:dyDescent="0.2"/>
    <row r="1440" ht="13.5" customHeight="1" x14ac:dyDescent="0.2"/>
    <row r="1441" ht="12.75" customHeight="1" x14ac:dyDescent="0.2"/>
    <row r="1442" ht="12.75" x14ac:dyDescent="0.2"/>
    <row r="1443" ht="12.75" x14ac:dyDescent="0.2"/>
    <row r="1444" ht="18" customHeight="1" x14ac:dyDescent="0.2"/>
    <row r="1445" ht="12.75" x14ac:dyDescent="0.2"/>
    <row r="1446" ht="23.25" customHeight="1" x14ac:dyDescent="0.2"/>
    <row r="1447" ht="21.75" customHeight="1" x14ac:dyDescent="0.2"/>
    <row r="1448" ht="11.25" customHeight="1" x14ac:dyDescent="0.2"/>
    <row r="1449" ht="12.75" x14ac:dyDescent="0.2"/>
    <row r="1450" ht="19.5" customHeight="1" x14ac:dyDescent="0.2"/>
    <row r="1451" ht="12.75" x14ac:dyDescent="0.2"/>
    <row r="1452" ht="12.75" x14ac:dyDescent="0.2"/>
    <row r="1453" ht="12.75" x14ac:dyDescent="0.2"/>
    <row r="1454" ht="12.75" x14ac:dyDescent="0.2"/>
    <row r="1455" ht="14.25" customHeight="1" x14ac:dyDescent="0.2"/>
    <row r="1456" ht="12.75" x14ac:dyDescent="0.2"/>
    <row r="1457" ht="15" customHeight="1" x14ac:dyDescent="0.2"/>
    <row r="1458" ht="12.75" x14ac:dyDescent="0.2"/>
    <row r="1459" ht="12.75" x14ac:dyDescent="0.2"/>
    <row r="1460" ht="33" customHeight="1" x14ac:dyDescent="0.2"/>
    <row r="1461" ht="12.75" x14ac:dyDescent="0.2"/>
    <row r="1462" ht="34.5" customHeight="1" x14ac:dyDescent="0.2"/>
    <row r="1463" ht="12.75" x14ac:dyDescent="0.2"/>
    <row r="1464" ht="36" customHeight="1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customHeight="1" x14ac:dyDescent="0.2"/>
    <row r="1471" ht="50.25" customHeight="1" x14ac:dyDescent="0.2"/>
    <row r="1472" ht="21" customHeight="1" x14ac:dyDescent="0.2"/>
    <row r="1473" ht="18" customHeight="1" x14ac:dyDescent="0.2"/>
    <row r="1474" ht="14.25" customHeight="1" x14ac:dyDescent="0.2"/>
    <row r="1475" ht="17.25" customHeight="1" x14ac:dyDescent="0.2"/>
    <row r="1476" ht="17.25" customHeight="1" x14ac:dyDescent="0.2"/>
    <row r="1477" ht="12.75" customHeight="1" x14ac:dyDescent="0.2"/>
    <row r="1478" ht="18.75" customHeight="1" x14ac:dyDescent="0.2"/>
    <row r="1479" ht="12.75" x14ac:dyDescent="0.2"/>
    <row r="1480" ht="13.5" customHeight="1" x14ac:dyDescent="0.2"/>
    <row r="1481" ht="7.5" customHeight="1" x14ac:dyDescent="0.2"/>
    <row r="1482" ht="35.25" customHeight="1" x14ac:dyDescent="0.2"/>
    <row r="1483" ht="12.75" x14ac:dyDescent="0.2"/>
    <row r="1484" ht="19.5" customHeight="1" x14ac:dyDescent="0.2"/>
    <row r="1485" ht="12.75" x14ac:dyDescent="0.2"/>
    <row r="1486" ht="18.75" customHeight="1" x14ac:dyDescent="0.2"/>
    <row r="1487" ht="21" customHeight="1" x14ac:dyDescent="0.2"/>
    <row r="1488" ht="23.25" customHeight="1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5" customHeight="1" x14ac:dyDescent="0.2"/>
    <row r="1496" ht="15.75" customHeight="1" x14ac:dyDescent="0.2"/>
    <row r="1497" ht="12.75" x14ac:dyDescent="0.2"/>
    <row r="1498" ht="6" customHeight="1" x14ac:dyDescent="0.2"/>
    <row r="1499" ht="12.75" x14ac:dyDescent="0.2"/>
    <row r="1500" ht="14.25" customHeight="1" x14ac:dyDescent="0.2"/>
    <row r="1501" ht="12.75" x14ac:dyDescent="0.2"/>
    <row r="1502" ht="18" customHeight="1" x14ac:dyDescent="0.2"/>
    <row r="1503" ht="14.25" customHeight="1" x14ac:dyDescent="0.2"/>
    <row r="1504" ht="18.75" customHeight="1" x14ac:dyDescent="0.2"/>
    <row r="1505" ht="33.75" customHeight="1" x14ac:dyDescent="0.2"/>
    <row r="1506" ht="18.75" customHeight="1" x14ac:dyDescent="0.2"/>
    <row r="1507" ht="35.25" customHeight="1" x14ac:dyDescent="0.2"/>
    <row r="1508" ht="32.25" customHeight="1" x14ac:dyDescent="0.2"/>
    <row r="1509" ht="23.25" customHeight="1" x14ac:dyDescent="0.2"/>
    <row r="1510" ht="12.75" x14ac:dyDescent="0.2"/>
    <row r="1511" ht="30.75" customHeight="1" x14ac:dyDescent="0.2"/>
    <row r="1512" ht="12.75" x14ac:dyDescent="0.2"/>
    <row r="1513" ht="15" customHeight="1" x14ac:dyDescent="0.2"/>
    <row r="1514" ht="12.75" x14ac:dyDescent="0.2"/>
    <row r="1515" ht="12.75" x14ac:dyDescent="0.2"/>
    <row r="1516" ht="45.75" customHeight="1" x14ac:dyDescent="0.2"/>
    <row r="1517" ht="12.75" x14ac:dyDescent="0.2"/>
    <row r="1518" ht="19.5" customHeight="1" x14ac:dyDescent="0.2"/>
    <row r="1519" ht="12.75" x14ac:dyDescent="0.2"/>
    <row r="1520" ht="15.75" customHeight="1" x14ac:dyDescent="0.2"/>
    <row r="1521" ht="12.75" x14ac:dyDescent="0.2"/>
    <row r="1522" ht="12" customHeight="1" x14ac:dyDescent="0.2"/>
    <row r="1523" ht="12.75" x14ac:dyDescent="0.2"/>
    <row r="1524" ht="19.5" customHeight="1" x14ac:dyDescent="0.2"/>
    <row r="1525" ht="31.5" hidden="1" customHeight="1" x14ac:dyDescent="0.2"/>
    <row r="1526" ht="31.5" customHeight="1" x14ac:dyDescent="0.2"/>
    <row r="1527" ht="21" customHeight="1" x14ac:dyDescent="0.2"/>
    <row r="1528" ht="20.25" customHeight="1" x14ac:dyDescent="0.2"/>
    <row r="1529" ht="12.75" x14ac:dyDescent="0.2"/>
    <row r="1530" ht="12.75" x14ac:dyDescent="0.2"/>
    <row r="1531" ht="19.5" customHeight="1" x14ac:dyDescent="0.2"/>
    <row r="1532" ht="21.75" customHeight="1" x14ac:dyDescent="0.2"/>
    <row r="1533" ht="18.75" customHeight="1" x14ac:dyDescent="0.2"/>
    <row r="1534" ht="21.75" customHeight="1" x14ac:dyDescent="0.2"/>
    <row r="1535" ht="18" customHeight="1" x14ac:dyDescent="0.2"/>
    <row r="1536" ht="19.5" customHeight="1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4.25" customHeight="1" x14ac:dyDescent="0.2"/>
    <row r="1543" ht="19.5" customHeight="1" x14ac:dyDescent="0.2"/>
    <row r="1544" ht="14.25" customHeight="1" x14ac:dyDescent="0.2"/>
    <row r="1545" ht="15" customHeight="1" x14ac:dyDescent="0.2"/>
    <row r="1546" ht="17.25" customHeight="1" x14ac:dyDescent="0.2"/>
    <row r="1547" ht="21.75" customHeight="1" x14ac:dyDescent="0.2"/>
    <row r="1548" ht="12.75" x14ac:dyDescent="0.2"/>
    <row r="1549" ht="35.25" customHeight="1" x14ac:dyDescent="0.2"/>
    <row r="1550" ht="14.25" customHeight="1" x14ac:dyDescent="0.2"/>
    <row r="1551" ht="36.75" customHeight="1" x14ac:dyDescent="0.2"/>
    <row r="1552" ht="12.75" x14ac:dyDescent="0.2"/>
    <row r="1553" ht="41.25" customHeight="1" x14ac:dyDescent="0.2"/>
    <row r="1554" ht="12.75" x14ac:dyDescent="0.2"/>
    <row r="1555" ht="12.75" customHeight="1" x14ac:dyDescent="0.2"/>
    <row r="1556" ht="12.75" x14ac:dyDescent="0.2"/>
    <row r="1557" ht="12.75" x14ac:dyDescent="0.2"/>
    <row r="1558" ht="12.75" x14ac:dyDescent="0.2"/>
    <row r="1559" ht="12.75" x14ac:dyDescent="0.2"/>
    <row r="1560" ht="35.25" customHeight="1" x14ac:dyDescent="0.2"/>
    <row r="1561" ht="33" customHeight="1" x14ac:dyDescent="0.2"/>
    <row r="1562" ht="31.5" customHeight="1" x14ac:dyDescent="0.2"/>
    <row r="1563" ht="24" customHeight="1" x14ac:dyDescent="0.2"/>
    <row r="1564" ht="12.75" x14ac:dyDescent="0.2"/>
    <row r="1565" ht="12.75" x14ac:dyDescent="0.2"/>
    <row r="1566" ht="12.75" x14ac:dyDescent="0.2"/>
    <row r="1567" ht="18.75" customHeight="1" x14ac:dyDescent="0.2"/>
    <row r="1568" ht="12.75" x14ac:dyDescent="0.2"/>
    <row r="1569" spans="1:12" ht="40.5" customHeight="1" x14ac:dyDescent="0.2"/>
    <row r="1570" spans="1:12" ht="12.75" x14ac:dyDescent="0.2"/>
    <row r="1571" spans="1:12" ht="13.5" customHeight="1" x14ac:dyDescent="0.2"/>
    <row r="1572" spans="1:12" ht="22.5" customHeight="1" x14ac:dyDescent="0.2"/>
    <row r="1573" spans="1:12" ht="23.25" customHeight="1" x14ac:dyDescent="0.2"/>
    <row r="1574" spans="1:12" s="76" customFormat="1" ht="16.5" customHeight="1" x14ac:dyDescent="0.2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</row>
    <row r="1575" spans="1:12" ht="15" customHeight="1" x14ac:dyDescent="0.2"/>
    <row r="1576" spans="1:12" ht="12.75" x14ac:dyDescent="0.2"/>
    <row r="1577" spans="1:12" ht="12.75" x14ac:dyDescent="0.2"/>
    <row r="1578" spans="1:12" ht="12.75" x14ac:dyDescent="0.2"/>
    <row r="1579" spans="1:12" ht="15" customHeight="1" x14ac:dyDescent="0.2"/>
    <row r="1580" spans="1:12" ht="15.75" customHeight="1" x14ac:dyDescent="0.2"/>
    <row r="1581" spans="1:12" ht="14.25" customHeight="1" x14ac:dyDescent="0.2"/>
    <row r="1582" spans="1:12" ht="21.75" customHeight="1" x14ac:dyDescent="0.2"/>
    <row r="1583" spans="1:12" ht="18" customHeight="1" x14ac:dyDescent="0.2"/>
    <row r="1584" spans="1:12" ht="19.5" customHeight="1" x14ac:dyDescent="0.2"/>
    <row r="1585" ht="17.25" customHeight="1" x14ac:dyDescent="0.2"/>
    <row r="1586" ht="12.75" x14ac:dyDescent="0.2"/>
    <row r="1587" ht="12.75" x14ac:dyDescent="0.2"/>
    <row r="1588" ht="12.75" x14ac:dyDescent="0.2"/>
    <row r="1589" ht="13.5" customHeight="1" x14ac:dyDescent="0.2"/>
    <row r="1590" ht="12.75" x14ac:dyDescent="0.2"/>
    <row r="1591" ht="21" customHeight="1" x14ac:dyDescent="0.2"/>
    <row r="1592" ht="34.5" customHeight="1" x14ac:dyDescent="0.2"/>
    <row r="1593" ht="10.5" customHeight="1" x14ac:dyDescent="0.2"/>
    <row r="1594" ht="32.25" customHeight="1" x14ac:dyDescent="0.2"/>
    <row r="1595" ht="30" customHeight="1" x14ac:dyDescent="0.2"/>
    <row r="1596" ht="12.75" x14ac:dyDescent="0.2"/>
    <row r="1597" ht="25.5" customHeight="1" x14ac:dyDescent="0.2"/>
    <row r="1598" ht="12.75" x14ac:dyDescent="0.2"/>
    <row r="1599" ht="12.75" x14ac:dyDescent="0.2"/>
    <row r="1600" ht="15.75" customHeight="1" x14ac:dyDescent="0.2"/>
    <row r="1601" ht="12.75" x14ac:dyDescent="0.2"/>
    <row r="1602" ht="12.75" customHeight="1" x14ac:dyDescent="0.2"/>
    <row r="1603" ht="47.25" customHeight="1" x14ac:dyDescent="0.2"/>
    <row r="1604" ht="12.75" x14ac:dyDescent="0.2"/>
    <row r="1605" ht="15" customHeight="1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20.25" customHeight="1" x14ac:dyDescent="0.2"/>
    <row r="1615" ht="12.75" x14ac:dyDescent="0.2"/>
    <row r="1616" ht="26.25" customHeight="1" x14ac:dyDescent="0.2"/>
    <row r="1617" ht="21" customHeight="1" x14ac:dyDescent="0.2"/>
    <row r="1618" ht="38.25" customHeight="1" x14ac:dyDescent="0.2"/>
    <row r="1619" ht="25.5" customHeight="1" x14ac:dyDescent="0.2"/>
    <row r="1620" ht="15.75" customHeight="1" x14ac:dyDescent="0.2"/>
    <row r="1621" ht="21.75" customHeight="1" x14ac:dyDescent="0.2"/>
    <row r="1622" ht="12.75" x14ac:dyDescent="0.2"/>
    <row r="1623" ht="12.75" x14ac:dyDescent="0.2"/>
    <row r="1624" ht="12.75" x14ac:dyDescent="0.2"/>
    <row r="1625" ht="12.75" x14ac:dyDescent="0.2"/>
    <row r="1626" ht="24.75" customHeight="1" x14ac:dyDescent="0.2"/>
    <row r="1627" ht="12.75" x14ac:dyDescent="0.2"/>
    <row r="1628" ht="15" customHeight="1" x14ac:dyDescent="0.2"/>
    <row r="1629" ht="46.5" customHeight="1" x14ac:dyDescent="0.2"/>
    <row r="1630" ht="18.75" customHeight="1" x14ac:dyDescent="0.2"/>
    <row r="1631" ht="24" customHeight="1" x14ac:dyDescent="0.2"/>
    <row r="1632" ht="11.25" customHeight="1" x14ac:dyDescent="0.2"/>
    <row r="1633" ht="16.5" customHeight="1" x14ac:dyDescent="0.2"/>
    <row r="1634" ht="12.75" customHeight="1" x14ac:dyDescent="0.2"/>
    <row r="1635" ht="13.5" customHeight="1" x14ac:dyDescent="0.2"/>
    <row r="1636" ht="12.75" x14ac:dyDescent="0.2"/>
    <row r="1637" ht="19.5" customHeight="1" x14ac:dyDescent="0.2"/>
    <row r="1638" ht="12.75" x14ac:dyDescent="0.2"/>
    <row r="1639" ht="39" customHeight="1" x14ac:dyDescent="0.2"/>
    <row r="1640" ht="20.25" customHeight="1" x14ac:dyDescent="0.2"/>
    <row r="1641" ht="45" customHeight="1" x14ac:dyDescent="0.2"/>
    <row r="1642" ht="12.75" x14ac:dyDescent="0.2"/>
    <row r="1643" ht="21" customHeight="1" x14ac:dyDescent="0.2"/>
    <row r="1644" ht="12.75" x14ac:dyDescent="0.2"/>
    <row r="1645" ht="12.75" x14ac:dyDescent="0.2"/>
    <row r="1646" ht="42" customHeight="1" x14ac:dyDescent="0.2"/>
    <row r="1647" ht="12.75" x14ac:dyDescent="0.2"/>
    <row r="1648" ht="12.75" customHeight="1" x14ac:dyDescent="0.2"/>
    <row r="1649" ht="12.75" x14ac:dyDescent="0.2"/>
    <row r="1650" ht="50.25" customHeight="1" x14ac:dyDescent="0.2"/>
    <row r="1651" ht="12.75" customHeight="1" x14ac:dyDescent="0.2"/>
    <row r="1652" ht="15" customHeight="1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5.75" customHeight="1" x14ac:dyDescent="0.2"/>
    <row r="1664" ht="20.25" customHeight="1" x14ac:dyDescent="0.2"/>
    <row r="1665" ht="19.5" customHeight="1" x14ac:dyDescent="0.2"/>
    <row r="1666" ht="18.75" customHeight="1" x14ac:dyDescent="0.2"/>
    <row r="1667" ht="33.75" customHeight="1" x14ac:dyDescent="0.2"/>
    <row r="1668" ht="14.25" customHeight="1" x14ac:dyDescent="0.2"/>
    <row r="1669" ht="39.75" customHeight="1" x14ac:dyDescent="0.2"/>
    <row r="1670" ht="12.75" x14ac:dyDescent="0.2"/>
    <row r="1671" ht="18.75" customHeight="1" x14ac:dyDescent="0.2"/>
    <row r="1672" ht="12.75" x14ac:dyDescent="0.2"/>
    <row r="1673" ht="17.25" customHeight="1" x14ac:dyDescent="0.2"/>
    <row r="1674" ht="12.75" x14ac:dyDescent="0.2"/>
    <row r="1675" ht="22.5" customHeight="1" x14ac:dyDescent="0.2"/>
    <row r="1676" ht="12.75" customHeight="1" x14ac:dyDescent="0.2"/>
    <row r="1677" ht="28.5" customHeight="1" x14ac:dyDescent="0.2"/>
    <row r="1678" ht="10.5" customHeight="1" x14ac:dyDescent="0.2"/>
    <row r="1679" ht="25.5" customHeight="1" x14ac:dyDescent="0.2"/>
    <row r="1680" ht="20.25" customHeight="1" x14ac:dyDescent="0.2"/>
    <row r="1681" ht="19.5" customHeight="1" x14ac:dyDescent="0.2"/>
    <row r="1682" ht="20.25" customHeight="1" x14ac:dyDescent="0.2"/>
    <row r="1683" ht="14.25" customHeight="1" x14ac:dyDescent="0.2"/>
    <row r="1684" ht="12.75" x14ac:dyDescent="0.2"/>
    <row r="1685" ht="53.25" customHeight="1" x14ac:dyDescent="0.2"/>
    <row r="1686" ht="12.75" x14ac:dyDescent="0.2"/>
    <row r="1687" ht="36.75" customHeight="1" x14ac:dyDescent="0.2"/>
    <row r="1688" ht="12.75" x14ac:dyDescent="0.2"/>
    <row r="1689" ht="35.25" customHeight="1" x14ac:dyDescent="0.2"/>
    <row r="1690" ht="31.5" customHeight="1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54" customHeight="1" x14ac:dyDescent="0.2"/>
    <row r="1697" ht="12.75" x14ac:dyDescent="0.2"/>
    <row r="1698" ht="27.75" customHeight="1" x14ac:dyDescent="0.2"/>
    <row r="1699" ht="19.5" customHeight="1" x14ac:dyDescent="0.2"/>
    <row r="1700" ht="19.5" customHeight="1" x14ac:dyDescent="0.2"/>
    <row r="1701" ht="12.75" x14ac:dyDescent="0.2"/>
    <row r="1702" ht="12.75" x14ac:dyDescent="0.2"/>
    <row r="1703" ht="12.75" x14ac:dyDescent="0.2"/>
    <row r="1704" ht="12" customHeight="1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4.25" customHeight="1" x14ac:dyDescent="0.2"/>
    <row r="1713" ht="12.75" x14ac:dyDescent="0.2"/>
    <row r="1714" ht="21" customHeight="1" x14ac:dyDescent="0.2"/>
    <row r="1715" ht="22.5" customHeight="1" x14ac:dyDescent="0.2"/>
    <row r="1716" ht="20.25" customHeight="1" x14ac:dyDescent="0.2"/>
    <row r="1717" ht="18" customHeight="1" x14ac:dyDescent="0.2"/>
    <row r="1718" ht="33" customHeight="1" x14ac:dyDescent="0.2"/>
    <row r="1719" ht="12.75" x14ac:dyDescent="0.2"/>
    <row r="1720" ht="12.75" x14ac:dyDescent="0.2"/>
    <row r="1721" ht="12.75" x14ac:dyDescent="0.2"/>
    <row r="1722" ht="18.75" customHeight="1" x14ac:dyDescent="0.2"/>
    <row r="1723" ht="34.5" hidden="1" customHeight="1" x14ac:dyDescent="0.2"/>
    <row r="1724" ht="20.25" customHeight="1" x14ac:dyDescent="0.2"/>
    <row r="1725" ht="24" customHeight="1" x14ac:dyDescent="0.2"/>
    <row r="1726" ht="10.5" customHeight="1" x14ac:dyDescent="0.2"/>
    <row r="1727" ht="12.75" x14ac:dyDescent="0.2"/>
    <row r="1728" ht="12.75" customHeight="1" x14ac:dyDescent="0.2"/>
    <row r="1729" ht="12.75" x14ac:dyDescent="0.2"/>
    <row r="1730" ht="15" customHeight="1" x14ac:dyDescent="0.2"/>
    <row r="1731" ht="48.75" customHeight="1" x14ac:dyDescent="0.2"/>
    <row r="1732" ht="12.75" x14ac:dyDescent="0.2"/>
    <row r="1733" ht="39" customHeight="1" x14ac:dyDescent="0.2"/>
    <row r="1734" ht="25.5" customHeight="1" x14ac:dyDescent="0.2"/>
    <row r="1735" ht="35.25" customHeight="1" x14ac:dyDescent="0.2"/>
    <row r="1736" ht="26.25" customHeight="1" x14ac:dyDescent="0.2"/>
    <row r="1737" ht="12.75" customHeight="1" x14ac:dyDescent="0.2"/>
    <row r="1738" ht="12.75" x14ac:dyDescent="0.2"/>
    <row r="1739" ht="15" customHeight="1" x14ac:dyDescent="0.2"/>
    <row r="1740" ht="12.75" x14ac:dyDescent="0.2"/>
    <row r="1741" ht="15" customHeight="1" x14ac:dyDescent="0.2"/>
    <row r="1742" ht="52.5" customHeight="1" x14ac:dyDescent="0.2"/>
    <row r="1743" ht="12.75" x14ac:dyDescent="0.2"/>
    <row r="1744" ht="15" customHeight="1" x14ac:dyDescent="0.2"/>
    <row r="1745" ht="12.75" x14ac:dyDescent="0.2"/>
    <row r="1746" ht="15" customHeight="1" x14ac:dyDescent="0.2"/>
    <row r="1747" ht="12.75" x14ac:dyDescent="0.2"/>
    <row r="1748" ht="12.75" x14ac:dyDescent="0.2"/>
    <row r="1749" ht="16.5" customHeight="1" x14ac:dyDescent="0.2"/>
    <row r="1750" ht="15" customHeight="1" x14ac:dyDescent="0.2"/>
    <row r="1751" ht="12.75" x14ac:dyDescent="0.2"/>
    <row r="1752" ht="20.25" customHeight="1" x14ac:dyDescent="0.2"/>
    <row r="1753" ht="12.75" x14ac:dyDescent="0.2"/>
    <row r="1754" ht="15" customHeight="1" x14ac:dyDescent="0.2"/>
    <row r="1755" ht="12.75" x14ac:dyDescent="0.2"/>
    <row r="1756" ht="12.75" x14ac:dyDescent="0.2"/>
    <row r="1757" ht="13.5" customHeight="1" x14ac:dyDescent="0.2"/>
    <row r="1758" ht="12.75" x14ac:dyDescent="0.2"/>
    <row r="1759" ht="12.75" customHeight="1" x14ac:dyDescent="0.2"/>
    <row r="1760" ht="12.75" customHeight="1" x14ac:dyDescent="0.2"/>
    <row r="1761" ht="21.75" customHeight="1" x14ac:dyDescent="0.2"/>
    <row r="1762" ht="30" customHeight="1" x14ac:dyDescent="0.2"/>
    <row r="1763" ht="12.75" x14ac:dyDescent="0.2"/>
    <row r="1764" ht="21" customHeight="1" x14ac:dyDescent="0.2"/>
    <row r="1765" ht="12.75" x14ac:dyDescent="0.2"/>
    <row r="1766" ht="12.75" x14ac:dyDescent="0.2"/>
    <row r="1767" ht="12.75" x14ac:dyDescent="0.2"/>
    <row r="1768" ht="40.5" customHeight="1" x14ac:dyDescent="0.2"/>
    <row r="1769" ht="26.25" customHeight="1" x14ac:dyDescent="0.2"/>
    <row r="1770" ht="1.5" customHeight="1" x14ac:dyDescent="0.2"/>
    <row r="1771" ht="26.25" customHeight="1" x14ac:dyDescent="0.2"/>
    <row r="1772" ht="21.75" customHeight="1" x14ac:dyDescent="0.2"/>
    <row r="1773" ht="13.5" customHeight="1" x14ac:dyDescent="0.2"/>
    <row r="1774" ht="12.75" x14ac:dyDescent="0.2"/>
    <row r="1775" ht="12.75" x14ac:dyDescent="0.2"/>
    <row r="1776" ht="12.75" x14ac:dyDescent="0.2"/>
    <row r="1777" ht="12.75" x14ac:dyDescent="0.2"/>
    <row r="1778" ht="40.5" customHeight="1" x14ac:dyDescent="0.2"/>
    <row r="1779" ht="12.75" x14ac:dyDescent="0.2"/>
    <row r="1780" ht="45.75" customHeight="1" x14ac:dyDescent="0.2"/>
    <row r="1781" ht="12.75" x14ac:dyDescent="0.2"/>
    <row r="1782" ht="26.25" customHeight="1" x14ac:dyDescent="0.2"/>
    <row r="1783" ht="20.25" customHeight="1" x14ac:dyDescent="0.2"/>
    <row r="1784" ht="12.75" x14ac:dyDescent="0.2"/>
    <row r="1785" ht="12.75" x14ac:dyDescent="0.2"/>
    <row r="1786" ht="12.75" x14ac:dyDescent="0.2"/>
    <row r="1787" ht="12.75" x14ac:dyDescent="0.2"/>
    <row r="1788" ht="16.5" customHeight="1" x14ac:dyDescent="0.2"/>
    <row r="1789" ht="49.5" customHeight="1" x14ac:dyDescent="0.2"/>
    <row r="1790" ht="12.75" x14ac:dyDescent="0.2"/>
    <row r="1791" ht="21.75" customHeight="1" x14ac:dyDescent="0.2"/>
    <row r="1792" ht="12.75" x14ac:dyDescent="0.2"/>
    <row r="1793" ht="12.75" x14ac:dyDescent="0.2"/>
    <row r="1794" ht="12.75" x14ac:dyDescent="0.2"/>
    <row r="1795" ht="12.75" customHeight="1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6.5" customHeight="1" x14ac:dyDescent="0.2"/>
    <row r="1803" ht="15.75" customHeight="1" x14ac:dyDescent="0.2"/>
    <row r="1804" ht="15" customHeight="1" x14ac:dyDescent="0.2"/>
    <row r="1805" ht="23.25" customHeight="1" x14ac:dyDescent="0.2"/>
    <row r="1806" ht="12.75" x14ac:dyDescent="0.2"/>
    <row r="1807" ht="21" customHeight="1" x14ac:dyDescent="0.2"/>
    <row r="1808" ht="21" customHeight="1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4.25" customHeight="1" x14ac:dyDescent="0.2"/>
    <row r="1815" ht="21.75" customHeight="1" x14ac:dyDescent="0.2"/>
    <row r="1816" ht="15.75" customHeight="1" x14ac:dyDescent="0.2"/>
    <row r="1817" ht="16.5" customHeight="1" x14ac:dyDescent="0.2"/>
    <row r="1818" ht="15.75" customHeight="1" x14ac:dyDescent="0.2"/>
    <row r="1819" ht="13.5" customHeight="1" x14ac:dyDescent="0.2"/>
    <row r="1820" ht="22.5" customHeight="1" x14ac:dyDescent="0.2"/>
    <row r="1821" ht="31.5" customHeight="1" x14ac:dyDescent="0.2"/>
    <row r="1822" ht="12.75" x14ac:dyDescent="0.2"/>
    <row r="1823" ht="39" customHeight="1" x14ac:dyDescent="0.2"/>
    <row r="1824" ht="12.75" x14ac:dyDescent="0.2"/>
    <row r="1825" ht="27.75" customHeight="1" x14ac:dyDescent="0.2"/>
    <row r="1826" ht="26.25" customHeight="1" x14ac:dyDescent="0.2"/>
    <row r="1827" ht="20.25" customHeight="1" x14ac:dyDescent="0.2"/>
    <row r="1828" ht="12.75" x14ac:dyDescent="0.2"/>
    <row r="1829" ht="12.75" x14ac:dyDescent="0.2"/>
    <row r="1830" ht="12.75" customHeight="1" x14ac:dyDescent="0.2"/>
    <row r="1831" ht="18" customHeight="1" x14ac:dyDescent="0.2"/>
    <row r="1832" ht="46.5" customHeight="1" x14ac:dyDescent="0.2"/>
    <row r="1833" ht="12.75" x14ac:dyDescent="0.2"/>
    <row r="1834" ht="15" customHeight="1" x14ac:dyDescent="0.2"/>
    <row r="1835" ht="12.75" x14ac:dyDescent="0.2"/>
    <row r="1836" ht="12.75" x14ac:dyDescent="0.2"/>
    <row r="1837" ht="16.5" customHeight="1" x14ac:dyDescent="0.2"/>
    <row r="1838" ht="12.75" x14ac:dyDescent="0.2"/>
    <row r="1839" ht="14.25" customHeight="1" x14ac:dyDescent="0.2"/>
    <row r="1840" ht="12.75" x14ac:dyDescent="0.2"/>
    <row r="1841" ht="12.75" x14ac:dyDescent="0.2"/>
    <row r="1842" ht="12.75" x14ac:dyDescent="0.2"/>
    <row r="1843" ht="12" customHeight="1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53.25" customHeight="1" x14ac:dyDescent="0.2"/>
    <row r="1851" ht="9.75" customHeight="1" x14ac:dyDescent="0.2"/>
    <row r="1852" ht="15" customHeight="1" x14ac:dyDescent="0.2"/>
    <row r="1853" ht="23.25" customHeight="1" x14ac:dyDescent="0.2"/>
    <row r="1854" ht="23.25" customHeight="1" x14ac:dyDescent="0.2"/>
    <row r="1855" ht="22.5" customHeight="1" x14ac:dyDescent="0.2"/>
    <row r="1856" ht="13.5" customHeight="1" x14ac:dyDescent="0.2"/>
    <row r="1857" ht="12.75" x14ac:dyDescent="0.2"/>
    <row r="1858" ht="12.75" x14ac:dyDescent="0.2"/>
    <row r="1859" ht="12.75" x14ac:dyDescent="0.2"/>
    <row r="1860" ht="12.75" x14ac:dyDescent="0.2"/>
    <row r="1861" ht="15" customHeight="1" x14ac:dyDescent="0.2"/>
    <row r="1862" ht="21" customHeight="1" x14ac:dyDescent="0.2"/>
    <row r="1863" ht="15.75" customHeight="1" x14ac:dyDescent="0.2"/>
    <row r="1864" ht="15.75" customHeight="1" x14ac:dyDescent="0.2"/>
    <row r="1865" ht="17.25" customHeight="1" x14ac:dyDescent="0.2"/>
    <row r="1866" ht="20.25" customHeight="1" x14ac:dyDescent="0.2"/>
    <row r="1867" ht="30.75" customHeight="1" x14ac:dyDescent="0.2"/>
    <row r="1868" ht="12.75" x14ac:dyDescent="0.2"/>
    <row r="1869" ht="35.25" customHeight="1" x14ac:dyDescent="0.2"/>
    <row r="1870" ht="12.75" x14ac:dyDescent="0.2"/>
    <row r="1871" ht="12.75" x14ac:dyDescent="0.2"/>
    <row r="1872" ht="12.75" x14ac:dyDescent="0.2"/>
    <row r="1873" ht="12.75" x14ac:dyDescent="0.2"/>
    <row r="1874" ht="7.5" customHeight="1" x14ac:dyDescent="0.2"/>
    <row r="1875" ht="12.75" x14ac:dyDescent="0.2"/>
    <row r="1876" ht="12.75" x14ac:dyDescent="0.2"/>
    <row r="1877" ht="12.75" x14ac:dyDescent="0.2"/>
    <row r="1878" ht="12.75" x14ac:dyDescent="0.2"/>
    <row r="1879" ht="47.25" customHeight="1" x14ac:dyDescent="0.2"/>
    <row r="1880" ht="12.75" x14ac:dyDescent="0.2"/>
    <row r="1881" ht="37.5" customHeight="1" x14ac:dyDescent="0.2"/>
    <row r="1882" ht="12.75" x14ac:dyDescent="0.2"/>
    <row r="1883" ht="28.5" customHeight="1" x14ac:dyDescent="0.2"/>
    <row r="1884" ht="12.75" x14ac:dyDescent="0.2"/>
    <row r="1885" ht="27" customHeight="1" x14ac:dyDescent="0.2"/>
    <row r="1886" ht="12.75" x14ac:dyDescent="0.2"/>
    <row r="1887" ht="41.25" customHeight="1" x14ac:dyDescent="0.2"/>
    <row r="1888" ht="12.75" x14ac:dyDescent="0.2"/>
    <row r="1889" ht="12.75" x14ac:dyDescent="0.2"/>
    <row r="1890" ht="12.75" x14ac:dyDescent="0.2"/>
    <row r="1891" ht="12.75" x14ac:dyDescent="0.2"/>
    <row r="1892" ht="47.25" customHeight="1" x14ac:dyDescent="0.2"/>
    <row r="1893" ht="12.75" x14ac:dyDescent="0.2"/>
    <row r="1894" ht="24" customHeight="1" x14ac:dyDescent="0.2"/>
    <row r="1895" ht="12.75" x14ac:dyDescent="0.2"/>
    <row r="1896" ht="17.25" customHeight="1" x14ac:dyDescent="0.2"/>
    <row r="1897" ht="17.25" customHeight="1" x14ac:dyDescent="0.2"/>
    <row r="1898" ht="13.5" customHeight="1" x14ac:dyDescent="0.2"/>
    <row r="1899" ht="12.75" x14ac:dyDescent="0.2"/>
    <row r="1900" ht="38.25" customHeight="1" x14ac:dyDescent="0.2"/>
    <row r="1901" ht="12.75" hidden="1" x14ac:dyDescent="0.2"/>
    <row r="1902" ht="21.75" hidden="1" customHeight="1" x14ac:dyDescent="0.2"/>
    <row r="1903" ht="12.75" x14ac:dyDescent="0.2"/>
    <row r="1904" ht="24.75" customHeight="1" x14ac:dyDescent="0.2"/>
    <row r="1905" ht="20.25" customHeight="1" x14ac:dyDescent="0.2"/>
    <row r="1906" ht="12.75" x14ac:dyDescent="0.2"/>
    <row r="1907" ht="9" customHeight="1" x14ac:dyDescent="0.2"/>
    <row r="1908" ht="14.25" customHeight="1" x14ac:dyDescent="0.2"/>
    <row r="1909" ht="15" customHeight="1" x14ac:dyDescent="0.2"/>
    <row r="1910" ht="18.75" customHeight="1" x14ac:dyDescent="0.2"/>
    <row r="1911" ht="12.75" x14ac:dyDescent="0.2"/>
    <row r="1912" ht="36.75" customHeight="1" x14ac:dyDescent="0.2"/>
    <row r="1913" ht="19.5" customHeight="1" x14ac:dyDescent="0.2"/>
    <row r="1914" ht="19.5" customHeight="1" x14ac:dyDescent="0.2"/>
    <row r="1915" ht="18" customHeight="1" x14ac:dyDescent="0.2"/>
    <row r="1916" ht="22.5" customHeight="1" x14ac:dyDescent="0.2"/>
    <row r="1917" ht="12.75" customHeight="1" x14ac:dyDescent="0.2"/>
    <row r="1918" ht="12.75" x14ac:dyDescent="0.2"/>
    <row r="1919" ht="30.75" customHeight="1" x14ac:dyDescent="0.2"/>
    <row r="1920" ht="12.75" x14ac:dyDescent="0.2"/>
    <row r="1921" ht="12.75" x14ac:dyDescent="0.2"/>
    <row r="1922" ht="12.75" x14ac:dyDescent="0.2"/>
    <row r="1923" ht="12.75" x14ac:dyDescent="0.2"/>
    <row r="1924" ht="24" customHeight="1" x14ac:dyDescent="0.2"/>
    <row r="1925" ht="12.75" x14ac:dyDescent="0.2"/>
    <row r="1926" ht="12.75" x14ac:dyDescent="0.2"/>
    <row r="1927" ht="12.75" x14ac:dyDescent="0.2"/>
    <row r="1928" ht="33.75" customHeight="1" x14ac:dyDescent="0.2"/>
    <row r="1929" ht="12.75" x14ac:dyDescent="0.2"/>
    <row r="1930" ht="34.5" customHeight="1" x14ac:dyDescent="0.2"/>
    <row r="1931" ht="12.75" x14ac:dyDescent="0.2"/>
    <row r="1932" ht="32.25" customHeight="1" x14ac:dyDescent="0.2"/>
    <row r="1933" ht="30.75" customHeight="1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54" customHeight="1" x14ac:dyDescent="0.2"/>
    <row r="1940" ht="12.75" x14ac:dyDescent="0.2"/>
    <row r="1941" ht="15" customHeight="1" x14ac:dyDescent="0.2"/>
    <row r="1942" ht="12.75" x14ac:dyDescent="0.2"/>
    <row r="1943" ht="9.75" customHeight="1" x14ac:dyDescent="0.2"/>
    <row r="1944" ht="12.75" x14ac:dyDescent="0.2"/>
    <row r="1945" ht="15" customHeight="1" x14ac:dyDescent="0.2"/>
    <row r="1946" ht="12.75" x14ac:dyDescent="0.2"/>
    <row r="1947" ht="23.25" customHeight="1" x14ac:dyDescent="0.2"/>
    <row r="1948" ht="2.25" customHeight="1" x14ac:dyDescent="0.2"/>
    <row r="1949" ht="21" customHeight="1" x14ac:dyDescent="0.2"/>
    <row r="1950" ht="12.75" x14ac:dyDescent="0.2"/>
    <row r="1951" ht="16.5" customHeight="1" x14ac:dyDescent="0.2"/>
    <row r="1952" ht="16.5" customHeight="1" x14ac:dyDescent="0.2"/>
    <row r="1953" ht="7.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2.75" x14ac:dyDescent="0.2"/>
    <row r="1960" ht="48" customHeight="1" x14ac:dyDescent="0.2"/>
    <row r="1961" ht="12.75" x14ac:dyDescent="0.2"/>
    <row r="1962" ht="20.25" customHeight="1" x14ac:dyDescent="0.2"/>
    <row r="1963" ht="12.75" x14ac:dyDescent="0.2"/>
    <row r="1964" ht="23.25" customHeight="1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3.5" customHeight="1" x14ac:dyDescent="0.2"/>
    <row r="1971" ht="12.75" x14ac:dyDescent="0.2"/>
    <row r="1972" ht="19.5" customHeight="1" x14ac:dyDescent="0.2"/>
    <row r="1973" ht="12.75" x14ac:dyDescent="0.2"/>
    <row r="1974" ht="12.75" x14ac:dyDescent="0.2"/>
    <row r="1975" ht="12.75" x14ac:dyDescent="0.2"/>
    <row r="1976" ht="51.75" customHeight="1" x14ac:dyDescent="0.2"/>
    <row r="1977" ht="12.75" customHeight="1" x14ac:dyDescent="0.2"/>
    <row r="1978" ht="34.5" customHeight="1" x14ac:dyDescent="0.2"/>
    <row r="1979" ht="24" customHeight="1" x14ac:dyDescent="0.2"/>
    <row r="1980" ht="26.25" customHeight="1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54.75" customHeight="1" x14ac:dyDescent="0.2"/>
    <row r="1988" ht="12.75" x14ac:dyDescent="0.2"/>
    <row r="1989" ht="47.25" customHeight="1" x14ac:dyDescent="0.2"/>
    <row r="1990" ht="12.75" x14ac:dyDescent="0.2"/>
    <row r="1991" ht="15" customHeight="1" x14ac:dyDescent="0.2"/>
    <row r="1992" ht="12.75" x14ac:dyDescent="0.2"/>
    <row r="1993" ht="12.75" x14ac:dyDescent="0.2"/>
    <row r="1994" ht="16.5" customHeight="1" x14ac:dyDescent="0.2"/>
    <row r="1995" ht="15" customHeight="1" x14ac:dyDescent="0.2"/>
    <row r="1996" ht="15" customHeight="1" x14ac:dyDescent="0.2"/>
    <row r="1997" ht="12.75" x14ac:dyDescent="0.2"/>
    <row r="1998" ht="20.25" customHeight="1" x14ac:dyDescent="0.2"/>
    <row r="1999" ht="20.25" customHeight="1" x14ac:dyDescent="0.2"/>
    <row r="2000" ht="12.75" x14ac:dyDescent="0.2"/>
    <row r="2001" ht="12.75" x14ac:dyDescent="0.2"/>
    <row r="2002" ht="13.5" customHeight="1" x14ac:dyDescent="0.2"/>
    <row r="2003" ht="15" customHeight="1" x14ac:dyDescent="0.2"/>
    <row r="2004" ht="15" customHeight="1" x14ac:dyDescent="0.2"/>
    <row r="2005" ht="21.75" customHeight="1" x14ac:dyDescent="0.2"/>
    <row r="2006" ht="12.75" x14ac:dyDescent="0.2"/>
    <row r="2007" ht="21.75" customHeight="1" x14ac:dyDescent="0.2"/>
    <row r="2008" ht="12.75" x14ac:dyDescent="0.2"/>
    <row r="2009" ht="21.75" customHeight="1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9.5" customHeight="1" x14ac:dyDescent="0.2"/>
    <row r="2018" ht="12.75" x14ac:dyDescent="0.2"/>
    <row r="2019" ht="33" customHeight="1" x14ac:dyDescent="0.2"/>
    <row r="2020" ht="12.75" x14ac:dyDescent="0.2"/>
    <row r="2021" ht="12.75" x14ac:dyDescent="0.2"/>
    <row r="2022" ht="12.75" x14ac:dyDescent="0.2"/>
    <row r="2023" ht="17.25" customHeight="1" x14ac:dyDescent="0.2"/>
    <row r="2024" ht="12.75" x14ac:dyDescent="0.2"/>
    <row r="2025" ht="35.25" customHeight="1" x14ac:dyDescent="0.2"/>
    <row r="2026" ht="29.25" customHeight="1" x14ac:dyDescent="0.2"/>
    <row r="2027" ht="38.25" customHeight="1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7.25" customHeight="1" x14ac:dyDescent="0.2"/>
    <row r="2036" ht="45" customHeight="1" x14ac:dyDescent="0.2"/>
    <row r="2037" ht="12.75" x14ac:dyDescent="0.2"/>
    <row r="2038" ht="15" customHeight="1" x14ac:dyDescent="0.2"/>
    <row r="2039" ht="12.75" x14ac:dyDescent="0.2"/>
    <row r="2040" ht="12.75" x14ac:dyDescent="0.2"/>
    <row r="2041" ht="15.75" customHeight="1" x14ac:dyDescent="0.2"/>
    <row r="2042" ht="12.75" x14ac:dyDescent="0.2"/>
    <row r="2043" ht="12.75" customHeight="1" x14ac:dyDescent="0.2"/>
    <row r="2044" ht="17.25" customHeight="1" x14ac:dyDescent="0.2"/>
    <row r="2045" ht="21.75" customHeight="1" x14ac:dyDescent="0.2"/>
    <row r="2046" ht="12.75" x14ac:dyDescent="0.2"/>
    <row r="2047" ht="12.75" x14ac:dyDescent="0.2"/>
    <row r="2048" ht="19.5" customHeight="1" x14ac:dyDescent="0.2"/>
    <row r="2049" ht="19.5" customHeight="1" x14ac:dyDescent="0.2"/>
    <row r="2050" ht="12" customHeight="1" x14ac:dyDescent="0.2"/>
    <row r="2051" ht="14.25" customHeight="1" x14ac:dyDescent="0.2"/>
    <row r="2052" ht="12.75" x14ac:dyDescent="0.2"/>
    <row r="2053" ht="12.75" x14ac:dyDescent="0.2"/>
    <row r="2054" ht="21.75" customHeight="1" x14ac:dyDescent="0.2"/>
    <row r="2055" ht="36" customHeight="1" x14ac:dyDescent="0.2"/>
    <row r="2056" ht="24" customHeight="1" x14ac:dyDescent="0.2"/>
    <row r="2057" ht="23.25" customHeight="1" x14ac:dyDescent="0.2"/>
    <row r="2058" ht="15.75" customHeight="1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5.75" customHeight="1" x14ac:dyDescent="0.2"/>
    <row r="2065" ht="12.75" x14ac:dyDescent="0.2"/>
    <row r="2066" ht="12.75" x14ac:dyDescent="0.2"/>
    <row r="2067" ht="21" customHeight="1" x14ac:dyDescent="0.2"/>
    <row r="2068" ht="21" customHeight="1" x14ac:dyDescent="0.2"/>
    <row r="2069" ht="12.75" x14ac:dyDescent="0.2"/>
    <row r="2070" ht="12.75" x14ac:dyDescent="0.2"/>
    <row r="2071" ht="39.75" customHeight="1" x14ac:dyDescent="0.2"/>
    <row r="2072" ht="12.75" x14ac:dyDescent="0.2"/>
    <row r="2073" ht="36" customHeight="1" x14ac:dyDescent="0.2"/>
    <row r="2074" ht="12.75" x14ac:dyDescent="0.2"/>
    <row r="2075" ht="34.5" customHeight="1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50.25" customHeight="1" x14ac:dyDescent="0.2"/>
    <row r="2083" ht="12.75" x14ac:dyDescent="0.2"/>
    <row r="2084" ht="15" customHeight="1" x14ac:dyDescent="0.2"/>
    <row r="2085" ht="12.75" x14ac:dyDescent="0.2"/>
    <row r="2086" ht="48" customHeight="1" x14ac:dyDescent="0.2"/>
    <row r="2087" ht="19.5" customHeight="1" x14ac:dyDescent="0.2"/>
    <row r="2088" ht="15" customHeight="1" x14ac:dyDescent="0.2"/>
    <row r="2089" ht="12.75" customHeight="1" x14ac:dyDescent="0.2"/>
    <row r="2090" ht="23.25" customHeight="1" x14ac:dyDescent="0.2"/>
    <row r="2091" ht="15.75" customHeight="1" x14ac:dyDescent="0.2"/>
    <row r="2092" ht="13.5" customHeight="1" x14ac:dyDescent="0.2"/>
    <row r="2093" ht="12.75" x14ac:dyDescent="0.2"/>
    <row r="2094" ht="12.75" x14ac:dyDescent="0.2"/>
    <row r="2095" ht="14.25" customHeight="1" x14ac:dyDescent="0.2"/>
    <row r="2096" ht="15" customHeight="1" x14ac:dyDescent="0.2"/>
    <row r="2098" ht="17.25" customHeight="1" x14ac:dyDescent="0.2"/>
    <row r="2099" ht="20.25" customHeight="1" x14ac:dyDescent="0.2"/>
    <row r="2100" ht="17.25" customHeight="1" x14ac:dyDescent="0.2"/>
    <row r="2101" ht="12.75" x14ac:dyDescent="0.2"/>
    <row r="2102" ht="51" customHeight="1" x14ac:dyDescent="0.2"/>
    <row r="2103" ht="12.75" x14ac:dyDescent="0.2"/>
    <row r="2104" ht="13.5" customHeight="1" x14ac:dyDescent="0.2"/>
    <row r="2105" ht="12.75" x14ac:dyDescent="0.2"/>
    <row r="2106" ht="18" customHeight="1" x14ac:dyDescent="0.2"/>
    <row r="2107" ht="12.75" x14ac:dyDescent="0.2"/>
    <row r="2108" ht="12.75" x14ac:dyDescent="0.2"/>
    <row r="2109" ht="12.75" x14ac:dyDescent="0.2"/>
    <row r="2110" ht="17.25" customHeight="1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40.5" customHeight="1" x14ac:dyDescent="0.2"/>
    <row r="2119" ht="12.75" x14ac:dyDescent="0.2"/>
    <row r="2120" ht="32.25" customHeight="1" x14ac:dyDescent="0.2"/>
    <row r="2121" ht="25.5" customHeight="1" x14ac:dyDescent="0.2"/>
    <row r="2122" ht="12.75" x14ac:dyDescent="0.2"/>
    <row r="2123" ht="12.75" x14ac:dyDescent="0.2"/>
    <row r="2124" ht="44.25" customHeight="1" x14ac:dyDescent="0.2"/>
    <row r="2125" ht="12.75" x14ac:dyDescent="0.2"/>
    <row r="2126" ht="12.75" x14ac:dyDescent="0.2"/>
    <row r="2127" ht="12.75" x14ac:dyDescent="0.2"/>
    <row r="2128" ht="12.75" x14ac:dyDescent="0.2"/>
    <row r="2129" ht="48" customHeight="1" x14ac:dyDescent="0.2"/>
    <row r="2130" ht="12.75" x14ac:dyDescent="0.2"/>
    <row r="2131" ht="44.25" customHeight="1" x14ac:dyDescent="0.2"/>
    <row r="2132" ht="19.5" customHeight="1" x14ac:dyDescent="0.2"/>
    <row r="2133" ht="15" customHeight="1" x14ac:dyDescent="0.2"/>
    <row r="2134" ht="20.25" customHeight="1" x14ac:dyDescent="0.2"/>
    <row r="2135" ht="12.75" x14ac:dyDescent="0.2"/>
    <row r="2136" ht="21" customHeight="1" x14ac:dyDescent="0.2"/>
    <row r="2137" ht="12.75" x14ac:dyDescent="0.2"/>
    <row r="2138" ht="21" customHeight="1" x14ac:dyDescent="0.2"/>
    <row r="2139" ht="18.75" customHeight="1" x14ac:dyDescent="0.2"/>
    <row r="2140" ht="19.5" customHeight="1" x14ac:dyDescent="0.2"/>
    <row r="2141" ht="12.75" x14ac:dyDescent="0.2"/>
    <row r="2142" ht="12.75" x14ac:dyDescent="0.2"/>
    <row r="2143" ht="12" customHeight="1" x14ac:dyDescent="0.2"/>
    <row r="2144" ht="13.5" customHeight="1" x14ac:dyDescent="0.2"/>
    <row r="2146" ht="19.5" customHeight="1" x14ac:dyDescent="0.2"/>
    <row r="2147" ht="19.5" customHeight="1" x14ac:dyDescent="0.2"/>
    <row r="2148" ht="12.75" x14ac:dyDescent="0.2"/>
    <row r="2149" ht="25.5" customHeight="1" x14ac:dyDescent="0.2"/>
    <row r="2150" ht="46.5" customHeight="1" x14ac:dyDescent="0.2"/>
    <row r="2151" ht="18.75" customHeight="1" x14ac:dyDescent="0.2"/>
    <row r="2152" ht="25.5" customHeight="1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22.5" customHeight="1" x14ac:dyDescent="0.2"/>
    <row r="2159" ht="12.75" x14ac:dyDescent="0.2"/>
    <row r="2160" ht="12.75" x14ac:dyDescent="0.2"/>
    <row r="2161" ht="12.75" x14ac:dyDescent="0.2"/>
    <row r="2162" ht="46.5" customHeight="1" x14ac:dyDescent="0.2"/>
    <row r="2163" ht="12.75" x14ac:dyDescent="0.2"/>
    <row r="2164" ht="12.75" x14ac:dyDescent="0.2"/>
    <row r="2165" ht="12.75" x14ac:dyDescent="0.2"/>
    <row r="2166" ht="47.25" customHeight="1" x14ac:dyDescent="0.2"/>
    <row r="2167" ht="12.75" x14ac:dyDescent="0.2"/>
    <row r="2168" ht="36.75" customHeight="1" x14ac:dyDescent="0.2"/>
    <row r="2169" ht="24" customHeight="1" x14ac:dyDescent="0.2"/>
    <row r="2170" ht="38.25" customHeight="1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53.25" customHeight="1" x14ac:dyDescent="0.2"/>
    <row r="2178" ht="12.75" x14ac:dyDescent="0.2"/>
    <row r="2179" ht="15" customHeight="1" x14ac:dyDescent="0.2"/>
    <row r="2180" ht="20.25" customHeight="1" x14ac:dyDescent="0.2"/>
    <row r="2181" ht="47.25" customHeight="1" x14ac:dyDescent="0.2"/>
    <row r="2182" ht="18.75" customHeight="1" x14ac:dyDescent="0.2"/>
    <row r="2183" ht="15" customHeight="1" x14ac:dyDescent="0.2"/>
    <row r="2184" ht="20.25" customHeight="1" x14ac:dyDescent="0.2"/>
    <row r="2185" ht="20.25" customHeight="1" x14ac:dyDescent="0.2"/>
    <row r="2186" ht="20.25" customHeight="1" x14ac:dyDescent="0.2"/>
    <row r="2187" ht="15.75" customHeight="1" x14ac:dyDescent="0.2"/>
    <row r="2188" ht="12.75" x14ac:dyDescent="0.2"/>
    <row r="2189" ht="12.75" x14ac:dyDescent="0.2"/>
    <row r="2190" ht="13.5" customHeight="1" x14ac:dyDescent="0.2"/>
    <row r="2191" ht="13.5" customHeight="1" x14ac:dyDescent="0.2"/>
    <row r="2193" ht="50.25" customHeight="1" x14ac:dyDescent="0.2"/>
    <row r="2194" ht="12" customHeight="1" x14ac:dyDescent="0.2"/>
    <row r="2195" ht="21" customHeight="1" x14ac:dyDescent="0.2"/>
    <row r="2196" ht="12.75" x14ac:dyDescent="0.2"/>
    <row r="2197" ht="18" customHeight="1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31.5" customHeight="1" x14ac:dyDescent="0.2"/>
    <row r="2212" ht="12.75" x14ac:dyDescent="0.2"/>
    <row r="2213" ht="24.75" customHeight="1" x14ac:dyDescent="0.2"/>
    <row r="2214" ht="12.75" x14ac:dyDescent="0.2"/>
    <row r="2215" ht="12.75" x14ac:dyDescent="0.2"/>
    <row r="2216" ht="12.75" x14ac:dyDescent="0.2"/>
    <row r="2217" ht="26.25" customHeight="1" x14ac:dyDescent="0.2"/>
    <row r="2218" ht="12.75" x14ac:dyDescent="0.2"/>
    <row r="2219" ht="26.25" customHeight="1" x14ac:dyDescent="0.2"/>
    <row r="2220" ht="12.75" x14ac:dyDescent="0.2"/>
    <row r="2221" ht="12.75" x14ac:dyDescent="0.2"/>
    <row r="2222" ht="12.75" x14ac:dyDescent="0.2"/>
    <row r="2223" ht="22.5" customHeight="1" x14ac:dyDescent="0.2"/>
    <row r="2224" ht="12.75" x14ac:dyDescent="0.2"/>
    <row r="2225" ht="12.75" x14ac:dyDescent="0.2"/>
    <row r="2226" ht="12.75" x14ac:dyDescent="0.2"/>
    <row r="2227" ht="39" customHeight="1" x14ac:dyDescent="0.2"/>
    <row r="2228" ht="12.75" x14ac:dyDescent="0.2"/>
    <row r="2229" ht="37.5" customHeight="1" x14ac:dyDescent="0.2"/>
    <row r="2230" ht="22.5" customHeight="1" x14ac:dyDescent="0.2"/>
    <row r="2231" ht="19.5" customHeight="1" x14ac:dyDescent="0.2"/>
    <row r="2232" ht="19.5" customHeight="1" x14ac:dyDescent="0.2"/>
    <row r="2233" ht="19.5" customHeight="1" x14ac:dyDescent="0.2"/>
    <row r="2234" ht="12.75" x14ac:dyDescent="0.2"/>
    <row r="2235" ht="12.75" x14ac:dyDescent="0.2"/>
    <row r="2236" ht="12.75" x14ac:dyDescent="0.2"/>
    <row r="2237" ht="15" customHeight="1" x14ac:dyDescent="0.2"/>
    <row r="2238" ht="52.5" customHeight="1" x14ac:dyDescent="0.2"/>
    <row r="2239" ht="20.25" customHeight="1" x14ac:dyDescent="0.2"/>
    <row r="2240" ht="30" customHeight="1" x14ac:dyDescent="0.2"/>
    <row r="2242" ht="18" customHeight="1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41.25" customHeight="1" x14ac:dyDescent="0.2"/>
    <row r="2260" ht="12.75" x14ac:dyDescent="0.2"/>
    <row r="2261" ht="15" customHeight="1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45" customHeight="1" x14ac:dyDescent="0.2"/>
    <row r="2272" ht="12.75" x14ac:dyDescent="0.2"/>
    <row r="2273" ht="12.75" x14ac:dyDescent="0.2"/>
    <row r="2274" ht="12.75" x14ac:dyDescent="0.2"/>
    <row r="2275" ht="47.25" customHeight="1" x14ac:dyDescent="0.2"/>
    <row r="2276" ht="12" customHeight="1" x14ac:dyDescent="0.2"/>
    <row r="2277" ht="46.5" customHeight="1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6.5" customHeight="1" x14ac:dyDescent="0.2"/>
    <row r="2284" ht="12.75" x14ac:dyDescent="0.2"/>
    <row r="2285" ht="16.5" customHeight="1" x14ac:dyDescent="0.2"/>
    <row r="2286" ht="45" customHeight="1" x14ac:dyDescent="0.2"/>
    <row r="2287" ht="16.5" customHeight="1" x14ac:dyDescent="0.2"/>
    <row r="2288" ht="23.25" customHeight="1" x14ac:dyDescent="0.2"/>
    <row r="2289" ht="16.5" customHeight="1" x14ac:dyDescent="0.2"/>
    <row r="2290" ht="16.5" customHeight="1" x14ac:dyDescent="0.2"/>
    <row r="2291" ht="16.5" customHeight="1" x14ac:dyDescent="0.2"/>
    <row r="2292" ht="16.5" customHeight="1" x14ac:dyDescent="0.2"/>
    <row r="2293" ht="16.5" customHeight="1" x14ac:dyDescent="0.2"/>
    <row r="2294" ht="16.5" customHeight="1" x14ac:dyDescent="0.2"/>
    <row r="2295" ht="16.5" customHeight="1" x14ac:dyDescent="0.2"/>
    <row r="2296" ht="16.5" customHeight="1" x14ac:dyDescent="0.2"/>
    <row r="2297" ht="16.5" customHeight="1" x14ac:dyDescent="0.2"/>
    <row r="2298" ht="16.5" customHeight="1" x14ac:dyDescent="0.2"/>
    <row r="2299" ht="16.5" customHeight="1" x14ac:dyDescent="0.2"/>
    <row r="2300" ht="16.5" customHeight="1" x14ac:dyDescent="0.2"/>
    <row r="2301" ht="16.5" customHeight="1" x14ac:dyDescent="0.2"/>
    <row r="2302" ht="16.5" customHeight="1" x14ac:dyDescent="0.2"/>
    <row r="2303" ht="16.5" customHeight="1" x14ac:dyDescent="0.2"/>
    <row r="2304" ht="48.75" customHeight="1" x14ac:dyDescent="0.2"/>
    <row r="2305" ht="16.5" customHeight="1" x14ac:dyDescent="0.2"/>
    <row r="2306" ht="40.5" customHeight="1" x14ac:dyDescent="0.2"/>
    <row r="2307" ht="16.5" customHeight="1" x14ac:dyDescent="0.2"/>
    <row r="2308" ht="16.5" customHeight="1" x14ac:dyDescent="0.2"/>
    <row r="2309" ht="16.5" customHeight="1" x14ac:dyDescent="0.2"/>
    <row r="2310" ht="16.5" customHeight="1" x14ac:dyDescent="0.2"/>
    <row r="2311" ht="16.5" customHeight="1" x14ac:dyDescent="0.2"/>
    <row r="2312" ht="16.5" customHeight="1" x14ac:dyDescent="0.2"/>
    <row r="2313" ht="16.5" customHeight="1" x14ac:dyDescent="0.2"/>
    <row r="2314" ht="16.5" customHeight="1" x14ac:dyDescent="0.2"/>
    <row r="2315" ht="16.5" customHeight="1" x14ac:dyDescent="0.2"/>
    <row r="2316" ht="21" customHeight="1" x14ac:dyDescent="0.2"/>
    <row r="2317" ht="16.5" customHeight="1" x14ac:dyDescent="0.2"/>
    <row r="2318" ht="16.5" customHeight="1" x14ac:dyDescent="0.2"/>
    <row r="2319" ht="16.5" customHeight="1" x14ac:dyDescent="0.2"/>
    <row r="2320" ht="39" customHeight="1" x14ac:dyDescent="0.2"/>
    <row r="2321" ht="20.25" customHeight="1" x14ac:dyDescent="0.2"/>
    <row r="2322" ht="39" customHeight="1" x14ac:dyDescent="0.2"/>
    <row r="2323" ht="26.25" customHeight="1" x14ac:dyDescent="0.2"/>
    <row r="2324" ht="45" customHeight="1" x14ac:dyDescent="0.2"/>
    <row r="2325" ht="16.5" customHeight="1" x14ac:dyDescent="0.2"/>
    <row r="2326" ht="16.5" customHeight="1" x14ac:dyDescent="0.2"/>
    <row r="2327" ht="18.75" customHeight="1" x14ac:dyDescent="0.2"/>
    <row r="2328" ht="16.5" customHeight="1" x14ac:dyDescent="0.2"/>
    <row r="2329" ht="16.5" customHeight="1" x14ac:dyDescent="0.2"/>
    <row r="2330" ht="16.5" customHeight="1" x14ac:dyDescent="0.2"/>
    <row r="2331" ht="54.75" customHeight="1" x14ac:dyDescent="0.2"/>
    <row r="2332" ht="16.5" customHeight="1" x14ac:dyDescent="0.2"/>
    <row r="2333" ht="16.5" customHeight="1" x14ac:dyDescent="0.2"/>
    <row r="2334" ht="16.5" customHeight="1" x14ac:dyDescent="0.2"/>
    <row r="2335" ht="19.5" customHeight="1" x14ac:dyDescent="0.2"/>
    <row r="2336" ht="16.5" customHeight="1" x14ac:dyDescent="0.2"/>
    <row r="2337" ht="16.5" customHeight="1" x14ac:dyDescent="0.2"/>
    <row r="2338" ht="16.5" customHeight="1" x14ac:dyDescent="0.2"/>
    <row r="2339" ht="16.5" customHeight="1" x14ac:dyDescent="0.2"/>
    <row r="2340" ht="16.5" customHeight="1" x14ac:dyDescent="0.2"/>
    <row r="2341" ht="16.5" customHeight="1" x14ac:dyDescent="0.2"/>
    <row r="2342" ht="16.5" customHeight="1" x14ac:dyDescent="0.2"/>
    <row r="2343" ht="16.5" customHeight="1" x14ac:dyDescent="0.2"/>
    <row r="2344" ht="16.5" customHeight="1" x14ac:dyDescent="0.2"/>
    <row r="2345" ht="16.5" customHeight="1" x14ac:dyDescent="0.2"/>
    <row r="2346" ht="16.5" customHeight="1" x14ac:dyDescent="0.2"/>
    <row r="2347" ht="16.5" customHeight="1" x14ac:dyDescent="0.2"/>
    <row r="2348" ht="16.5" customHeight="1" x14ac:dyDescent="0.2"/>
    <row r="2349" ht="16.5" customHeight="1" x14ac:dyDescent="0.2"/>
    <row r="2350" ht="45" customHeight="1" x14ac:dyDescent="0.2"/>
    <row r="2351" ht="16.5" customHeight="1" x14ac:dyDescent="0.2"/>
    <row r="2352" ht="33" customHeight="1" x14ac:dyDescent="0.2"/>
    <row r="2353" ht="16.5" customHeight="1" x14ac:dyDescent="0.2"/>
    <row r="2354" ht="30.75" customHeight="1" x14ac:dyDescent="0.2"/>
    <row r="2355" ht="16.5" customHeight="1" x14ac:dyDescent="0.2"/>
    <row r="2356" ht="16.5" customHeight="1" x14ac:dyDescent="0.2"/>
    <row r="2357" ht="16.5" customHeight="1" x14ac:dyDescent="0.2"/>
    <row r="2358" ht="16.5" customHeight="1" x14ac:dyDescent="0.2"/>
    <row r="2359" ht="16.5" customHeight="1" x14ac:dyDescent="0.2"/>
    <row r="2360" ht="16.5" customHeight="1" x14ac:dyDescent="0.2"/>
    <row r="2361" ht="16.5" customHeight="1" x14ac:dyDescent="0.2"/>
    <row r="2362" ht="45.75" customHeight="1" x14ac:dyDescent="0.2"/>
    <row r="2363" ht="16.5" customHeight="1" x14ac:dyDescent="0.2"/>
    <row r="2364" ht="16.5" customHeight="1" x14ac:dyDescent="0.2"/>
    <row r="2365" ht="16.5" customHeight="1" x14ac:dyDescent="0.2"/>
    <row r="2366" ht="37.5" customHeight="1" x14ac:dyDescent="0.2"/>
    <row r="2367" ht="11.25" customHeight="1" x14ac:dyDescent="0.2"/>
    <row r="2368" ht="37.5" customHeight="1" x14ac:dyDescent="0.2"/>
    <row r="2369" ht="25.5" customHeight="1" x14ac:dyDescent="0.2"/>
    <row r="2370" ht="40.5" customHeight="1" x14ac:dyDescent="0.2"/>
    <row r="2371" ht="21" hidden="1" customHeight="1" x14ac:dyDescent="0.2"/>
    <row r="2372" ht="41.25" customHeight="1" x14ac:dyDescent="0.2"/>
    <row r="2373" ht="24.75" customHeight="1" x14ac:dyDescent="0.2"/>
    <row r="2374" ht="16.5" customHeight="1" x14ac:dyDescent="0.2"/>
    <row r="2375" ht="16.5" customHeight="1" x14ac:dyDescent="0.2"/>
    <row r="2376" ht="15" customHeight="1" x14ac:dyDescent="0.2"/>
    <row r="2377" ht="49.5" customHeight="1" x14ac:dyDescent="0.2"/>
    <row r="2378" ht="15" customHeight="1" x14ac:dyDescent="0.2"/>
    <row r="2379" ht="15" customHeight="1" x14ac:dyDescent="0.2"/>
    <row r="2380" ht="15" customHeight="1" x14ac:dyDescent="0.2"/>
    <row r="2381" ht="15" customHeight="1" x14ac:dyDescent="0.2"/>
    <row r="2382" ht="15" customHeight="1" x14ac:dyDescent="0.2"/>
    <row r="2383" ht="13.5" customHeight="1" x14ac:dyDescent="0.2"/>
    <row r="2384" ht="1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89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15" customHeight="1" x14ac:dyDescent="0.2"/>
    <row r="2395" ht="15" customHeight="1" x14ac:dyDescent="0.2"/>
    <row r="2396" ht="15" customHeight="1" x14ac:dyDescent="0.2"/>
    <row r="2397" ht="15" customHeight="1" x14ac:dyDescent="0.2"/>
    <row r="2398" ht="40.5" customHeight="1" x14ac:dyDescent="0.2"/>
    <row r="2399" ht="15" customHeight="1" x14ac:dyDescent="0.2"/>
    <row r="2400" ht="33.7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15" customHeight="1" x14ac:dyDescent="0.2"/>
    <row r="2410" ht="44.2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1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45" customHeight="1" x14ac:dyDescent="0.2"/>
    <row r="2427" ht="15" customHeight="1" x14ac:dyDescent="0.2"/>
    <row r="2428" ht="37.5" customHeight="1" x14ac:dyDescent="0.2"/>
    <row r="2429" ht="37.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39" ht="57.7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34.5" customHeight="1" x14ac:dyDescent="0.2"/>
    <row r="2448" ht="15" customHeight="1" x14ac:dyDescent="0.2"/>
    <row r="2449" ht="38.2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4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42.75" customHeight="1" x14ac:dyDescent="0.2"/>
    <row r="2484" ht="15" customHeight="1" x14ac:dyDescent="0.2"/>
    <row r="2485" ht="41.2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48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15" customHeight="1" x14ac:dyDescent="0.2"/>
    <row r="2534" ht="15" customHeight="1" x14ac:dyDescent="0.2"/>
    <row r="2535" ht="37.5" customHeight="1" x14ac:dyDescent="0.2"/>
    <row r="2536" ht="15" customHeight="1" x14ac:dyDescent="0.2"/>
    <row r="2537" ht="42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49.5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72" ht="30" customHeight="1" x14ac:dyDescent="0.2"/>
    <row r="2573" ht="16.5" customHeight="1" x14ac:dyDescent="0.2"/>
    <row r="2574" ht="19.5" customHeight="1" x14ac:dyDescent="0.2"/>
    <row r="2575" ht="30" customHeight="1" x14ac:dyDescent="0.2"/>
    <row r="2576" ht="30" customHeight="1" x14ac:dyDescent="0.2"/>
    <row r="2577" ht="30" customHeight="1" x14ac:dyDescent="0.2"/>
    <row r="2578" ht="30" customHeight="1" x14ac:dyDescent="0.2"/>
    <row r="2579" ht="7.5" customHeight="1" x14ac:dyDescent="0.2"/>
    <row r="2580" ht="9.75" customHeight="1" x14ac:dyDescent="0.2"/>
    <row r="2581" ht="30" customHeight="1" x14ac:dyDescent="0.2"/>
    <row r="2582" ht="30" customHeight="1" x14ac:dyDescent="0.2"/>
    <row r="2583" ht="10.5" customHeight="1" x14ac:dyDescent="0.2"/>
    <row r="2584" ht="18.75" customHeight="1" x14ac:dyDescent="0.2"/>
    <row r="2585" ht="16.5" customHeight="1" x14ac:dyDescent="0.2"/>
    <row r="2586" ht="17.25" customHeight="1" x14ac:dyDescent="0.2"/>
    <row r="2587" ht="30" customHeight="1" x14ac:dyDescent="0.2"/>
    <row r="2588" ht="30" customHeight="1" x14ac:dyDescent="0.2"/>
    <row r="2589" ht="14.25" customHeight="1" x14ac:dyDescent="0.2"/>
    <row r="2590" ht="30" customHeight="1" x14ac:dyDescent="0.2"/>
    <row r="2591" ht="30" customHeight="1" x14ac:dyDescent="0.2"/>
    <row r="2592" ht="44.25" customHeight="1" x14ac:dyDescent="0.2"/>
    <row r="2593" ht="26.25" customHeight="1" x14ac:dyDescent="0.2"/>
    <row r="2594" ht="13.5" customHeight="1" x14ac:dyDescent="0.2"/>
    <row r="2595" ht="6" customHeight="1" x14ac:dyDescent="0.2"/>
    <row r="2596" ht="13.5" hidden="1" customHeight="1" x14ac:dyDescent="0.2"/>
    <row r="2597" ht="30" customHeight="1" x14ac:dyDescent="0.2"/>
    <row r="2598" ht="21" customHeight="1" x14ac:dyDescent="0.2"/>
    <row r="2599" ht="12" customHeight="1" x14ac:dyDescent="0.2"/>
    <row r="2600" ht="30" customHeight="1" x14ac:dyDescent="0.2"/>
    <row r="2601" ht="50.25" customHeight="1" x14ac:dyDescent="0.2"/>
    <row r="2602" ht="30" customHeight="1" x14ac:dyDescent="0.2"/>
    <row r="2603" ht="18" customHeight="1" x14ac:dyDescent="0.2"/>
    <row r="2604" ht="15" customHeight="1" x14ac:dyDescent="0.2"/>
    <row r="2605" ht="15" customHeight="1" x14ac:dyDescent="0.2"/>
    <row r="2606" ht="15" customHeight="1" x14ac:dyDescent="0.2"/>
    <row r="2607" ht="15" customHeight="1" x14ac:dyDescent="0.2"/>
    <row r="2608" ht="15" customHeight="1" x14ac:dyDescent="0.2"/>
    <row r="2609" ht="15" customHeight="1" x14ac:dyDescent="0.2"/>
    <row r="2610" ht="30" customHeight="1" x14ac:dyDescent="0.2"/>
    <row r="2611" ht="30" customHeight="1" x14ac:dyDescent="0.2"/>
    <row r="2612" ht="30" customHeight="1" x14ac:dyDescent="0.2"/>
    <row r="2613" ht="30" customHeight="1" x14ac:dyDescent="0.2"/>
    <row r="2614" ht="30" customHeight="1" x14ac:dyDescent="0.2"/>
    <row r="2615" ht="30" customHeight="1" x14ac:dyDescent="0.2"/>
    <row r="2616" ht="15" customHeight="1" x14ac:dyDescent="0.2"/>
    <row r="2617" ht="15" customHeight="1" x14ac:dyDescent="0.2"/>
    <row r="2618" ht="15" customHeight="1" x14ac:dyDescent="0.2"/>
    <row r="2619" ht="15" customHeight="1" x14ac:dyDescent="0.2"/>
    <row r="2620" ht="15" customHeight="1" x14ac:dyDescent="0.2"/>
    <row r="2621" ht="15" customHeight="1" x14ac:dyDescent="0.2"/>
    <row r="2622" ht="15" customHeight="1" x14ac:dyDescent="0.2"/>
    <row r="2623" ht="15" customHeight="1" x14ac:dyDescent="0.2"/>
    <row r="2624" ht="15" customHeight="1" x14ac:dyDescent="0.2"/>
    <row r="2625" ht="15" customHeight="1" x14ac:dyDescent="0.2"/>
    <row r="2626" ht="15" customHeight="1" x14ac:dyDescent="0.2"/>
    <row r="2627" ht="15" customHeight="1" x14ac:dyDescent="0.2"/>
    <row r="2628" ht="15" customHeight="1" x14ac:dyDescent="0.2"/>
    <row r="2629" ht="15" customHeight="1" x14ac:dyDescent="0.2"/>
    <row r="2630" ht="15" customHeight="1" x14ac:dyDescent="0.2"/>
    <row r="2631" ht="15" customHeight="1" x14ac:dyDescent="0.2"/>
    <row r="2632" ht="35.25" customHeight="1" x14ac:dyDescent="0.2"/>
    <row r="2633" ht="15" customHeight="1" x14ac:dyDescent="0.2"/>
    <row r="2634" ht="36.75" customHeight="1" x14ac:dyDescent="0.2"/>
    <row r="2635" ht="25.5" customHeight="1" x14ac:dyDescent="0.2"/>
    <row r="2636" ht="33" customHeight="1" x14ac:dyDescent="0.2"/>
    <row r="2637" ht="15" customHeight="1" x14ac:dyDescent="0.2"/>
    <row r="2638" ht="15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48" customHeight="1" x14ac:dyDescent="0.2"/>
    <row r="2646" ht="15" customHeight="1" x14ac:dyDescent="0.2"/>
    <row r="2647" ht="15" customHeight="1" x14ac:dyDescent="0.2"/>
    <row r="2648" ht="15" customHeight="1" x14ac:dyDescent="0.2"/>
    <row r="2649" ht="15" customHeight="1" x14ac:dyDescent="0.2"/>
    <row r="2650" ht="15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15" customHeight="1" x14ac:dyDescent="0.2"/>
    <row r="2663" ht="15" customHeight="1" x14ac:dyDescent="0.2"/>
    <row r="2664" ht="30" customHeight="1" x14ac:dyDescent="0.2"/>
    <row r="2665" ht="30" customHeight="1" x14ac:dyDescent="0.2"/>
    <row r="2666" ht="30" customHeight="1" x14ac:dyDescent="0.2"/>
    <row r="2667" ht="30" customHeight="1" x14ac:dyDescent="0.2"/>
    <row r="2668" ht="30" customHeight="1" x14ac:dyDescent="0.2"/>
    <row r="2669" ht="30" customHeight="1" x14ac:dyDescent="0.2"/>
    <row r="2670" ht="30" customHeight="1" x14ac:dyDescent="0.2"/>
    <row r="2671" ht="30" customHeight="1" x14ac:dyDescent="0.2"/>
    <row r="2672" ht="30" customHeight="1" x14ac:dyDescent="0.2"/>
    <row r="2673" ht="30" customHeight="1" x14ac:dyDescent="0.2"/>
    <row r="2674" ht="30" customHeight="1" x14ac:dyDescent="0.2"/>
    <row r="2675" ht="30" customHeight="1" x14ac:dyDescent="0.2"/>
    <row r="2676" ht="30" customHeight="1" x14ac:dyDescent="0.2"/>
    <row r="2677" ht="30" customHeight="1" x14ac:dyDescent="0.2"/>
    <row r="2678" ht="30" customHeight="1" x14ac:dyDescent="0.2"/>
    <row r="2679" ht="30" customHeight="1" x14ac:dyDescent="0.2"/>
    <row r="2680" ht="30" customHeight="1" x14ac:dyDescent="0.2"/>
    <row r="2681" ht="30" customHeight="1" x14ac:dyDescent="0.2"/>
    <row r="2682" ht="30" customHeight="1" x14ac:dyDescent="0.2"/>
    <row r="2683" ht="30" customHeight="1" x14ac:dyDescent="0.2"/>
    <row r="2684" ht="30" customHeight="1" x14ac:dyDescent="0.2"/>
    <row r="2685" ht="30" customHeight="1" x14ac:dyDescent="0.2"/>
    <row r="2686" ht="30" customHeight="1" x14ac:dyDescent="0.2"/>
    <row r="2687" ht="30" customHeight="1" x14ac:dyDescent="0.2"/>
    <row r="2688" ht="30" customHeight="1" x14ac:dyDescent="0.2"/>
    <row r="2689" ht="30" customHeight="1" x14ac:dyDescent="0.2"/>
    <row r="2690" ht="30" customHeight="1" x14ac:dyDescent="0.2"/>
    <row r="2691" ht="30" customHeight="1" x14ac:dyDescent="0.2"/>
    <row r="2692" ht="30" customHeight="1" x14ac:dyDescent="0.2"/>
    <row r="2693" ht="30" customHeight="1" x14ac:dyDescent="0.2"/>
    <row r="2694" ht="30" customHeight="1" x14ac:dyDescent="0.2"/>
    <row r="2695" ht="30" customHeight="1" x14ac:dyDescent="0.2"/>
    <row r="2696" ht="30" customHeight="1" x14ac:dyDescent="0.2"/>
    <row r="2697" ht="30" customHeight="1" x14ac:dyDescent="0.2"/>
    <row r="2698" ht="30" customHeight="1" x14ac:dyDescent="0.2"/>
    <row r="2699" ht="30" customHeight="1" x14ac:dyDescent="0.2"/>
    <row r="2700" ht="30" customHeight="1" x14ac:dyDescent="0.2"/>
    <row r="2701" ht="30" customHeight="1" x14ac:dyDescent="0.2"/>
    <row r="2702" ht="30" customHeight="1" x14ac:dyDescent="0.2"/>
    <row r="2703" ht="30" customHeight="1" x14ac:dyDescent="0.2"/>
    <row r="2704" ht="30" customHeight="1" x14ac:dyDescent="0.2"/>
    <row r="2705" ht="30" customHeight="1" x14ac:dyDescent="0.2"/>
    <row r="2706" ht="30" customHeight="1" x14ac:dyDescent="0.2"/>
    <row r="2707" ht="30" customHeight="1" x14ac:dyDescent="0.2"/>
    <row r="2708" ht="30" customHeight="1" x14ac:dyDescent="0.2"/>
    <row r="2709" ht="30" customHeight="1" x14ac:dyDescent="0.2"/>
    <row r="2710" ht="30" customHeight="1" x14ac:dyDescent="0.2"/>
    <row r="2711" ht="30" customHeight="1" x14ac:dyDescent="0.2"/>
    <row r="2712" ht="30" customHeight="1" x14ac:dyDescent="0.2"/>
    <row r="2713" ht="30" customHeight="1" x14ac:dyDescent="0.2"/>
    <row r="2714" ht="30" customHeight="1" x14ac:dyDescent="0.2"/>
    <row r="2715" ht="30" customHeight="1" x14ac:dyDescent="0.2"/>
    <row r="2716" ht="30" customHeight="1" x14ac:dyDescent="0.2"/>
    <row r="2717" ht="30" customHeight="1" x14ac:dyDescent="0.2"/>
    <row r="2718" ht="30" customHeight="1" x14ac:dyDescent="0.2"/>
    <row r="2719" ht="30" customHeight="1" x14ac:dyDescent="0.2"/>
    <row r="2720" ht="30" customHeight="1" x14ac:dyDescent="0.2"/>
    <row r="2721" ht="30" customHeight="1" x14ac:dyDescent="0.2"/>
    <row r="2722" ht="30" customHeight="1" x14ac:dyDescent="0.2"/>
  </sheetData>
  <mergeCells count="67">
    <mergeCell ref="A7:L7"/>
    <mergeCell ref="A17:L17"/>
    <mergeCell ref="B19:L19"/>
    <mergeCell ref="C21:F21"/>
    <mergeCell ref="B26:L26"/>
    <mergeCell ref="A28:L28"/>
    <mergeCell ref="A94:L94"/>
    <mergeCell ref="A104:L104"/>
    <mergeCell ref="B106:L106"/>
    <mergeCell ref="C108:F108"/>
    <mergeCell ref="A71:L71"/>
    <mergeCell ref="J74:L74"/>
    <mergeCell ref="J31:L31"/>
    <mergeCell ref="A50:L50"/>
    <mergeCell ref="A60:L60"/>
    <mergeCell ref="B62:L62"/>
    <mergeCell ref="C64:F64"/>
    <mergeCell ref="B69:L69"/>
    <mergeCell ref="B113:L113"/>
    <mergeCell ref="A115:L115"/>
    <mergeCell ref="A157:L157"/>
    <mergeCell ref="J160:L160"/>
    <mergeCell ref="J118:L118"/>
    <mergeCell ref="A136:L136"/>
    <mergeCell ref="A146:L146"/>
    <mergeCell ref="B148:L148"/>
    <mergeCell ref="C150:F150"/>
    <mergeCell ref="B155:L155"/>
    <mergeCell ref="J201:L201"/>
    <mergeCell ref="A177:L177"/>
    <mergeCell ref="A187:L187"/>
    <mergeCell ref="B189:L189"/>
    <mergeCell ref="C191:F191"/>
    <mergeCell ref="B196:L196"/>
    <mergeCell ref="A198:L198"/>
    <mergeCell ref="A218:L218"/>
    <mergeCell ref="A228:L228"/>
    <mergeCell ref="B230:L230"/>
    <mergeCell ref="C232:F232"/>
    <mergeCell ref="B237:L237"/>
    <mergeCell ref="A239:L239"/>
    <mergeCell ref="A281:L281"/>
    <mergeCell ref="J284:L284"/>
    <mergeCell ref="J242:L242"/>
    <mergeCell ref="A260:L260"/>
    <mergeCell ref="A270:L270"/>
    <mergeCell ref="B272:L272"/>
    <mergeCell ref="C274:F274"/>
    <mergeCell ref="B279:L279"/>
    <mergeCell ref="A304:L304"/>
    <mergeCell ref="A314:L314"/>
    <mergeCell ref="B316:L316"/>
    <mergeCell ref="C318:F318"/>
    <mergeCell ref="C319:D319"/>
    <mergeCell ref="F319:H319"/>
    <mergeCell ref="B324:L324"/>
    <mergeCell ref="A326:L326"/>
    <mergeCell ref="J329:L329"/>
    <mergeCell ref="A349:L349"/>
    <mergeCell ref="A359:L359"/>
    <mergeCell ref="A371:L371"/>
    <mergeCell ref="J374:L374"/>
    <mergeCell ref="B361:L361"/>
    <mergeCell ref="C363:F363"/>
    <mergeCell ref="C364:D364"/>
    <mergeCell ref="F364:H364"/>
    <mergeCell ref="B369:L369"/>
  </mergeCells>
  <pageMargins left="0.5" right="0.2" top="0.75" bottom="1" header="0.5" footer="0.5"/>
  <pageSetup paperSize="5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733"/>
  <sheetViews>
    <sheetView topLeftCell="A286"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8554687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4.25" customHeight="1" x14ac:dyDescent="0.2"/>
    <row r="2" spans="1:12" ht="12" customHeight="1" x14ac:dyDescent="0.2"/>
    <row r="3" spans="1:12" ht="13.5" customHeight="1" x14ac:dyDescent="0.2"/>
    <row r="4" spans="1:12" ht="15" customHeight="1" x14ac:dyDescent="0.25">
      <c r="A4" s="3" t="s">
        <v>22</v>
      </c>
    </row>
    <row r="5" spans="1:12" ht="15" customHeight="1" x14ac:dyDescent="0.2">
      <c r="A5" s="122" t="s">
        <v>20</v>
      </c>
    </row>
    <row r="6" spans="1:12" ht="27" customHeight="1" x14ac:dyDescent="0.2">
      <c r="A6" s="122" t="s">
        <v>21</v>
      </c>
    </row>
    <row r="7" spans="1:12" ht="22.5" customHeight="1" x14ac:dyDescent="0.2"/>
    <row r="8" spans="1:12" ht="13.5" customHeight="1" x14ac:dyDescent="0.2"/>
    <row r="9" spans="1:12" ht="30" customHeight="1" x14ac:dyDescent="0.2"/>
    <row r="10" spans="1:12" ht="27.75" customHeight="1" x14ac:dyDescent="0.3">
      <c r="A10" s="276" t="s">
        <v>6</v>
      </c>
      <c r="B10" s="276"/>
      <c r="C10" s="276"/>
      <c r="D10" s="276"/>
      <c r="E10" s="276"/>
      <c r="F10" s="276"/>
      <c r="G10" s="276"/>
      <c r="H10" s="276"/>
      <c r="I10" s="276"/>
      <c r="J10" s="276"/>
      <c r="K10" s="276"/>
      <c r="L10" s="276"/>
    </row>
    <row r="11" spans="1:12" ht="12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" customHeigh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 ht="15" customHeight="1" x14ac:dyDescent="0.25">
      <c r="A13" s="1"/>
      <c r="B13" s="1"/>
    </row>
    <row r="14" spans="1:12" ht="13.5" customHeight="1" x14ac:dyDescent="0.25">
      <c r="A14" s="1" t="s">
        <v>7</v>
      </c>
      <c r="B14" s="1"/>
    </row>
    <row r="15" spans="1:12" ht="15" customHeight="1" x14ac:dyDescent="0.25">
      <c r="A15" s="1"/>
      <c r="B15" s="1"/>
    </row>
    <row r="16" spans="1:12" ht="13.5" customHeight="1" x14ac:dyDescent="0.25">
      <c r="A16" s="1" t="s">
        <v>8</v>
      </c>
      <c r="C16" s="9" t="s">
        <v>1</v>
      </c>
      <c r="D16" s="92" t="s">
        <v>96</v>
      </c>
      <c r="E16" s="76"/>
      <c r="F16" s="76"/>
      <c r="G16" s="76"/>
      <c r="H16" s="76"/>
    </row>
    <row r="17" spans="1:12" s="76" customFormat="1" ht="15" customHeight="1" x14ac:dyDescent="0.25">
      <c r="A17" s="1" t="s">
        <v>9</v>
      </c>
      <c r="B17" s="4"/>
      <c r="C17" s="9" t="s">
        <v>1</v>
      </c>
      <c r="D17" s="57" t="s">
        <v>200</v>
      </c>
      <c r="I17" s="4"/>
      <c r="J17" s="4"/>
      <c r="K17" s="4"/>
      <c r="L17" s="4"/>
    </row>
    <row r="18" spans="1:12" ht="16.5" customHeight="1" x14ac:dyDescent="0.2">
      <c r="A18" s="50" t="s">
        <v>10</v>
      </c>
      <c r="B18" s="76"/>
      <c r="C18" s="91" t="s">
        <v>1</v>
      </c>
      <c r="D18" s="50" t="s">
        <v>203</v>
      </c>
      <c r="E18" s="76"/>
      <c r="F18" s="76"/>
      <c r="G18" s="76"/>
      <c r="H18" s="76"/>
      <c r="I18" s="76"/>
      <c r="J18" s="76"/>
      <c r="K18" s="76"/>
      <c r="L18" s="76"/>
    </row>
    <row r="19" spans="1:12" ht="15.75" customHeight="1" x14ac:dyDescent="0.25">
      <c r="A19" s="1"/>
      <c r="B19" s="1"/>
      <c r="D19" s="1"/>
    </row>
    <row r="20" spans="1:12" ht="38.25" customHeight="1" x14ac:dyDescent="0.2">
      <c r="A20" s="277" t="s">
        <v>297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</row>
    <row r="21" spans="1:12" ht="20.25" customHeight="1" x14ac:dyDescent="0.25">
      <c r="A21" s="1"/>
      <c r="B21" s="1"/>
    </row>
    <row r="22" spans="1:12" ht="37.5" customHeight="1" thickBot="1" x14ac:dyDescent="0.25">
      <c r="A22" s="10" t="s">
        <v>0</v>
      </c>
      <c r="B22" s="278" t="s">
        <v>91</v>
      </c>
      <c r="C22" s="278"/>
      <c r="D22" s="278"/>
      <c r="E22" s="278"/>
      <c r="F22" s="278"/>
      <c r="G22" s="278"/>
      <c r="H22" s="278"/>
      <c r="I22" s="278"/>
      <c r="J22" s="278"/>
      <c r="K22" s="278"/>
      <c r="L22" s="278"/>
    </row>
    <row r="23" spans="1:12" ht="34.5" customHeight="1" thickTop="1" x14ac:dyDescent="0.25">
      <c r="A23" s="1"/>
      <c r="B23" s="11" t="s">
        <v>3</v>
      </c>
      <c r="C23" s="12" t="s">
        <v>4</v>
      </c>
      <c r="D23" s="13"/>
      <c r="E23" s="13"/>
      <c r="F23" s="13"/>
      <c r="G23" s="13"/>
      <c r="H23" s="14"/>
      <c r="I23" s="15" t="s">
        <v>5</v>
      </c>
      <c r="J23" s="12" t="s">
        <v>17</v>
      </c>
      <c r="K23" s="13"/>
      <c r="L23" s="14"/>
    </row>
    <row r="24" spans="1:12" ht="26.25" customHeight="1" x14ac:dyDescent="0.2">
      <c r="A24" s="50"/>
      <c r="B24" s="100">
        <v>1</v>
      </c>
      <c r="C24" s="281" t="s">
        <v>298</v>
      </c>
      <c r="D24" s="282"/>
      <c r="E24" s="282"/>
      <c r="F24" s="282"/>
      <c r="G24" s="50"/>
      <c r="H24" s="55"/>
      <c r="I24" s="56">
        <v>1098300</v>
      </c>
      <c r="J24" s="50"/>
      <c r="K24" s="50"/>
      <c r="L24" s="55"/>
    </row>
    <row r="25" spans="1:12" ht="12.75" customHeight="1" x14ac:dyDescent="0.2">
      <c r="B25" s="16"/>
      <c r="H25" s="17"/>
      <c r="I25" s="19"/>
      <c r="L25" s="17"/>
    </row>
    <row r="26" spans="1:12" ht="24" customHeight="1" x14ac:dyDescent="0.2">
      <c r="B26" s="20"/>
      <c r="C26" s="21"/>
      <c r="D26" s="21"/>
      <c r="E26" s="21"/>
      <c r="F26" s="21"/>
      <c r="G26" s="21"/>
      <c r="H26" s="22"/>
      <c r="I26" s="23"/>
      <c r="J26" s="21"/>
      <c r="K26" s="21"/>
      <c r="L26" s="22"/>
    </row>
    <row r="27" spans="1:12" ht="12.75" customHeight="1" x14ac:dyDescent="0.25">
      <c r="A27" s="1"/>
      <c r="B27" s="39"/>
      <c r="C27" s="1"/>
      <c r="D27" s="1"/>
      <c r="E27" s="1"/>
      <c r="F27" s="40" t="s">
        <v>5</v>
      </c>
      <c r="G27" s="40"/>
      <c r="H27" s="1"/>
      <c r="I27" s="41">
        <f>SUM(I24:I24)</f>
        <v>1098300</v>
      </c>
      <c r="J27" s="1"/>
      <c r="K27" s="1"/>
      <c r="L27" s="42"/>
    </row>
    <row r="28" spans="1:12" ht="15" customHeight="1" thickBot="1" x14ac:dyDescent="0.3">
      <c r="A28" s="1"/>
      <c r="B28" s="43"/>
      <c r="C28" s="44"/>
      <c r="D28" s="44"/>
      <c r="E28" s="44"/>
      <c r="F28" s="45"/>
      <c r="G28" s="45"/>
      <c r="H28" s="44"/>
      <c r="I28" s="46"/>
      <c r="J28" s="44"/>
      <c r="K28" s="44"/>
      <c r="L28" s="47"/>
    </row>
    <row r="29" spans="1:12" ht="18.75" customHeight="1" thickTop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50.25" customHeight="1" x14ac:dyDescent="0.2">
      <c r="A30" s="10" t="s">
        <v>2</v>
      </c>
      <c r="B30" s="279" t="s">
        <v>11</v>
      </c>
      <c r="C30" s="279"/>
      <c r="D30" s="279"/>
      <c r="E30" s="279"/>
      <c r="F30" s="279"/>
      <c r="G30" s="279"/>
      <c r="H30" s="279"/>
      <c r="I30" s="279"/>
      <c r="J30" s="279"/>
      <c r="K30" s="279"/>
      <c r="L30" s="279"/>
    </row>
    <row r="31" spans="1:12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 customHeight="1" x14ac:dyDescent="0.2">
      <c r="A32" s="280" t="s">
        <v>12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</row>
    <row r="33" spans="1:12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4" t="s">
        <v>199</v>
      </c>
      <c r="J35" s="286" t="s">
        <v>299</v>
      </c>
      <c r="K35" s="286"/>
      <c r="L35" s="286"/>
    </row>
    <row r="36" spans="1:12" ht="15" x14ac:dyDescent="0.25">
      <c r="A36" s="1"/>
      <c r="B36" s="1" t="s">
        <v>15</v>
      </c>
      <c r="C36" s="1"/>
      <c r="D36" s="1"/>
      <c r="E36" s="1"/>
      <c r="F36" s="1"/>
      <c r="G36" s="1"/>
      <c r="H36" s="4" t="s">
        <v>13</v>
      </c>
    </row>
    <row r="37" spans="1:12" ht="15" x14ac:dyDescent="0.25">
      <c r="A37" s="1"/>
      <c r="B37" s="1" t="s">
        <v>18</v>
      </c>
      <c r="C37" s="1"/>
      <c r="D37" s="1"/>
      <c r="E37" s="1"/>
      <c r="F37" s="1"/>
      <c r="G37" s="1"/>
      <c r="H37" s="4" t="s">
        <v>14</v>
      </c>
    </row>
    <row r="38" spans="1:12" ht="18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8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x14ac:dyDescent="0.25">
      <c r="A40" s="1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"/>
    </row>
    <row r="41" spans="1:12" ht="15" x14ac:dyDescent="0.25">
      <c r="A41" s="1"/>
      <c r="K41" s="103"/>
      <c r="L41" s="1"/>
    </row>
    <row r="42" spans="1:12" ht="15" x14ac:dyDescent="0.25">
      <c r="A42" s="1"/>
      <c r="B42" s="95" t="s">
        <v>77</v>
      </c>
      <c r="H42" s="95" t="s">
        <v>96</v>
      </c>
      <c r="I42" s="95"/>
      <c r="J42" s="92"/>
      <c r="K42" s="103"/>
      <c r="L42" s="1"/>
    </row>
    <row r="43" spans="1:12" ht="15" x14ac:dyDescent="0.25">
      <c r="A43" s="1"/>
      <c r="B43" s="99" t="s">
        <v>27</v>
      </c>
      <c r="C43" s="57"/>
      <c r="H43" s="99" t="s">
        <v>100</v>
      </c>
      <c r="K43" s="103"/>
    </row>
    <row r="44" spans="1:12" ht="12.75" x14ac:dyDescent="0.2"/>
    <row r="45" spans="1:12" ht="14.25" customHeight="1" x14ac:dyDescent="0.2"/>
    <row r="46" spans="1:12" ht="14.25" customHeight="1" x14ac:dyDescent="0.2"/>
    <row r="47" spans="1:12" ht="15" customHeight="1" x14ac:dyDescent="0.2"/>
    <row r="48" spans="1:12" ht="15" customHeight="1" x14ac:dyDescent="0.2"/>
    <row r="49" spans="1:12" ht="18.75" customHeight="1" x14ac:dyDescent="0.25">
      <c r="A49" s="3" t="s">
        <v>22</v>
      </c>
    </row>
    <row r="50" spans="1:12" ht="15" customHeight="1" x14ac:dyDescent="0.2">
      <c r="A50" s="122" t="s">
        <v>20</v>
      </c>
    </row>
    <row r="51" spans="1:12" ht="15" customHeight="1" x14ac:dyDescent="0.2">
      <c r="A51" s="122" t="s">
        <v>21</v>
      </c>
    </row>
    <row r="52" spans="1:12" ht="15" customHeight="1" x14ac:dyDescent="0.2"/>
    <row r="53" spans="1:12" ht="18.75" customHeight="1" x14ac:dyDescent="0.2"/>
    <row r="54" spans="1:12" ht="15" customHeight="1" x14ac:dyDescent="0.2"/>
    <row r="55" spans="1:12" ht="15" customHeight="1" x14ac:dyDescent="0.3">
      <c r="A55" s="276" t="s">
        <v>6</v>
      </c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</row>
    <row r="56" spans="1:12" ht="30.75" customHeight="1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18.75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ht="12.75" customHeight="1" x14ac:dyDescent="0.25">
      <c r="A58" s="1"/>
      <c r="B58" s="1"/>
    </row>
    <row r="59" spans="1:12" ht="16.5" customHeight="1" x14ac:dyDescent="0.25">
      <c r="A59" s="1" t="s">
        <v>7</v>
      </c>
      <c r="B59" s="1"/>
    </row>
    <row r="60" spans="1:12" ht="18.75" customHeight="1" x14ac:dyDescent="0.25">
      <c r="A60" s="1"/>
      <c r="B60" s="1"/>
    </row>
    <row r="61" spans="1:12" ht="14.25" customHeight="1" x14ac:dyDescent="0.25">
      <c r="A61" s="1" t="s">
        <v>8</v>
      </c>
      <c r="C61" s="9" t="s">
        <v>1</v>
      </c>
      <c r="D61" s="92" t="s">
        <v>77</v>
      </c>
      <c r="E61" s="76"/>
      <c r="F61" s="76"/>
      <c r="G61" s="76"/>
      <c r="H61" s="76"/>
    </row>
    <row r="62" spans="1:12" ht="12.75" customHeight="1" x14ac:dyDescent="0.25">
      <c r="A62" s="1" t="s">
        <v>9</v>
      </c>
      <c r="C62" s="9" t="s">
        <v>1</v>
      </c>
      <c r="D62" s="57" t="s">
        <v>201</v>
      </c>
      <c r="E62" s="76"/>
      <c r="F62" s="76"/>
      <c r="G62" s="76"/>
      <c r="H62" s="76"/>
    </row>
    <row r="63" spans="1:12" ht="20.25" customHeight="1" x14ac:dyDescent="0.2">
      <c r="A63" s="50" t="s">
        <v>10</v>
      </c>
      <c r="B63" s="76"/>
      <c r="C63" s="91" t="s">
        <v>1</v>
      </c>
      <c r="D63" s="50" t="s">
        <v>265</v>
      </c>
      <c r="E63" s="76"/>
      <c r="F63" s="76"/>
      <c r="G63" s="76"/>
      <c r="H63" s="76"/>
      <c r="I63" s="76"/>
      <c r="J63" s="76"/>
      <c r="K63" s="76"/>
      <c r="L63" s="76"/>
    </row>
    <row r="64" spans="1:12" ht="13.5" customHeight="1" x14ac:dyDescent="0.25">
      <c r="A64" s="1"/>
      <c r="B64" s="1"/>
      <c r="D64" s="1"/>
    </row>
    <row r="65" spans="1:12" ht="35.25" customHeight="1" x14ac:dyDescent="0.2">
      <c r="A65" s="277" t="s">
        <v>297</v>
      </c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</row>
    <row r="66" spans="1:12" ht="15" customHeight="1" x14ac:dyDescent="0.25">
      <c r="A66" s="1"/>
      <c r="B66" s="1"/>
    </row>
    <row r="67" spans="1:12" ht="31.5" customHeight="1" thickBot="1" x14ac:dyDescent="0.25">
      <c r="A67" s="10" t="s">
        <v>0</v>
      </c>
      <c r="B67" s="278" t="s">
        <v>91</v>
      </c>
      <c r="C67" s="278"/>
      <c r="D67" s="278"/>
      <c r="E67" s="278"/>
      <c r="F67" s="278"/>
      <c r="G67" s="278"/>
      <c r="H67" s="278"/>
      <c r="I67" s="278"/>
      <c r="J67" s="278"/>
      <c r="K67" s="278"/>
      <c r="L67" s="278"/>
    </row>
    <row r="68" spans="1:12" ht="27" customHeight="1" thickTop="1" x14ac:dyDescent="0.25">
      <c r="A68" s="1"/>
      <c r="B68" s="11" t="s">
        <v>3</v>
      </c>
      <c r="C68" s="12" t="s">
        <v>4</v>
      </c>
      <c r="D68" s="13"/>
      <c r="E68" s="13"/>
      <c r="F68" s="13"/>
      <c r="G68" s="13"/>
      <c r="H68" s="14"/>
      <c r="I68" s="15" t="s">
        <v>5</v>
      </c>
      <c r="J68" s="12" t="s">
        <v>17</v>
      </c>
      <c r="K68" s="13"/>
      <c r="L68" s="14"/>
    </row>
    <row r="69" spans="1:12" ht="24" customHeight="1" x14ac:dyDescent="0.2">
      <c r="A69" s="50"/>
      <c r="B69" s="100">
        <v>1</v>
      </c>
      <c r="C69" s="281" t="s">
        <v>298</v>
      </c>
      <c r="D69" s="282"/>
      <c r="E69" s="282"/>
      <c r="F69" s="282"/>
      <c r="G69" s="50"/>
      <c r="H69" s="55"/>
      <c r="I69" s="56">
        <v>1098300</v>
      </c>
      <c r="J69" s="50"/>
      <c r="K69" s="50"/>
      <c r="L69" s="55"/>
    </row>
    <row r="70" spans="1:12" ht="29.25" customHeight="1" x14ac:dyDescent="0.2">
      <c r="B70" s="16"/>
      <c r="H70" s="17"/>
      <c r="I70" s="19"/>
      <c r="L70" s="17"/>
    </row>
    <row r="71" spans="1:12" ht="12.75" x14ac:dyDescent="0.2">
      <c r="B71" s="20"/>
      <c r="C71" s="21"/>
      <c r="D71" s="21"/>
      <c r="E71" s="21"/>
      <c r="F71" s="21"/>
      <c r="G71" s="21"/>
      <c r="H71" s="22"/>
      <c r="I71" s="23"/>
      <c r="J71" s="21"/>
      <c r="K71" s="21"/>
      <c r="L71" s="22"/>
    </row>
    <row r="72" spans="1:12" ht="15" x14ac:dyDescent="0.25">
      <c r="A72" s="1"/>
      <c r="B72" s="39"/>
      <c r="C72" s="1"/>
      <c r="D72" s="1"/>
      <c r="E72" s="1"/>
      <c r="F72" s="40" t="s">
        <v>5</v>
      </c>
      <c r="G72" s="40"/>
      <c r="H72" s="1"/>
      <c r="I72" s="41">
        <f>SUM(I69:I69)</f>
        <v>1098300</v>
      </c>
      <c r="J72" s="1"/>
      <c r="K72" s="1"/>
      <c r="L72" s="42"/>
    </row>
    <row r="73" spans="1:12" ht="6.75" customHeight="1" thickBot="1" x14ac:dyDescent="0.3">
      <c r="A73" s="1"/>
      <c r="B73" s="43"/>
      <c r="C73" s="44"/>
      <c r="D73" s="44"/>
      <c r="E73" s="44"/>
      <c r="F73" s="45"/>
      <c r="G73" s="45"/>
      <c r="H73" s="44"/>
      <c r="I73" s="46"/>
      <c r="J73" s="44"/>
      <c r="K73" s="44"/>
      <c r="L73" s="47"/>
    </row>
    <row r="74" spans="1:12" ht="15.75" thickTop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46.5" customHeight="1" x14ac:dyDescent="0.2">
      <c r="A75" s="10" t="s">
        <v>2</v>
      </c>
      <c r="B75" s="279" t="s">
        <v>11</v>
      </c>
      <c r="C75" s="279"/>
      <c r="D75" s="279"/>
      <c r="E75" s="279"/>
      <c r="F75" s="279"/>
      <c r="G75" s="279"/>
      <c r="H75" s="279"/>
      <c r="I75" s="279"/>
      <c r="J75" s="279"/>
      <c r="K75" s="279"/>
      <c r="L75" s="279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customHeight="1" x14ac:dyDescent="0.2">
      <c r="A77" s="280" t="s">
        <v>12</v>
      </c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</row>
    <row r="78" spans="1:12" ht="1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customHeight="1" x14ac:dyDescent="0.25">
      <c r="A80" s="1"/>
      <c r="B80" s="1"/>
      <c r="C80" s="1"/>
      <c r="D80" s="1"/>
      <c r="E80" s="1"/>
      <c r="F80" s="1"/>
      <c r="G80" s="1"/>
      <c r="H80" s="4" t="s">
        <v>199</v>
      </c>
      <c r="J80" s="286" t="s">
        <v>299</v>
      </c>
      <c r="K80" s="286"/>
      <c r="L80" s="286"/>
    </row>
    <row r="81" spans="1:12" ht="15" x14ac:dyDescent="0.25">
      <c r="A81" s="1"/>
      <c r="B81" s="1" t="s">
        <v>15</v>
      </c>
      <c r="C81" s="1"/>
      <c r="D81" s="1"/>
      <c r="E81" s="1"/>
      <c r="F81" s="1"/>
      <c r="G81" s="1"/>
      <c r="H81" s="4" t="s">
        <v>13</v>
      </c>
    </row>
    <row r="82" spans="1:12" ht="15" customHeight="1" x14ac:dyDescent="0.25">
      <c r="A82" s="1"/>
      <c r="B82" s="1" t="s">
        <v>18</v>
      </c>
      <c r="C82" s="1"/>
      <c r="D82" s="1"/>
      <c r="E82" s="1"/>
      <c r="F82" s="1"/>
      <c r="G82" s="1"/>
      <c r="H82" s="4" t="s">
        <v>14</v>
      </c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21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"/>
    </row>
    <row r="86" spans="1:12" ht="15" x14ac:dyDescent="0.25">
      <c r="A86" s="1"/>
      <c r="K86" s="103"/>
      <c r="L86" s="1"/>
    </row>
    <row r="87" spans="1:12" ht="15" x14ac:dyDescent="0.25">
      <c r="A87" s="1"/>
      <c r="B87" s="95" t="s">
        <v>77</v>
      </c>
      <c r="H87" s="95" t="s">
        <v>77</v>
      </c>
      <c r="I87" s="95"/>
      <c r="J87" s="92"/>
      <c r="K87" s="103"/>
      <c r="L87" s="1"/>
    </row>
    <row r="88" spans="1:12" ht="15" x14ac:dyDescent="0.25">
      <c r="A88" s="1"/>
      <c r="B88" s="99" t="s">
        <v>27</v>
      </c>
      <c r="C88" s="57"/>
      <c r="H88" s="99" t="s">
        <v>27</v>
      </c>
      <c r="K88" s="103"/>
    </row>
    <row r="89" spans="1:12" ht="12.75" x14ac:dyDescent="0.2"/>
    <row r="90" spans="1:12" ht="12.75" x14ac:dyDescent="0.2"/>
    <row r="91" spans="1:12" ht="12.75" x14ac:dyDescent="0.2"/>
    <row r="92" spans="1:12" ht="12.75" x14ac:dyDescent="0.2"/>
    <row r="93" spans="1:12" ht="12.75" x14ac:dyDescent="0.2"/>
    <row r="94" spans="1:12" ht="18" customHeight="1" x14ac:dyDescent="0.2"/>
    <row r="95" spans="1:12" ht="23.25" customHeight="1" x14ac:dyDescent="0.25">
      <c r="A95" s="3" t="s">
        <v>22</v>
      </c>
    </row>
    <row r="96" spans="1:12" ht="18.75" customHeight="1" x14ac:dyDescent="0.2">
      <c r="A96" s="122" t="s">
        <v>20</v>
      </c>
    </row>
    <row r="97" spans="1:12" ht="14.25" customHeight="1" x14ac:dyDescent="0.2">
      <c r="A97" s="122" t="s">
        <v>21</v>
      </c>
    </row>
    <row r="98" spans="1:12" ht="21" customHeight="1" x14ac:dyDescent="0.2"/>
    <row r="99" spans="1:12" ht="15" customHeight="1" x14ac:dyDescent="0.2"/>
    <row r="100" spans="1:12" ht="18.75" customHeight="1" x14ac:dyDescent="0.2"/>
    <row r="101" spans="1:12" ht="19.5" customHeight="1" x14ac:dyDescent="0.3">
      <c r="A101" s="276" t="s">
        <v>6</v>
      </c>
      <c r="B101" s="276"/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</row>
    <row r="102" spans="1:12" ht="18.75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</row>
    <row r="103" spans="1:12" ht="17.25" customHeight="1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</row>
    <row r="104" spans="1:12" ht="28.5" hidden="1" customHeight="1" x14ac:dyDescent="0.25">
      <c r="A104" s="1"/>
      <c r="B104" s="1"/>
    </row>
    <row r="105" spans="1:12" ht="13.5" customHeight="1" x14ac:dyDescent="0.25">
      <c r="A105" s="1" t="s">
        <v>7</v>
      </c>
      <c r="B105" s="1"/>
    </row>
    <row r="106" spans="1:12" ht="7.5" customHeight="1" x14ac:dyDescent="0.25">
      <c r="A106" s="1"/>
      <c r="B106" s="1"/>
    </row>
    <row r="107" spans="1:12" ht="19.5" customHeight="1" x14ac:dyDescent="0.25">
      <c r="A107" s="1" t="s">
        <v>8</v>
      </c>
      <c r="C107" s="9" t="s">
        <v>1</v>
      </c>
      <c r="D107" s="40" t="s">
        <v>107</v>
      </c>
      <c r="E107" s="76"/>
      <c r="F107" s="76"/>
      <c r="G107" s="76"/>
      <c r="H107" s="76"/>
    </row>
    <row r="108" spans="1:12" ht="14.25" customHeight="1" x14ac:dyDescent="0.25">
      <c r="A108" s="1" t="s">
        <v>9</v>
      </c>
      <c r="C108" s="9" t="s">
        <v>1</v>
      </c>
      <c r="D108" s="7" t="s">
        <v>249</v>
      </c>
      <c r="E108" s="76"/>
      <c r="F108" s="76"/>
      <c r="G108" s="76"/>
      <c r="H108" s="76"/>
    </row>
    <row r="109" spans="1:12" ht="13.5" customHeight="1" x14ac:dyDescent="0.25">
      <c r="A109" s="50" t="s">
        <v>10</v>
      </c>
      <c r="B109" s="76"/>
      <c r="C109" s="91" t="s">
        <v>1</v>
      </c>
      <c r="D109" s="1" t="s">
        <v>250</v>
      </c>
      <c r="E109" s="76"/>
      <c r="F109" s="76"/>
      <c r="G109" s="76"/>
      <c r="H109" s="76"/>
      <c r="I109" s="76"/>
      <c r="J109" s="76"/>
      <c r="K109" s="76"/>
      <c r="L109" s="76"/>
    </row>
    <row r="110" spans="1:12" ht="15.75" customHeight="1" x14ac:dyDescent="0.25">
      <c r="A110" s="1"/>
      <c r="B110" s="1"/>
      <c r="D110" s="1"/>
    </row>
    <row r="111" spans="1:12" ht="24.75" customHeight="1" x14ac:dyDescent="0.2">
      <c r="A111" s="277" t="s">
        <v>297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</row>
    <row r="112" spans="1:12" ht="21.75" customHeight="1" x14ac:dyDescent="0.25">
      <c r="A112" s="1"/>
      <c r="B112" s="1"/>
    </row>
    <row r="113" spans="1:12" ht="36.75" customHeight="1" thickBot="1" x14ac:dyDescent="0.25">
      <c r="A113" s="10" t="s">
        <v>0</v>
      </c>
      <c r="B113" s="278" t="s">
        <v>91</v>
      </c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</row>
    <row r="114" spans="1:12" ht="31.5" customHeight="1" thickTop="1" x14ac:dyDescent="0.25">
      <c r="A114" s="1"/>
      <c r="B114" s="11" t="s">
        <v>3</v>
      </c>
      <c r="C114" s="12" t="s">
        <v>4</v>
      </c>
      <c r="D114" s="13"/>
      <c r="E114" s="13"/>
      <c r="F114" s="13"/>
      <c r="G114" s="13"/>
      <c r="H114" s="14"/>
      <c r="I114" s="15" t="s">
        <v>5</v>
      </c>
      <c r="J114" s="12" t="s">
        <v>17</v>
      </c>
      <c r="K114" s="13"/>
      <c r="L114" s="14"/>
    </row>
    <row r="115" spans="1:12" ht="26.25" customHeight="1" x14ac:dyDescent="0.2">
      <c r="A115" s="50"/>
      <c r="B115" s="100">
        <v>1</v>
      </c>
      <c r="C115" s="281" t="s">
        <v>298</v>
      </c>
      <c r="D115" s="282"/>
      <c r="E115" s="282"/>
      <c r="F115" s="282"/>
      <c r="G115" s="50"/>
      <c r="H115" s="55"/>
      <c r="I115" s="56">
        <v>1098300</v>
      </c>
      <c r="J115" s="50"/>
      <c r="K115" s="50"/>
      <c r="L115" s="55"/>
    </row>
    <row r="116" spans="1:12" ht="22.5" customHeight="1" x14ac:dyDescent="0.2">
      <c r="B116" s="16"/>
      <c r="H116" s="17"/>
      <c r="I116" s="19"/>
      <c r="L116" s="17"/>
    </row>
    <row r="117" spans="1:12" ht="14.25" customHeight="1" x14ac:dyDescent="0.2">
      <c r="B117" s="20"/>
      <c r="C117" s="21"/>
      <c r="D117" s="21"/>
      <c r="E117" s="21"/>
      <c r="F117" s="21"/>
      <c r="G117" s="21"/>
      <c r="H117" s="22"/>
      <c r="I117" s="23"/>
      <c r="J117" s="21"/>
      <c r="K117" s="21"/>
      <c r="L117" s="22"/>
    </row>
    <row r="118" spans="1:12" ht="12.75" customHeight="1" x14ac:dyDescent="0.25">
      <c r="A118" s="1"/>
      <c r="B118" s="39"/>
      <c r="C118" s="1"/>
      <c r="D118" s="1"/>
      <c r="E118" s="1"/>
      <c r="F118" s="40" t="s">
        <v>5</v>
      </c>
      <c r="G118" s="40"/>
      <c r="H118" s="1"/>
      <c r="I118" s="41">
        <f>SUM(I115:I115)</f>
        <v>1098300</v>
      </c>
      <c r="J118" s="1"/>
      <c r="K118" s="1"/>
      <c r="L118" s="42"/>
    </row>
    <row r="119" spans="1:12" ht="6.75" customHeight="1" thickBot="1" x14ac:dyDescent="0.3">
      <c r="A119" s="1"/>
      <c r="B119" s="43"/>
      <c r="C119" s="44"/>
      <c r="D119" s="44"/>
      <c r="E119" s="44"/>
      <c r="F119" s="45"/>
      <c r="G119" s="45"/>
      <c r="H119" s="44"/>
      <c r="I119" s="46"/>
      <c r="J119" s="44"/>
      <c r="K119" s="44"/>
      <c r="L119" s="47"/>
    </row>
    <row r="120" spans="1:12" ht="15.75" customHeight="1" thickTop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47.25" customHeight="1" x14ac:dyDescent="0.2">
      <c r="A121" s="10" t="s">
        <v>2</v>
      </c>
      <c r="B121" s="279" t="s">
        <v>11</v>
      </c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</row>
    <row r="122" spans="1:12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customHeight="1" x14ac:dyDescent="0.2">
      <c r="A123" s="280" t="s">
        <v>12</v>
      </c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</row>
    <row r="124" spans="1:12" ht="1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x14ac:dyDescent="0.25">
      <c r="A126" s="1"/>
      <c r="B126" s="1"/>
      <c r="C126" s="1"/>
      <c r="D126" s="1"/>
      <c r="E126" s="1"/>
      <c r="F126" s="1"/>
      <c r="G126" s="1"/>
      <c r="H126" s="4" t="s">
        <v>199</v>
      </c>
      <c r="J126" s="286" t="s">
        <v>299</v>
      </c>
      <c r="K126" s="286"/>
      <c r="L126" s="286"/>
    </row>
    <row r="127" spans="1:12" ht="15.75" customHeight="1" x14ac:dyDescent="0.25">
      <c r="A127" s="1"/>
      <c r="B127" s="1" t="s">
        <v>15</v>
      </c>
      <c r="C127" s="1"/>
      <c r="D127" s="1"/>
      <c r="E127" s="1"/>
      <c r="F127" s="1"/>
      <c r="G127" s="1"/>
      <c r="H127" s="4" t="s">
        <v>13</v>
      </c>
    </row>
    <row r="128" spans="1:12" ht="15" x14ac:dyDescent="0.25">
      <c r="A128" s="1"/>
      <c r="B128" s="1" t="s">
        <v>18</v>
      </c>
      <c r="C128" s="1"/>
      <c r="D128" s="1"/>
      <c r="E128" s="1"/>
      <c r="F128" s="1"/>
      <c r="G128" s="1"/>
      <c r="H128" s="4" t="s">
        <v>14</v>
      </c>
    </row>
    <row r="129" spans="1:12" ht="21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24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 customHeight="1" x14ac:dyDescent="0.25">
      <c r="A131" s="1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"/>
    </row>
    <row r="132" spans="1:12" ht="15" x14ac:dyDescent="0.25">
      <c r="A132" s="1"/>
      <c r="K132" s="103"/>
      <c r="L132" s="1"/>
    </row>
    <row r="133" spans="1:12" ht="15" customHeight="1" x14ac:dyDescent="0.25">
      <c r="A133" s="1"/>
      <c r="B133" s="95" t="s">
        <v>77</v>
      </c>
      <c r="H133" s="95" t="s">
        <v>107</v>
      </c>
      <c r="I133" s="95"/>
      <c r="J133" s="92"/>
      <c r="K133" s="103"/>
      <c r="L133" s="1"/>
    </row>
    <row r="134" spans="1:12" ht="23.25" customHeight="1" x14ac:dyDescent="0.25">
      <c r="A134" s="1"/>
      <c r="B134" s="99" t="s">
        <v>27</v>
      </c>
      <c r="C134" s="57"/>
      <c r="H134" s="99" t="s">
        <v>72</v>
      </c>
      <c r="K134" s="103"/>
    </row>
    <row r="135" spans="1:12" ht="12.75" x14ac:dyDescent="0.2"/>
    <row r="136" spans="1:12" ht="12.75" x14ac:dyDescent="0.2"/>
    <row r="137" spans="1:12" ht="14.25" customHeight="1" x14ac:dyDescent="0.2"/>
    <row r="138" spans="1:12" ht="47.25" customHeight="1" x14ac:dyDescent="0.2"/>
    <row r="139" spans="1:12" ht="16.5" customHeight="1" x14ac:dyDescent="0.2"/>
    <row r="140" spans="1:12" ht="21" customHeight="1" x14ac:dyDescent="0.25">
      <c r="A140" s="3" t="s">
        <v>22</v>
      </c>
    </row>
    <row r="141" spans="1:12" ht="15.75" customHeight="1" x14ac:dyDescent="0.2">
      <c r="A141" s="122" t="s">
        <v>20</v>
      </c>
    </row>
    <row r="142" spans="1:12" ht="20.25" customHeight="1" x14ac:dyDescent="0.2">
      <c r="A142" s="122" t="s">
        <v>21</v>
      </c>
    </row>
    <row r="143" spans="1:12" ht="18.75" customHeight="1" x14ac:dyDescent="0.2"/>
    <row r="144" spans="1:12" s="76" customFormat="1" ht="1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7.25" customHeight="1" x14ac:dyDescent="0.2"/>
    <row r="146" spans="1:12" ht="18.75" x14ac:dyDescent="0.3">
      <c r="A146" s="276" t="s">
        <v>6</v>
      </c>
      <c r="B146" s="276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</row>
    <row r="147" spans="1:12" ht="18.75" x14ac:dyDescent="0.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</row>
    <row r="148" spans="1:12" ht="18.75" x14ac:dyDescent="0.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</row>
    <row r="149" spans="1:12" ht="15" x14ac:dyDescent="0.25">
      <c r="A149" s="1"/>
      <c r="B149" s="1"/>
    </row>
    <row r="150" spans="1:12" ht="15" x14ac:dyDescent="0.25">
      <c r="A150" s="1" t="s">
        <v>7</v>
      </c>
      <c r="B150" s="1"/>
    </row>
    <row r="151" spans="1:12" ht="16.5" customHeight="1" x14ac:dyDescent="0.25">
      <c r="A151" s="1"/>
      <c r="B151" s="1"/>
    </row>
    <row r="152" spans="1:12" ht="15.75" customHeight="1" x14ac:dyDescent="0.25">
      <c r="A152" s="1" t="s">
        <v>8</v>
      </c>
      <c r="C152" s="9" t="s">
        <v>1</v>
      </c>
      <c r="D152" s="40" t="s">
        <v>107</v>
      </c>
      <c r="E152" s="76"/>
      <c r="F152" s="76"/>
      <c r="G152" s="76"/>
      <c r="H152" s="76"/>
    </row>
    <row r="153" spans="1:12" ht="18.75" customHeight="1" x14ac:dyDescent="0.25">
      <c r="A153" s="1" t="s">
        <v>9</v>
      </c>
      <c r="C153" s="9" t="s">
        <v>1</v>
      </c>
      <c r="D153" s="7" t="s">
        <v>249</v>
      </c>
      <c r="E153" s="76"/>
      <c r="F153" s="76"/>
      <c r="G153" s="76"/>
      <c r="H153" s="76"/>
    </row>
    <row r="154" spans="1:12" ht="14.25" customHeight="1" x14ac:dyDescent="0.25">
      <c r="A154" s="50" t="s">
        <v>10</v>
      </c>
      <c r="B154" s="76"/>
      <c r="C154" s="91" t="s">
        <v>1</v>
      </c>
      <c r="D154" s="1" t="s">
        <v>250</v>
      </c>
      <c r="E154" s="76"/>
      <c r="F154" s="76"/>
      <c r="G154" s="76"/>
      <c r="H154" s="76"/>
      <c r="I154" s="76"/>
      <c r="J154" s="76"/>
      <c r="K154" s="76"/>
      <c r="L154" s="76"/>
    </row>
    <row r="155" spans="1:12" ht="16.5" customHeight="1" x14ac:dyDescent="0.25">
      <c r="A155" s="1"/>
      <c r="B155" s="1"/>
      <c r="D155" s="1"/>
    </row>
    <row r="156" spans="1:12" ht="29.25" customHeight="1" x14ac:dyDescent="0.2">
      <c r="A156" s="277" t="s">
        <v>297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</row>
    <row r="157" spans="1:12" ht="13.5" customHeight="1" x14ac:dyDescent="0.25">
      <c r="A157" s="1"/>
      <c r="B157" s="1"/>
    </row>
    <row r="158" spans="1:12" ht="30" customHeight="1" thickBot="1" x14ac:dyDescent="0.25">
      <c r="A158" s="10" t="s">
        <v>0</v>
      </c>
      <c r="B158" s="278" t="s">
        <v>91</v>
      </c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</row>
    <row r="159" spans="1:12" ht="33.75" customHeight="1" thickTop="1" x14ac:dyDescent="0.25">
      <c r="A159" s="1"/>
      <c r="B159" s="11" t="s">
        <v>3</v>
      </c>
      <c r="C159" s="12" t="s">
        <v>4</v>
      </c>
      <c r="D159" s="13"/>
      <c r="E159" s="13"/>
      <c r="F159" s="13"/>
      <c r="G159" s="13"/>
      <c r="H159" s="14"/>
      <c r="I159" s="15" t="s">
        <v>5</v>
      </c>
      <c r="J159" s="12" t="s">
        <v>17</v>
      </c>
      <c r="K159" s="13"/>
      <c r="L159" s="14"/>
    </row>
    <row r="160" spans="1:12" ht="17.25" customHeight="1" x14ac:dyDescent="0.2">
      <c r="A160" s="50"/>
      <c r="B160" s="100">
        <v>1</v>
      </c>
      <c r="C160" s="281" t="s">
        <v>300</v>
      </c>
      <c r="D160" s="282"/>
      <c r="E160" s="282"/>
      <c r="F160" s="282"/>
      <c r="G160" s="50"/>
      <c r="H160" s="55"/>
      <c r="I160" s="56">
        <f>60000+67000</f>
        <v>127000</v>
      </c>
      <c r="J160" s="50"/>
      <c r="K160" s="50"/>
      <c r="L160" s="55"/>
    </row>
    <row r="161" spans="1:12" ht="30" customHeight="1" x14ac:dyDescent="0.2">
      <c r="B161" s="16"/>
      <c r="H161" s="17"/>
      <c r="I161" s="19"/>
      <c r="L161" s="17"/>
    </row>
    <row r="162" spans="1:12" ht="26.25" customHeight="1" x14ac:dyDescent="0.2">
      <c r="B162" s="20"/>
      <c r="C162" s="21"/>
      <c r="D162" s="21"/>
      <c r="E162" s="21"/>
      <c r="F162" s="21"/>
      <c r="G162" s="21"/>
      <c r="H162" s="22"/>
      <c r="I162" s="23"/>
      <c r="J162" s="21"/>
      <c r="K162" s="21"/>
      <c r="L162" s="22"/>
    </row>
    <row r="163" spans="1:12" ht="21.75" customHeight="1" x14ac:dyDescent="0.25">
      <c r="A163" s="1"/>
      <c r="B163" s="39"/>
      <c r="C163" s="1"/>
      <c r="D163" s="1"/>
      <c r="E163" s="1"/>
      <c r="F163" s="40" t="s">
        <v>5</v>
      </c>
      <c r="G163" s="40"/>
      <c r="H163" s="1"/>
      <c r="I163" s="41">
        <f>SUM(I160:I160)</f>
        <v>127000</v>
      </c>
      <c r="J163" s="1"/>
      <c r="K163" s="1"/>
      <c r="L163" s="42"/>
    </row>
    <row r="164" spans="1:12" ht="6" customHeight="1" thickBot="1" x14ac:dyDescent="0.3">
      <c r="A164" s="1"/>
      <c r="B164" s="43"/>
      <c r="C164" s="44"/>
      <c r="D164" s="44"/>
      <c r="E164" s="44"/>
      <c r="F164" s="45"/>
      <c r="G164" s="45"/>
      <c r="H164" s="44"/>
      <c r="I164" s="46"/>
      <c r="J164" s="44"/>
      <c r="K164" s="44"/>
      <c r="L164" s="47"/>
    </row>
    <row r="165" spans="1:12" ht="13.5" customHeight="1" thickTop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45.75" customHeight="1" x14ac:dyDescent="0.2">
      <c r="A166" s="10" t="s">
        <v>2</v>
      </c>
      <c r="B166" s="279" t="s">
        <v>11</v>
      </c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</row>
    <row r="167" spans="1:12" ht="19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">
      <c r="A168" s="280" t="s">
        <v>12</v>
      </c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</row>
    <row r="169" spans="1:12" ht="16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s="76" customFormat="1" ht="1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44.25" customHeight="1" x14ac:dyDescent="0.25">
      <c r="A171" s="1"/>
      <c r="B171" s="1"/>
      <c r="C171" s="1"/>
      <c r="D171" s="1"/>
      <c r="E171" s="1"/>
      <c r="F171" s="1"/>
      <c r="G171" s="1"/>
      <c r="H171" s="4" t="s">
        <v>199</v>
      </c>
      <c r="J171" s="286" t="s">
        <v>299</v>
      </c>
      <c r="K171" s="286"/>
      <c r="L171" s="286"/>
    </row>
    <row r="172" spans="1:12" ht="15" x14ac:dyDescent="0.25">
      <c r="A172" s="1"/>
      <c r="B172" s="1" t="s">
        <v>15</v>
      </c>
      <c r="C172" s="1"/>
      <c r="D172" s="1"/>
      <c r="E172" s="1"/>
      <c r="F172" s="1"/>
      <c r="G172" s="1"/>
      <c r="H172" s="4" t="s">
        <v>13</v>
      </c>
    </row>
    <row r="173" spans="1:12" ht="10.5" customHeight="1" x14ac:dyDescent="0.25">
      <c r="A173" s="1"/>
      <c r="B173" s="1" t="s">
        <v>18</v>
      </c>
      <c r="C173" s="1"/>
      <c r="D173" s="1"/>
      <c r="E173" s="1"/>
      <c r="F173" s="1"/>
      <c r="G173" s="1"/>
      <c r="H173" s="4" t="s">
        <v>14</v>
      </c>
    </row>
    <row r="174" spans="1:12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 x14ac:dyDescent="0.25">
      <c r="A176" s="1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"/>
    </row>
    <row r="177" spans="1:12" ht="15" customHeight="1" x14ac:dyDescent="0.25">
      <c r="A177" s="1"/>
      <c r="K177" s="103"/>
      <c r="L177" s="1"/>
    </row>
    <row r="178" spans="1:12" ht="15" x14ac:dyDescent="0.25">
      <c r="A178" s="1"/>
      <c r="B178" s="95" t="s">
        <v>77</v>
      </c>
      <c r="H178" s="95" t="s">
        <v>107</v>
      </c>
      <c r="I178" s="95"/>
      <c r="J178" s="92"/>
      <c r="K178" s="103"/>
      <c r="L178" s="1"/>
    </row>
    <row r="179" spans="1:12" ht="15" customHeight="1" x14ac:dyDescent="0.25">
      <c r="A179" s="1"/>
      <c r="B179" s="99" t="s">
        <v>27</v>
      </c>
      <c r="C179" s="57"/>
      <c r="H179" s="99" t="s">
        <v>72</v>
      </c>
      <c r="K179" s="103"/>
    </row>
    <row r="180" spans="1:12" ht="12.75" x14ac:dyDescent="0.2"/>
    <row r="181" spans="1:12" ht="12.75" x14ac:dyDescent="0.2"/>
    <row r="182" spans="1:12" ht="48" customHeight="1" x14ac:dyDescent="0.25">
      <c r="A182" s="3" t="s">
        <v>22</v>
      </c>
    </row>
    <row r="183" spans="1:12" ht="16.5" customHeight="1" x14ac:dyDescent="0.2">
      <c r="A183" s="122" t="s">
        <v>20</v>
      </c>
    </row>
    <row r="184" spans="1:12" ht="15.75" customHeight="1" x14ac:dyDescent="0.2">
      <c r="A184" s="122" t="s">
        <v>21</v>
      </c>
    </row>
    <row r="185" spans="1:12" ht="14.25" customHeight="1" x14ac:dyDescent="0.2"/>
    <row r="186" spans="1:12" ht="12.75" x14ac:dyDescent="0.2"/>
    <row r="187" spans="1:12" ht="15" customHeight="1" x14ac:dyDescent="0.2"/>
    <row r="188" spans="1:12" ht="19.5" customHeight="1" x14ac:dyDescent="0.3">
      <c r="A188" s="276" t="s">
        <v>6</v>
      </c>
      <c r="B188" s="276"/>
      <c r="C188" s="276"/>
      <c r="D188" s="276"/>
      <c r="E188" s="276"/>
      <c r="F188" s="276"/>
      <c r="G188" s="276"/>
      <c r="H188" s="276"/>
      <c r="I188" s="276"/>
      <c r="J188" s="276"/>
      <c r="K188" s="276"/>
      <c r="L188" s="276"/>
    </row>
    <row r="189" spans="1:12" ht="15.75" customHeigh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</row>
    <row r="190" spans="1:12" ht="18" customHeigh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</row>
    <row r="191" spans="1:12" ht="9" customHeight="1" x14ac:dyDescent="0.25">
      <c r="A191" s="1"/>
      <c r="B191" s="1"/>
    </row>
    <row r="192" spans="1:12" ht="16.5" customHeight="1" x14ac:dyDescent="0.25">
      <c r="A192" s="1" t="s">
        <v>7</v>
      </c>
      <c r="B192" s="1"/>
    </row>
    <row r="193" spans="1:12" ht="22.5" customHeight="1" x14ac:dyDescent="0.25">
      <c r="A193" s="1"/>
      <c r="B193" s="1"/>
    </row>
    <row r="194" spans="1:12" ht="14.25" customHeight="1" x14ac:dyDescent="0.25">
      <c r="A194" s="1" t="s">
        <v>8</v>
      </c>
      <c r="C194" s="9" t="s">
        <v>1</v>
      </c>
      <c r="D194" s="92" t="s">
        <v>77</v>
      </c>
      <c r="E194" s="76"/>
      <c r="F194" s="76"/>
      <c r="G194" s="76"/>
      <c r="H194" s="76"/>
    </row>
    <row r="195" spans="1:12" ht="18.75" customHeight="1" x14ac:dyDescent="0.25">
      <c r="A195" s="1" t="s">
        <v>9</v>
      </c>
      <c r="C195" s="9" t="s">
        <v>1</v>
      </c>
      <c r="D195" s="57" t="s">
        <v>201</v>
      </c>
      <c r="E195" s="76"/>
      <c r="F195" s="76"/>
      <c r="G195" s="76"/>
      <c r="H195" s="76"/>
    </row>
    <row r="196" spans="1:12" ht="15" x14ac:dyDescent="0.2">
      <c r="A196" s="50" t="s">
        <v>10</v>
      </c>
      <c r="B196" s="76"/>
      <c r="C196" s="91" t="s">
        <v>1</v>
      </c>
      <c r="D196" s="50" t="s">
        <v>265</v>
      </c>
      <c r="E196" s="76"/>
      <c r="F196" s="76"/>
      <c r="G196" s="76"/>
      <c r="H196" s="76"/>
      <c r="I196" s="76"/>
      <c r="J196" s="76"/>
      <c r="K196" s="76"/>
      <c r="L196" s="76"/>
    </row>
    <row r="197" spans="1:12" s="76" customFormat="1" ht="17.25" customHeight="1" x14ac:dyDescent="0.25">
      <c r="A197" s="1"/>
      <c r="B197" s="1"/>
      <c r="C197" s="4"/>
      <c r="D197" s="1"/>
      <c r="E197" s="4"/>
      <c r="F197" s="4"/>
      <c r="G197" s="4"/>
      <c r="H197" s="4"/>
      <c r="I197" s="4"/>
      <c r="J197" s="4"/>
      <c r="K197" s="4"/>
      <c r="L197" s="4"/>
    </row>
    <row r="198" spans="1:12" ht="26.25" customHeight="1" x14ac:dyDescent="0.2">
      <c r="A198" s="277" t="s">
        <v>297</v>
      </c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</row>
    <row r="199" spans="1:12" ht="17.25" customHeight="1" x14ac:dyDescent="0.25">
      <c r="A199" s="1"/>
      <c r="B199" s="1"/>
    </row>
    <row r="200" spans="1:12" ht="37.5" customHeight="1" thickBot="1" x14ac:dyDescent="0.25">
      <c r="A200" s="10" t="s">
        <v>0</v>
      </c>
      <c r="B200" s="278" t="s">
        <v>91</v>
      </c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</row>
    <row r="201" spans="1:12" ht="17.25" customHeight="1" thickTop="1" x14ac:dyDescent="0.25">
      <c r="A201" s="1"/>
      <c r="B201" s="11" t="s">
        <v>3</v>
      </c>
      <c r="C201" s="12" t="s">
        <v>4</v>
      </c>
      <c r="D201" s="13"/>
      <c r="E201" s="13"/>
      <c r="F201" s="13"/>
      <c r="G201" s="13"/>
      <c r="H201" s="14"/>
      <c r="I201" s="15" t="s">
        <v>5</v>
      </c>
      <c r="J201" s="12" t="s">
        <v>17</v>
      </c>
      <c r="K201" s="13"/>
      <c r="L201" s="14"/>
    </row>
    <row r="202" spans="1:12" ht="17.25" customHeight="1" x14ac:dyDescent="0.2">
      <c r="A202" s="50"/>
      <c r="B202" s="100">
        <v>1</v>
      </c>
      <c r="C202" s="281" t="s">
        <v>301</v>
      </c>
      <c r="D202" s="282"/>
      <c r="E202" s="282"/>
      <c r="F202" s="282"/>
      <c r="G202" s="50"/>
      <c r="H202" s="55"/>
      <c r="I202" s="56">
        <f>30000</f>
        <v>30000</v>
      </c>
      <c r="J202" s="50"/>
      <c r="K202" s="50"/>
      <c r="L202" s="55"/>
    </row>
    <row r="203" spans="1:12" ht="33" customHeight="1" x14ac:dyDescent="0.2">
      <c r="B203" s="16"/>
      <c r="H203" s="17"/>
      <c r="I203" s="19"/>
      <c r="L203" s="17"/>
    </row>
    <row r="204" spans="1:12" ht="12.75" x14ac:dyDescent="0.2">
      <c r="B204" s="20"/>
      <c r="C204" s="21"/>
      <c r="D204" s="21"/>
      <c r="E204" s="21"/>
      <c r="F204" s="21"/>
      <c r="G204" s="21"/>
      <c r="H204" s="22"/>
      <c r="I204" s="23"/>
      <c r="J204" s="21"/>
      <c r="K204" s="21"/>
      <c r="L204" s="22"/>
    </row>
    <row r="205" spans="1:12" ht="19.5" customHeight="1" x14ac:dyDescent="0.25">
      <c r="A205" s="1"/>
      <c r="B205" s="39"/>
      <c r="C205" s="1"/>
      <c r="D205" s="1"/>
      <c r="E205" s="1"/>
      <c r="F205" s="40" t="s">
        <v>5</v>
      </c>
      <c r="G205" s="40"/>
      <c r="H205" s="1"/>
      <c r="I205" s="41">
        <f>SUM(I202:I202)</f>
        <v>30000</v>
      </c>
      <c r="J205" s="1"/>
      <c r="K205" s="1"/>
      <c r="L205" s="42"/>
    </row>
    <row r="206" spans="1:12" ht="14.25" customHeight="1" thickBot="1" x14ac:dyDescent="0.3">
      <c r="A206" s="1"/>
      <c r="B206" s="43"/>
      <c r="C206" s="44"/>
      <c r="D206" s="44"/>
      <c r="E206" s="44"/>
      <c r="F206" s="45"/>
      <c r="G206" s="45"/>
      <c r="H206" s="44"/>
      <c r="I206" s="46"/>
      <c r="J206" s="44"/>
      <c r="K206" s="44"/>
      <c r="L206" s="47"/>
    </row>
    <row r="207" spans="1:12" ht="26.25" customHeight="1" thickTop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55.5" customHeight="1" x14ac:dyDescent="0.2">
      <c r="A208" s="10" t="s">
        <v>2</v>
      </c>
      <c r="B208" s="279" t="s">
        <v>11</v>
      </c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</row>
    <row r="209" spans="1:12" ht="21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" customHeight="1" x14ac:dyDescent="0.2">
      <c r="A210" s="280" t="s">
        <v>12</v>
      </c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</row>
    <row r="211" spans="1:12" ht="18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9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21" customHeight="1" x14ac:dyDescent="0.25">
      <c r="A213" s="1"/>
      <c r="B213" s="1"/>
      <c r="C213" s="1"/>
      <c r="D213" s="1"/>
      <c r="E213" s="1"/>
      <c r="F213" s="1"/>
      <c r="G213" s="1"/>
      <c r="H213" s="4" t="s">
        <v>199</v>
      </c>
      <c r="J213" s="286" t="s">
        <v>299</v>
      </c>
      <c r="K213" s="286"/>
      <c r="L213" s="286"/>
    </row>
    <row r="214" spans="1:12" ht="15.75" customHeight="1" x14ac:dyDescent="0.25">
      <c r="A214" s="1"/>
      <c r="B214" s="1" t="s">
        <v>15</v>
      </c>
      <c r="C214" s="1"/>
      <c r="D214" s="1"/>
      <c r="E214" s="1"/>
      <c r="F214" s="1"/>
      <c r="G214" s="1"/>
      <c r="H214" s="4" t="s">
        <v>13</v>
      </c>
    </row>
    <row r="215" spans="1:12" ht="15" customHeight="1" x14ac:dyDescent="0.25">
      <c r="A215" s="1"/>
      <c r="B215" s="1" t="s">
        <v>18</v>
      </c>
      <c r="C215" s="1"/>
      <c r="D215" s="1"/>
      <c r="E215" s="1"/>
      <c r="F215" s="1"/>
      <c r="G215" s="1"/>
      <c r="H215" s="4" t="s">
        <v>14</v>
      </c>
    </row>
    <row r="216" spans="1:12" ht="20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6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0.5" customHeight="1" x14ac:dyDescent="0.25">
      <c r="A218" s="1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"/>
    </row>
    <row r="219" spans="1:12" ht="45" customHeight="1" x14ac:dyDescent="0.25">
      <c r="A219" s="1"/>
      <c r="K219" s="103"/>
      <c r="L219" s="1"/>
    </row>
    <row r="220" spans="1:12" ht="13.5" customHeight="1" x14ac:dyDescent="0.25">
      <c r="A220" s="1"/>
      <c r="B220" s="95" t="s">
        <v>77</v>
      </c>
      <c r="H220" s="95" t="s">
        <v>77</v>
      </c>
      <c r="I220" s="95"/>
      <c r="J220" s="92"/>
      <c r="K220" s="103"/>
      <c r="L220" s="1"/>
    </row>
    <row r="221" spans="1:12" ht="15" customHeight="1" x14ac:dyDescent="0.25">
      <c r="A221" s="1"/>
      <c r="B221" s="99" t="s">
        <v>27</v>
      </c>
      <c r="C221" s="57"/>
      <c r="H221" s="99" t="s">
        <v>27</v>
      </c>
      <c r="K221" s="103"/>
    </row>
    <row r="222" spans="1:12" ht="24.75" customHeight="1" x14ac:dyDescent="0.2"/>
    <row r="223" spans="1:12" ht="15.75" customHeight="1" x14ac:dyDescent="0.2"/>
    <row r="224" spans="1:12" ht="15" customHeight="1" x14ac:dyDescent="0.2"/>
    <row r="225" spans="1:12" ht="12.75" x14ac:dyDescent="0.2"/>
    <row r="226" spans="1:12" ht="14.25" customHeight="1" x14ac:dyDescent="0.25">
      <c r="A226" s="3" t="s">
        <v>22</v>
      </c>
    </row>
    <row r="227" spans="1:12" ht="15.75" x14ac:dyDescent="0.2">
      <c r="A227" s="122" t="s">
        <v>20</v>
      </c>
    </row>
    <row r="228" spans="1:12" ht="45.75" customHeight="1" x14ac:dyDescent="0.2">
      <c r="A228" s="122" t="s">
        <v>21</v>
      </c>
    </row>
    <row r="229" spans="1:12" ht="14.25" customHeight="1" x14ac:dyDescent="0.2"/>
    <row r="230" spans="1:12" ht="19.5" customHeight="1" x14ac:dyDescent="0.2"/>
    <row r="231" spans="1:12" ht="15.75" customHeight="1" x14ac:dyDescent="0.2"/>
    <row r="232" spans="1:12" ht="23.25" customHeight="1" x14ac:dyDescent="0.3">
      <c r="A232" s="276" t="s">
        <v>6</v>
      </c>
      <c r="B232" s="276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</row>
    <row r="233" spans="1:12" ht="19.5" customHeight="1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</row>
    <row r="234" spans="1:12" ht="18.75" customHeight="1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</row>
    <row r="235" spans="1:12" s="119" customFormat="1" ht="18" customHeight="1" x14ac:dyDescent="0.25">
      <c r="A235" s="1"/>
      <c r="B235" s="1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5" x14ac:dyDescent="0.25">
      <c r="A236" s="1" t="s">
        <v>7</v>
      </c>
      <c r="B236" s="1"/>
    </row>
    <row r="237" spans="1:12" ht="12.75" customHeight="1" x14ac:dyDescent="0.25">
      <c r="A237" s="1"/>
      <c r="B237" s="1"/>
    </row>
    <row r="238" spans="1:12" ht="19.5" customHeight="1" x14ac:dyDescent="0.25">
      <c r="A238" s="1" t="s">
        <v>8</v>
      </c>
      <c r="C238" s="9" t="s">
        <v>1</v>
      </c>
      <c r="D238" s="92" t="s">
        <v>96</v>
      </c>
      <c r="E238" s="76"/>
      <c r="F238" s="76"/>
      <c r="G238" s="76"/>
      <c r="H238" s="76"/>
    </row>
    <row r="239" spans="1:12" ht="19.5" customHeight="1" x14ac:dyDescent="0.25">
      <c r="A239" s="1" t="s">
        <v>9</v>
      </c>
      <c r="C239" s="9" t="s">
        <v>1</v>
      </c>
      <c r="D239" s="57" t="s">
        <v>200</v>
      </c>
      <c r="E239" s="76"/>
      <c r="F239" s="76"/>
      <c r="G239" s="76"/>
      <c r="H239" s="76"/>
    </row>
    <row r="240" spans="1:12" ht="16.5" customHeight="1" x14ac:dyDescent="0.2">
      <c r="A240" s="50" t="s">
        <v>10</v>
      </c>
      <c r="B240" s="76"/>
      <c r="C240" s="91" t="s">
        <v>1</v>
      </c>
      <c r="D240" s="50" t="s">
        <v>203</v>
      </c>
      <c r="E240" s="76"/>
      <c r="F240" s="76"/>
      <c r="G240" s="76"/>
      <c r="H240" s="76"/>
      <c r="I240" s="76"/>
      <c r="J240" s="76"/>
      <c r="K240" s="76"/>
      <c r="L240" s="76"/>
    </row>
    <row r="241" spans="1:12" ht="13.5" customHeight="1" x14ac:dyDescent="0.25">
      <c r="A241" s="1"/>
      <c r="B241" s="1"/>
      <c r="D241" s="1"/>
    </row>
    <row r="242" spans="1:12" ht="27" customHeight="1" x14ac:dyDescent="0.2">
      <c r="A242" s="277" t="s">
        <v>297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</row>
    <row r="243" spans="1:12" ht="15.75" customHeight="1" x14ac:dyDescent="0.25">
      <c r="A243" s="1"/>
      <c r="B243" s="1"/>
    </row>
    <row r="244" spans="1:12" ht="32.25" customHeight="1" thickBot="1" x14ac:dyDescent="0.25">
      <c r="A244" s="10" t="s">
        <v>0</v>
      </c>
      <c r="B244" s="278" t="s">
        <v>91</v>
      </c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</row>
    <row r="245" spans="1:12" ht="19.5" customHeight="1" thickTop="1" x14ac:dyDescent="0.25">
      <c r="A245" s="1"/>
      <c r="B245" s="11" t="s">
        <v>3</v>
      </c>
      <c r="C245" s="12" t="s">
        <v>4</v>
      </c>
      <c r="D245" s="13"/>
      <c r="E245" s="13"/>
      <c r="F245" s="13"/>
      <c r="G245" s="13"/>
      <c r="H245" s="14"/>
      <c r="I245" s="15" t="s">
        <v>5</v>
      </c>
      <c r="J245" s="12" t="s">
        <v>17</v>
      </c>
      <c r="K245" s="13"/>
      <c r="L245" s="14"/>
    </row>
    <row r="246" spans="1:12" ht="17.25" customHeight="1" x14ac:dyDescent="0.2">
      <c r="A246" s="50"/>
      <c r="B246" s="100">
        <v>1</v>
      </c>
      <c r="C246" s="281" t="s">
        <v>301</v>
      </c>
      <c r="D246" s="282"/>
      <c r="E246" s="282"/>
      <c r="F246" s="282"/>
      <c r="G246" s="50"/>
      <c r="H246" s="55"/>
      <c r="I246" s="56">
        <f>30000</f>
        <v>30000</v>
      </c>
      <c r="J246" s="50"/>
      <c r="K246" s="50"/>
      <c r="L246" s="55"/>
    </row>
    <row r="247" spans="1:12" ht="33" customHeight="1" x14ac:dyDescent="0.2">
      <c r="B247" s="16"/>
      <c r="H247" s="17"/>
      <c r="I247" s="19"/>
      <c r="L247" s="17"/>
    </row>
    <row r="248" spans="1:12" ht="12.75" x14ac:dyDescent="0.2">
      <c r="B248" s="20"/>
      <c r="C248" s="21"/>
      <c r="D248" s="21"/>
      <c r="E248" s="21"/>
      <c r="F248" s="21"/>
      <c r="G248" s="21"/>
      <c r="H248" s="22"/>
      <c r="I248" s="23"/>
      <c r="J248" s="21"/>
      <c r="K248" s="21"/>
      <c r="L248" s="22"/>
    </row>
    <row r="249" spans="1:12" ht="19.5" customHeight="1" x14ac:dyDescent="0.25">
      <c r="A249" s="1"/>
      <c r="B249" s="39"/>
      <c r="C249" s="1"/>
      <c r="D249" s="1"/>
      <c r="E249" s="1"/>
      <c r="F249" s="40" t="s">
        <v>5</v>
      </c>
      <c r="G249" s="40"/>
      <c r="H249" s="1"/>
      <c r="I249" s="41">
        <f>SUM(I246:I246)</f>
        <v>30000</v>
      </c>
      <c r="J249" s="1"/>
      <c r="K249" s="1"/>
      <c r="L249" s="42"/>
    </row>
    <row r="250" spans="1:12" ht="6.75" customHeight="1" thickBot="1" x14ac:dyDescent="0.3">
      <c r="A250" s="1"/>
      <c r="B250" s="43"/>
      <c r="C250" s="44"/>
      <c r="D250" s="44"/>
      <c r="E250" s="44"/>
      <c r="F250" s="45"/>
      <c r="G250" s="45"/>
      <c r="H250" s="44"/>
      <c r="I250" s="46"/>
      <c r="J250" s="44"/>
      <c r="K250" s="44"/>
      <c r="L250" s="47"/>
    </row>
    <row r="251" spans="1:12" ht="24.75" customHeight="1" thickTop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44.25" customHeight="1" x14ac:dyDescent="0.2">
      <c r="A252" s="10" t="s">
        <v>2</v>
      </c>
      <c r="B252" s="279" t="s">
        <v>11</v>
      </c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</row>
    <row r="253" spans="1:12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2" customHeight="1" x14ac:dyDescent="0.2">
      <c r="A254" s="280" t="s">
        <v>12</v>
      </c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</row>
    <row r="255" spans="1:12" ht="20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9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5">
      <c r="A257" s="1"/>
      <c r="B257" s="1"/>
      <c r="C257" s="1"/>
      <c r="D257" s="1"/>
      <c r="E257" s="1"/>
      <c r="F257" s="1"/>
      <c r="G257" s="1"/>
      <c r="H257" s="4" t="s">
        <v>199</v>
      </c>
      <c r="J257" s="286" t="s">
        <v>299</v>
      </c>
      <c r="K257" s="286"/>
      <c r="L257" s="286"/>
    </row>
    <row r="258" spans="1:12" ht="18.75" customHeight="1" x14ac:dyDescent="0.25">
      <c r="A258" s="1"/>
      <c r="B258" s="1" t="s">
        <v>15</v>
      </c>
      <c r="C258" s="1"/>
      <c r="D258" s="1"/>
      <c r="E258" s="1"/>
      <c r="F258" s="1"/>
      <c r="G258" s="1"/>
      <c r="H258" s="4" t="s">
        <v>13</v>
      </c>
    </row>
    <row r="259" spans="1:12" ht="12.75" customHeight="1" x14ac:dyDescent="0.25">
      <c r="A259" s="1"/>
      <c r="B259" s="1" t="s">
        <v>18</v>
      </c>
      <c r="C259" s="1"/>
      <c r="D259" s="1"/>
      <c r="E259" s="1"/>
      <c r="F259" s="1"/>
      <c r="G259" s="1"/>
      <c r="H259" s="4" t="s">
        <v>14</v>
      </c>
    </row>
    <row r="260" spans="1:12" ht="1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3.5" customHeight="1" x14ac:dyDescent="0.25">
      <c r="A262" s="1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"/>
    </row>
    <row r="263" spans="1:12" ht="15" x14ac:dyDescent="0.25">
      <c r="A263" s="1"/>
      <c r="K263" s="103"/>
      <c r="L263" s="1"/>
    </row>
    <row r="264" spans="1:12" ht="18.75" customHeight="1" x14ac:dyDescent="0.25">
      <c r="A264" s="1"/>
      <c r="B264" s="95" t="s">
        <v>77</v>
      </c>
      <c r="H264" s="95" t="s">
        <v>96</v>
      </c>
      <c r="I264" s="95"/>
      <c r="J264" s="92"/>
      <c r="K264" s="103"/>
      <c r="L264" s="1"/>
    </row>
    <row r="265" spans="1:12" ht="14.25" customHeight="1" x14ac:dyDescent="0.25">
      <c r="A265" s="1"/>
      <c r="B265" s="99" t="s">
        <v>27</v>
      </c>
      <c r="C265" s="57"/>
      <c r="H265" s="99" t="s">
        <v>100</v>
      </c>
      <c r="K265" s="103"/>
    </row>
    <row r="266" spans="1:12" ht="18.75" hidden="1" customHeight="1" x14ac:dyDescent="0.2"/>
    <row r="267" spans="1:12" ht="9.75" customHeight="1" x14ac:dyDescent="0.2"/>
    <row r="268" spans="1:12" ht="19.5" customHeight="1" x14ac:dyDescent="0.2"/>
    <row r="269" spans="1:12" ht="12.75" x14ac:dyDescent="0.2"/>
    <row r="270" spans="1:12" ht="18" customHeight="1" x14ac:dyDescent="0.2"/>
    <row r="271" spans="1:12" ht="12" customHeight="1" x14ac:dyDescent="0.25">
      <c r="A271" s="3" t="s">
        <v>22</v>
      </c>
    </row>
    <row r="272" spans="1:12" ht="15" customHeight="1" x14ac:dyDescent="0.2">
      <c r="A272" s="122" t="s">
        <v>20</v>
      </c>
    </row>
    <row r="273" spans="1:12" ht="17.25" customHeight="1" x14ac:dyDescent="0.2">
      <c r="A273" s="122" t="s">
        <v>21</v>
      </c>
    </row>
    <row r="274" spans="1:12" ht="15.75" customHeight="1" x14ac:dyDescent="0.2"/>
    <row r="275" spans="1:12" ht="12.75" customHeight="1" x14ac:dyDescent="0.2"/>
    <row r="276" spans="1:12" ht="13.5" customHeight="1" x14ac:dyDescent="0.2"/>
    <row r="277" spans="1:12" ht="15.75" customHeight="1" x14ac:dyDescent="0.3">
      <c r="A277" s="276" t="s">
        <v>6</v>
      </c>
      <c r="B277" s="276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</row>
    <row r="278" spans="1:12" ht="15" customHeight="1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</row>
    <row r="279" spans="1:12" ht="20.25" customHeight="1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</row>
    <row r="280" spans="1:12" ht="12.75" customHeight="1" x14ac:dyDescent="0.25">
      <c r="A280" s="1"/>
      <c r="B280" s="1"/>
    </row>
    <row r="281" spans="1:12" ht="24" customHeight="1" x14ac:dyDescent="0.25">
      <c r="A281" s="1" t="s">
        <v>7</v>
      </c>
      <c r="B281" s="1"/>
    </row>
    <row r="282" spans="1:12" ht="19.5" customHeight="1" x14ac:dyDescent="0.25">
      <c r="A282" s="1"/>
      <c r="B282" s="1"/>
    </row>
    <row r="283" spans="1:12" ht="15" customHeight="1" x14ac:dyDescent="0.25">
      <c r="A283" s="1" t="s">
        <v>8</v>
      </c>
      <c r="C283" s="9" t="s">
        <v>1</v>
      </c>
      <c r="D283" s="92" t="s">
        <v>77</v>
      </c>
      <c r="E283" s="76"/>
      <c r="F283" s="76"/>
      <c r="G283" s="76"/>
      <c r="H283" s="76"/>
    </row>
    <row r="284" spans="1:12" ht="15.75" customHeight="1" x14ac:dyDescent="0.25">
      <c r="A284" s="1" t="s">
        <v>9</v>
      </c>
      <c r="C284" s="9" t="s">
        <v>1</v>
      </c>
      <c r="D284" s="57" t="s">
        <v>201</v>
      </c>
      <c r="E284" s="76"/>
      <c r="F284" s="76"/>
      <c r="G284" s="76"/>
      <c r="H284" s="76"/>
    </row>
    <row r="285" spans="1:12" ht="16.5" customHeight="1" x14ac:dyDescent="0.2">
      <c r="A285" s="50" t="s">
        <v>10</v>
      </c>
      <c r="B285" s="76"/>
      <c r="C285" s="91" t="s">
        <v>1</v>
      </c>
      <c r="D285" s="50" t="s">
        <v>265</v>
      </c>
      <c r="E285" s="76"/>
      <c r="F285" s="76"/>
      <c r="G285" s="76"/>
      <c r="H285" s="76"/>
      <c r="I285" s="76"/>
      <c r="J285" s="76"/>
      <c r="K285" s="76"/>
      <c r="L285" s="76"/>
    </row>
    <row r="286" spans="1:12" ht="17.25" customHeight="1" x14ac:dyDescent="0.25">
      <c r="A286" s="1"/>
      <c r="B286" s="1"/>
      <c r="D286" s="1"/>
    </row>
    <row r="287" spans="1:12" ht="40.5" customHeight="1" x14ac:dyDescent="0.2">
      <c r="A287" s="277" t="s">
        <v>302</v>
      </c>
      <c r="B287" s="277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</row>
    <row r="288" spans="1:12" ht="13.5" customHeight="1" x14ac:dyDescent="0.25">
      <c r="A288" s="1"/>
      <c r="B288" s="1"/>
    </row>
    <row r="289" spans="1:12" ht="32.25" customHeight="1" thickBot="1" x14ac:dyDescent="0.25">
      <c r="A289" s="10" t="s">
        <v>0</v>
      </c>
      <c r="B289" s="278" t="s">
        <v>91</v>
      </c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</row>
    <row r="290" spans="1:12" ht="15.75" thickTop="1" x14ac:dyDescent="0.25">
      <c r="A290" s="1"/>
      <c r="B290" s="11" t="s">
        <v>3</v>
      </c>
      <c r="C290" s="12" t="s">
        <v>4</v>
      </c>
      <c r="D290" s="13"/>
      <c r="E290" s="13"/>
      <c r="F290" s="13"/>
      <c r="G290" s="13"/>
      <c r="H290" s="14"/>
      <c r="I290" s="15" t="s">
        <v>5</v>
      </c>
      <c r="J290" s="12" t="s">
        <v>17</v>
      </c>
      <c r="K290" s="13"/>
      <c r="L290" s="14"/>
    </row>
    <row r="291" spans="1:12" ht="35.25" customHeight="1" x14ac:dyDescent="0.2">
      <c r="A291" s="50"/>
      <c r="B291" s="100">
        <v>1</v>
      </c>
      <c r="C291" s="284" t="s">
        <v>303</v>
      </c>
      <c r="D291" s="285"/>
      <c r="E291" s="285"/>
      <c r="F291" s="285"/>
      <c r="G291" s="76"/>
      <c r="H291" s="79"/>
      <c r="I291" s="56">
        <v>250000</v>
      </c>
      <c r="J291" s="76"/>
      <c r="K291" s="76"/>
      <c r="L291" s="79"/>
    </row>
    <row r="292" spans="1:12" ht="24.75" customHeight="1" x14ac:dyDescent="0.25">
      <c r="A292" s="50"/>
      <c r="B292" s="96">
        <v>2</v>
      </c>
      <c r="C292" s="321" t="s">
        <v>238</v>
      </c>
      <c r="D292" s="297"/>
      <c r="E292" s="127">
        <v>1957000</v>
      </c>
      <c r="F292" s="319" t="s">
        <v>239</v>
      </c>
      <c r="G292" s="297"/>
      <c r="H292" s="320"/>
      <c r="I292" s="56">
        <f>E292*30/100*2</f>
        <v>1174200</v>
      </c>
      <c r="J292" s="50" t="s">
        <v>281</v>
      </c>
      <c r="K292" s="1"/>
      <c r="L292" s="17"/>
    </row>
    <row r="293" spans="1:12" ht="18" customHeight="1" x14ac:dyDescent="0.2">
      <c r="B293" s="20"/>
      <c r="C293" s="21"/>
      <c r="D293" s="21"/>
      <c r="E293" s="21"/>
      <c r="F293" s="21"/>
      <c r="G293" s="21"/>
      <c r="H293" s="22"/>
      <c r="I293" s="23"/>
      <c r="J293" s="21"/>
      <c r="K293" s="21"/>
      <c r="L293" s="22"/>
    </row>
    <row r="294" spans="1:12" ht="21.75" customHeight="1" x14ac:dyDescent="0.25">
      <c r="A294" s="1"/>
      <c r="B294" s="39"/>
      <c r="C294" s="1"/>
      <c r="D294" s="1"/>
      <c r="E294" s="1"/>
      <c r="F294" s="40" t="s">
        <v>5</v>
      </c>
      <c r="G294" s="40"/>
      <c r="H294" s="1"/>
      <c r="I294" s="41">
        <f>SUM(I291:I292)</f>
        <v>1424200</v>
      </c>
      <c r="J294" s="1"/>
      <c r="K294" s="1"/>
      <c r="L294" s="42"/>
    </row>
    <row r="295" spans="1:12" ht="11.25" customHeight="1" thickBot="1" x14ac:dyDescent="0.3">
      <c r="A295" s="1"/>
      <c r="B295" s="43"/>
      <c r="C295" s="44"/>
      <c r="D295" s="44"/>
      <c r="E295" s="44"/>
      <c r="F295" s="45"/>
      <c r="G295" s="45"/>
      <c r="H295" s="44"/>
      <c r="I295" s="46"/>
      <c r="J295" s="44"/>
      <c r="K295" s="44"/>
      <c r="L295" s="47"/>
    </row>
    <row r="296" spans="1:12" ht="23.25" customHeight="1" thickTop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45.75" customHeight="1" x14ac:dyDescent="0.2">
      <c r="A297" s="10" t="s">
        <v>2</v>
      </c>
      <c r="B297" s="279" t="s">
        <v>11</v>
      </c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</row>
    <row r="298" spans="1:12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" customHeight="1" x14ac:dyDescent="0.2">
      <c r="A299" s="280" t="s">
        <v>12</v>
      </c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</row>
    <row r="300" spans="1:12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7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" x14ac:dyDescent="0.25">
      <c r="A302" s="1"/>
      <c r="B302" s="1"/>
      <c r="C302" s="1"/>
      <c r="D302" s="1"/>
      <c r="E302" s="1"/>
      <c r="F302" s="1"/>
      <c r="G302" s="1"/>
      <c r="H302" s="4" t="s">
        <v>199</v>
      </c>
      <c r="J302" s="286" t="s">
        <v>299</v>
      </c>
      <c r="K302" s="286"/>
      <c r="L302" s="286"/>
    </row>
    <row r="303" spans="1:12" ht="12.75" customHeight="1" x14ac:dyDescent="0.25">
      <c r="A303" s="1"/>
      <c r="B303" s="1" t="s">
        <v>15</v>
      </c>
      <c r="C303" s="1"/>
      <c r="D303" s="1"/>
      <c r="E303" s="1"/>
      <c r="F303" s="1"/>
      <c r="G303" s="1"/>
      <c r="H303" s="4" t="s">
        <v>13</v>
      </c>
    </row>
    <row r="304" spans="1:12" ht="17.25" customHeight="1" x14ac:dyDescent="0.25">
      <c r="A304" s="1"/>
      <c r="B304" s="1" t="s">
        <v>18</v>
      </c>
      <c r="C304" s="1"/>
      <c r="D304" s="1"/>
      <c r="E304" s="1"/>
      <c r="F304" s="1"/>
      <c r="G304" s="1"/>
      <c r="H304" s="4" t="s">
        <v>14</v>
      </c>
    </row>
    <row r="305" spans="1:12" ht="20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9" customHeight="1" x14ac:dyDescent="0.25">
      <c r="A307" s="1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"/>
    </row>
    <row r="308" spans="1:12" ht="15" x14ac:dyDescent="0.25">
      <c r="A308" s="1"/>
      <c r="K308" s="103"/>
      <c r="L308" s="1"/>
    </row>
    <row r="309" spans="1:12" ht="14.25" customHeight="1" x14ac:dyDescent="0.25">
      <c r="A309" s="1"/>
      <c r="B309" s="95" t="s">
        <v>77</v>
      </c>
      <c r="H309" s="95" t="s">
        <v>77</v>
      </c>
      <c r="I309" s="95"/>
      <c r="J309" s="92"/>
      <c r="K309" s="103"/>
      <c r="L309" s="1"/>
    </row>
    <row r="310" spans="1:12" ht="15" x14ac:dyDescent="0.25">
      <c r="A310" s="1"/>
      <c r="B310" s="99" t="s">
        <v>27</v>
      </c>
      <c r="C310" s="57"/>
      <c r="H310" s="99" t="s">
        <v>27</v>
      </c>
      <c r="K310" s="103"/>
    </row>
    <row r="311" spans="1:12" ht="12.75" x14ac:dyDescent="0.2"/>
    <row r="312" spans="1:12" ht="27" customHeight="1" x14ac:dyDescent="0.2"/>
    <row r="313" spans="1:12" ht="15.75" customHeight="1" x14ac:dyDescent="0.2"/>
    <row r="314" spans="1:12" ht="19.5" customHeight="1" x14ac:dyDescent="0.2"/>
    <row r="315" spans="1:12" ht="15.75" x14ac:dyDescent="0.25">
      <c r="A315" s="3" t="s">
        <v>22</v>
      </c>
    </row>
    <row r="316" spans="1:12" ht="15.75" x14ac:dyDescent="0.2">
      <c r="A316" s="122" t="s">
        <v>20</v>
      </c>
    </row>
    <row r="317" spans="1:12" ht="18" customHeight="1" x14ac:dyDescent="0.2">
      <c r="A317" s="122" t="s">
        <v>21</v>
      </c>
    </row>
    <row r="318" spans="1:12" ht="15.75" customHeight="1" x14ac:dyDescent="0.2"/>
    <row r="319" spans="1:12" ht="19.5" customHeight="1" x14ac:dyDescent="0.2"/>
    <row r="320" spans="1:12" ht="18" customHeight="1" x14ac:dyDescent="0.2"/>
    <row r="321" spans="1:12" ht="18.75" x14ac:dyDescent="0.3">
      <c r="A321" s="276" t="s">
        <v>6</v>
      </c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6"/>
    </row>
    <row r="322" spans="1:12" ht="16.5" customHeight="1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</row>
    <row r="323" spans="1:12" ht="23.25" customHeight="1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</row>
    <row r="324" spans="1:12" ht="11.25" customHeight="1" x14ac:dyDescent="0.25">
      <c r="A324" s="1"/>
      <c r="B324" s="1"/>
    </row>
    <row r="325" spans="1:12" ht="12.75" customHeight="1" x14ac:dyDescent="0.25">
      <c r="A325" s="1" t="s">
        <v>7</v>
      </c>
      <c r="B325" s="1"/>
    </row>
    <row r="326" spans="1:12" ht="6.75" customHeight="1" x14ac:dyDescent="0.25">
      <c r="A326" s="1"/>
      <c r="B326" s="1"/>
    </row>
    <row r="327" spans="1:12" ht="15.75" customHeight="1" x14ac:dyDescent="0.25">
      <c r="A327" s="1" t="s">
        <v>8</v>
      </c>
      <c r="C327" s="9" t="s">
        <v>1</v>
      </c>
      <c r="D327" s="92" t="s">
        <v>96</v>
      </c>
      <c r="E327" s="76"/>
      <c r="F327" s="76"/>
      <c r="G327" s="76"/>
      <c r="H327" s="76"/>
    </row>
    <row r="328" spans="1:12" ht="15" customHeight="1" x14ac:dyDescent="0.25">
      <c r="A328" s="1" t="s">
        <v>9</v>
      </c>
      <c r="C328" s="9" t="s">
        <v>1</v>
      </c>
      <c r="D328" s="57" t="s">
        <v>200</v>
      </c>
      <c r="E328" s="76"/>
      <c r="F328" s="76"/>
      <c r="G328" s="76"/>
      <c r="H328" s="76"/>
    </row>
    <row r="329" spans="1:12" ht="19.5" customHeight="1" x14ac:dyDescent="0.2">
      <c r="A329" s="50" t="s">
        <v>10</v>
      </c>
      <c r="B329" s="76"/>
      <c r="C329" s="91" t="s">
        <v>1</v>
      </c>
      <c r="D329" s="50" t="s">
        <v>203</v>
      </c>
      <c r="E329" s="76"/>
      <c r="F329" s="76"/>
      <c r="G329" s="76"/>
      <c r="H329" s="76"/>
      <c r="I329" s="76"/>
      <c r="J329" s="76"/>
      <c r="K329" s="76"/>
      <c r="L329" s="76"/>
    </row>
    <row r="330" spans="1:12" ht="12.75" customHeight="1" x14ac:dyDescent="0.25">
      <c r="A330" s="1"/>
      <c r="B330" s="1"/>
      <c r="D330" s="1"/>
    </row>
    <row r="331" spans="1:12" ht="30" customHeight="1" x14ac:dyDescent="0.2">
      <c r="A331" s="277" t="s">
        <v>302</v>
      </c>
      <c r="B331" s="277"/>
      <c r="C331" s="277"/>
      <c r="D331" s="277"/>
      <c r="E331" s="277"/>
      <c r="F331" s="277"/>
      <c r="G331" s="277"/>
      <c r="H331" s="277"/>
      <c r="I331" s="277"/>
      <c r="J331" s="277"/>
      <c r="K331" s="277"/>
      <c r="L331" s="277"/>
    </row>
    <row r="332" spans="1:12" ht="10.5" customHeight="1" x14ac:dyDescent="0.25">
      <c r="A332" s="1"/>
      <c r="B332" s="1"/>
    </row>
    <row r="333" spans="1:12" ht="34.5" customHeight="1" thickBot="1" x14ac:dyDescent="0.25">
      <c r="A333" s="10" t="s">
        <v>0</v>
      </c>
      <c r="B333" s="278" t="s">
        <v>91</v>
      </c>
      <c r="C333" s="278"/>
      <c r="D333" s="278"/>
      <c r="E333" s="278"/>
      <c r="F333" s="278"/>
      <c r="G333" s="278"/>
      <c r="H333" s="278"/>
      <c r="I333" s="278"/>
      <c r="J333" s="278"/>
      <c r="K333" s="278"/>
      <c r="L333" s="278"/>
    </row>
    <row r="334" spans="1:12" ht="15.75" customHeight="1" thickTop="1" x14ac:dyDescent="0.25">
      <c r="A334" s="1"/>
      <c r="B334" s="11" t="s">
        <v>3</v>
      </c>
      <c r="C334" s="12" t="s">
        <v>4</v>
      </c>
      <c r="D334" s="13"/>
      <c r="E334" s="13"/>
      <c r="F334" s="13"/>
      <c r="G334" s="13"/>
      <c r="H334" s="14"/>
      <c r="I334" s="15" t="s">
        <v>5</v>
      </c>
      <c r="J334" s="12" t="s">
        <v>17</v>
      </c>
      <c r="K334" s="13"/>
      <c r="L334" s="14"/>
    </row>
    <row r="335" spans="1:12" ht="19.5" customHeight="1" x14ac:dyDescent="0.2">
      <c r="A335" s="50"/>
      <c r="B335" s="100">
        <v>1</v>
      </c>
      <c r="C335" s="284" t="s">
        <v>303</v>
      </c>
      <c r="D335" s="285"/>
      <c r="E335" s="285"/>
      <c r="F335" s="285"/>
      <c r="G335" s="76"/>
      <c r="H335" s="79"/>
      <c r="I335" s="56">
        <v>250000</v>
      </c>
      <c r="J335" s="76"/>
      <c r="K335" s="76"/>
      <c r="L335" s="79"/>
    </row>
    <row r="336" spans="1:12" ht="17.25" customHeight="1" x14ac:dyDescent="0.25">
      <c r="A336" s="50"/>
      <c r="B336" s="96">
        <v>2</v>
      </c>
      <c r="C336" s="321" t="s">
        <v>238</v>
      </c>
      <c r="D336" s="297"/>
      <c r="E336" s="127">
        <v>622000</v>
      </c>
      <c r="F336" s="319" t="s">
        <v>239</v>
      </c>
      <c r="G336" s="297"/>
      <c r="H336" s="320"/>
      <c r="I336" s="56">
        <f>E336*30/100*2</f>
        <v>373200</v>
      </c>
      <c r="J336" s="50" t="s">
        <v>281</v>
      </c>
      <c r="K336" s="1"/>
      <c r="L336" s="17"/>
    </row>
    <row r="337" spans="1:12" ht="40.5" customHeight="1" x14ac:dyDescent="0.2">
      <c r="B337" s="20"/>
      <c r="C337" s="21"/>
      <c r="D337" s="21"/>
      <c r="E337" s="21"/>
      <c r="F337" s="21"/>
      <c r="G337" s="21"/>
      <c r="H337" s="22"/>
      <c r="I337" s="23"/>
      <c r="J337" s="21"/>
      <c r="K337" s="21"/>
      <c r="L337" s="22"/>
    </row>
    <row r="338" spans="1:12" ht="13.5" customHeight="1" x14ac:dyDescent="0.25">
      <c r="A338" s="1"/>
      <c r="B338" s="39"/>
      <c r="C338" s="1"/>
      <c r="D338" s="1"/>
      <c r="E338" s="1"/>
      <c r="F338" s="40" t="s">
        <v>5</v>
      </c>
      <c r="G338" s="40"/>
      <c r="H338" s="1"/>
      <c r="I338" s="41">
        <f>SUM(I335:I336)</f>
        <v>623200</v>
      </c>
      <c r="J338" s="1"/>
      <c r="K338" s="1"/>
      <c r="L338" s="42"/>
    </row>
    <row r="339" spans="1:12" ht="6" customHeight="1" thickBot="1" x14ac:dyDescent="0.3">
      <c r="A339" s="1"/>
      <c r="B339" s="43"/>
      <c r="C339" s="44"/>
      <c r="D339" s="44"/>
      <c r="E339" s="44"/>
      <c r="F339" s="45"/>
      <c r="G339" s="45"/>
      <c r="H339" s="44"/>
      <c r="I339" s="46"/>
      <c r="J339" s="44"/>
      <c r="K339" s="44"/>
      <c r="L339" s="47"/>
    </row>
    <row r="340" spans="1:12" ht="15.75" thickTop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45" customHeight="1" x14ac:dyDescent="0.2">
      <c r="A341" s="10" t="s">
        <v>2</v>
      </c>
      <c r="B341" s="279" t="s">
        <v>11</v>
      </c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</row>
    <row r="342" spans="1:1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0.75" customHeight="1" x14ac:dyDescent="0.2">
      <c r="A343" s="280" t="s">
        <v>12</v>
      </c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</row>
    <row r="344" spans="1:12" ht="15" hidden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9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" x14ac:dyDescent="0.25">
      <c r="A346" s="1"/>
      <c r="B346" s="1"/>
      <c r="C346" s="1"/>
      <c r="D346" s="1"/>
      <c r="E346" s="1"/>
      <c r="F346" s="1"/>
      <c r="G346" s="1"/>
      <c r="H346" s="4" t="s">
        <v>199</v>
      </c>
      <c r="J346" s="286" t="s">
        <v>299</v>
      </c>
      <c r="K346" s="286"/>
      <c r="L346" s="286"/>
    </row>
    <row r="347" spans="1:12" ht="11.25" customHeight="1" x14ac:dyDescent="0.25">
      <c r="A347" s="1"/>
      <c r="B347" s="1" t="s">
        <v>15</v>
      </c>
      <c r="C347" s="1"/>
      <c r="D347" s="1"/>
      <c r="E347" s="1"/>
      <c r="F347" s="1"/>
      <c r="G347" s="1"/>
      <c r="H347" s="4" t="s">
        <v>13</v>
      </c>
    </row>
    <row r="348" spans="1:12" ht="15" x14ac:dyDescent="0.25">
      <c r="A348" s="1"/>
      <c r="B348" s="1" t="s">
        <v>18</v>
      </c>
      <c r="C348" s="1"/>
      <c r="D348" s="1"/>
      <c r="E348" s="1"/>
      <c r="F348" s="1"/>
      <c r="G348" s="1"/>
      <c r="H348" s="4" t="s">
        <v>14</v>
      </c>
    </row>
    <row r="349" spans="1:12" ht="1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25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" x14ac:dyDescent="0.25">
      <c r="A351" s="1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"/>
    </row>
    <row r="352" spans="1:12" ht="15" x14ac:dyDescent="0.25">
      <c r="A352" s="1"/>
      <c r="K352" s="103"/>
      <c r="L352" s="1"/>
    </row>
    <row r="353" spans="1:12" ht="13.5" customHeight="1" x14ac:dyDescent="0.25">
      <c r="A353" s="1"/>
      <c r="B353" s="95" t="s">
        <v>77</v>
      </c>
      <c r="H353" s="95" t="s">
        <v>96</v>
      </c>
      <c r="I353" s="95"/>
      <c r="J353" s="92"/>
      <c r="K353" s="103"/>
      <c r="L353" s="1"/>
    </row>
    <row r="354" spans="1:12" ht="21" customHeight="1" x14ac:dyDescent="0.25">
      <c r="A354" s="1"/>
      <c r="B354" s="99" t="s">
        <v>27</v>
      </c>
      <c r="C354" s="57"/>
      <c r="H354" s="99" t="s">
        <v>100</v>
      </c>
      <c r="K354" s="103"/>
    </row>
    <row r="355" spans="1:12" ht="16.5" customHeight="1" x14ac:dyDescent="0.2"/>
    <row r="356" spans="1:12" ht="15.75" customHeight="1" x14ac:dyDescent="0.2"/>
    <row r="357" spans="1:12" ht="16.5" customHeight="1" x14ac:dyDescent="0.2"/>
    <row r="358" spans="1:12" ht="21" customHeight="1" x14ac:dyDescent="0.2"/>
    <row r="359" spans="1:12" ht="15" customHeight="1" x14ac:dyDescent="0.25">
      <c r="A359" s="3" t="s">
        <v>22</v>
      </c>
    </row>
    <row r="360" spans="1:12" ht="15.75" x14ac:dyDescent="0.2">
      <c r="A360" s="122" t="s">
        <v>20</v>
      </c>
    </row>
    <row r="361" spans="1:12" ht="13.5" customHeight="1" x14ac:dyDescent="0.2">
      <c r="A361" s="122" t="s">
        <v>21</v>
      </c>
    </row>
    <row r="362" spans="1:12" ht="12.75" x14ac:dyDescent="0.2"/>
    <row r="363" spans="1:12" ht="15" customHeight="1" x14ac:dyDescent="0.2"/>
    <row r="364" spans="1:12" ht="17.25" customHeight="1" x14ac:dyDescent="0.2"/>
    <row r="365" spans="1:12" ht="15" customHeight="1" x14ac:dyDescent="0.3">
      <c r="A365" s="276" t="s">
        <v>6</v>
      </c>
      <c r="B365" s="276"/>
      <c r="C365" s="276"/>
      <c r="D365" s="276"/>
      <c r="E365" s="276"/>
      <c r="F365" s="276"/>
      <c r="G365" s="276"/>
      <c r="H365" s="276"/>
      <c r="I365" s="276"/>
      <c r="J365" s="276"/>
      <c r="K365" s="276"/>
      <c r="L365" s="276"/>
    </row>
    <row r="366" spans="1:12" ht="15" customHeight="1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</row>
    <row r="367" spans="1:12" ht="18" customHeight="1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 ht="16.5" customHeight="1" x14ac:dyDescent="0.25">
      <c r="A368" s="1"/>
      <c r="B368" s="1"/>
    </row>
    <row r="369" spans="1:12" ht="15" customHeight="1" x14ac:dyDescent="0.25">
      <c r="A369" s="1" t="s">
        <v>7</v>
      </c>
      <c r="B369" s="1"/>
    </row>
    <row r="370" spans="1:12" ht="15.75" customHeight="1" x14ac:dyDescent="0.25">
      <c r="A370" s="1"/>
      <c r="B370" s="1"/>
    </row>
    <row r="371" spans="1:12" ht="15" x14ac:dyDescent="0.25">
      <c r="A371" s="1" t="s">
        <v>8</v>
      </c>
      <c r="C371" s="9" t="s">
        <v>1</v>
      </c>
      <c r="D371" s="126" t="s">
        <v>64</v>
      </c>
      <c r="E371" s="76"/>
      <c r="F371" s="76"/>
      <c r="G371" s="76"/>
      <c r="H371" s="76"/>
    </row>
    <row r="372" spans="1:12" ht="21" customHeight="1" x14ac:dyDescent="0.25">
      <c r="A372" s="1" t="s">
        <v>9</v>
      </c>
      <c r="C372" s="9" t="s">
        <v>1</v>
      </c>
      <c r="D372" s="119" t="s">
        <v>236</v>
      </c>
      <c r="E372" s="76"/>
      <c r="F372" s="76"/>
      <c r="G372" s="76"/>
      <c r="H372" s="76"/>
    </row>
    <row r="373" spans="1:12" ht="15" x14ac:dyDescent="0.2">
      <c r="A373" s="50" t="s">
        <v>10</v>
      </c>
      <c r="B373" s="76"/>
      <c r="C373" s="91" t="s">
        <v>1</v>
      </c>
      <c r="D373" s="124" t="s">
        <v>235</v>
      </c>
      <c r="E373" s="76"/>
      <c r="F373" s="76"/>
      <c r="G373" s="76"/>
      <c r="H373" s="76"/>
      <c r="I373" s="76"/>
      <c r="J373" s="76"/>
      <c r="K373" s="76"/>
      <c r="L373" s="76"/>
    </row>
    <row r="374" spans="1:12" ht="7.5" customHeight="1" x14ac:dyDescent="0.25">
      <c r="A374" s="1"/>
      <c r="B374" s="1"/>
      <c r="D374" s="1"/>
    </row>
    <row r="375" spans="1:12" ht="29.25" customHeight="1" x14ac:dyDescent="0.2">
      <c r="A375" s="277" t="s">
        <v>302</v>
      </c>
      <c r="B375" s="277"/>
      <c r="C375" s="277"/>
      <c r="D375" s="277"/>
      <c r="E375" s="277"/>
      <c r="F375" s="277"/>
      <c r="G375" s="277"/>
      <c r="H375" s="277"/>
      <c r="I375" s="277"/>
      <c r="J375" s="277"/>
      <c r="K375" s="277"/>
      <c r="L375" s="277"/>
    </row>
    <row r="376" spans="1:12" ht="14.25" customHeight="1" x14ac:dyDescent="0.25">
      <c r="A376" s="1"/>
      <c r="B376" s="1"/>
    </row>
    <row r="377" spans="1:12" ht="30.75" customHeight="1" thickBot="1" x14ac:dyDescent="0.25">
      <c r="A377" s="10" t="s">
        <v>0</v>
      </c>
      <c r="B377" s="278" t="s">
        <v>91</v>
      </c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</row>
    <row r="378" spans="1:12" ht="15" customHeight="1" thickTop="1" x14ac:dyDescent="0.25">
      <c r="A378" s="1"/>
      <c r="B378" s="11" t="s">
        <v>3</v>
      </c>
      <c r="C378" s="12" t="s">
        <v>4</v>
      </c>
      <c r="D378" s="13"/>
      <c r="E378" s="13"/>
      <c r="F378" s="13"/>
      <c r="G378" s="13"/>
      <c r="H378" s="14"/>
      <c r="I378" s="15" t="s">
        <v>5</v>
      </c>
      <c r="J378" s="12" t="s">
        <v>17</v>
      </c>
      <c r="K378" s="13"/>
      <c r="L378" s="14"/>
    </row>
    <row r="379" spans="1:12" ht="19.5" customHeight="1" x14ac:dyDescent="0.2">
      <c r="A379" s="50"/>
      <c r="B379" s="100">
        <v>1</v>
      </c>
      <c r="C379" s="284" t="s">
        <v>303</v>
      </c>
      <c r="D379" s="285"/>
      <c r="E379" s="285"/>
      <c r="F379" s="285"/>
      <c r="G379" s="76"/>
      <c r="H379" s="79"/>
      <c r="I379" s="56">
        <v>250000</v>
      </c>
      <c r="J379" s="76"/>
      <c r="K379" s="76"/>
      <c r="L379" s="79"/>
    </row>
    <row r="380" spans="1:12" ht="12.75" customHeight="1" x14ac:dyDescent="0.25">
      <c r="A380" s="50"/>
      <c r="B380" s="96">
        <v>2</v>
      </c>
      <c r="C380" s="321" t="s">
        <v>238</v>
      </c>
      <c r="D380" s="297"/>
      <c r="E380" s="127">
        <v>622000</v>
      </c>
      <c r="F380" s="319" t="s">
        <v>239</v>
      </c>
      <c r="G380" s="297"/>
      <c r="H380" s="320"/>
      <c r="I380" s="56">
        <f>E380*30/100*2</f>
        <v>373200</v>
      </c>
      <c r="J380" s="50" t="s">
        <v>281</v>
      </c>
      <c r="K380" s="1"/>
      <c r="L380" s="17"/>
    </row>
    <row r="381" spans="1:12" ht="24" customHeight="1" x14ac:dyDescent="0.2">
      <c r="B381" s="20"/>
      <c r="C381" s="21"/>
      <c r="D381" s="21"/>
      <c r="E381" s="21"/>
      <c r="F381" s="21"/>
      <c r="G381" s="21"/>
      <c r="H381" s="22"/>
      <c r="I381" s="23"/>
      <c r="J381" s="21"/>
      <c r="K381" s="21"/>
      <c r="L381" s="22"/>
    </row>
    <row r="382" spans="1:12" ht="19.5" customHeight="1" x14ac:dyDescent="0.25">
      <c r="A382" s="1"/>
      <c r="B382" s="39"/>
      <c r="C382" s="1"/>
      <c r="D382" s="1"/>
      <c r="E382" s="1"/>
      <c r="F382" s="40" t="s">
        <v>5</v>
      </c>
      <c r="G382" s="40"/>
      <c r="H382" s="1"/>
      <c r="I382" s="41">
        <f>SUM(I379:I380)</f>
        <v>623200</v>
      </c>
      <c r="J382" s="1"/>
      <c r="K382" s="1"/>
      <c r="L382" s="42"/>
    </row>
    <row r="383" spans="1:12" ht="15" customHeight="1" thickBot="1" x14ac:dyDescent="0.3">
      <c r="A383" s="1"/>
      <c r="B383" s="43"/>
      <c r="C383" s="44"/>
      <c r="D383" s="44"/>
      <c r="E383" s="44"/>
      <c r="F383" s="45"/>
      <c r="G383" s="45"/>
      <c r="H383" s="44"/>
      <c r="I383" s="46"/>
      <c r="J383" s="44"/>
      <c r="K383" s="44"/>
      <c r="L383" s="47"/>
    </row>
    <row r="384" spans="1:12" ht="15.75" customHeight="1" thickTop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46.5" customHeight="1" x14ac:dyDescent="0.2">
      <c r="A385" s="10" t="s">
        <v>2</v>
      </c>
      <c r="B385" s="279" t="s">
        <v>11</v>
      </c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</row>
    <row r="386" spans="1:12" ht="6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6.5" customHeight="1" x14ac:dyDescent="0.2">
      <c r="A387" s="280" t="s">
        <v>12</v>
      </c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</row>
    <row r="388" spans="1:12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" x14ac:dyDescent="0.25">
      <c r="A390" s="1"/>
      <c r="B390" s="1"/>
      <c r="C390" s="1"/>
      <c r="D390" s="1"/>
      <c r="E390" s="1"/>
      <c r="F390" s="1"/>
      <c r="G390" s="1"/>
      <c r="H390" s="4" t="s">
        <v>199</v>
      </c>
      <c r="J390" s="286" t="s">
        <v>299</v>
      </c>
      <c r="K390" s="286"/>
      <c r="L390" s="286"/>
    </row>
    <row r="391" spans="1:12" ht="15.75" customHeight="1" x14ac:dyDescent="0.25">
      <c r="A391" s="1"/>
      <c r="B391" s="1" t="s">
        <v>15</v>
      </c>
      <c r="C391" s="1"/>
      <c r="D391" s="1"/>
      <c r="E391" s="1"/>
      <c r="F391" s="1"/>
      <c r="G391" s="1"/>
      <c r="H391" s="4" t="s">
        <v>13</v>
      </c>
    </row>
    <row r="392" spans="1:12" ht="15" customHeight="1" x14ac:dyDescent="0.25">
      <c r="A392" s="1"/>
      <c r="B392" s="1" t="s">
        <v>18</v>
      </c>
      <c r="C392" s="1"/>
      <c r="D392" s="1"/>
      <c r="E392" s="1"/>
      <c r="F392" s="1"/>
      <c r="G392" s="1"/>
      <c r="H392" s="4" t="s">
        <v>14</v>
      </c>
    </row>
    <row r="393" spans="1:12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6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21" customHeight="1" x14ac:dyDescent="0.25">
      <c r="A395" s="1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"/>
    </row>
    <row r="396" spans="1:12" ht="7.5" customHeight="1" x14ac:dyDescent="0.25">
      <c r="A396" s="1"/>
      <c r="K396" s="103"/>
      <c r="L396" s="1"/>
    </row>
    <row r="397" spans="1:12" ht="15" customHeight="1" x14ac:dyDescent="0.25">
      <c r="A397" s="1"/>
      <c r="B397" s="95" t="s">
        <v>77</v>
      </c>
      <c r="H397" s="95" t="s">
        <v>64</v>
      </c>
      <c r="I397" s="95"/>
      <c r="J397" s="92"/>
      <c r="K397" s="103"/>
      <c r="L397" s="1"/>
    </row>
    <row r="398" spans="1:12" ht="16.5" customHeight="1" x14ac:dyDescent="0.25">
      <c r="A398" s="1"/>
      <c r="B398" s="99" t="s">
        <v>27</v>
      </c>
      <c r="C398" s="57"/>
      <c r="H398" s="99" t="s">
        <v>46</v>
      </c>
      <c r="K398" s="103"/>
    </row>
    <row r="399" spans="1:12" ht="13.5" customHeight="1" x14ac:dyDescent="0.2"/>
    <row r="400" spans="1:12" ht="21.75" customHeight="1" x14ac:dyDescent="0.2"/>
    <row r="401" spans="1:12" ht="21.75" customHeight="1" x14ac:dyDescent="0.2"/>
    <row r="402" spans="1:12" ht="3.75" customHeight="1" x14ac:dyDescent="0.2"/>
    <row r="403" spans="1:12" ht="17.25" customHeight="1" x14ac:dyDescent="0.2"/>
    <row r="404" spans="1:12" ht="18" customHeight="1" x14ac:dyDescent="0.25">
      <c r="A404" s="3" t="s">
        <v>22</v>
      </c>
    </row>
    <row r="405" spans="1:12" ht="15.75" customHeight="1" x14ac:dyDescent="0.2">
      <c r="A405" s="122" t="s">
        <v>20</v>
      </c>
    </row>
    <row r="406" spans="1:12" ht="19.5" customHeight="1" x14ac:dyDescent="0.2">
      <c r="A406" s="122" t="s">
        <v>21</v>
      </c>
    </row>
    <row r="407" spans="1:12" ht="12.75" x14ac:dyDescent="0.2"/>
    <row r="408" spans="1:12" ht="12.75" x14ac:dyDescent="0.2"/>
    <row r="409" spans="1:12" ht="15" customHeight="1" x14ac:dyDescent="0.2"/>
    <row r="410" spans="1:12" ht="18.75" x14ac:dyDescent="0.3">
      <c r="A410" s="276" t="s">
        <v>6</v>
      </c>
      <c r="B410" s="276"/>
      <c r="C410" s="276"/>
      <c r="D410" s="276"/>
      <c r="E410" s="276"/>
      <c r="F410" s="276"/>
      <c r="G410" s="276"/>
      <c r="H410" s="276"/>
      <c r="I410" s="276"/>
      <c r="J410" s="276"/>
      <c r="K410" s="276"/>
      <c r="L410" s="276"/>
    </row>
    <row r="411" spans="1:12" ht="16.5" customHeight="1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</row>
    <row r="412" spans="1:12" ht="2.25" customHeight="1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</row>
    <row r="413" spans="1:12" ht="21" customHeight="1" x14ac:dyDescent="0.25">
      <c r="A413" s="1"/>
      <c r="B413" s="1"/>
    </row>
    <row r="414" spans="1:12" ht="13.5" customHeight="1" x14ac:dyDescent="0.25">
      <c r="A414" s="1" t="s">
        <v>7</v>
      </c>
      <c r="B414" s="1"/>
    </row>
    <row r="415" spans="1:12" ht="14.25" customHeight="1" x14ac:dyDescent="0.25">
      <c r="A415" s="1"/>
      <c r="B415" s="1"/>
    </row>
    <row r="416" spans="1:12" ht="17.25" customHeight="1" x14ac:dyDescent="0.25">
      <c r="A416" s="1" t="s">
        <v>8</v>
      </c>
      <c r="C416" s="9" t="s">
        <v>1</v>
      </c>
      <c r="D416" s="123" t="s">
        <v>78</v>
      </c>
      <c r="E416" s="76"/>
      <c r="F416" s="76"/>
      <c r="G416" s="76"/>
      <c r="H416" s="76"/>
    </row>
    <row r="417" spans="1:12" ht="15" x14ac:dyDescent="0.25">
      <c r="A417" s="1" t="s">
        <v>9</v>
      </c>
      <c r="C417" s="9" t="s">
        <v>1</v>
      </c>
      <c r="D417" s="76" t="s">
        <v>234</v>
      </c>
      <c r="E417" s="76"/>
      <c r="F417" s="76"/>
      <c r="G417" s="76"/>
      <c r="H417" s="76"/>
    </row>
    <row r="418" spans="1:12" ht="18" customHeight="1" x14ac:dyDescent="0.2">
      <c r="A418" s="50" t="s">
        <v>10</v>
      </c>
      <c r="B418" s="76"/>
      <c r="C418" s="91" t="s">
        <v>1</v>
      </c>
      <c r="D418" s="50" t="s">
        <v>235</v>
      </c>
      <c r="E418" s="76"/>
      <c r="F418" s="76"/>
      <c r="G418" s="76"/>
      <c r="H418" s="76"/>
      <c r="I418" s="76"/>
      <c r="J418" s="76"/>
      <c r="K418" s="76"/>
      <c r="L418" s="76"/>
    </row>
    <row r="419" spans="1:12" s="76" customFormat="1" ht="14.25" customHeight="1" x14ac:dyDescent="0.25">
      <c r="A419" s="1"/>
      <c r="B419" s="1"/>
      <c r="C419" s="4"/>
      <c r="D419" s="1"/>
      <c r="E419" s="4"/>
      <c r="F419" s="4"/>
      <c r="G419" s="4"/>
      <c r="H419" s="4"/>
      <c r="I419" s="4"/>
      <c r="J419" s="4"/>
      <c r="K419" s="4"/>
      <c r="L419" s="4"/>
    </row>
    <row r="420" spans="1:12" s="76" customFormat="1" ht="34.5" customHeight="1" x14ac:dyDescent="0.2">
      <c r="A420" s="277" t="s">
        <v>302</v>
      </c>
      <c r="B420" s="277"/>
      <c r="C420" s="277"/>
      <c r="D420" s="277"/>
      <c r="E420" s="277"/>
      <c r="F420" s="277"/>
      <c r="G420" s="277"/>
      <c r="H420" s="277"/>
      <c r="I420" s="277"/>
      <c r="J420" s="277"/>
      <c r="K420" s="277"/>
      <c r="L420" s="277"/>
    </row>
    <row r="421" spans="1:12" s="76" customFormat="1" ht="12" customHeight="1" x14ac:dyDescent="0.25">
      <c r="A421" s="1"/>
      <c r="B421" s="1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38.25" customHeight="1" thickBot="1" x14ac:dyDescent="0.25">
      <c r="A422" s="10" t="s">
        <v>0</v>
      </c>
      <c r="B422" s="278" t="s">
        <v>91</v>
      </c>
      <c r="C422" s="278"/>
      <c r="D422" s="278"/>
      <c r="E422" s="278"/>
      <c r="F422" s="278"/>
      <c r="G422" s="278"/>
      <c r="H422" s="278"/>
      <c r="I422" s="278"/>
      <c r="J422" s="278"/>
      <c r="K422" s="278"/>
      <c r="L422" s="278"/>
    </row>
    <row r="423" spans="1:12" ht="20.25" customHeight="1" thickTop="1" x14ac:dyDescent="0.25">
      <c r="A423" s="1"/>
      <c r="B423" s="11" t="s">
        <v>3</v>
      </c>
      <c r="C423" s="12" t="s">
        <v>4</v>
      </c>
      <c r="D423" s="13"/>
      <c r="E423" s="13"/>
      <c r="F423" s="13"/>
      <c r="G423" s="13"/>
      <c r="H423" s="14"/>
      <c r="I423" s="15" t="s">
        <v>5</v>
      </c>
      <c r="J423" s="12" t="s">
        <v>17</v>
      </c>
      <c r="K423" s="13"/>
      <c r="L423" s="14"/>
    </row>
    <row r="424" spans="1:12" ht="21" customHeight="1" x14ac:dyDescent="0.2">
      <c r="A424" s="50"/>
      <c r="B424" s="100">
        <v>1</v>
      </c>
      <c r="C424" s="284" t="s">
        <v>303</v>
      </c>
      <c r="D424" s="285"/>
      <c r="E424" s="285"/>
      <c r="F424" s="285"/>
      <c r="G424" s="76"/>
      <c r="H424" s="79"/>
      <c r="I424" s="56">
        <v>250000</v>
      </c>
      <c r="J424" s="76"/>
      <c r="K424" s="76"/>
      <c r="L424" s="79"/>
    </row>
    <row r="425" spans="1:12" ht="25.5" customHeight="1" x14ac:dyDescent="0.25">
      <c r="A425" s="50"/>
      <c r="B425" s="96">
        <v>2</v>
      </c>
      <c r="C425" s="321" t="s">
        <v>238</v>
      </c>
      <c r="D425" s="297"/>
      <c r="E425" s="127">
        <v>622000</v>
      </c>
      <c r="F425" s="319" t="s">
        <v>239</v>
      </c>
      <c r="G425" s="297"/>
      <c r="H425" s="320"/>
      <c r="I425" s="56">
        <f>E425*30/100*2</f>
        <v>373200</v>
      </c>
      <c r="J425" s="50" t="s">
        <v>281</v>
      </c>
      <c r="K425" s="1"/>
      <c r="L425" s="17"/>
    </row>
    <row r="426" spans="1:12" ht="22.5" customHeight="1" x14ac:dyDescent="0.2">
      <c r="B426" s="20"/>
      <c r="C426" s="21"/>
      <c r="D426" s="21"/>
      <c r="E426" s="21"/>
      <c r="F426" s="21"/>
      <c r="G426" s="21"/>
      <c r="H426" s="22"/>
      <c r="I426" s="23"/>
      <c r="J426" s="21"/>
      <c r="K426" s="21"/>
      <c r="L426" s="22"/>
    </row>
    <row r="427" spans="1:12" ht="15.75" customHeight="1" x14ac:dyDescent="0.25">
      <c r="A427" s="1"/>
      <c r="B427" s="39"/>
      <c r="C427" s="1"/>
      <c r="D427" s="1"/>
      <c r="E427" s="1"/>
      <c r="F427" s="40" t="s">
        <v>5</v>
      </c>
      <c r="G427" s="40"/>
      <c r="H427" s="1"/>
      <c r="I427" s="41">
        <f>SUM(I424:I425)</f>
        <v>623200</v>
      </c>
      <c r="J427" s="1"/>
      <c r="K427" s="1"/>
      <c r="L427" s="42"/>
    </row>
    <row r="428" spans="1:12" ht="9.75" customHeight="1" thickBot="1" x14ac:dyDescent="0.3">
      <c r="A428" s="1"/>
      <c r="B428" s="43"/>
      <c r="C428" s="44"/>
      <c r="D428" s="44"/>
      <c r="E428" s="44"/>
      <c r="F428" s="45"/>
      <c r="G428" s="45"/>
      <c r="H428" s="44"/>
      <c r="I428" s="46"/>
      <c r="J428" s="44"/>
      <c r="K428" s="44"/>
      <c r="L428" s="47"/>
    </row>
    <row r="429" spans="1:12" ht="16.5" customHeight="1" thickTop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47.25" customHeight="1" x14ac:dyDescent="0.2">
      <c r="A430" s="10" t="s">
        <v>2</v>
      </c>
      <c r="B430" s="279" t="s">
        <v>11</v>
      </c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</row>
    <row r="431" spans="1:12" ht="17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6.5" customHeight="1" x14ac:dyDescent="0.2">
      <c r="A432" s="280" t="s">
        <v>12</v>
      </c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</row>
    <row r="433" spans="1:12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9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" x14ac:dyDescent="0.25">
      <c r="A435" s="1"/>
      <c r="B435" s="1"/>
      <c r="C435" s="1"/>
      <c r="D435" s="1"/>
      <c r="E435" s="1"/>
      <c r="F435" s="1"/>
      <c r="G435" s="1"/>
      <c r="H435" s="4" t="s">
        <v>199</v>
      </c>
      <c r="J435" s="286" t="s">
        <v>299</v>
      </c>
      <c r="K435" s="286"/>
      <c r="L435" s="286"/>
    </row>
    <row r="436" spans="1:12" ht="12.75" customHeight="1" x14ac:dyDescent="0.25">
      <c r="A436" s="1"/>
      <c r="B436" s="1" t="s">
        <v>15</v>
      </c>
      <c r="C436" s="1"/>
      <c r="D436" s="1"/>
      <c r="E436" s="1"/>
      <c r="F436" s="1"/>
      <c r="G436" s="1"/>
      <c r="H436" s="4" t="s">
        <v>13</v>
      </c>
    </row>
    <row r="437" spans="1:12" ht="15" x14ac:dyDescent="0.25">
      <c r="A437" s="1"/>
      <c r="B437" s="1" t="s">
        <v>18</v>
      </c>
      <c r="C437" s="1"/>
      <c r="D437" s="1"/>
      <c r="E437" s="1"/>
      <c r="F437" s="1"/>
      <c r="G437" s="1"/>
      <c r="H437" s="4" t="s">
        <v>14</v>
      </c>
    </row>
    <row r="438" spans="1:12" ht="11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" hidden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0.5" customHeight="1" x14ac:dyDescent="0.25">
      <c r="A440" s="1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"/>
    </row>
    <row r="441" spans="1:12" ht="22.5" customHeight="1" x14ac:dyDescent="0.25">
      <c r="A441" s="1"/>
      <c r="K441" s="103"/>
      <c r="L441" s="1"/>
    </row>
    <row r="442" spans="1:12" ht="16.5" customHeight="1" x14ac:dyDescent="0.25">
      <c r="A442" s="1"/>
      <c r="B442" s="95" t="s">
        <v>77</v>
      </c>
      <c r="H442" s="95" t="s">
        <v>78</v>
      </c>
      <c r="I442" s="95"/>
      <c r="J442" s="92"/>
      <c r="K442" s="103"/>
      <c r="L442" s="1"/>
    </row>
    <row r="443" spans="1:12" ht="16.5" customHeight="1" x14ac:dyDescent="0.25">
      <c r="A443" s="1"/>
      <c r="B443" s="99" t="s">
        <v>27</v>
      </c>
      <c r="C443" s="57"/>
      <c r="H443" s="99" t="s">
        <v>79</v>
      </c>
      <c r="K443" s="103"/>
    </row>
    <row r="444" spans="1:12" ht="16.5" customHeight="1" x14ac:dyDescent="0.2"/>
    <row r="445" spans="1:12" ht="48" customHeight="1" x14ac:dyDescent="0.2"/>
    <row r="446" spans="1:12" ht="18" customHeight="1" x14ac:dyDescent="0.2"/>
    <row r="447" spans="1:12" ht="23.25" customHeight="1" x14ac:dyDescent="0.25">
      <c r="A447" s="3" t="s">
        <v>22</v>
      </c>
    </row>
    <row r="448" spans="1:12" ht="24" customHeight="1" x14ac:dyDescent="0.2">
      <c r="A448" s="122" t="s">
        <v>20</v>
      </c>
    </row>
    <row r="449" spans="1:12" ht="15.75" customHeight="1" x14ac:dyDescent="0.2">
      <c r="A449" s="122" t="s">
        <v>21</v>
      </c>
    </row>
    <row r="450" spans="1:12" ht="12.75" customHeight="1" x14ac:dyDescent="0.2"/>
    <row r="451" spans="1:12" ht="12.75" x14ac:dyDescent="0.2"/>
    <row r="452" spans="1:12" ht="12.75" x14ac:dyDescent="0.2"/>
    <row r="453" spans="1:12" ht="18.75" x14ac:dyDescent="0.3">
      <c r="A453" s="276" t="s">
        <v>6</v>
      </c>
      <c r="B453" s="276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</row>
    <row r="454" spans="1:12" ht="18.75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</row>
    <row r="455" spans="1:12" ht="18.75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</row>
    <row r="456" spans="1:12" ht="15" x14ac:dyDescent="0.25">
      <c r="A456" s="1"/>
      <c r="B456" s="1"/>
    </row>
    <row r="457" spans="1:12" ht="15" x14ac:dyDescent="0.25">
      <c r="A457" s="1" t="s">
        <v>7</v>
      </c>
      <c r="B457" s="1"/>
    </row>
    <row r="458" spans="1:12" ht="15.75" customHeight="1" x14ac:dyDescent="0.25">
      <c r="A458" s="1"/>
      <c r="B458" s="1"/>
    </row>
    <row r="459" spans="1:12" ht="20.25" customHeight="1" x14ac:dyDescent="0.25">
      <c r="A459" s="1" t="s">
        <v>8</v>
      </c>
      <c r="C459" s="9" t="s">
        <v>1</v>
      </c>
      <c r="D459" s="126" t="s">
        <v>64</v>
      </c>
      <c r="E459" s="76"/>
      <c r="F459" s="76"/>
      <c r="G459" s="76"/>
      <c r="H459" s="76"/>
    </row>
    <row r="460" spans="1:12" ht="13.5" customHeight="1" x14ac:dyDescent="0.25">
      <c r="A460" s="1" t="s">
        <v>9</v>
      </c>
      <c r="C460" s="9" t="s">
        <v>1</v>
      </c>
      <c r="D460" s="119" t="s">
        <v>236</v>
      </c>
      <c r="E460" s="76"/>
      <c r="F460" s="76"/>
      <c r="G460" s="76"/>
      <c r="H460" s="76"/>
    </row>
    <row r="461" spans="1:12" ht="15" customHeight="1" x14ac:dyDescent="0.2">
      <c r="A461" s="50" t="s">
        <v>10</v>
      </c>
      <c r="B461" s="76"/>
      <c r="C461" s="91" t="s">
        <v>1</v>
      </c>
      <c r="D461" s="124" t="s">
        <v>235</v>
      </c>
      <c r="E461" s="76"/>
      <c r="F461" s="76"/>
      <c r="G461" s="76"/>
      <c r="H461" s="76"/>
      <c r="I461" s="76"/>
      <c r="J461" s="76"/>
      <c r="K461" s="76"/>
      <c r="L461" s="76"/>
    </row>
    <row r="462" spans="1:12" ht="20.25" customHeight="1" x14ac:dyDescent="0.25">
      <c r="A462" s="1"/>
      <c r="B462" s="1"/>
      <c r="D462" s="1"/>
    </row>
    <row r="463" spans="1:12" ht="27" customHeight="1" x14ac:dyDescent="0.2">
      <c r="A463" s="277" t="s">
        <v>304</v>
      </c>
      <c r="B463" s="277"/>
      <c r="C463" s="277"/>
      <c r="D463" s="277"/>
      <c r="E463" s="277"/>
      <c r="F463" s="277"/>
      <c r="G463" s="277"/>
      <c r="H463" s="277"/>
      <c r="I463" s="277"/>
      <c r="J463" s="277"/>
      <c r="K463" s="277"/>
      <c r="L463" s="277"/>
    </row>
    <row r="464" spans="1:12" ht="15" customHeight="1" x14ac:dyDescent="0.25">
      <c r="A464" s="1"/>
      <c r="B464" s="1"/>
    </row>
    <row r="465" spans="1:12" ht="36" customHeight="1" thickBot="1" x14ac:dyDescent="0.25">
      <c r="A465" s="10" t="s">
        <v>0</v>
      </c>
      <c r="B465" s="278" t="s">
        <v>91</v>
      </c>
      <c r="C465" s="278"/>
      <c r="D465" s="278"/>
      <c r="E465" s="278"/>
      <c r="F465" s="278"/>
      <c r="G465" s="278"/>
      <c r="H465" s="278"/>
      <c r="I465" s="278"/>
      <c r="J465" s="278"/>
      <c r="K465" s="278"/>
      <c r="L465" s="278"/>
    </row>
    <row r="466" spans="1:12" ht="23.25" customHeight="1" thickTop="1" x14ac:dyDescent="0.25">
      <c r="A466" s="1"/>
      <c r="B466" s="11" t="s">
        <v>3</v>
      </c>
      <c r="C466" s="12" t="s">
        <v>4</v>
      </c>
      <c r="D466" s="13"/>
      <c r="E466" s="13"/>
      <c r="F466" s="13"/>
      <c r="G466" s="13"/>
      <c r="H466" s="14"/>
      <c r="I466" s="15" t="s">
        <v>5</v>
      </c>
      <c r="J466" s="12" t="s">
        <v>17</v>
      </c>
      <c r="K466" s="13"/>
      <c r="L466" s="14"/>
    </row>
    <row r="467" spans="1:12" ht="22.5" customHeight="1" x14ac:dyDescent="0.2">
      <c r="A467" s="50"/>
      <c r="B467" s="100">
        <v>1</v>
      </c>
      <c r="C467" s="284" t="s">
        <v>303</v>
      </c>
      <c r="D467" s="285"/>
      <c r="E467" s="285"/>
      <c r="F467" s="285"/>
      <c r="G467" s="76"/>
      <c r="H467" s="79"/>
      <c r="I467" s="56">
        <v>250000</v>
      </c>
      <c r="J467" s="76"/>
      <c r="K467" s="76"/>
      <c r="L467" s="79"/>
    </row>
    <row r="468" spans="1:12" ht="20.100000000000001" customHeight="1" x14ac:dyDescent="0.25">
      <c r="A468" s="50"/>
      <c r="B468" s="96">
        <v>2</v>
      </c>
      <c r="C468" s="321" t="s">
        <v>238</v>
      </c>
      <c r="D468" s="297"/>
      <c r="E468" s="127">
        <v>622000</v>
      </c>
      <c r="F468" s="319" t="s">
        <v>239</v>
      </c>
      <c r="G468" s="297"/>
      <c r="H468" s="320"/>
      <c r="I468" s="56">
        <f>E468*30/100*1</f>
        <v>186600</v>
      </c>
      <c r="J468" s="50" t="s">
        <v>240</v>
      </c>
      <c r="K468" s="1"/>
      <c r="L468" s="17"/>
    </row>
    <row r="469" spans="1:12" ht="24" customHeight="1" x14ac:dyDescent="0.2">
      <c r="B469" s="20"/>
      <c r="C469" s="21"/>
      <c r="D469" s="21"/>
      <c r="E469" s="21"/>
      <c r="F469" s="21"/>
      <c r="G469" s="21"/>
      <c r="H469" s="22"/>
      <c r="I469" s="23"/>
      <c r="J469" s="21"/>
      <c r="K469" s="21"/>
      <c r="L469" s="22"/>
    </row>
    <row r="470" spans="1:12" ht="15" x14ac:dyDescent="0.25">
      <c r="A470" s="1"/>
      <c r="B470" s="39"/>
      <c r="C470" s="1"/>
      <c r="D470" s="1"/>
      <c r="E470" s="1"/>
      <c r="F470" s="40" t="s">
        <v>5</v>
      </c>
      <c r="G470" s="40"/>
      <c r="H470" s="1"/>
      <c r="I470" s="41">
        <f>SUM(I467:I468)</f>
        <v>436600</v>
      </c>
      <c r="J470" s="1"/>
      <c r="K470" s="1"/>
      <c r="L470" s="42"/>
    </row>
    <row r="471" spans="1:12" ht="15.75" thickBot="1" x14ac:dyDescent="0.3">
      <c r="A471" s="1"/>
      <c r="B471" s="43"/>
      <c r="C471" s="44"/>
      <c r="D471" s="44"/>
      <c r="E471" s="44"/>
      <c r="F471" s="45"/>
      <c r="G471" s="45"/>
      <c r="H471" s="44"/>
      <c r="I471" s="46"/>
      <c r="J471" s="44"/>
      <c r="K471" s="44"/>
      <c r="L471" s="47"/>
    </row>
    <row r="472" spans="1:12" ht="14.25" customHeight="1" thickTop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49.5" customHeight="1" x14ac:dyDescent="0.2">
      <c r="A473" s="10" t="s">
        <v>2</v>
      </c>
      <c r="B473" s="279" t="s">
        <v>11</v>
      </c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</row>
    <row r="474" spans="1:12" ht="1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2" customHeight="1" x14ac:dyDescent="0.2">
      <c r="A475" s="280" t="s">
        <v>12</v>
      </c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</row>
    <row r="476" spans="1:12" ht="11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7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4.25" customHeight="1" x14ac:dyDescent="0.25">
      <c r="A478" s="1"/>
      <c r="B478" s="1"/>
      <c r="C478" s="1"/>
      <c r="D478" s="1"/>
      <c r="E478" s="1"/>
      <c r="F478" s="1"/>
      <c r="G478" s="1"/>
      <c r="H478" s="4" t="s">
        <v>199</v>
      </c>
      <c r="J478" s="286" t="s">
        <v>299</v>
      </c>
      <c r="K478" s="286"/>
      <c r="L478" s="286"/>
    </row>
    <row r="479" spans="1:12" ht="12" customHeight="1" x14ac:dyDescent="0.25">
      <c r="A479" s="1"/>
      <c r="B479" s="1" t="s">
        <v>15</v>
      </c>
      <c r="C479" s="1"/>
      <c r="D479" s="1"/>
      <c r="E479" s="1"/>
      <c r="F479" s="1"/>
      <c r="G479" s="1"/>
      <c r="H479" s="4" t="s">
        <v>13</v>
      </c>
    </row>
    <row r="480" spans="1:12" ht="10.5" customHeight="1" x14ac:dyDescent="0.25">
      <c r="A480" s="1"/>
      <c r="B480" s="1" t="s">
        <v>18</v>
      </c>
      <c r="C480" s="1"/>
      <c r="D480" s="1"/>
      <c r="E480" s="1"/>
      <c r="F480" s="1"/>
      <c r="G480" s="1"/>
      <c r="H480" s="4" t="s">
        <v>14</v>
      </c>
    </row>
    <row r="481" spans="1:12" ht="21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20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" x14ac:dyDescent="0.25">
      <c r="A483" s="1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"/>
    </row>
    <row r="484" spans="1:12" ht="15" x14ac:dyDescent="0.25">
      <c r="A484" s="1"/>
      <c r="K484" s="103"/>
      <c r="L484" s="1"/>
    </row>
    <row r="485" spans="1:12" ht="13.5" customHeight="1" x14ac:dyDescent="0.25">
      <c r="A485" s="1"/>
      <c r="B485" s="95" t="s">
        <v>77</v>
      </c>
      <c r="H485" s="95" t="s">
        <v>64</v>
      </c>
      <c r="I485" s="95"/>
      <c r="J485" s="92"/>
      <c r="K485" s="103"/>
      <c r="L485" s="1"/>
    </row>
    <row r="486" spans="1:12" ht="18.75" customHeight="1" x14ac:dyDescent="0.25">
      <c r="A486" s="1"/>
      <c r="B486" s="99" t="s">
        <v>27</v>
      </c>
      <c r="C486" s="57"/>
      <c r="H486" s="99" t="s">
        <v>46</v>
      </c>
      <c r="K486" s="103"/>
    </row>
    <row r="487" spans="1:12" ht="19.5" customHeight="1" x14ac:dyDescent="0.2"/>
    <row r="488" spans="1:12" ht="49.5" customHeight="1" x14ac:dyDescent="0.2"/>
    <row r="489" spans="1:12" ht="15" customHeight="1" x14ac:dyDescent="0.2"/>
    <row r="490" spans="1:12" ht="15" customHeight="1" x14ac:dyDescent="0.2"/>
    <row r="491" spans="1:12" ht="7.5" customHeight="1" x14ac:dyDescent="0.2"/>
    <row r="492" spans="1:12" ht="15.75" x14ac:dyDescent="0.25">
      <c r="A492" s="3" t="s">
        <v>22</v>
      </c>
    </row>
    <row r="493" spans="1:12" ht="13.5" customHeight="1" x14ac:dyDescent="0.2">
      <c r="A493" s="122" t="s">
        <v>20</v>
      </c>
    </row>
    <row r="494" spans="1:12" ht="15.75" x14ac:dyDescent="0.2">
      <c r="A494" s="122" t="s">
        <v>21</v>
      </c>
    </row>
    <row r="495" spans="1:12" ht="17.25" customHeight="1" x14ac:dyDescent="0.2"/>
    <row r="496" spans="1:12" ht="12.75" hidden="1" x14ac:dyDescent="0.2"/>
    <row r="497" spans="1:12" ht="16.5" customHeight="1" x14ac:dyDescent="0.2"/>
    <row r="498" spans="1:12" ht="21" customHeight="1" x14ac:dyDescent="0.3">
      <c r="A498" s="276" t="s">
        <v>6</v>
      </c>
      <c r="B498" s="276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</row>
    <row r="499" spans="1:12" ht="15" customHeight="1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</row>
    <row r="500" spans="1:12" ht="18.75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</row>
    <row r="501" spans="1:12" ht="15" x14ac:dyDescent="0.25">
      <c r="A501" s="1"/>
      <c r="B501" s="1"/>
    </row>
    <row r="502" spans="1:12" ht="12.75" customHeight="1" x14ac:dyDescent="0.25">
      <c r="A502" s="1" t="s">
        <v>7</v>
      </c>
      <c r="B502" s="1"/>
    </row>
    <row r="503" spans="1:12" ht="19.5" customHeight="1" x14ac:dyDescent="0.25">
      <c r="A503" s="1"/>
      <c r="B503" s="1"/>
    </row>
    <row r="504" spans="1:12" ht="11.25" customHeight="1" x14ac:dyDescent="0.25">
      <c r="A504" s="1" t="s">
        <v>8</v>
      </c>
      <c r="C504" s="9" t="s">
        <v>1</v>
      </c>
      <c r="D504" s="123" t="s">
        <v>78</v>
      </c>
      <c r="E504" s="76"/>
      <c r="F504" s="76"/>
      <c r="G504" s="76"/>
      <c r="H504" s="76"/>
    </row>
    <row r="505" spans="1:12" ht="21" customHeight="1" x14ac:dyDescent="0.25">
      <c r="A505" s="1" t="s">
        <v>9</v>
      </c>
      <c r="C505" s="9" t="s">
        <v>1</v>
      </c>
      <c r="D505" s="76" t="s">
        <v>234</v>
      </c>
      <c r="E505" s="76"/>
      <c r="F505" s="76"/>
      <c r="G505" s="76"/>
      <c r="H505" s="76"/>
    </row>
    <row r="506" spans="1:12" ht="15" customHeight="1" x14ac:dyDescent="0.2">
      <c r="A506" s="50" t="s">
        <v>10</v>
      </c>
      <c r="B506" s="76"/>
      <c r="C506" s="91" t="s">
        <v>1</v>
      </c>
      <c r="D506" s="50" t="s">
        <v>235</v>
      </c>
      <c r="E506" s="76"/>
      <c r="F506" s="76"/>
      <c r="G506" s="76"/>
      <c r="H506" s="76"/>
      <c r="I506" s="76"/>
      <c r="J506" s="76"/>
      <c r="K506" s="76"/>
      <c r="L506" s="76"/>
    </row>
    <row r="507" spans="1:12" ht="33" customHeight="1" x14ac:dyDescent="0.25">
      <c r="A507" s="1"/>
      <c r="B507" s="1"/>
      <c r="D507" s="1"/>
    </row>
    <row r="508" spans="1:12" ht="29.25" customHeight="1" x14ac:dyDescent="0.2">
      <c r="A508" s="277" t="s">
        <v>305</v>
      </c>
      <c r="B508" s="277"/>
      <c r="C508" s="277"/>
      <c r="D508" s="277"/>
      <c r="E508" s="277"/>
      <c r="F508" s="277"/>
      <c r="G508" s="277"/>
      <c r="H508" s="277"/>
      <c r="I508" s="277"/>
      <c r="J508" s="277"/>
      <c r="K508" s="277"/>
      <c r="L508" s="277"/>
    </row>
    <row r="509" spans="1:12" ht="15" customHeight="1" x14ac:dyDescent="0.25">
      <c r="A509" s="1"/>
      <c r="B509" s="1"/>
    </row>
    <row r="510" spans="1:12" ht="33" customHeight="1" thickBot="1" x14ac:dyDescent="0.25">
      <c r="A510" s="10" t="s">
        <v>0</v>
      </c>
      <c r="B510" s="278" t="s">
        <v>91</v>
      </c>
      <c r="C510" s="278"/>
      <c r="D510" s="278"/>
      <c r="E510" s="278"/>
      <c r="F510" s="278"/>
      <c r="G510" s="278"/>
      <c r="H510" s="278"/>
      <c r="I510" s="278"/>
      <c r="J510" s="278"/>
      <c r="K510" s="278"/>
      <c r="L510" s="278"/>
    </row>
    <row r="511" spans="1:12" ht="15.75" thickTop="1" x14ac:dyDescent="0.25">
      <c r="A511" s="1"/>
      <c r="B511" s="11" t="s">
        <v>3</v>
      </c>
      <c r="C511" s="12" t="s">
        <v>4</v>
      </c>
      <c r="D511" s="13"/>
      <c r="E511" s="13"/>
      <c r="F511" s="13"/>
      <c r="G511" s="13"/>
      <c r="H511" s="14"/>
      <c r="I511" s="15" t="s">
        <v>5</v>
      </c>
      <c r="J511" s="12" t="s">
        <v>17</v>
      </c>
      <c r="K511" s="13"/>
      <c r="L511" s="14"/>
    </row>
    <row r="512" spans="1:12" ht="20.25" customHeight="1" x14ac:dyDescent="0.2">
      <c r="A512" s="50"/>
      <c r="B512" s="100">
        <v>1</v>
      </c>
      <c r="C512" s="284" t="s">
        <v>303</v>
      </c>
      <c r="D512" s="285"/>
      <c r="E512" s="285"/>
      <c r="F512" s="285"/>
      <c r="G512" s="76"/>
      <c r="H512" s="79"/>
      <c r="I512" s="56">
        <v>250000</v>
      </c>
      <c r="J512" s="76"/>
      <c r="K512" s="76"/>
      <c r="L512" s="79"/>
    </row>
    <row r="513" spans="1:12" ht="18" customHeight="1" x14ac:dyDescent="0.25">
      <c r="A513" s="50"/>
      <c r="B513" s="96">
        <v>2</v>
      </c>
      <c r="C513" s="321" t="s">
        <v>238</v>
      </c>
      <c r="D513" s="297"/>
      <c r="E513" s="127">
        <v>622000</v>
      </c>
      <c r="F513" s="319" t="s">
        <v>239</v>
      </c>
      <c r="G513" s="297"/>
      <c r="H513" s="320"/>
      <c r="I513" s="56">
        <f>E513*30/100*1</f>
        <v>186600</v>
      </c>
      <c r="J513" s="50" t="s">
        <v>240</v>
      </c>
      <c r="K513" s="1"/>
      <c r="L513" s="17"/>
    </row>
    <row r="514" spans="1:12" ht="30" customHeight="1" x14ac:dyDescent="0.2">
      <c r="B514" s="20"/>
      <c r="C514" s="21"/>
      <c r="D514" s="21"/>
      <c r="E514" s="21"/>
      <c r="F514" s="21"/>
      <c r="G514" s="21"/>
      <c r="H514" s="22"/>
      <c r="I514" s="23"/>
      <c r="J514" s="21"/>
      <c r="K514" s="21"/>
      <c r="L514" s="22"/>
    </row>
    <row r="515" spans="1:12" ht="25.5" customHeight="1" x14ac:dyDescent="0.25">
      <c r="A515" s="1"/>
      <c r="B515" s="39"/>
      <c r="C515" s="1"/>
      <c r="D515" s="1"/>
      <c r="E515" s="1"/>
      <c r="F515" s="40" t="s">
        <v>5</v>
      </c>
      <c r="G515" s="40"/>
      <c r="H515" s="1"/>
      <c r="I515" s="41">
        <f>SUM(I512:I513)</f>
        <v>436600</v>
      </c>
      <c r="J515" s="1"/>
      <c r="K515" s="1"/>
      <c r="L515" s="42"/>
    </row>
    <row r="516" spans="1:12" ht="4.5" customHeight="1" thickBot="1" x14ac:dyDescent="0.3">
      <c r="A516" s="1"/>
      <c r="B516" s="43"/>
      <c r="C516" s="44"/>
      <c r="D516" s="44"/>
      <c r="E516" s="44"/>
      <c r="F516" s="45"/>
      <c r="G516" s="45"/>
      <c r="H516" s="44"/>
      <c r="I516" s="46"/>
      <c r="J516" s="44"/>
      <c r="K516" s="44"/>
      <c r="L516" s="47"/>
    </row>
    <row r="517" spans="1:12" ht="18.75" customHeight="1" thickTop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51" customHeight="1" x14ac:dyDescent="0.2">
      <c r="A518" s="10" t="s">
        <v>2</v>
      </c>
      <c r="B518" s="279" t="s">
        <v>11</v>
      </c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</row>
    <row r="519" spans="1:1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4.25" customHeight="1" x14ac:dyDescent="0.2">
      <c r="A520" s="280" t="s">
        <v>12</v>
      </c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</row>
    <row r="521" spans="1:12" ht="16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4.25" customHeight="1" x14ac:dyDescent="0.25">
      <c r="A523" s="1"/>
      <c r="B523" s="1"/>
      <c r="C523" s="1"/>
      <c r="D523" s="1"/>
      <c r="E523" s="1"/>
      <c r="F523" s="1"/>
      <c r="G523" s="1"/>
      <c r="H523" s="4" t="s">
        <v>199</v>
      </c>
      <c r="J523" s="286" t="s">
        <v>299</v>
      </c>
      <c r="K523" s="286"/>
      <c r="L523" s="286"/>
    </row>
    <row r="524" spans="1:12" ht="14.25" customHeight="1" x14ac:dyDescent="0.25">
      <c r="A524" s="1"/>
      <c r="B524" s="1" t="s">
        <v>15</v>
      </c>
      <c r="C524" s="1"/>
      <c r="D524" s="1"/>
      <c r="E524" s="1"/>
      <c r="F524" s="1"/>
      <c r="G524" s="1"/>
      <c r="H524" s="4" t="s">
        <v>13</v>
      </c>
    </row>
    <row r="525" spans="1:12" ht="16.5" customHeight="1" x14ac:dyDescent="0.25">
      <c r="A525" s="1"/>
      <c r="B525" s="1" t="s">
        <v>18</v>
      </c>
      <c r="C525" s="1"/>
      <c r="D525" s="1"/>
      <c r="E525" s="1"/>
      <c r="F525" s="1"/>
      <c r="G525" s="1"/>
      <c r="H525" s="4" t="s">
        <v>14</v>
      </c>
    </row>
    <row r="526" spans="1:12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1.25" customHeight="1" x14ac:dyDescent="0.25">
      <c r="A528" s="1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"/>
    </row>
    <row r="529" spans="1:12" ht="29.25" customHeight="1" x14ac:dyDescent="0.25">
      <c r="A529" s="1"/>
      <c r="K529" s="103"/>
      <c r="L529" s="1"/>
    </row>
    <row r="530" spans="1:12" ht="15" customHeight="1" x14ac:dyDescent="0.25">
      <c r="A530" s="1"/>
      <c r="B530" s="95" t="s">
        <v>77</v>
      </c>
      <c r="H530" s="95" t="s">
        <v>78</v>
      </c>
      <c r="I530" s="95"/>
      <c r="J530" s="92"/>
      <c r="K530" s="103"/>
      <c r="L530" s="1"/>
    </row>
    <row r="531" spans="1:12" ht="18.75" customHeight="1" x14ac:dyDescent="0.25">
      <c r="A531" s="1"/>
      <c r="B531" s="99" t="s">
        <v>27</v>
      </c>
      <c r="C531" s="57"/>
      <c r="H531" s="99" t="s">
        <v>79</v>
      </c>
      <c r="K531" s="103"/>
    </row>
    <row r="532" spans="1:12" ht="15" customHeight="1" x14ac:dyDescent="0.2"/>
    <row r="533" spans="1:12" ht="12.75" x14ac:dyDescent="0.2"/>
    <row r="534" spans="1:12" ht="48" customHeight="1" x14ac:dyDescent="0.25">
      <c r="A534" s="3" t="s">
        <v>22</v>
      </c>
    </row>
    <row r="535" spans="1:12" ht="14.25" customHeight="1" x14ac:dyDescent="0.2">
      <c r="A535" s="122" t="s">
        <v>20</v>
      </c>
    </row>
    <row r="536" spans="1:12" ht="15.75" customHeight="1" x14ac:dyDescent="0.2">
      <c r="A536" s="122" t="s">
        <v>21</v>
      </c>
    </row>
    <row r="537" spans="1:12" ht="3" customHeight="1" x14ac:dyDescent="0.2"/>
    <row r="538" spans="1:12" ht="14.25" customHeight="1" x14ac:dyDescent="0.2"/>
    <row r="539" spans="1:12" ht="13.5" customHeight="1" x14ac:dyDescent="0.2"/>
    <row r="540" spans="1:12" ht="16.5" customHeight="1" x14ac:dyDescent="0.3">
      <c r="A540" s="276" t="s">
        <v>6</v>
      </c>
      <c r="B540" s="276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</row>
    <row r="541" spans="1:12" ht="16.5" customHeight="1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</row>
    <row r="542" spans="1:12" ht="15" customHeigh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</row>
    <row r="543" spans="1:12" ht="10.5" customHeight="1" x14ac:dyDescent="0.25">
      <c r="A543" s="1"/>
      <c r="B543" s="1"/>
    </row>
    <row r="544" spans="1:12" ht="12" customHeight="1" x14ac:dyDescent="0.25">
      <c r="A544" s="1" t="s">
        <v>7</v>
      </c>
      <c r="B544" s="1"/>
    </row>
    <row r="545" spans="1:12" ht="15.75" customHeight="1" x14ac:dyDescent="0.25">
      <c r="A545" s="1"/>
      <c r="B545" s="1"/>
    </row>
    <row r="546" spans="1:12" ht="15.75" customHeight="1" x14ac:dyDescent="0.25">
      <c r="A546" s="1" t="s">
        <v>8</v>
      </c>
      <c r="C546" s="9" t="s">
        <v>1</v>
      </c>
      <c r="D546" s="92" t="s">
        <v>77</v>
      </c>
      <c r="E546" s="76"/>
      <c r="F546" s="76"/>
      <c r="G546" s="76"/>
      <c r="H546" s="76"/>
    </row>
    <row r="547" spans="1:12" ht="15" x14ac:dyDescent="0.25">
      <c r="A547" s="1" t="s">
        <v>9</v>
      </c>
      <c r="C547" s="9" t="s">
        <v>1</v>
      </c>
      <c r="D547" s="57" t="s">
        <v>201</v>
      </c>
      <c r="E547" s="76"/>
      <c r="F547" s="76"/>
      <c r="G547" s="76"/>
      <c r="H547" s="76"/>
    </row>
    <row r="548" spans="1:12" ht="15" x14ac:dyDescent="0.2">
      <c r="A548" s="50" t="s">
        <v>10</v>
      </c>
      <c r="B548" s="76"/>
      <c r="C548" s="91" t="s">
        <v>1</v>
      </c>
      <c r="D548" s="50" t="s">
        <v>265</v>
      </c>
      <c r="E548" s="76"/>
      <c r="F548" s="76"/>
      <c r="G548" s="76"/>
      <c r="H548" s="76"/>
      <c r="I548" s="76"/>
      <c r="J548" s="76"/>
      <c r="K548" s="76"/>
      <c r="L548" s="76"/>
    </row>
    <row r="549" spans="1:12" ht="15" customHeight="1" x14ac:dyDescent="0.25">
      <c r="A549" s="1"/>
      <c r="B549" s="1"/>
      <c r="D549" s="1"/>
    </row>
    <row r="550" spans="1:12" ht="27.75" customHeight="1" x14ac:dyDescent="0.2">
      <c r="A550" s="277" t="s">
        <v>305</v>
      </c>
      <c r="B550" s="277"/>
      <c r="C550" s="277"/>
      <c r="D550" s="277"/>
      <c r="E550" s="277"/>
      <c r="F550" s="277"/>
      <c r="G550" s="277"/>
      <c r="H550" s="277"/>
      <c r="I550" s="277"/>
      <c r="J550" s="277"/>
      <c r="K550" s="277"/>
      <c r="L550" s="277"/>
    </row>
    <row r="551" spans="1:12" ht="15" customHeight="1" x14ac:dyDescent="0.25">
      <c r="A551" s="1"/>
      <c r="B551" s="1"/>
    </row>
    <row r="552" spans="1:12" ht="33.75" customHeight="1" thickBot="1" x14ac:dyDescent="0.25">
      <c r="A552" s="10" t="s">
        <v>0</v>
      </c>
      <c r="B552" s="278" t="s">
        <v>91</v>
      </c>
      <c r="C552" s="278"/>
      <c r="D552" s="278"/>
      <c r="E552" s="278"/>
      <c r="F552" s="278"/>
      <c r="G552" s="278"/>
      <c r="H552" s="278"/>
      <c r="I552" s="278"/>
      <c r="J552" s="278"/>
      <c r="K552" s="278"/>
      <c r="L552" s="278"/>
    </row>
    <row r="553" spans="1:12" ht="16.5" customHeight="1" thickTop="1" x14ac:dyDescent="0.25">
      <c r="A553" s="1"/>
      <c r="B553" s="11" t="s">
        <v>3</v>
      </c>
      <c r="C553" s="12" t="s">
        <v>4</v>
      </c>
      <c r="D553" s="13"/>
      <c r="E553" s="13"/>
      <c r="F553" s="13"/>
      <c r="G553" s="13"/>
      <c r="H553" s="14"/>
      <c r="I553" s="15" t="s">
        <v>5</v>
      </c>
      <c r="J553" s="12" t="s">
        <v>17</v>
      </c>
      <c r="K553" s="13"/>
      <c r="L553" s="14"/>
    </row>
    <row r="554" spans="1:12" ht="33" customHeight="1" x14ac:dyDescent="0.2">
      <c r="A554" s="50"/>
      <c r="B554" s="143">
        <v>1</v>
      </c>
      <c r="C554" s="285" t="s">
        <v>303</v>
      </c>
      <c r="D554" s="285"/>
      <c r="E554" s="285"/>
      <c r="F554" s="285"/>
      <c r="G554" s="76"/>
      <c r="H554" s="79"/>
      <c r="I554" s="56">
        <v>250000</v>
      </c>
      <c r="J554" s="76"/>
      <c r="K554" s="76"/>
      <c r="L554" s="79"/>
    </row>
    <row r="555" spans="1:12" ht="29.25" customHeight="1" x14ac:dyDescent="0.2">
      <c r="B555" s="142">
        <v>2</v>
      </c>
      <c r="C555" s="297" t="s">
        <v>238</v>
      </c>
      <c r="D555" s="297"/>
      <c r="E555" s="127">
        <v>1957000</v>
      </c>
      <c r="F555" s="319" t="s">
        <v>239</v>
      </c>
      <c r="G555" s="297"/>
      <c r="H555" s="320"/>
      <c r="I555" s="141">
        <f>E555*30/100*1</f>
        <v>587100</v>
      </c>
      <c r="J555" s="326" t="s">
        <v>240</v>
      </c>
      <c r="K555" s="327"/>
      <c r="L555" s="328"/>
    </row>
    <row r="556" spans="1:12" ht="29.25" customHeight="1" x14ac:dyDescent="0.2">
      <c r="B556" s="16"/>
      <c r="C556" s="124"/>
      <c r="D556" s="124"/>
      <c r="E556" s="127"/>
      <c r="F556" s="125"/>
      <c r="G556" s="124"/>
      <c r="H556" s="124"/>
      <c r="I556" s="56"/>
      <c r="L556" s="17"/>
    </row>
    <row r="557" spans="1:12" ht="15" x14ac:dyDescent="0.25">
      <c r="A557" s="1"/>
      <c r="B557" s="39"/>
      <c r="C557" s="1"/>
      <c r="D557" s="1"/>
      <c r="E557" s="1"/>
      <c r="F557" s="40" t="s">
        <v>5</v>
      </c>
      <c r="G557" s="40"/>
      <c r="H557" s="1"/>
      <c r="I557" s="41">
        <f>SUM(I554:I555)</f>
        <v>837100</v>
      </c>
      <c r="J557" s="1"/>
      <c r="K557" s="1"/>
      <c r="L557" s="42"/>
    </row>
    <row r="558" spans="1:12" ht="10.5" customHeight="1" thickBot="1" x14ac:dyDescent="0.3">
      <c r="A558" s="1"/>
      <c r="B558" s="43"/>
      <c r="C558" s="44"/>
      <c r="D558" s="44"/>
      <c r="E558" s="44"/>
      <c r="F558" s="45"/>
      <c r="G558" s="45"/>
      <c r="H558" s="44"/>
      <c r="I558" s="46"/>
      <c r="J558" s="44"/>
      <c r="K558" s="44"/>
      <c r="L558" s="47"/>
    </row>
    <row r="559" spans="1:12" s="76" customFormat="1" ht="15.75" thickTop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s="76" customFormat="1" ht="48" customHeight="1" x14ac:dyDescent="0.2">
      <c r="A560" s="10" t="s">
        <v>2</v>
      </c>
      <c r="B560" s="279" t="s">
        <v>11</v>
      </c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</row>
    <row r="561" spans="1:12" s="76" customFormat="1" ht="17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23.25" customHeight="1" x14ac:dyDescent="0.2">
      <c r="A562" s="280" t="s">
        <v>12</v>
      </c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</row>
    <row r="563" spans="1:12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8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25">
      <c r="A565" s="1"/>
      <c r="B565" s="1"/>
      <c r="C565" s="1"/>
      <c r="D565" s="1"/>
      <c r="E565" s="1"/>
      <c r="F565" s="1"/>
      <c r="G565" s="1"/>
      <c r="H565" s="4" t="s">
        <v>199</v>
      </c>
      <c r="J565" s="286" t="s">
        <v>299</v>
      </c>
      <c r="K565" s="286"/>
      <c r="L565" s="286"/>
    </row>
    <row r="566" spans="1:12" ht="15" customHeight="1" x14ac:dyDescent="0.25">
      <c r="A566" s="1"/>
      <c r="B566" s="1" t="s">
        <v>15</v>
      </c>
      <c r="C566" s="1"/>
      <c r="D566" s="1"/>
      <c r="E566" s="1"/>
      <c r="F566" s="1"/>
      <c r="G566" s="1"/>
      <c r="H566" s="4" t="s">
        <v>13</v>
      </c>
    </row>
    <row r="567" spans="1:12" ht="16.5" customHeight="1" x14ac:dyDescent="0.25">
      <c r="A567" s="1"/>
      <c r="B567" s="1" t="s">
        <v>18</v>
      </c>
      <c r="C567" s="1"/>
      <c r="D567" s="1"/>
      <c r="E567" s="1"/>
      <c r="F567" s="1"/>
      <c r="G567" s="1"/>
      <c r="H567" s="4" t="s">
        <v>14</v>
      </c>
    </row>
    <row r="568" spans="1:12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6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2" customHeight="1" x14ac:dyDescent="0.25">
      <c r="A570" s="1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"/>
    </row>
    <row r="571" spans="1:12" ht="22.5" customHeight="1" x14ac:dyDescent="0.25">
      <c r="A571" s="1"/>
      <c r="K571" s="103"/>
      <c r="L571" s="1"/>
    </row>
    <row r="572" spans="1:12" ht="25.5" customHeight="1" x14ac:dyDescent="0.25">
      <c r="A572" s="1"/>
      <c r="B572" s="95" t="s">
        <v>77</v>
      </c>
      <c r="H572" s="95" t="s">
        <v>77</v>
      </c>
      <c r="I572" s="95"/>
      <c r="J572" s="92"/>
      <c r="K572" s="103"/>
      <c r="L572" s="1"/>
    </row>
    <row r="573" spans="1:12" ht="25.5" customHeight="1" x14ac:dyDescent="0.25">
      <c r="A573" s="1"/>
      <c r="B573" s="99" t="s">
        <v>27</v>
      </c>
      <c r="C573" s="57"/>
      <c r="H573" s="99" t="s">
        <v>27</v>
      </c>
      <c r="K573" s="103"/>
    </row>
    <row r="574" spans="1:12" ht="17.25" customHeight="1" x14ac:dyDescent="0.2"/>
    <row r="575" spans="1:12" ht="18" customHeight="1" x14ac:dyDescent="0.2"/>
    <row r="576" spans="1:12" ht="12" customHeight="1" x14ac:dyDescent="0.2"/>
    <row r="577" spans="1:12" ht="17.25" customHeight="1" x14ac:dyDescent="0.2"/>
    <row r="578" spans="1:12" ht="15.75" customHeight="1" x14ac:dyDescent="0.25">
      <c r="A578" s="3" t="s">
        <v>22</v>
      </c>
    </row>
    <row r="579" spans="1:12" ht="17.25" customHeight="1" x14ac:dyDescent="0.2">
      <c r="A579" s="122" t="s">
        <v>20</v>
      </c>
    </row>
    <row r="580" spans="1:12" ht="31.5" customHeight="1" x14ac:dyDescent="0.2">
      <c r="A580" s="122" t="s">
        <v>21</v>
      </c>
    </row>
    <row r="581" spans="1:12" ht="16.5" customHeight="1" x14ac:dyDescent="0.2"/>
    <row r="582" spans="1:12" ht="12.75" x14ac:dyDescent="0.2"/>
    <row r="583" spans="1:12" ht="15" customHeight="1" x14ac:dyDescent="0.2"/>
    <row r="584" spans="1:12" ht="18.75" x14ac:dyDescent="0.3">
      <c r="A584" s="276" t="s">
        <v>6</v>
      </c>
      <c r="B584" s="276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</row>
    <row r="585" spans="1:12" ht="15.75" customHeight="1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</row>
    <row r="586" spans="1:12" ht="18" hidden="1" customHeight="1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</row>
    <row r="587" spans="1:12" ht="15.75" customHeight="1" x14ac:dyDescent="0.25">
      <c r="A587" s="1"/>
      <c r="B587" s="1"/>
    </row>
    <row r="588" spans="1:12" ht="17.25" customHeight="1" x14ac:dyDescent="0.25">
      <c r="A588" s="1" t="s">
        <v>7</v>
      </c>
      <c r="B588" s="1"/>
    </row>
    <row r="589" spans="1:12" ht="3.75" customHeight="1" x14ac:dyDescent="0.25">
      <c r="A589" s="1"/>
      <c r="B589" s="1"/>
    </row>
    <row r="590" spans="1:12" ht="29.25" customHeight="1" x14ac:dyDescent="0.25">
      <c r="A590" s="1" t="s">
        <v>8</v>
      </c>
      <c r="C590" s="9" t="s">
        <v>1</v>
      </c>
      <c r="D590" s="92" t="s">
        <v>96</v>
      </c>
      <c r="E590" s="76"/>
      <c r="F590" s="76"/>
      <c r="G590" s="76"/>
      <c r="H590" s="76"/>
    </row>
    <row r="591" spans="1:12" ht="13.5" customHeight="1" x14ac:dyDescent="0.25">
      <c r="A591" s="1" t="s">
        <v>9</v>
      </c>
      <c r="C591" s="9" t="s">
        <v>1</v>
      </c>
      <c r="D591" s="57" t="s">
        <v>200</v>
      </c>
      <c r="E591" s="76"/>
      <c r="F591" s="76"/>
      <c r="G591" s="76"/>
      <c r="H591" s="76"/>
    </row>
    <row r="592" spans="1:12" ht="19.5" customHeight="1" x14ac:dyDescent="0.2">
      <c r="A592" s="50" t="s">
        <v>10</v>
      </c>
      <c r="B592" s="76"/>
      <c r="C592" s="91" t="s">
        <v>1</v>
      </c>
      <c r="D592" s="50" t="s">
        <v>203</v>
      </c>
      <c r="E592" s="76"/>
      <c r="F592" s="76"/>
      <c r="G592" s="76"/>
      <c r="H592" s="76"/>
      <c r="I592" s="76"/>
      <c r="J592" s="76"/>
      <c r="K592" s="76"/>
      <c r="L592" s="76"/>
    </row>
    <row r="593" spans="1:12" ht="9" customHeight="1" x14ac:dyDescent="0.25">
      <c r="A593" s="1"/>
      <c r="B593" s="1"/>
      <c r="D593" s="1"/>
    </row>
    <row r="594" spans="1:12" ht="28.5" customHeight="1" x14ac:dyDescent="0.2">
      <c r="A594" s="277" t="s">
        <v>305</v>
      </c>
      <c r="B594" s="277"/>
      <c r="C594" s="277"/>
      <c r="D594" s="277"/>
      <c r="E594" s="277"/>
      <c r="F594" s="277"/>
      <c r="G594" s="277"/>
      <c r="H594" s="277"/>
      <c r="I594" s="277"/>
      <c r="J594" s="277"/>
      <c r="K594" s="277"/>
      <c r="L594" s="277"/>
    </row>
    <row r="595" spans="1:12" ht="17.25" customHeight="1" x14ac:dyDescent="0.25">
      <c r="A595" s="1"/>
      <c r="B595" s="1"/>
    </row>
    <row r="596" spans="1:12" ht="33" customHeight="1" thickBot="1" x14ac:dyDescent="0.25">
      <c r="A596" s="10" t="s">
        <v>0</v>
      </c>
      <c r="B596" s="278" t="s">
        <v>91</v>
      </c>
      <c r="C596" s="278"/>
      <c r="D596" s="278"/>
      <c r="E596" s="278"/>
      <c r="F596" s="278"/>
      <c r="G596" s="278"/>
      <c r="H596" s="278"/>
      <c r="I596" s="278"/>
      <c r="J596" s="278"/>
      <c r="K596" s="278"/>
      <c r="L596" s="278"/>
    </row>
    <row r="597" spans="1:12" ht="15" customHeight="1" thickTop="1" x14ac:dyDescent="0.25">
      <c r="A597" s="1"/>
      <c r="B597" s="11" t="s">
        <v>3</v>
      </c>
      <c r="C597" s="12" t="s">
        <v>4</v>
      </c>
      <c r="D597" s="13"/>
      <c r="E597" s="13"/>
      <c r="F597" s="13"/>
      <c r="G597" s="13"/>
      <c r="H597" s="14"/>
      <c r="I597" s="15" t="s">
        <v>5</v>
      </c>
      <c r="J597" s="12" t="s">
        <v>17</v>
      </c>
      <c r="K597" s="13"/>
      <c r="L597" s="14"/>
    </row>
    <row r="598" spans="1:12" ht="22.5" customHeight="1" x14ac:dyDescent="0.2">
      <c r="A598" s="50"/>
      <c r="B598" s="100">
        <v>1</v>
      </c>
      <c r="C598" s="284" t="s">
        <v>303</v>
      </c>
      <c r="D598" s="285"/>
      <c r="E598" s="285"/>
      <c r="F598" s="285"/>
      <c r="G598" s="76"/>
      <c r="H598" s="79"/>
      <c r="I598" s="56">
        <v>250000</v>
      </c>
      <c r="J598" s="76"/>
      <c r="K598" s="76"/>
      <c r="L598" s="79"/>
    </row>
    <row r="599" spans="1:12" ht="34.5" customHeight="1" x14ac:dyDescent="0.2">
      <c r="B599" s="96">
        <v>2</v>
      </c>
      <c r="C599" s="321" t="s">
        <v>238</v>
      </c>
      <c r="D599" s="297"/>
      <c r="E599" s="127">
        <v>622000</v>
      </c>
      <c r="F599" s="319" t="s">
        <v>239</v>
      </c>
      <c r="G599" s="297"/>
      <c r="H599" s="297"/>
      <c r="I599" s="56">
        <v>186600</v>
      </c>
      <c r="J599" s="140" t="s">
        <v>240</v>
      </c>
      <c r="K599" s="76"/>
      <c r="L599" s="79"/>
    </row>
    <row r="600" spans="1:12" ht="34.5" customHeight="1" x14ac:dyDescent="0.2">
      <c r="B600" s="96"/>
      <c r="C600" s="124"/>
      <c r="D600" s="124"/>
      <c r="E600" s="127"/>
      <c r="F600" s="125"/>
      <c r="G600" s="124"/>
      <c r="H600" s="124"/>
      <c r="I600" s="23"/>
      <c r="L600" s="17"/>
    </row>
    <row r="601" spans="1:12" ht="15" customHeight="1" x14ac:dyDescent="0.25">
      <c r="A601" s="1"/>
      <c r="B601" s="39"/>
      <c r="C601" s="1"/>
      <c r="D601" s="1"/>
      <c r="E601" s="1"/>
      <c r="F601" s="40" t="s">
        <v>5</v>
      </c>
      <c r="G601" s="40"/>
      <c r="H601" s="1"/>
      <c r="I601" s="41">
        <f>SUM(I598:I599)</f>
        <v>436600</v>
      </c>
      <c r="J601" s="1"/>
      <c r="K601" s="1"/>
      <c r="L601" s="42"/>
    </row>
    <row r="602" spans="1:12" ht="7.5" customHeight="1" thickBot="1" x14ac:dyDescent="0.3">
      <c r="A602" s="1"/>
      <c r="B602" s="43"/>
      <c r="C602" s="44"/>
      <c r="D602" s="44"/>
      <c r="E602" s="44"/>
      <c r="F602" s="45"/>
      <c r="G602" s="45"/>
      <c r="H602" s="44"/>
      <c r="I602" s="46"/>
      <c r="J602" s="44"/>
      <c r="K602" s="44"/>
      <c r="L602" s="47"/>
    </row>
    <row r="603" spans="1:12" ht="17.25" customHeight="1" thickTop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48" customHeight="1" x14ac:dyDescent="0.2">
      <c r="A604" s="10" t="s">
        <v>2</v>
      </c>
      <c r="B604" s="279" t="s">
        <v>11</v>
      </c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</row>
    <row r="605" spans="1:12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8.75" customHeight="1" x14ac:dyDescent="0.2">
      <c r="A606" s="280" t="s">
        <v>12</v>
      </c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</row>
    <row r="607" spans="1:12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3" ht="15" x14ac:dyDescent="0.25">
      <c r="A609" s="1"/>
      <c r="B609" s="1"/>
      <c r="C609" s="1"/>
      <c r="D609" s="1"/>
      <c r="E609" s="1"/>
      <c r="F609" s="1"/>
      <c r="G609" s="1"/>
      <c r="H609" s="4" t="s">
        <v>199</v>
      </c>
      <c r="J609" s="286" t="s">
        <v>299</v>
      </c>
      <c r="K609" s="286"/>
      <c r="L609" s="286"/>
    </row>
    <row r="610" spans="1:13" ht="15" x14ac:dyDescent="0.25">
      <c r="A610" s="1"/>
      <c r="B610" s="1" t="s">
        <v>15</v>
      </c>
      <c r="C610" s="1"/>
      <c r="D610" s="1"/>
      <c r="E610" s="1"/>
      <c r="F610" s="1"/>
      <c r="G610" s="1"/>
      <c r="H610" s="4" t="s">
        <v>13</v>
      </c>
    </row>
    <row r="611" spans="1:13" ht="17.25" customHeight="1" x14ac:dyDescent="0.25">
      <c r="A611" s="1"/>
      <c r="B611" s="1" t="s">
        <v>18</v>
      </c>
      <c r="C611" s="1"/>
      <c r="D611" s="1"/>
      <c r="E611" s="1"/>
      <c r="F611" s="1"/>
      <c r="G611" s="1"/>
      <c r="H611" s="4" t="s">
        <v>14</v>
      </c>
    </row>
    <row r="612" spans="1:13" ht="36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3" ht="12" hidden="1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3" ht="32.25" hidden="1" customHeight="1" x14ac:dyDescent="0.25">
      <c r="A614" s="1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"/>
    </row>
    <row r="615" spans="1:13" ht="15" customHeight="1" x14ac:dyDescent="0.25">
      <c r="A615" s="1"/>
      <c r="K615" s="103"/>
      <c r="L615" s="1"/>
    </row>
    <row r="616" spans="1:13" ht="25.5" customHeight="1" x14ac:dyDescent="0.25">
      <c r="A616" s="1"/>
      <c r="B616" s="95" t="s">
        <v>77</v>
      </c>
      <c r="H616" s="95" t="s">
        <v>96</v>
      </c>
      <c r="I616" s="95"/>
      <c r="J616" s="92"/>
      <c r="K616" s="103"/>
      <c r="L616" s="1"/>
      <c r="M616" s="59"/>
    </row>
    <row r="617" spans="1:13" ht="25.5" customHeight="1" x14ac:dyDescent="0.25">
      <c r="A617" s="1"/>
      <c r="B617" s="99" t="s">
        <v>27</v>
      </c>
      <c r="C617" s="57"/>
      <c r="H617" s="99" t="s">
        <v>100</v>
      </c>
      <c r="K617" s="103"/>
    </row>
    <row r="618" spans="1:13" ht="20.25" customHeight="1" x14ac:dyDescent="0.2"/>
    <row r="619" spans="1:13" ht="12.75" x14ac:dyDescent="0.2"/>
    <row r="620" spans="1:13" ht="12.75" x14ac:dyDescent="0.2"/>
    <row r="621" spans="1:13" ht="12.75" x14ac:dyDescent="0.2"/>
    <row r="622" spans="1:13" ht="6" customHeight="1" x14ac:dyDescent="0.2"/>
    <row r="623" spans="1:13" ht="15" customHeight="1" x14ac:dyDescent="0.2"/>
    <row r="624" spans="1:13" ht="53.25" customHeight="1" x14ac:dyDescent="0.25">
      <c r="A624" s="3" t="s">
        <v>22</v>
      </c>
    </row>
    <row r="625" spans="1:12" ht="13.5" customHeight="1" x14ac:dyDescent="0.2">
      <c r="A625" s="122" t="s">
        <v>20</v>
      </c>
    </row>
    <row r="626" spans="1:12" ht="21" customHeight="1" x14ac:dyDescent="0.2">
      <c r="A626" s="122" t="s">
        <v>21</v>
      </c>
    </row>
    <row r="627" spans="1:12" ht="4.5" customHeight="1" x14ac:dyDescent="0.2"/>
    <row r="628" spans="1:12" ht="12.75" x14ac:dyDescent="0.2"/>
    <row r="629" spans="1:12" ht="12.75" x14ac:dyDescent="0.2"/>
    <row r="630" spans="1:12" ht="18.75" x14ac:dyDescent="0.3">
      <c r="A630" s="276" t="s">
        <v>6</v>
      </c>
      <c r="B630" s="276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</row>
    <row r="631" spans="1:12" ht="18.75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</row>
    <row r="632" spans="1:12" ht="20.25" customHeight="1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</row>
    <row r="633" spans="1:12" ht="21" hidden="1" customHeight="1" x14ac:dyDescent="0.25">
      <c r="A633" s="1"/>
      <c r="B633" s="1"/>
    </row>
    <row r="634" spans="1:12" ht="30" customHeight="1" x14ac:dyDescent="0.25">
      <c r="A634" s="1" t="s">
        <v>7</v>
      </c>
      <c r="B634" s="1"/>
    </row>
    <row r="635" spans="1:12" ht="21.75" customHeight="1" x14ac:dyDescent="0.25">
      <c r="A635" s="1"/>
      <c r="B635" s="1"/>
    </row>
    <row r="636" spans="1:12" ht="15" x14ac:dyDescent="0.25">
      <c r="A636" s="1" t="s">
        <v>8</v>
      </c>
      <c r="C636" s="9" t="s">
        <v>1</v>
      </c>
      <c r="D636" s="126" t="s">
        <v>64</v>
      </c>
      <c r="E636" s="76"/>
      <c r="F636" s="76"/>
      <c r="G636" s="76"/>
      <c r="H636" s="76"/>
    </row>
    <row r="637" spans="1:12" ht="12.75" customHeight="1" x14ac:dyDescent="0.25">
      <c r="A637" s="1" t="s">
        <v>9</v>
      </c>
      <c r="C637" s="9" t="s">
        <v>1</v>
      </c>
      <c r="D637" s="119" t="s">
        <v>236</v>
      </c>
      <c r="E637" s="76"/>
      <c r="F637" s="76"/>
      <c r="G637" s="76"/>
      <c r="H637" s="76"/>
    </row>
    <row r="638" spans="1:12" ht="13.5" customHeight="1" x14ac:dyDescent="0.2">
      <c r="A638" s="50" t="s">
        <v>10</v>
      </c>
      <c r="B638" s="76"/>
      <c r="C638" s="91" t="s">
        <v>1</v>
      </c>
      <c r="D638" s="124" t="s">
        <v>235</v>
      </c>
      <c r="E638" s="76"/>
      <c r="F638" s="76"/>
      <c r="G638" s="76"/>
      <c r="H638" s="76"/>
      <c r="I638" s="76"/>
      <c r="J638" s="76"/>
      <c r="K638" s="76"/>
      <c r="L638" s="76"/>
    </row>
    <row r="639" spans="1:12" ht="15" x14ac:dyDescent="0.25">
      <c r="A639" s="1"/>
      <c r="B639" s="1"/>
      <c r="D639" s="1"/>
    </row>
    <row r="640" spans="1:12" ht="30" customHeight="1" x14ac:dyDescent="0.2">
      <c r="A640" s="277" t="s">
        <v>305</v>
      </c>
      <c r="B640" s="277"/>
      <c r="C640" s="277"/>
      <c r="D640" s="277"/>
      <c r="E640" s="277"/>
      <c r="F640" s="277"/>
      <c r="G640" s="277"/>
      <c r="H640" s="277"/>
      <c r="I640" s="277"/>
      <c r="J640" s="277"/>
      <c r="K640" s="277"/>
      <c r="L640" s="277"/>
    </row>
    <row r="641" spans="1:12" ht="22.5" customHeight="1" x14ac:dyDescent="0.25">
      <c r="A641" s="1"/>
      <c r="B641" s="1"/>
    </row>
    <row r="642" spans="1:12" ht="32.25" customHeight="1" thickBot="1" x14ac:dyDescent="0.25">
      <c r="A642" s="10" t="s">
        <v>0</v>
      </c>
      <c r="B642" s="278" t="s">
        <v>91</v>
      </c>
      <c r="C642" s="278"/>
      <c r="D642" s="278"/>
      <c r="E642" s="278"/>
      <c r="F642" s="278"/>
      <c r="G642" s="278"/>
      <c r="H642" s="278"/>
      <c r="I642" s="278"/>
      <c r="J642" s="278"/>
      <c r="K642" s="278"/>
      <c r="L642" s="278"/>
    </row>
    <row r="643" spans="1:12" ht="46.5" hidden="1" customHeight="1" x14ac:dyDescent="0.25">
      <c r="A643" s="1"/>
      <c r="B643" s="11" t="s">
        <v>3</v>
      </c>
      <c r="C643" s="12" t="s">
        <v>4</v>
      </c>
      <c r="D643" s="13"/>
      <c r="E643" s="13"/>
      <c r="F643" s="13"/>
      <c r="G643" s="13"/>
      <c r="H643" s="14"/>
      <c r="I643" s="15" t="s">
        <v>5</v>
      </c>
      <c r="J643" s="12" t="s">
        <v>17</v>
      </c>
      <c r="K643" s="13"/>
      <c r="L643" s="14"/>
    </row>
    <row r="644" spans="1:12" ht="24" customHeight="1" thickTop="1" x14ac:dyDescent="0.2">
      <c r="A644" s="50"/>
      <c r="B644" s="100">
        <v>1</v>
      </c>
      <c r="C644" s="284" t="s">
        <v>303</v>
      </c>
      <c r="D644" s="285"/>
      <c r="E644" s="285"/>
      <c r="F644" s="285"/>
      <c r="G644" s="76"/>
      <c r="H644" s="79"/>
      <c r="I644" s="56">
        <v>250000</v>
      </c>
      <c r="J644" s="76"/>
      <c r="K644" s="76"/>
      <c r="L644" s="79"/>
    </row>
    <row r="645" spans="1:12" ht="25.5" customHeight="1" x14ac:dyDescent="0.25">
      <c r="A645" s="50"/>
      <c r="B645" s="96">
        <v>2</v>
      </c>
      <c r="C645" s="321" t="s">
        <v>238</v>
      </c>
      <c r="D645" s="297"/>
      <c r="E645" s="127">
        <v>622000</v>
      </c>
      <c r="F645" s="319" t="s">
        <v>239</v>
      </c>
      <c r="G645" s="297"/>
      <c r="H645" s="320"/>
      <c r="I645" s="56">
        <f>E645*30/100*2</f>
        <v>373200</v>
      </c>
      <c r="J645" s="50" t="s">
        <v>281</v>
      </c>
      <c r="K645" s="1"/>
      <c r="L645" s="17"/>
    </row>
    <row r="646" spans="1:12" ht="16.5" customHeight="1" x14ac:dyDescent="0.2">
      <c r="B646" s="20"/>
      <c r="C646" s="21"/>
      <c r="D646" s="21"/>
      <c r="E646" s="21"/>
      <c r="F646" s="21"/>
      <c r="G646" s="21"/>
      <c r="H646" s="22"/>
      <c r="I646" s="23"/>
      <c r="J646" s="21"/>
      <c r="K646" s="21"/>
      <c r="L646" s="22"/>
    </row>
    <row r="647" spans="1:12" ht="13.5" customHeight="1" x14ac:dyDescent="0.25">
      <c r="A647" s="1"/>
      <c r="B647" s="39"/>
      <c r="C647" s="1"/>
      <c r="D647" s="1"/>
      <c r="E647" s="1"/>
      <c r="F647" s="40" t="s">
        <v>5</v>
      </c>
      <c r="G647" s="40"/>
      <c r="H647" s="1"/>
      <c r="I647" s="41">
        <f>SUM(I644:I645)</f>
        <v>623200</v>
      </c>
      <c r="J647" s="1"/>
      <c r="K647" s="1"/>
      <c r="L647" s="42"/>
    </row>
    <row r="648" spans="1:12" ht="19.5" customHeight="1" thickBot="1" x14ac:dyDescent="0.3">
      <c r="A648" s="1"/>
      <c r="B648" s="43"/>
      <c r="C648" s="44"/>
      <c r="D648" s="44"/>
      <c r="E648" s="44"/>
      <c r="F648" s="45"/>
      <c r="G648" s="45"/>
      <c r="H648" s="44"/>
      <c r="I648" s="46"/>
      <c r="J648" s="44"/>
      <c r="K648" s="44"/>
      <c r="L648" s="47"/>
    </row>
    <row r="649" spans="1:12" ht="15" customHeight="1" thickTop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48" customHeight="1" x14ac:dyDescent="0.2">
      <c r="A650" s="10" t="s">
        <v>2</v>
      </c>
      <c r="B650" s="279" t="s">
        <v>11</v>
      </c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</row>
    <row r="651" spans="1:12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6.5" customHeight="1" x14ac:dyDescent="0.2">
      <c r="A652" s="280" t="s">
        <v>12</v>
      </c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</row>
    <row r="653" spans="1:12" ht="9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8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24" customHeight="1" x14ac:dyDescent="0.25">
      <c r="A655" s="1"/>
      <c r="B655" s="1"/>
      <c r="C655" s="1"/>
      <c r="D655" s="1"/>
      <c r="E655" s="1"/>
      <c r="F655" s="1"/>
      <c r="G655" s="1"/>
      <c r="H655" s="4" t="s">
        <v>199</v>
      </c>
      <c r="J655" s="286" t="s">
        <v>299</v>
      </c>
      <c r="K655" s="286"/>
      <c r="L655" s="286"/>
    </row>
    <row r="656" spans="1:12" ht="15" customHeight="1" x14ac:dyDescent="0.25">
      <c r="A656" s="1"/>
      <c r="B656" s="1" t="s">
        <v>15</v>
      </c>
      <c r="C656" s="1"/>
      <c r="D656" s="1"/>
      <c r="E656" s="1"/>
      <c r="F656" s="1"/>
      <c r="G656" s="1"/>
      <c r="H656" s="4" t="s">
        <v>13</v>
      </c>
    </row>
    <row r="657" spans="1:12" ht="15.75" customHeight="1" x14ac:dyDescent="0.25">
      <c r="A657" s="1"/>
      <c r="B657" s="1" t="s">
        <v>18</v>
      </c>
      <c r="C657" s="1"/>
      <c r="D657" s="1"/>
      <c r="E657" s="1"/>
      <c r="F657" s="1"/>
      <c r="G657" s="1"/>
      <c r="H657" s="4" t="s">
        <v>14</v>
      </c>
    </row>
    <row r="658" spans="1:12" ht="18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8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33" customHeight="1" x14ac:dyDescent="0.25">
      <c r="A660" s="1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"/>
    </row>
    <row r="661" spans="1:12" ht="15" customHeight="1" x14ac:dyDescent="0.25">
      <c r="A661" s="1"/>
      <c r="K661" s="103"/>
      <c r="L661" s="1"/>
    </row>
    <row r="662" spans="1:12" ht="32.25" customHeight="1" x14ac:dyDescent="0.25">
      <c r="A662" s="1"/>
      <c r="B662" s="95" t="s">
        <v>77</v>
      </c>
      <c r="H662" s="95" t="s">
        <v>64</v>
      </c>
      <c r="I662" s="95"/>
      <c r="J662" s="92"/>
      <c r="K662" s="103"/>
      <c r="L662" s="1"/>
    </row>
    <row r="663" spans="1:12" ht="19.5" customHeight="1" x14ac:dyDescent="0.25">
      <c r="A663" s="1"/>
      <c r="B663" s="99" t="s">
        <v>27</v>
      </c>
      <c r="C663" s="57"/>
      <c r="H663" s="99" t="s">
        <v>46</v>
      </c>
      <c r="K663" s="103"/>
    </row>
    <row r="664" spans="1:12" ht="25.5" customHeight="1" x14ac:dyDescent="0.2"/>
    <row r="665" spans="1:12" ht="25.5" customHeight="1" x14ac:dyDescent="0.2"/>
    <row r="666" spans="1:12" ht="25.5" customHeight="1" x14ac:dyDescent="0.2"/>
    <row r="667" spans="1:12" ht="15.75" customHeight="1" x14ac:dyDescent="0.2"/>
    <row r="668" spans="1:12" ht="15.75" customHeight="1" x14ac:dyDescent="0.2"/>
    <row r="669" spans="1:12" ht="15.75" customHeight="1" x14ac:dyDescent="0.2"/>
    <row r="670" spans="1:12" ht="15.75" customHeight="1" x14ac:dyDescent="0.2"/>
    <row r="671" spans="1:12" ht="14.25" customHeight="1" x14ac:dyDescent="0.2"/>
    <row r="672" spans="1:12" ht="45" customHeight="1" x14ac:dyDescent="0.2"/>
    <row r="673" spans="1:12" ht="12.75" customHeight="1" x14ac:dyDescent="0.2"/>
    <row r="674" spans="1:12" ht="18" customHeight="1" x14ac:dyDescent="0.2"/>
    <row r="675" spans="1:12" ht="21.75" hidden="1" customHeight="1" x14ac:dyDescent="0.2"/>
    <row r="676" spans="1:12" ht="15.75" customHeight="1" x14ac:dyDescent="0.25">
      <c r="A676" s="3" t="s">
        <v>22</v>
      </c>
    </row>
    <row r="677" spans="1:12" ht="20.25" customHeight="1" x14ac:dyDescent="0.2">
      <c r="A677" s="122" t="s">
        <v>20</v>
      </c>
    </row>
    <row r="678" spans="1:12" ht="12.75" customHeight="1" x14ac:dyDescent="0.2">
      <c r="A678" s="122" t="s">
        <v>21</v>
      </c>
    </row>
    <row r="679" spans="1:12" ht="18.75" hidden="1" customHeight="1" x14ac:dyDescent="0.2"/>
    <row r="680" spans="1:12" ht="16.5" customHeight="1" x14ac:dyDescent="0.2"/>
    <row r="681" spans="1:12" ht="15.75" hidden="1" customHeight="1" x14ac:dyDescent="0.2"/>
    <row r="682" spans="1:12" ht="19.5" customHeight="1" x14ac:dyDescent="0.3">
      <c r="A682" s="276" t="s">
        <v>6</v>
      </c>
      <c r="B682" s="276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</row>
    <row r="683" spans="1:12" ht="15.75" customHeight="1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</row>
    <row r="684" spans="1:12" ht="24.75" customHeight="1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</row>
    <row r="685" spans="1:12" ht="15.75" customHeight="1" x14ac:dyDescent="0.25">
      <c r="A685" s="1"/>
      <c r="B685" s="1"/>
    </row>
    <row r="686" spans="1:12" ht="21" customHeight="1" x14ac:dyDescent="0.25">
      <c r="A686" s="1" t="s">
        <v>7</v>
      </c>
      <c r="B686" s="1"/>
    </row>
    <row r="687" spans="1:12" ht="12.75" customHeight="1" x14ac:dyDescent="0.25">
      <c r="A687" s="1"/>
      <c r="B687" s="1"/>
    </row>
    <row r="688" spans="1:12" ht="15.75" customHeight="1" x14ac:dyDescent="0.25">
      <c r="A688" s="1" t="s">
        <v>8</v>
      </c>
      <c r="C688" s="9" t="s">
        <v>1</v>
      </c>
      <c r="D688" s="126" t="s">
        <v>64</v>
      </c>
      <c r="E688" s="76"/>
      <c r="F688" s="76"/>
      <c r="G688" s="76"/>
      <c r="H688" s="76"/>
    </row>
    <row r="689" spans="1:12" ht="16.5" customHeight="1" x14ac:dyDescent="0.25">
      <c r="A689" s="1" t="s">
        <v>9</v>
      </c>
      <c r="C689" s="9" t="s">
        <v>1</v>
      </c>
      <c r="D689" s="119" t="s">
        <v>236</v>
      </c>
      <c r="E689" s="76"/>
      <c r="F689" s="76"/>
      <c r="G689" s="76"/>
      <c r="H689" s="76"/>
    </row>
    <row r="690" spans="1:12" ht="14.25" customHeight="1" x14ac:dyDescent="0.2">
      <c r="A690" s="50" t="s">
        <v>10</v>
      </c>
      <c r="B690" s="76"/>
      <c r="C690" s="91" t="s">
        <v>1</v>
      </c>
      <c r="D690" s="124" t="s">
        <v>235</v>
      </c>
      <c r="E690" s="76"/>
      <c r="F690" s="76"/>
      <c r="G690" s="76"/>
      <c r="H690" s="76"/>
      <c r="I690" s="76"/>
      <c r="J690" s="76"/>
      <c r="K690" s="76"/>
      <c r="L690" s="76"/>
    </row>
    <row r="691" spans="1:12" ht="14.25" customHeight="1" x14ac:dyDescent="0.25">
      <c r="A691" s="1"/>
      <c r="B691" s="1"/>
      <c r="D691" s="1"/>
    </row>
    <row r="692" spans="1:12" ht="35.25" customHeight="1" x14ac:dyDescent="0.2">
      <c r="A692" s="277" t="s">
        <v>306</v>
      </c>
      <c r="B692" s="277"/>
      <c r="C692" s="277"/>
      <c r="D692" s="277"/>
      <c r="E692" s="277"/>
      <c r="F692" s="277"/>
      <c r="G692" s="277"/>
      <c r="H692" s="277"/>
      <c r="I692" s="277"/>
      <c r="J692" s="277"/>
      <c r="K692" s="277"/>
      <c r="L692" s="277"/>
    </row>
    <row r="693" spans="1:12" ht="3.75" customHeight="1" x14ac:dyDescent="0.25">
      <c r="A693" s="1"/>
      <c r="B693" s="1"/>
    </row>
    <row r="694" spans="1:12" ht="35.25" customHeight="1" thickBot="1" x14ac:dyDescent="0.25">
      <c r="A694" s="10" t="s">
        <v>0</v>
      </c>
      <c r="B694" s="278" t="s">
        <v>91</v>
      </c>
      <c r="C694" s="278"/>
      <c r="D694" s="278"/>
      <c r="E694" s="278"/>
      <c r="F694" s="278"/>
      <c r="G694" s="278"/>
      <c r="H694" s="278"/>
      <c r="I694" s="278"/>
      <c r="J694" s="278"/>
      <c r="K694" s="278"/>
      <c r="L694" s="278"/>
    </row>
    <row r="695" spans="1:12" ht="15.75" customHeight="1" thickTop="1" x14ac:dyDescent="0.25">
      <c r="A695" s="1"/>
      <c r="B695" s="11" t="s">
        <v>3</v>
      </c>
      <c r="C695" s="12" t="s">
        <v>4</v>
      </c>
      <c r="D695" s="13"/>
      <c r="E695" s="13"/>
      <c r="F695" s="13"/>
      <c r="G695" s="13"/>
      <c r="H695" s="14"/>
      <c r="I695" s="15" t="s">
        <v>5</v>
      </c>
      <c r="J695" s="12" t="s">
        <v>17</v>
      </c>
      <c r="K695" s="13"/>
      <c r="L695" s="14"/>
    </row>
    <row r="696" spans="1:12" ht="23.25" customHeight="1" x14ac:dyDescent="0.2">
      <c r="A696" s="50"/>
      <c r="B696" s="100">
        <v>1</v>
      </c>
      <c r="C696" s="284" t="s">
        <v>303</v>
      </c>
      <c r="D696" s="285"/>
      <c r="E696" s="285"/>
      <c r="F696" s="285"/>
      <c r="G696" s="76"/>
      <c r="H696" s="79"/>
      <c r="I696" s="56">
        <v>250000</v>
      </c>
      <c r="J696" s="76"/>
      <c r="K696" s="76"/>
      <c r="L696" s="79"/>
    </row>
    <row r="697" spans="1:12" ht="16.5" customHeight="1" x14ac:dyDescent="0.25">
      <c r="A697" s="50"/>
      <c r="B697" s="96"/>
      <c r="C697" s="321"/>
      <c r="D697" s="297"/>
      <c r="E697" s="127"/>
      <c r="F697" s="319"/>
      <c r="G697" s="297"/>
      <c r="H697" s="320"/>
      <c r="I697" s="56"/>
      <c r="J697" s="50"/>
      <c r="K697" s="1"/>
      <c r="L697" s="17"/>
    </row>
    <row r="698" spans="1:12" ht="30.75" customHeight="1" x14ac:dyDescent="0.2">
      <c r="B698" s="20"/>
      <c r="C698" s="21"/>
      <c r="D698" s="21"/>
      <c r="E698" s="21"/>
      <c r="F698" s="21"/>
      <c r="G698" s="21"/>
      <c r="H698" s="22"/>
      <c r="I698" s="23"/>
      <c r="J698" s="21"/>
      <c r="K698" s="21"/>
      <c r="L698" s="22"/>
    </row>
    <row r="699" spans="1:12" ht="20.25" customHeight="1" x14ac:dyDescent="0.25">
      <c r="A699" s="1"/>
      <c r="B699" s="39"/>
      <c r="C699" s="1"/>
      <c r="D699" s="1"/>
      <c r="E699" s="1"/>
      <c r="F699" s="40" t="s">
        <v>5</v>
      </c>
      <c r="G699" s="40"/>
      <c r="H699" s="1"/>
      <c r="I699" s="41">
        <f>SUM(I696:I697)</f>
        <v>250000</v>
      </c>
      <c r="J699" s="1"/>
      <c r="K699" s="1"/>
      <c r="L699" s="42"/>
    </row>
    <row r="700" spans="1:12" ht="10.5" customHeight="1" thickBot="1" x14ac:dyDescent="0.3">
      <c r="A700" s="1"/>
      <c r="B700" s="43"/>
      <c r="C700" s="44"/>
      <c r="D700" s="44"/>
      <c r="E700" s="44"/>
      <c r="F700" s="45"/>
      <c r="G700" s="45"/>
      <c r="H700" s="44"/>
      <c r="I700" s="46"/>
      <c r="J700" s="44"/>
      <c r="K700" s="44"/>
      <c r="L700" s="47"/>
    </row>
    <row r="701" spans="1:12" ht="15.75" customHeight="1" thickTop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49.5" customHeight="1" x14ac:dyDescent="0.2">
      <c r="A702" s="10" t="s">
        <v>2</v>
      </c>
      <c r="B702" s="279" t="s">
        <v>11</v>
      </c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</row>
    <row r="703" spans="1:1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8.75" customHeight="1" x14ac:dyDescent="0.2">
      <c r="A704" s="280" t="s">
        <v>12</v>
      </c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</row>
    <row r="705" spans="1:12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5">
      <c r="A707" s="1"/>
      <c r="B707" s="1"/>
      <c r="C707" s="1"/>
      <c r="D707" s="1"/>
      <c r="E707" s="1"/>
      <c r="F707" s="1"/>
      <c r="G707" s="1"/>
      <c r="H707" s="4" t="s">
        <v>199</v>
      </c>
      <c r="J707" s="286" t="s">
        <v>299</v>
      </c>
      <c r="K707" s="286"/>
      <c r="L707" s="286"/>
    </row>
    <row r="708" spans="1:12" ht="15.75" customHeight="1" x14ac:dyDescent="0.25">
      <c r="A708" s="1"/>
      <c r="B708" s="1" t="s">
        <v>15</v>
      </c>
      <c r="C708" s="1"/>
      <c r="D708" s="1"/>
      <c r="E708" s="1"/>
      <c r="F708" s="1"/>
      <c r="G708" s="1"/>
      <c r="H708" s="4" t="s">
        <v>13</v>
      </c>
    </row>
    <row r="709" spans="1:12" ht="14.25" customHeight="1" x14ac:dyDescent="0.25">
      <c r="A709" s="1"/>
      <c r="B709" s="1" t="s">
        <v>18</v>
      </c>
      <c r="C709" s="1"/>
      <c r="D709" s="1"/>
      <c r="E709" s="1"/>
      <c r="F709" s="1"/>
      <c r="G709" s="1"/>
      <c r="H709" s="4" t="s">
        <v>14</v>
      </c>
    </row>
    <row r="710" spans="1:12" ht="1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25">
      <c r="A712" s="1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"/>
    </row>
    <row r="713" spans="1:12" ht="24" customHeight="1" x14ac:dyDescent="0.25">
      <c r="A713" s="1"/>
      <c r="K713" s="103"/>
      <c r="L713" s="1"/>
    </row>
    <row r="714" spans="1:12" ht="12.75" customHeight="1" x14ac:dyDescent="0.25">
      <c r="A714" s="1"/>
      <c r="B714" s="95" t="s">
        <v>77</v>
      </c>
      <c r="H714" s="95" t="s">
        <v>64</v>
      </c>
      <c r="I714" s="95"/>
      <c r="J714" s="92"/>
      <c r="K714" s="103"/>
      <c r="L714" s="1"/>
    </row>
    <row r="715" spans="1:12" ht="15" customHeight="1" x14ac:dyDescent="0.25">
      <c r="A715" s="1"/>
      <c r="B715" s="99" t="s">
        <v>27</v>
      </c>
      <c r="C715" s="57"/>
      <c r="H715" s="99" t="s">
        <v>46</v>
      </c>
      <c r="K715" s="103"/>
    </row>
    <row r="716" spans="1:12" ht="12.75" x14ac:dyDescent="0.2"/>
    <row r="717" spans="1:12" ht="12.75" x14ac:dyDescent="0.2"/>
    <row r="718" spans="1:12" ht="12.75" x14ac:dyDescent="0.2"/>
    <row r="719" spans="1:12" ht="15.75" customHeight="1" x14ac:dyDescent="0.2"/>
    <row r="720" spans="1:12" ht="12.75" hidden="1" x14ac:dyDescent="0.2"/>
    <row r="721" spans="1:12" ht="20.25" customHeight="1" x14ac:dyDescent="0.25">
      <c r="A721" s="3" t="s">
        <v>22</v>
      </c>
    </row>
    <row r="722" spans="1:12" ht="19.5" customHeight="1" x14ac:dyDescent="0.2">
      <c r="A722" s="122" t="s">
        <v>20</v>
      </c>
    </row>
    <row r="723" spans="1:12" ht="22.5" customHeight="1" x14ac:dyDescent="0.2">
      <c r="A723" s="122" t="s">
        <v>21</v>
      </c>
    </row>
    <row r="724" spans="1:12" ht="12.75" x14ac:dyDescent="0.2"/>
    <row r="725" spans="1:12" ht="21.75" customHeight="1" x14ac:dyDescent="0.2"/>
    <row r="726" spans="1:12" ht="12.75" x14ac:dyDescent="0.2"/>
    <row r="727" spans="1:12" ht="18" customHeight="1" x14ac:dyDescent="0.3">
      <c r="A727" s="276" t="s">
        <v>6</v>
      </c>
      <c r="B727" s="276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</row>
    <row r="728" spans="1:12" ht="23.25" customHeight="1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</row>
    <row r="729" spans="1:12" ht="24" customHeight="1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</row>
    <row r="730" spans="1:12" ht="10.5" customHeight="1" x14ac:dyDescent="0.25">
      <c r="A730" s="1"/>
      <c r="B730" s="1"/>
    </row>
    <row r="731" spans="1:12" ht="17.25" customHeight="1" x14ac:dyDescent="0.25">
      <c r="A731" s="1" t="s">
        <v>7</v>
      </c>
      <c r="B731" s="1"/>
    </row>
    <row r="732" spans="1:12" ht="17.25" customHeight="1" x14ac:dyDescent="0.25">
      <c r="A732" s="1"/>
      <c r="B732" s="1"/>
    </row>
    <row r="733" spans="1:12" ht="15" x14ac:dyDescent="0.25">
      <c r="A733" s="1" t="s">
        <v>8</v>
      </c>
      <c r="C733" s="9" t="s">
        <v>1</v>
      </c>
      <c r="D733" s="92" t="s">
        <v>77</v>
      </c>
      <c r="E733" s="76"/>
      <c r="F733" s="76"/>
      <c r="G733" s="76"/>
      <c r="H733" s="76"/>
    </row>
    <row r="734" spans="1:12" ht="20.25" customHeight="1" x14ac:dyDescent="0.25">
      <c r="A734" s="1" t="s">
        <v>9</v>
      </c>
      <c r="C734" s="9" t="s">
        <v>1</v>
      </c>
      <c r="D734" s="57" t="s">
        <v>201</v>
      </c>
      <c r="E734" s="76"/>
      <c r="F734" s="76"/>
      <c r="G734" s="76"/>
      <c r="H734" s="76"/>
    </row>
    <row r="735" spans="1:12" ht="17.25" customHeight="1" x14ac:dyDescent="0.2">
      <c r="A735" s="50" t="s">
        <v>10</v>
      </c>
      <c r="B735" s="76"/>
      <c r="C735" s="91" t="s">
        <v>1</v>
      </c>
      <c r="D735" s="50" t="s">
        <v>265</v>
      </c>
      <c r="E735" s="76"/>
      <c r="F735" s="76"/>
      <c r="G735" s="76"/>
      <c r="H735" s="76"/>
      <c r="I735" s="76"/>
      <c r="J735" s="76"/>
      <c r="K735" s="76"/>
      <c r="L735" s="76"/>
    </row>
    <row r="736" spans="1:12" ht="15" x14ac:dyDescent="0.25">
      <c r="A736" s="1"/>
      <c r="B736" s="1"/>
      <c r="D736" s="1"/>
    </row>
    <row r="737" spans="1:12" ht="30.75" customHeight="1" x14ac:dyDescent="0.2">
      <c r="A737" s="277" t="s">
        <v>306</v>
      </c>
      <c r="B737" s="277"/>
      <c r="C737" s="277"/>
      <c r="D737" s="277"/>
      <c r="E737" s="277"/>
      <c r="F737" s="277"/>
      <c r="G737" s="277"/>
      <c r="H737" s="277"/>
      <c r="I737" s="277"/>
      <c r="J737" s="277"/>
      <c r="K737" s="277"/>
      <c r="L737" s="277"/>
    </row>
    <row r="738" spans="1:12" ht="17.25" customHeight="1" x14ac:dyDescent="0.25">
      <c r="A738" s="1"/>
      <c r="B738" s="1"/>
    </row>
    <row r="739" spans="1:12" ht="39.75" customHeight="1" thickBot="1" x14ac:dyDescent="0.25">
      <c r="A739" s="10" t="s">
        <v>0</v>
      </c>
      <c r="B739" s="278" t="s">
        <v>91</v>
      </c>
      <c r="C739" s="278"/>
      <c r="D739" s="278"/>
      <c r="E739" s="278"/>
      <c r="F739" s="278"/>
      <c r="G739" s="278"/>
      <c r="H739" s="278"/>
      <c r="I739" s="278"/>
      <c r="J739" s="278"/>
      <c r="K739" s="278"/>
      <c r="L739" s="278"/>
    </row>
    <row r="740" spans="1:12" ht="19.5" customHeight="1" thickTop="1" x14ac:dyDescent="0.25">
      <c r="A740" s="1"/>
      <c r="B740" s="11" t="s">
        <v>3</v>
      </c>
      <c r="C740" s="12" t="s">
        <v>4</v>
      </c>
      <c r="D740" s="13"/>
      <c r="E740" s="13"/>
      <c r="F740" s="13"/>
      <c r="G740" s="13"/>
      <c r="H740" s="14"/>
      <c r="I740" s="15" t="s">
        <v>5</v>
      </c>
      <c r="J740" s="12" t="s">
        <v>17</v>
      </c>
      <c r="K740" s="13"/>
      <c r="L740" s="14"/>
    </row>
    <row r="741" spans="1:12" ht="17.25" customHeight="1" x14ac:dyDescent="0.2">
      <c r="A741" s="50"/>
      <c r="B741" s="143">
        <v>1</v>
      </c>
      <c r="C741" s="285" t="s">
        <v>303</v>
      </c>
      <c r="D741" s="285"/>
      <c r="E741" s="285"/>
      <c r="F741" s="285"/>
      <c r="G741" s="76"/>
      <c r="H741" s="79"/>
      <c r="I741" s="56">
        <v>250000</v>
      </c>
      <c r="J741" s="76"/>
      <c r="K741" s="76"/>
      <c r="L741" s="79"/>
    </row>
    <row r="742" spans="1:12" ht="30.75" customHeight="1" x14ac:dyDescent="0.2">
      <c r="B742" s="16"/>
      <c r="C742" s="124"/>
      <c r="D742" s="124"/>
      <c r="E742" s="127"/>
      <c r="F742" s="125"/>
      <c r="G742" s="124"/>
      <c r="H742" s="124"/>
      <c r="I742" s="56"/>
      <c r="L742" s="17"/>
    </row>
    <row r="743" spans="1:12" ht="21.75" customHeight="1" x14ac:dyDescent="0.25">
      <c r="A743" s="1"/>
      <c r="B743" s="39"/>
      <c r="C743" s="1"/>
      <c r="D743" s="1"/>
      <c r="E743" s="1"/>
      <c r="F743" s="40" t="s">
        <v>5</v>
      </c>
      <c r="G743" s="40"/>
      <c r="H743" s="1"/>
      <c r="I743" s="41">
        <f>SUM(I741:I741)</f>
        <v>250000</v>
      </c>
      <c r="J743" s="1"/>
      <c r="K743" s="1"/>
      <c r="L743" s="42"/>
    </row>
    <row r="744" spans="1:12" ht="16.5" customHeight="1" thickBot="1" x14ac:dyDescent="0.3">
      <c r="A744" s="1"/>
      <c r="B744" s="43"/>
      <c r="C744" s="44"/>
      <c r="D744" s="44"/>
      <c r="E744" s="44"/>
      <c r="F744" s="45"/>
      <c r="G744" s="45"/>
      <c r="H744" s="44"/>
      <c r="I744" s="46"/>
      <c r="J744" s="44"/>
      <c r="K744" s="44"/>
      <c r="L744" s="47"/>
    </row>
    <row r="745" spans="1:12" ht="23.25" customHeight="1" thickTop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49.5" customHeight="1" x14ac:dyDescent="0.2">
      <c r="A746" s="10" t="s">
        <v>2</v>
      </c>
      <c r="B746" s="279" t="s">
        <v>11</v>
      </c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</row>
    <row r="747" spans="1:12" ht="10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" x14ac:dyDescent="0.2">
      <c r="A748" s="280" t="s">
        <v>12</v>
      </c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</row>
    <row r="749" spans="1:12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9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" x14ac:dyDescent="0.25">
      <c r="A751" s="1"/>
      <c r="B751" s="1"/>
      <c r="C751" s="1"/>
      <c r="D751" s="1"/>
      <c r="E751" s="1"/>
      <c r="F751" s="1"/>
      <c r="G751" s="1"/>
      <c r="H751" s="4" t="s">
        <v>199</v>
      </c>
      <c r="J751" s="286" t="s">
        <v>299</v>
      </c>
      <c r="K751" s="286"/>
      <c r="L751" s="286"/>
    </row>
    <row r="752" spans="1:12" ht="14.25" customHeight="1" x14ac:dyDescent="0.25">
      <c r="A752" s="1"/>
      <c r="B752" s="1" t="s">
        <v>15</v>
      </c>
      <c r="C752" s="1"/>
      <c r="D752" s="1"/>
      <c r="E752" s="1"/>
      <c r="F752" s="1"/>
      <c r="G752" s="1"/>
      <c r="H752" s="4" t="s">
        <v>13</v>
      </c>
    </row>
    <row r="753" spans="1:12" ht="15" x14ac:dyDescent="0.25">
      <c r="A753" s="1"/>
      <c r="B753" s="1" t="s">
        <v>18</v>
      </c>
      <c r="C753" s="1"/>
      <c r="D753" s="1"/>
      <c r="E753" s="1"/>
      <c r="F753" s="1"/>
      <c r="G753" s="1"/>
      <c r="H753" s="4" t="s">
        <v>14</v>
      </c>
    </row>
    <row r="754" spans="1:12" s="99" customFormat="1" ht="21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6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" x14ac:dyDescent="0.25">
      <c r="A756" s="1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"/>
    </row>
    <row r="757" spans="1:12" ht="18.75" customHeight="1" x14ac:dyDescent="0.25">
      <c r="A757" s="1"/>
      <c r="K757" s="103"/>
      <c r="L757" s="1"/>
    </row>
    <row r="758" spans="1:12" ht="18" customHeight="1" x14ac:dyDescent="0.25">
      <c r="A758" s="1"/>
      <c r="B758" s="95" t="s">
        <v>77</v>
      </c>
      <c r="H758" s="95" t="s">
        <v>77</v>
      </c>
      <c r="I758" s="95"/>
      <c r="J758" s="92"/>
      <c r="K758" s="103"/>
      <c r="L758" s="1"/>
    </row>
    <row r="759" spans="1:12" ht="15" x14ac:dyDescent="0.25">
      <c r="A759" s="1"/>
      <c r="B759" s="99" t="s">
        <v>27</v>
      </c>
      <c r="C759" s="57"/>
      <c r="H759" s="99" t="s">
        <v>27</v>
      </c>
      <c r="K759" s="103"/>
    </row>
    <row r="760" spans="1:12" ht="12" customHeight="1" x14ac:dyDescent="0.2"/>
    <row r="761" spans="1:12" ht="12.75" x14ac:dyDescent="0.2"/>
    <row r="762" spans="1:12" ht="15.75" customHeight="1" x14ac:dyDescent="0.2"/>
    <row r="763" spans="1:12" ht="20.25" customHeight="1" x14ac:dyDescent="0.2"/>
    <row r="764" spans="1:12" ht="15.75" x14ac:dyDescent="0.25">
      <c r="A764" s="3" t="s">
        <v>22</v>
      </c>
    </row>
    <row r="765" spans="1:12" ht="15.75" x14ac:dyDescent="0.2">
      <c r="A765" s="122" t="s">
        <v>20</v>
      </c>
    </row>
    <row r="766" spans="1:12" ht="15.75" x14ac:dyDescent="0.2">
      <c r="A766" s="122" t="s">
        <v>21</v>
      </c>
    </row>
    <row r="767" spans="1:12" ht="12.75" x14ac:dyDescent="0.2"/>
    <row r="768" spans="1:12" ht="12.75" x14ac:dyDescent="0.2"/>
    <row r="769" spans="1:12" ht="12.75" x14ac:dyDescent="0.2"/>
    <row r="770" spans="1:12" ht="38.25" customHeight="1" x14ac:dyDescent="0.3">
      <c r="A770" s="276" t="s">
        <v>6</v>
      </c>
      <c r="B770" s="276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</row>
    <row r="771" spans="1:12" ht="15.75" customHeigh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</row>
    <row r="772" spans="1:12" ht="24.75" customHeight="1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</row>
    <row r="773" spans="1:12" ht="24.75" customHeight="1" x14ac:dyDescent="0.25">
      <c r="A773" s="1"/>
      <c r="B773" s="1"/>
    </row>
    <row r="774" spans="1:12" ht="16.5" customHeight="1" x14ac:dyDescent="0.25">
      <c r="A774" s="1" t="s">
        <v>7</v>
      </c>
      <c r="B774" s="1"/>
    </row>
    <row r="775" spans="1:12" ht="18.75" customHeight="1" x14ac:dyDescent="0.25">
      <c r="A775" s="1"/>
      <c r="B775" s="1"/>
    </row>
    <row r="776" spans="1:12" ht="17.25" customHeight="1" x14ac:dyDescent="0.25">
      <c r="A776" s="1" t="s">
        <v>8</v>
      </c>
      <c r="C776" s="9" t="s">
        <v>1</v>
      </c>
      <c r="D776" s="92" t="s">
        <v>96</v>
      </c>
      <c r="E776" s="76"/>
      <c r="F776" s="76"/>
      <c r="G776" s="76"/>
      <c r="H776" s="76"/>
    </row>
    <row r="777" spans="1:12" ht="15" x14ac:dyDescent="0.25">
      <c r="A777" s="1" t="s">
        <v>9</v>
      </c>
      <c r="C777" s="9" t="s">
        <v>1</v>
      </c>
      <c r="D777" s="57" t="s">
        <v>200</v>
      </c>
      <c r="E777" s="76"/>
      <c r="F777" s="76"/>
      <c r="G777" s="76"/>
      <c r="H777" s="76"/>
    </row>
    <row r="778" spans="1:12" ht="15" customHeight="1" x14ac:dyDescent="0.2">
      <c r="A778" s="50" t="s">
        <v>10</v>
      </c>
      <c r="B778" s="76"/>
      <c r="C778" s="91" t="s">
        <v>1</v>
      </c>
      <c r="D778" s="50" t="s">
        <v>203</v>
      </c>
      <c r="E778" s="76"/>
      <c r="F778" s="76"/>
      <c r="G778" s="76"/>
      <c r="H778" s="76"/>
      <c r="I778" s="76"/>
      <c r="J778" s="76"/>
      <c r="K778" s="76"/>
      <c r="L778" s="76"/>
    </row>
    <row r="779" spans="1:12" ht="15" x14ac:dyDescent="0.25">
      <c r="A779" s="1"/>
      <c r="B779" s="1"/>
      <c r="D779" s="1"/>
    </row>
    <row r="780" spans="1:12" ht="30.75" customHeight="1" x14ac:dyDescent="0.2">
      <c r="A780" s="277" t="s">
        <v>306</v>
      </c>
      <c r="B780" s="277"/>
      <c r="C780" s="277"/>
      <c r="D780" s="277"/>
      <c r="E780" s="277"/>
      <c r="F780" s="277"/>
      <c r="G780" s="277"/>
      <c r="H780" s="277"/>
      <c r="I780" s="277"/>
      <c r="J780" s="277"/>
      <c r="K780" s="277"/>
      <c r="L780" s="277"/>
    </row>
    <row r="781" spans="1:12" ht="18" customHeight="1" x14ac:dyDescent="0.25">
      <c r="A781" s="1"/>
      <c r="B781" s="1"/>
    </row>
    <row r="782" spans="1:12" ht="30.75" customHeight="1" thickBot="1" x14ac:dyDescent="0.25">
      <c r="A782" s="10" t="s">
        <v>0</v>
      </c>
      <c r="B782" s="278" t="s">
        <v>91</v>
      </c>
      <c r="C782" s="278"/>
      <c r="D782" s="278"/>
      <c r="E782" s="278"/>
      <c r="F782" s="278"/>
      <c r="G782" s="278"/>
      <c r="H782" s="278"/>
      <c r="I782" s="278"/>
      <c r="J782" s="278"/>
      <c r="K782" s="278"/>
      <c r="L782" s="278"/>
    </row>
    <row r="783" spans="1:12" ht="15.75" customHeight="1" thickTop="1" x14ac:dyDescent="0.25">
      <c r="A783" s="1"/>
      <c r="B783" s="11" t="s">
        <v>3</v>
      </c>
      <c r="C783" s="12" t="s">
        <v>4</v>
      </c>
      <c r="D783" s="13"/>
      <c r="E783" s="13"/>
      <c r="F783" s="13"/>
      <c r="G783" s="13"/>
      <c r="H783" s="14"/>
      <c r="I783" s="15" t="s">
        <v>5</v>
      </c>
      <c r="J783" s="12" t="s">
        <v>17</v>
      </c>
      <c r="K783" s="13"/>
      <c r="L783" s="14"/>
    </row>
    <row r="784" spans="1:12" ht="22.5" customHeight="1" x14ac:dyDescent="0.2">
      <c r="A784" s="50"/>
      <c r="B784" s="100">
        <v>1</v>
      </c>
      <c r="C784" s="284" t="s">
        <v>303</v>
      </c>
      <c r="D784" s="285"/>
      <c r="E784" s="285"/>
      <c r="F784" s="285"/>
      <c r="G784" s="76"/>
      <c r="H784" s="79"/>
      <c r="I784" s="56">
        <v>250000</v>
      </c>
      <c r="J784" s="76"/>
      <c r="K784" s="76"/>
      <c r="L784" s="79"/>
    </row>
    <row r="785" spans="1:12" ht="32.25" customHeight="1" x14ac:dyDescent="0.2">
      <c r="B785" s="96"/>
      <c r="C785" s="124"/>
      <c r="D785" s="124"/>
      <c r="E785" s="127"/>
      <c r="F785" s="125"/>
      <c r="G785" s="124"/>
      <c r="H785" s="124"/>
      <c r="I785" s="23"/>
      <c r="L785" s="17"/>
    </row>
    <row r="786" spans="1:12" ht="15" x14ac:dyDescent="0.25">
      <c r="A786" s="1"/>
      <c r="B786" s="39"/>
      <c r="C786" s="1"/>
      <c r="D786" s="1"/>
      <c r="E786" s="1"/>
      <c r="F786" s="40" t="s">
        <v>5</v>
      </c>
      <c r="G786" s="40"/>
      <c r="H786" s="1"/>
      <c r="I786" s="41">
        <f>SUM(I784:I784)</f>
        <v>250000</v>
      </c>
      <c r="J786" s="1"/>
      <c r="K786" s="1"/>
      <c r="L786" s="42"/>
    </row>
    <row r="787" spans="1:12" ht="6" customHeight="1" thickBot="1" x14ac:dyDescent="0.3">
      <c r="A787" s="1"/>
      <c r="B787" s="43"/>
      <c r="C787" s="44"/>
      <c r="D787" s="44"/>
      <c r="E787" s="44"/>
      <c r="F787" s="45"/>
      <c r="G787" s="45"/>
      <c r="H787" s="44"/>
      <c r="I787" s="46"/>
      <c r="J787" s="44"/>
      <c r="K787" s="44"/>
      <c r="L787" s="47"/>
    </row>
    <row r="788" spans="1:12" ht="15.75" thickTop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50.25" customHeight="1" x14ac:dyDescent="0.2">
      <c r="A789" s="10" t="s">
        <v>2</v>
      </c>
      <c r="B789" s="279" t="s">
        <v>11</v>
      </c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</row>
    <row r="790" spans="1:1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" x14ac:dyDescent="0.2">
      <c r="A791" s="280" t="s">
        <v>12</v>
      </c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</row>
    <row r="792" spans="1:12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7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9.5" customHeight="1" x14ac:dyDescent="0.25">
      <c r="A794" s="1"/>
      <c r="B794" s="1"/>
      <c r="C794" s="1"/>
      <c r="D794" s="1"/>
      <c r="E794" s="1"/>
      <c r="F794" s="1"/>
      <c r="G794" s="1"/>
      <c r="H794" s="4" t="s">
        <v>199</v>
      </c>
      <c r="J794" s="286" t="s">
        <v>299</v>
      </c>
      <c r="K794" s="286"/>
      <c r="L794" s="286"/>
    </row>
    <row r="795" spans="1:12" ht="15.75" customHeight="1" x14ac:dyDescent="0.25">
      <c r="A795" s="1"/>
      <c r="B795" s="1" t="s">
        <v>15</v>
      </c>
      <c r="C795" s="1"/>
      <c r="D795" s="1"/>
      <c r="E795" s="1"/>
      <c r="F795" s="1"/>
      <c r="G795" s="1"/>
      <c r="H795" s="4" t="s">
        <v>13</v>
      </c>
    </row>
    <row r="796" spans="1:12" ht="12" customHeight="1" x14ac:dyDescent="0.25">
      <c r="A796" s="1"/>
      <c r="B796" s="1" t="s">
        <v>18</v>
      </c>
      <c r="C796" s="1"/>
      <c r="D796" s="1"/>
      <c r="E796" s="1"/>
      <c r="F796" s="1"/>
      <c r="G796" s="1"/>
      <c r="H796" s="4" t="s">
        <v>14</v>
      </c>
    </row>
    <row r="797" spans="1:12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32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4.25" customHeight="1" x14ac:dyDescent="0.25">
      <c r="A799" s="1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"/>
    </row>
    <row r="800" spans="1:12" ht="5.25" customHeight="1" x14ac:dyDescent="0.25">
      <c r="A800" s="1"/>
      <c r="K800" s="103"/>
      <c r="L800" s="1"/>
    </row>
    <row r="801" spans="1:12" ht="17.25" customHeight="1" x14ac:dyDescent="0.25">
      <c r="A801" s="1"/>
      <c r="B801" s="95" t="s">
        <v>77</v>
      </c>
      <c r="H801" s="95" t="s">
        <v>96</v>
      </c>
      <c r="I801" s="95"/>
      <c r="J801" s="92"/>
      <c r="K801" s="103"/>
      <c r="L801" s="1"/>
    </row>
    <row r="802" spans="1:12" ht="14.25" customHeight="1" x14ac:dyDescent="0.25">
      <c r="A802" s="1"/>
      <c r="B802" s="99" t="s">
        <v>27</v>
      </c>
      <c r="C802" s="57"/>
      <c r="H802" s="99" t="s">
        <v>100</v>
      </c>
      <c r="K802" s="103"/>
    </row>
    <row r="803" spans="1:12" ht="12.75" x14ac:dyDescent="0.2"/>
    <row r="804" spans="1:12" ht="12.75" x14ac:dyDescent="0.2"/>
    <row r="805" spans="1:12" ht="12.75" x14ac:dyDescent="0.2"/>
    <row r="806" spans="1:12" ht="21" customHeight="1" x14ac:dyDescent="0.2"/>
    <row r="807" spans="1:12" ht="12.75" x14ac:dyDescent="0.2"/>
    <row r="808" spans="1:12" ht="21" customHeight="1" x14ac:dyDescent="0.2"/>
    <row r="809" spans="1:12" ht="12.75" x14ac:dyDescent="0.2"/>
    <row r="810" spans="1:12" ht="12.75" x14ac:dyDescent="0.2"/>
    <row r="811" spans="1:12" ht="57.75" customHeight="1" x14ac:dyDescent="0.2"/>
    <row r="812" spans="1:12" ht="12.75" x14ac:dyDescent="0.2"/>
    <row r="813" spans="1:12" ht="22.5" customHeight="1" x14ac:dyDescent="0.25">
      <c r="A813" s="3" t="s">
        <v>22</v>
      </c>
    </row>
    <row r="814" spans="1:12" ht="19.5" customHeight="1" x14ac:dyDescent="0.2">
      <c r="A814" s="122" t="s">
        <v>20</v>
      </c>
    </row>
    <row r="815" spans="1:12" ht="18.75" customHeight="1" x14ac:dyDescent="0.2">
      <c r="A815" s="122" t="s">
        <v>21</v>
      </c>
    </row>
    <row r="816" spans="1:12" ht="14.25" customHeight="1" x14ac:dyDescent="0.2"/>
    <row r="817" spans="1:12" ht="12.75" customHeight="1" x14ac:dyDescent="0.2"/>
    <row r="818" spans="1:12" ht="20.25" customHeight="1" x14ac:dyDescent="0.2"/>
    <row r="819" spans="1:12" ht="23.25" customHeight="1" x14ac:dyDescent="0.3">
      <c r="A819" s="276" t="s">
        <v>6</v>
      </c>
      <c r="B819" s="276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</row>
    <row r="820" spans="1:12" ht="18.75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</row>
    <row r="821" spans="1:12" ht="15" customHeight="1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</row>
    <row r="822" spans="1:12" ht="15" x14ac:dyDescent="0.25">
      <c r="A822" s="1"/>
      <c r="B822" s="1"/>
    </row>
    <row r="823" spans="1:12" ht="13.5" customHeight="1" x14ac:dyDescent="0.25">
      <c r="A823" s="1" t="s">
        <v>7</v>
      </c>
      <c r="B823" s="1"/>
    </row>
    <row r="824" spans="1:12" ht="19.5" customHeight="1" x14ac:dyDescent="0.25">
      <c r="A824" s="1"/>
      <c r="B824" s="1"/>
    </row>
    <row r="825" spans="1:12" ht="14.25" customHeight="1" x14ac:dyDescent="0.25">
      <c r="A825" s="1" t="s">
        <v>8</v>
      </c>
      <c r="C825" s="9" t="s">
        <v>1</v>
      </c>
      <c r="D825" s="126" t="s">
        <v>64</v>
      </c>
      <c r="E825" s="76"/>
      <c r="F825" s="76"/>
      <c r="G825" s="76"/>
      <c r="H825" s="76"/>
    </row>
    <row r="826" spans="1:12" ht="15" customHeight="1" x14ac:dyDescent="0.25">
      <c r="A826" s="1" t="s">
        <v>9</v>
      </c>
      <c r="C826" s="9" t="s">
        <v>1</v>
      </c>
      <c r="D826" s="119" t="s">
        <v>236</v>
      </c>
      <c r="E826" s="76"/>
      <c r="F826" s="76"/>
      <c r="G826" s="76"/>
      <c r="H826" s="76"/>
    </row>
    <row r="827" spans="1:12" s="76" customFormat="1" ht="12.75" customHeight="1" x14ac:dyDescent="0.2">
      <c r="A827" s="50" t="s">
        <v>10</v>
      </c>
      <c r="C827" s="91" t="s">
        <v>1</v>
      </c>
      <c r="D827" s="124" t="s">
        <v>235</v>
      </c>
    </row>
    <row r="828" spans="1:12" s="76" customFormat="1" ht="15.75" customHeight="1" x14ac:dyDescent="0.25">
      <c r="A828" s="1"/>
      <c r="B828" s="1"/>
      <c r="C828" s="4"/>
      <c r="D828" s="1"/>
      <c r="E828" s="4"/>
      <c r="F828" s="4"/>
      <c r="G828" s="4"/>
      <c r="H828" s="4"/>
      <c r="I828" s="4"/>
      <c r="J828" s="4"/>
      <c r="K828" s="4"/>
      <c r="L828" s="4"/>
    </row>
    <row r="829" spans="1:12" ht="42" customHeight="1" x14ac:dyDescent="0.2">
      <c r="A829" s="277" t="s">
        <v>307</v>
      </c>
      <c r="B829" s="277"/>
      <c r="C829" s="277"/>
      <c r="D829" s="277"/>
      <c r="E829" s="277"/>
      <c r="F829" s="277"/>
      <c r="G829" s="277"/>
      <c r="H829" s="277"/>
      <c r="I829" s="277"/>
      <c r="J829" s="277"/>
      <c r="K829" s="277"/>
      <c r="L829" s="277"/>
    </row>
    <row r="830" spans="1:12" ht="9.75" customHeight="1" x14ac:dyDescent="0.25">
      <c r="A830" s="1"/>
      <c r="B830" s="1"/>
    </row>
    <row r="831" spans="1:12" ht="39.75" customHeight="1" thickBot="1" x14ac:dyDescent="0.25">
      <c r="A831" s="10" t="s">
        <v>0</v>
      </c>
      <c r="B831" s="278" t="s">
        <v>91</v>
      </c>
      <c r="C831" s="278"/>
      <c r="D831" s="278"/>
      <c r="E831" s="278"/>
      <c r="F831" s="278"/>
      <c r="G831" s="278"/>
      <c r="H831" s="278"/>
      <c r="I831" s="278"/>
      <c r="J831" s="278"/>
      <c r="K831" s="278"/>
      <c r="L831" s="278"/>
    </row>
    <row r="832" spans="1:12" ht="22.5" customHeight="1" thickTop="1" x14ac:dyDescent="0.25">
      <c r="A832" s="1"/>
      <c r="B832" s="11" t="s">
        <v>3</v>
      </c>
      <c r="C832" s="12" t="s">
        <v>4</v>
      </c>
      <c r="D832" s="13"/>
      <c r="E832" s="13"/>
      <c r="F832" s="13"/>
      <c r="G832" s="13"/>
      <c r="H832" s="14"/>
      <c r="I832" s="15" t="s">
        <v>5</v>
      </c>
      <c r="J832" s="12" t="s">
        <v>17</v>
      </c>
      <c r="K832" s="13"/>
      <c r="L832" s="14"/>
    </row>
    <row r="833" spans="1:12" ht="28.5" customHeight="1" x14ac:dyDescent="0.2">
      <c r="A833" s="50"/>
      <c r="B833" s="100">
        <v>1</v>
      </c>
      <c r="C833" s="284" t="s">
        <v>303</v>
      </c>
      <c r="D833" s="285"/>
      <c r="E833" s="285"/>
      <c r="F833" s="285"/>
      <c r="G833" s="76"/>
      <c r="H833" s="79"/>
      <c r="I833" s="56">
        <v>250000</v>
      </c>
      <c r="J833" s="76"/>
      <c r="K833" s="76"/>
      <c r="L833" s="79"/>
    </row>
    <row r="834" spans="1:12" ht="19.5" customHeight="1" x14ac:dyDescent="0.25">
      <c r="A834" s="50"/>
      <c r="B834" s="96"/>
      <c r="C834" s="321"/>
      <c r="D834" s="297"/>
      <c r="E834" s="127"/>
      <c r="F834" s="319"/>
      <c r="G834" s="297"/>
      <c r="H834" s="320"/>
      <c r="I834" s="56"/>
      <c r="J834" s="50"/>
      <c r="K834" s="1"/>
      <c r="L834" s="17"/>
    </row>
    <row r="835" spans="1:12" ht="22.5" customHeight="1" x14ac:dyDescent="0.2">
      <c r="B835" s="20"/>
      <c r="C835" s="21"/>
      <c r="D835" s="21"/>
      <c r="E835" s="21"/>
      <c r="F835" s="21"/>
      <c r="G835" s="21"/>
      <c r="H835" s="22"/>
      <c r="I835" s="23"/>
      <c r="J835" s="21"/>
      <c r="K835" s="21"/>
      <c r="L835" s="22"/>
    </row>
    <row r="836" spans="1:12" ht="17.25" customHeight="1" x14ac:dyDescent="0.25">
      <c r="A836" s="1"/>
      <c r="B836" s="39"/>
      <c r="C836" s="1"/>
      <c r="D836" s="1"/>
      <c r="E836" s="1"/>
      <c r="F836" s="40" t="s">
        <v>5</v>
      </c>
      <c r="G836" s="40"/>
      <c r="H836" s="1"/>
      <c r="I836" s="41">
        <f>SUM(I833:I834)</f>
        <v>250000</v>
      </c>
      <c r="J836" s="1"/>
      <c r="K836" s="1"/>
      <c r="L836" s="42"/>
    </row>
    <row r="837" spans="1:12" ht="12.75" customHeight="1" thickBot="1" x14ac:dyDescent="0.3">
      <c r="A837" s="1"/>
      <c r="B837" s="43"/>
      <c r="C837" s="44"/>
      <c r="D837" s="44"/>
      <c r="E837" s="44"/>
      <c r="F837" s="45"/>
      <c r="G837" s="45"/>
      <c r="H837" s="44"/>
      <c r="I837" s="46"/>
      <c r="J837" s="44"/>
      <c r="K837" s="44"/>
      <c r="L837" s="47"/>
    </row>
    <row r="838" spans="1:12" ht="9" customHeight="1" thickTop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51.75" customHeight="1" x14ac:dyDescent="0.2">
      <c r="A839" s="10" t="s">
        <v>2</v>
      </c>
      <c r="B839" s="279" t="s">
        <v>11</v>
      </c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</row>
    <row r="840" spans="1:12" ht="18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7.25" customHeight="1" x14ac:dyDescent="0.2">
      <c r="A841" s="280" t="s">
        <v>12</v>
      </c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</row>
    <row r="842" spans="1:12" ht="1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22.5" customHeight="1" x14ac:dyDescent="0.25">
      <c r="A844" s="1"/>
      <c r="B844" s="1"/>
      <c r="C844" s="1"/>
      <c r="D844" s="1"/>
      <c r="E844" s="1"/>
      <c r="F844" s="1"/>
      <c r="G844" s="1"/>
      <c r="H844" s="4" t="s">
        <v>199</v>
      </c>
      <c r="J844" s="286" t="s">
        <v>299</v>
      </c>
      <c r="K844" s="286"/>
      <c r="L844" s="286"/>
    </row>
    <row r="845" spans="1:12" ht="15" x14ac:dyDescent="0.25">
      <c r="A845" s="1"/>
      <c r="B845" s="1" t="s">
        <v>15</v>
      </c>
      <c r="C845" s="1"/>
      <c r="D845" s="1"/>
      <c r="E845" s="1"/>
      <c r="F845" s="1"/>
      <c r="G845" s="1"/>
      <c r="H845" s="4" t="s">
        <v>13</v>
      </c>
    </row>
    <row r="846" spans="1:12" ht="18.75" customHeight="1" x14ac:dyDescent="0.25">
      <c r="A846" s="1"/>
      <c r="B846" s="1" t="s">
        <v>18</v>
      </c>
      <c r="C846" s="1"/>
      <c r="D846" s="1"/>
      <c r="E846" s="1"/>
      <c r="F846" s="1"/>
      <c r="G846" s="1"/>
      <c r="H846" s="4" t="s">
        <v>14</v>
      </c>
    </row>
    <row r="847" spans="1:12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8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" hidden="1" x14ac:dyDescent="0.25">
      <c r="A849" s="1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"/>
    </row>
    <row r="850" spans="1:12" ht="20.25" customHeight="1" x14ac:dyDescent="0.25">
      <c r="A850" s="1"/>
      <c r="K850" s="103"/>
      <c r="L850" s="1"/>
    </row>
    <row r="851" spans="1:12" ht="13.5" customHeight="1" x14ac:dyDescent="0.25">
      <c r="A851" s="1"/>
      <c r="B851" s="95" t="s">
        <v>77</v>
      </c>
      <c r="H851" s="95" t="s">
        <v>64</v>
      </c>
      <c r="I851" s="95"/>
      <c r="J851" s="92"/>
      <c r="K851" s="103"/>
      <c r="L851" s="1"/>
    </row>
    <row r="852" spans="1:12" ht="15" x14ac:dyDescent="0.25">
      <c r="A852" s="1"/>
      <c r="B852" s="99" t="s">
        <v>27</v>
      </c>
      <c r="C852" s="57"/>
      <c r="H852" s="99" t="s">
        <v>46</v>
      </c>
      <c r="K852" s="103"/>
    </row>
    <row r="853" spans="1:12" ht="18.75" customHeight="1" x14ac:dyDescent="0.2"/>
    <row r="854" spans="1:12" ht="12.75" x14ac:dyDescent="0.2"/>
    <row r="855" spans="1:12" ht="23.25" customHeight="1" x14ac:dyDescent="0.25">
      <c r="A855" s="3" t="s">
        <v>22</v>
      </c>
    </row>
    <row r="856" spans="1:12" ht="15.75" x14ac:dyDescent="0.2">
      <c r="A856" s="122" t="s">
        <v>20</v>
      </c>
    </row>
    <row r="857" spans="1:12" ht="15.75" customHeight="1" x14ac:dyDescent="0.2">
      <c r="A857" s="122" t="s">
        <v>21</v>
      </c>
    </row>
    <row r="858" spans="1:12" ht="21" customHeight="1" x14ac:dyDescent="0.2"/>
    <row r="859" spans="1:12" ht="18" customHeight="1" x14ac:dyDescent="0.2"/>
    <row r="860" spans="1:12" ht="24" customHeight="1" x14ac:dyDescent="0.2"/>
    <row r="861" spans="1:12" ht="18.75" x14ac:dyDescent="0.3">
      <c r="A861" s="276" t="s">
        <v>6</v>
      </c>
      <c r="B861" s="276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</row>
    <row r="862" spans="1:12" ht="18.75" customHeight="1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</row>
    <row r="863" spans="1:12" ht="12.75" customHeight="1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</row>
    <row r="864" spans="1:12" ht="18" customHeight="1" x14ac:dyDescent="0.25">
      <c r="A864" s="1"/>
      <c r="B864" s="1"/>
    </row>
    <row r="865" spans="1:12" ht="15" customHeight="1" x14ac:dyDescent="0.25">
      <c r="A865" s="1" t="s">
        <v>7</v>
      </c>
      <c r="B865" s="1"/>
    </row>
    <row r="866" spans="1:12" s="85" customFormat="1" ht="20.25" customHeight="1" x14ac:dyDescent="0.25">
      <c r="A866" s="1"/>
      <c r="B866" s="1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" customHeight="1" x14ac:dyDescent="0.25">
      <c r="A867" s="1" t="s">
        <v>8</v>
      </c>
      <c r="C867" s="9" t="s">
        <v>1</v>
      </c>
      <c r="D867" s="123" t="s">
        <v>78</v>
      </c>
      <c r="E867" s="76"/>
      <c r="F867" s="76"/>
      <c r="G867" s="76"/>
      <c r="H867" s="76"/>
    </row>
    <row r="868" spans="1:12" ht="15" customHeight="1" x14ac:dyDescent="0.25">
      <c r="A868" s="1" t="s">
        <v>9</v>
      </c>
      <c r="C868" s="9" t="s">
        <v>1</v>
      </c>
      <c r="D868" s="76" t="s">
        <v>234</v>
      </c>
      <c r="E868" s="76"/>
      <c r="F868" s="76"/>
      <c r="G868" s="76"/>
      <c r="H868" s="76"/>
    </row>
    <row r="869" spans="1:12" ht="15" x14ac:dyDescent="0.2">
      <c r="A869" s="50" t="s">
        <v>10</v>
      </c>
      <c r="B869" s="76"/>
      <c r="C869" s="91" t="s">
        <v>1</v>
      </c>
      <c r="D869" s="50" t="s">
        <v>235</v>
      </c>
      <c r="E869" s="76"/>
      <c r="F869" s="76"/>
      <c r="G869" s="76"/>
      <c r="H869" s="76"/>
      <c r="I869" s="76"/>
      <c r="J869" s="76"/>
      <c r="K869" s="76"/>
      <c r="L869" s="76"/>
    </row>
    <row r="870" spans="1:12" ht="21" customHeight="1" x14ac:dyDescent="0.25">
      <c r="A870" s="1"/>
      <c r="B870" s="1"/>
      <c r="D870" s="1"/>
    </row>
    <row r="871" spans="1:12" ht="42.75" customHeight="1" x14ac:dyDescent="0.2">
      <c r="A871" s="277" t="s">
        <v>307</v>
      </c>
      <c r="B871" s="277"/>
      <c r="C871" s="277"/>
      <c r="D871" s="277"/>
      <c r="E871" s="277"/>
      <c r="F871" s="277"/>
      <c r="G871" s="277"/>
      <c r="H871" s="277"/>
      <c r="I871" s="277"/>
      <c r="J871" s="277"/>
      <c r="K871" s="277"/>
      <c r="L871" s="277"/>
    </row>
    <row r="872" spans="1:12" ht="8.25" customHeight="1" x14ac:dyDescent="0.25">
      <c r="A872" s="1"/>
      <c r="B872" s="1"/>
    </row>
    <row r="873" spans="1:12" ht="37.5" customHeight="1" thickBot="1" x14ac:dyDescent="0.25">
      <c r="A873" s="10" t="s">
        <v>0</v>
      </c>
      <c r="B873" s="278" t="s">
        <v>91</v>
      </c>
      <c r="C873" s="278"/>
      <c r="D873" s="278"/>
      <c r="E873" s="278"/>
      <c r="F873" s="278"/>
      <c r="G873" s="278"/>
      <c r="H873" s="278"/>
      <c r="I873" s="278"/>
      <c r="J873" s="278"/>
      <c r="K873" s="278"/>
      <c r="L873" s="278"/>
    </row>
    <row r="874" spans="1:12" ht="26.25" customHeight="1" thickTop="1" x14ac:dyDescent="0.25">
      <c r="A874" s="1"/>
      <c r="B874" s="11" t="s">
        <v>3</v>
      </c>
      <c r="C874" s="12" t="s">
        <v>4</v>
      </c>
      <c r="D874" s="13"/>
      <c r="E874" s="13"/>
      <c r="F874" s="13"/>
      <c r="G874" s="13"/>
      <c r="H874" s="14"/>
      <c r="I874" s="15" t="s">
        <v>5</v>
      </c>
      <c r="J874" s="12" t="s">
        <v>17</v>
      </c>
      <c r="K874" s="13"/>
      <c r="L874" s="14"/>
    </row>
    <row r="875" spans="1:12" ht="20.25" customHeight="1" x14ac:dyDescent="0.2">
      <c r="A875" s="50"/>
      <c r="B875" s="100">
        <v>1</v>
      </c>
      <c r="C875" s="284" t="s">
        <v>303</v>
      </c>
      <c r="D875" s="285"/>
      <c r="E875" s="285"/>
      <c r="F875" s="285"/>
      <c r="G875" s="76"/>
      <c r="H875" s="79"/>
      <c r="I875" s="56">
        <v>250000</v>
      </c>
      <c r="J875" s="76"/>
      <c r="K875" s="76"/>
      <c r="L875" s="79"/>
    </row>
    <row r="876" spans="1:12" ht="31.5" customHeight="1" x14ac:dyDescent="0.25">
      <c r="A876" s="50"/>
      <c r="B876" s="96"/>
      <c r="C876" s="321"/>
      <c r="D876" s="297"/>
      <c r="E876" s="127"/>
      <c r="F876" s="319"/>
      <c r="G876" s="297"/>
      <c r="H876" s="320"/>
      <c r="I876" s="56"/>
      <c r="J876" s="50"/>
      <c r="K876" s="1"/>
      <c r="L876" s="17"/>
    </row>
    <row r="877" spans="1:12" ht="15.75" customHeight="1" x14ac:dyDescent="0.2">
      <c r="B877" s="20"/>
      <c r="C877" s="21"/>
      <c r="D877" s="21"/>
      <c r="E877" s="21"/>
      <c r="F877" s="21"/>
      <c r="G877" s="21"/>
      <c r="H877" s="22"/>
      <c r="I877" s="23"/>
      <c r="J877" s="21"/>
      <c r="K877" s="21"/>
      <c r="L877" s="22"/>
    </row>
    <row r="878" spans="1:12" ht="15.75" customHeight="1" x14ac:dyDescent="0.25">
      <c r="A878" s="1"/>
      <c r="B878" s="39"/>
      <c r="C878" s="1"/>
      <c r="D878" s="1"/>
      <c r="E878" s="1"/>
      <c r="F878" s="40" t="s">
        <v>5</v>
      </c>
      <c r="G878" s="40"/>
      <c r="H878" s="1"/>
      <c r="I878" s="41">
        <f>SUM(I875:I876)</f>
        <v>250000</v>
      </c>
      <c r="J878" s="1"/>
      <c r="K878" s="1"/>
      <c r="L878" s="42"/>
    </row>
    <row r="879" spans="1:12" ht="3.75" customHeight="1" thickBot="1" x14ac:dyDescent="0.3">
      <c r="A879" s="1"/>
      <c r="B879" s="43"/>
      <c r="C879" s="44"/>
      <c r="D879" s="44"/>
      <c r="E879" s="44"/>
      <c r="F879" s="45"/>
      <c r="G879" s="45"/>
      <c r="H879" s="44"/>
      <c r="I879" s="46"/>
      <c r="J879" s="44"/>
      <c r="K879" s="44"/>
      <c r="L879" s="47"/>
    </row>
    <row r="880" spans="1:12" ht="17.25" customHeight="1" thickTop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48.75" customHeight="1" x14ac:dyDescent="0.2">
      <c r="A881" s="10" t="s">
        <v>2</v>
      </c>
      <c r="B881" s="279" t="s">
        <v>11</v>
      </c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</row>
    <row r="882" spans="1:12" ht="19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24" customHeight="1" x14ac:dyDescent="0.2">
      <c r="A883" s="280" t="s">
        <v>12</v>
      </c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</row>
    <row r="884" spans="1:12" ht="24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2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31.5" customHeight="1" x14ac:dyDescent="0.25">
      <c r="A886" s="1"/>
      <c r="B886" s="1"/>
      <c r="C886" s="1"/>
      <c r="D886" s="1"/>
      <c r="E886" s="1"/>
      <c r="F886" s="1"/>
      <c r="G886" s="1"/>
      <c r="H886" s="4" t="s">
        <v>199</v>
      </c>
      <c r="J886" s="286" t="s">
        <v>299</v>
      </c>
      <c r="K886" s="286"/>
      <c r="L886" s="286"/>
    </row>
    <row r="887" spans="1:12" ht="15" x14ac:dyDescent="0.25">
      <c r="A887" s="1"/>
      <c r="B887" s="1" t="s">
        <v>15</v>
      </c>
      <c r="C887" s="1"/>
      <c r="D887" s="1"/>
      <c r="E887" s="1"/>
      <c r="F887" s="1"/>
      <c r="G887" s="1"/>
      <c r="H887" s="4" t="s">
        <v>13</v>
      </c>
    </row>
    <row r="888" spans="1:12" ht="17.25" customHeight="1" x14ac:dyDescent="0.25">
      <c r="A888" s="1"/>
      <c r="B888" s="1" t="s">
        <v>18</v>
      </c>
      <c r="C888" s="1"/>
      <c r="D888" s="1"/>
      <c r="E888" s="1"/>
      <c r="F888" s="1"/>
      <c r="G888" s="1"/>
      <c r="H888" s="4" t="s">
        <v>14</v>
      </c>
    </row>
    <row r="889" spans="1:12" ht="4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26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8" customHeight="1" x14ac:dyDescent="0.25">
      <c r="A891" s="1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"/>
    </row>
    <row r="892" spans="1:12" ht="15" x14ac:dyDescent="0.25">
      <c r="A892" s="1"/>
      <c r="K892" s="103"/>
      <c r="L892" s="1"/>
    </row>
    <row r="893" spans="1:12" ht="21" customHeight="1" x14ac:dyDescent="0.25">
      <c r="A893" s="1"/>
      <c r="B893" s="95" t="s">
        <v>77</v>
      </c>
      <c r="H893" s="95" t="s">
        <v>78</v>
      </c>
      <c r="I893" s="95"/>
      <c r="J893" s="92"/>
      <c r="K893" s="103"/>
      <c r="L893" s="1"/>
    </row>
    <row r="894" spans="1:12" ht="15" x14ac:dyDescent="0.25">
      <c r="A894" s="1"/>
      <c r="B894" s="99" t="s">
        <v>27</v>
      </c>
      <c r="C894" s="57"/>
      <c r="H894" s="99" t="s">
        <v>79</v>
      </c>
      <c r="K894" s="103"/>
    </row>
    <row r="895" spans="1:12" ht="12.75" x14ac:dyDescent="0.2"/>
    <row r="896" spans="1:12" ht="12.75" x14ac:dyDescent="0.2"/>
    <row r="897" spans="1:12" ht="12.75" x14ac:dyDescent="0.2"/>
    <row r="898" spans="1:12" ht="16.5" customHeight="1" x14ac:dyDescent="0.2"/>
    <row r="899" spans="1:12" ht="12.75" x14ac:dyDescent="0.2"/>
    <row r="900" spans="1:12" ht="12.75" x14ac:dyDescent="0.2"/>
    <row r="901" spans="1:12" ht="15.75" x14ac:dyDescent="0.25">
      <c r="A901" s="3" t="s">
        <v>22</v>
      </c>
    </row>
    <row r="902" spans="1:12" ht="19.5" customHeight="1" x14ac:dyDescent="0.2">
      <c r="A902" s="122" t="s">
        <v>20</v>
      </c>
    </row>
    <row r="903" spans="1:12" ht="15.75" x14ac:dyDescent="0.2">
      <c r="A903" s="122" t="s">
        <v>21</v>
      </c>
    </row>
    <row r="904" spans="1:12" ht="18" customHeight="1" x14ac:dyDescent="0.2"/>
    <row r="905" spans="1:12" ht="12.75" x14ac:dyDescent="0.2"/>
    <row r="906" spans="1:12" ht="12.75" customHeight="1" x14ac:dyDescent="0.2"/>
    <row r="907" spans="1:12" ht="34.5" customHeight="1" x14ac:dyDescent="0.3">
      <c r="A907" s="276" t="s">
        <v>6</v>
      </c>
      <c r="B907" s="276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</row>
    <row r="908" spans="1:12" ht="3" customHeight="1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</row>
    <row r="909" spans="1:12" ht="36" hidden="1" customHeight="1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</row>
    <row r="910" spans="1:12" ht="22.5" customHeight="1" x14ac:dyDescent="0.25">
      <c r="A910" s="1"/>
      <c r="B910" s="1"/>
    </row>
    <row r="911" spans="1:12" ht="15" x14ac:dyDescent="0.25">
      <c r="A911" s="1" t="s">
        <v>7</v>
      </c>
      <c r="B911" s="1"/>
    </row>
    <row r="912" spans="1:12" ht="15" x14ac:dyDescent="0.25">
      <c r="A912" s="1"/>
      <c r="B912" s="1"/>
    </row>
    <row r="913" spans="1:12" ht="15" x14ac:dyDescent="0.25">
      <c r="A913" s="1" t="s">
        <v>8</v>
      </c>
      <c r="C913" s="9" t="s">
        <v>1</v>
      </c>
      <c r="D913" s="123" t="s">
        <v>308</v>
      </c>
      <c r="E913" s="76"/>
      <c r="F913" s="76"/>
      <c r="G913" s="76"/>
      <c r="H913" s="76"/>
    </row>
    <row r="914" spans="1:12" ht="17.25" customHeight="1" x14ac:dyDescent="0.25">
      <c r="A914" s="1" t="s">
        <v>9</v>
      </c>
      <c r="C914" s="9" t="s">
        <v>1</v>
      </c>
      <c r="D914" s="144" t="s">
        <v>309</v>
      </c>
      <c r="E914" s="76"/>
      <c r="F914" s="76"/>
      <c r="G914" s="76"/>
      <c r="H914" s="76"/>
    </row>
    <row r="915" spans="1:12" ht="18" customHeight="1" x14ac:dyDescent="0.2">
      <c r="A915" s="50" t="s">
        <v>10</v>
      </c>
      <c r="B915" s="76"/>
      <c r="C915" s="91" t="s">
        <v>1</v>
      </c>
      <c r="D915" s="50" t="s">
        <v>203</v>
      </c>
      <c r="E915" s="76"/>
      <c r="F915" s="76"/>
      <c r="G915" s="76"/>
      <c r="H915" s="76"/>
      <c r="I915" s="76"/>
      <c r="J915" s="76"/>
      <c r="K915" s="76"/>
      <c r="L915" s="76"/>
    </row>
    <row r="916" spans="1:12" ht="18" customHeight="1" x14ac:dyDescent="0.25">
      <c r="A916" s="1"/>
      <c r="B916" s="1"/>
      <c r="D916" s="1"/>
    </row>
    <row r="917" spans="1:12" ht="34.5" customHeight="1" x14ac:dyDescent="0.2">
      <c r="A917" s="277" t="s">
        <v>307</v>
      </c>
      <c r="B917" s="277"/>
      <c r="C917" s="277"/>
      <c r="D917" s="277"/>
      <c r="E917" s="277"/>
      <c r="F917" s="277"/>
      <c r="G917" s="277"/>
      <c r="H917" s="277"/>
      <c r="I917" s="277"/>
      <c r="J917" s="277"/>
      <c r="K917" s="277"/>
      <c r="L917" s="277"/>
    </row>
    <row r="918" spans="1:12" ht="15" x14ac:dyDescent="0.25">
      <c r="A918" s="1"/>
      <c r="B918" s="1"/>
    </row>
    <row r="919" spans="1:12" ht="36" customHeight="1" thickBot="1" x14ac:dyDescent="0.25">
      <c r="A919" s="10" t="s">
        <v>0</v>
      </c>
      <c r="B919" s="278" t="s">
        <v>91</v>
      </c>
      <c r="C919" s="278"/>
      <c r="D919" s="278"/>
      <c r="E919" s="278"/>
      <c r="F919" s="278"/>
      <c r="G919" s="278"/>
      <c r="H919" s="278"/>
      <c r="I919" s="278"/>
      <c r="J919" s="278"/>
      <c r="K919" s="278"/>
      <c r="L919" s="278"/>
    </row>
    <row r="920" spans="1:12" ht="21.75" customHeight="1" thickTop="1" x14ac:dyDescent="0.25">
      <c r="A920" s="1"/>
      <c r="B920" s="11" t="s">
        <v>3</v>
      </c>
      <c r="C920" s="12" t="s">
        <v>4</v>
      </c>
      <c r="D920" s="13"/>
      <c r="E920" s="13"/>
      <c r="F920" s="13"/>
      <c r="G920" s="13"/>
      <c r="H920" s="14"/>
      <c r="I920" s="15" t="s">
        <v>5</v>
      </c>
      <c r="J920" s="12" t="s">
        <v>17</v>
      </c>
      <c r="K920" s="13"/>
      <c r="L920" s="14"/>
    </row>
    <row r="921" spans="1:12" ht="25.5" customHeight="1" x14ac:dyDescent="0.2">
      <c r="A921" s="50"/>
      <c r="B921" s="100">
        <v>1</v>
      </c>
      <c r="C921" s="284" t="s">
        <v>303</v>
      </c>
      <c r="D921" s="285"/>
      <c r="E921" s="285"/>
      <c r="F921" s="285"/>
      <c r="G921" s="76"/>
      <c r="H921" s="79"/>
      <c r="I921" s="56">
        <v>250000</v>
      </c>
      <c r="J921" s="76"/>
      <c r="K921" s="76"/>
      <c r="L921" s="79"/>
    </row>
    <row r="922" spans="1:12" ht="15" customHeight="1" x14ac:dyDescent="0.25">
      <c r="A922" s="50"/>
      <c r="B922" s="96"/>
      <c r="C922" s="321"/>
      <c r="D922" s="297"/>
      <c r="E922" s="127"/>
      <c r="F922" s="319"/>
      <c r="G922" s="297"/>
      <c r="H922" s="320"/>
      <c r="I922" s="56"/>
      <c r="J922" s="50"/>
      <c r="K922" s="1"/>
      <c r="L922" s="17"/>
    </row>
    <row r="923" spans="1:12" ht="29.25" customHeight="1" x14ac:dyDescent="0.2">
      <c r="B923" s="20"/>
      <c r="C923" s="21"/>
      <c r="D923" s="21"/>
      <c r="E923" s="21"/>
      <c r="F923" s="21"/>
      <c r="G923" s="21"/>
      <c r="H923" s="22"/>
      <c r="I923" s="23"/>
      <c r="J923" s="21"/>
      <c r="K923" s="21"/>
      <c r="L923" s="22"/>
    </row>
    <row r="924" spans="1:12" ht="19.5" customHeight="1" x14ac:dyDescent="0.25">
      <c r="A924" s="1"/>
      <c r="B924" s="39"/>
      <c r="C924" s="1"/>
      <c r="D924" s="1"/>
      <c r="E924" s="1"/>
      <c r="F924" s="40" t="s">
        <v>5</v>
      </c>
      <c r="G924" s="40"/>
      <c r="H924" s="1"/>
      <c r="I924" s="41">
        <f>SUM(I921:I922)</f>
        <v>250000</v>
      </c>
      <c r="J924" s="1"/>
      <c r="K924" s="1"/>
      <c r="L924" s="42"/>
    </row>
    <row r="925" spans="1:12" ht="12.75" customHeight="1" thickBot="1" x14ac:dyDescent="0.3">
      <c r="A925" s="1"/>
      <c r="B925" s="43"/>
      <c r="C925" s="44"/>
      <c r="D925" s="44"/>
      <c r="E925" s="44"/>
      <c r="F925" s="45"/>
      <c r="G925" s="45"/>
      <c r="H925" s="44"/>
      <c r="I925" s="46"/>
      <c r="J925" s="44"/>
      <c r="K925" s="44"/>
      <c r="L925" s="47"/>
    </row>
    <row r="926" spans="1:12" ht="15.75" thickTop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49.5" customHeight="1" x14ac:dyDescent="0.2">
      <c r="A927" s="10" t="s">
        <v>2</v>
      </c>
      <c r="B927" s="279" t="s">
        <v>11</v>
      </c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</row>
    <row r="928" spans="1:12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" customHeight="1" x14ac:dyDescent="0.2">
      <c r="A929" s="280" t="s">
        <v>12</v>
      </c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</row>
    <row r="930" spans="1:12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" customHeight="1" x14ac:dyDescent="0.25">
      <c r="A932" s="1"/>
      <c r="B932" s="1"/>
      <c r="C932" s="1"/>
      <c r="D932" s="1"/>
      <c r="E932" s="1"/>
      <c r="F932" s="1"/>
      <c r="G932" s="1"/>
      <c r="H932" s="4" t="s">
        <v>199</v>
      </c>
      <c r="J932" s="286" t="s">
        <v>299</v>
      </c>
      <c r="K932" s="286"/>
      <c r="L932" s="286"/>
    </row>
    <row r="933" spans="1:12" ht="16.5" customHeight="1" x14ac:dyDescent="0.25">
      <c r="A933" s="1"/>
      <c r="B933" s="1" t="s">
        <v>15</v>
      </c>
      <c r="C933" s="1"/>
      <c r="D933" s="1"/>
      <c r="E933" s="1"/>
      <c r="F933" s="1"/>
      <c r="G933" s="1"/>
      <c r="H933" s="4" t="s">
        <v>13</v>
      </c>
    </row>
    <row r="934" spans="1:12" ht="12.75" customHeight="1" x14ac:dyDescent="0.25">
      <c r="A934" s="1"/>
      <c r="B934" s="1" t="s">
        <v>18</v>
      </c>
      <c r="C934" s="1"/>
      <c r="D934" s="1"/>
      <c r="E934" s="1"/>
      <c r="F934" s="1"/>
      <c r="G934" s="1"/>
      <c r="H934" s="4" t="s">
        <v>14</v>
      </c>
    </row>
    <row r="935" spans="1:12" ht="21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33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" x14ac:dyDescent="0.25">
      <c r="A937" s="1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"/>
    </row>
    <row r="938" spans="1:12" ht="23.25" customHeight="1" x14ac:dyDescent="0.25">
      <c r="A938" s="1"/>
      <c r="K938" s="103"/>
      <c r="L938" s="1"/>
    </row>
    <row r="939" spans="1:12" ht="15" x14ac:dyDescent="0.25">
      <c r="A939" s="1"/>
      <c r="B939" s="95" t="s">
        <v>77</v>
      </c>
      <c r="H939" s="95" t="str">
        <f>D913</f>
        <v>Pratiwi Setianingsih, S.Farm.,Apt</v>
      </c>
      <c r="I939" s="95"/>
      <c r="J939" s="92"/>
      <c r="K939" s="103"/>
      <c r="L939" s="1"/>
    </row>
    <row r="940" spans="1:12" ht="16.5" customHeight="1" x14ac:dyDescent="0.25">
      <c r="A940" s="1"/>
      <c r="B940" s="99" t="s">
        <v>27</v>
      </c>
      <c r="C940" s="57"/>
      <c r="H940" s="99" t="s">
        <v>310</v>
      </c>
      <c r="K940" s="103"/>
    </row>
    <row r="941" spans="1:12" ht="21.75" customHeight="1" x14ac:dyDescent="0.2"/>
    <row r="942" spans="1:12" ht="46.5" customHeight="1" x14ac:dyDescent="0.2"/>
    <row r="943" spans="1:12" ht="12.75" x14ac:dyDescent="0.2"/>
    <row r="944" spans="1:12" ht="22.5" customHeight="1" x14ac:dyDescent="0.25">
      <c r="A944" s="3" t="s">
        <v>22</v>
      </c>
    </row>
    <row r="945" spans="1:12" ht="18.75" customHeight="1" x14ac:dyDescent="0.2">
      <c r="A945" s="122" t="s">
        <v>20</v>
      </c>
    </row>
    <row r="946" spans="1:12" ht="20.25" customHeight="1" x14ac:dyDescent="0.2">
      <c r="A946" s="122" t="s">
        <v>21</v>
      </c>
    </row>
    <row r="947" spans="1:12" ht="15" customHeight="1" x14ac:dyDescent="0.2"/>
    <row r="948" spans="1:12" ht="12.75" x14ac:dyDescent="0.2"/>
    <row r="949" spans="1:12" ht="12.75" x14ac:dyDescent="0.2"/>
    <row r="950" spans="1:12" ht="18.75" x14ac:dyDescent="0.3">
      <c r="A950" s="276" t="s">
        <v>6</v>
      </c>
      <c r="B950" s="276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</row>
    <row r="951" spans="1:12" ht="18.75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</row>
    <row r="952" spans="1:12" ht="28.5" customHeight="1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</row>
    <row r="953" spans="1:12" ht="15" x14ac:dyDescent="0.25">
      <c r="A953" s="1"/>
      <c r="B953" s="1"/>
    </row>
    <row r="954" spans="1:12" ht="15" x14ac:dyDescent="0.25">
      <c r="A954" s="1" t="s">
        <v>7</v>
      </c>
      <c r="B954" s="1"/>
    </row>
    <row r="955" spans="1:12" ht="15" x14ac:dyDescent="0.25">
      <c r="A955" s="1"/>
      <c r="B955" s="1"/>
    </row>
    <row r="956" spans="1:12" ht="15.75" customHeight="1" x14ac:dyDescent="0.25">
      <c r="A956" s="1" t="s">
        <v>8</v>
      </c>
      <c r="C956" s="9" t="s">
        <v>1</v>
      </c>
      <c r="D956" s="126" t="s">
        <v>64</v>
      </c>
      <c r="E956" s="76"/>
      <c r="F956" s="76"/>
      <c r="G956" s="76"/>
      <c r="H956" s="76"/>
    </row>
    <row r="957" spans="1:12" ht="15" x14ac:dyDescent="0.25">
      <c r="A957" s="1" t="s">
        <v>9</v>
      </c>
      <c r="C957" s="9" t="s">
        <v>1</v>
      </c>
      <c r="D957" s="119" t="s">
        <v>236</v>
      </c>
      <c r="E957" s="76"/>
      <c r="F957" s="76"/>
      <c r="G957" s="76"/>
      <c r="H957" s="76"/>
    </row>
    <row r="958" spans="1:12" ht="12.75" customHeight="1" x14ac:dyDescent="0.2">
      <c r="A958" s="50" t="s">
        <v>10</v>
      </c>
      <c r="B958" s="76"/>
      <c r="C958" s="91" t="s">
        <v>1</v>
      </c>
      <c r="D958" s="124" t="s">
        <v>235</v>
      </c>
      <c r="E958" s="76"/>
      <c r="F958" s="76"/>
      <c r="G958" s="76"/>
      <c r="H958" s="76"/>
      <c r="I958" s="76"/>
      <c r="J958" s="76"/>
      <c r="K958" s="76"/>
      <c r="L958" s="76"/>
    </row>
    <row r="959" spans="1:12" ht="15" x14ac:dyDescent="0.25">
      <c r="A959" s="1"/>
      <c r="B959" s="1"/>
      <c r="D959" s="1"/>
    </row>
    <row r="960" spans="1:12" ht="31.5" customHeight="1" x14ac:dyDescent="0.2">
      <c r="A960" s="277" t="s">
        <v>311</v>
      </c>
      <c r="B960" s="277"/>
      <c r="C960" s="277"/>
      <c r="D960" s="277"/>
      <c r="E960" s="277"/>
      <c r="F960" s="277"/>
      <c r="G960" s="277"/>
      <c r="H960" s="277"/>
      <c r="I960" s="277"/>
      <c r="J960" s="277"/>
      <c r="K960" s="277"/>
      <c r="L960" s="277"/>
    </row>
    <row r="961" spans="1:12" ht="22.5" customHeight="1" x14ac:dyDescent="0.25">
      <c r="A961" s="1"/>
      <c r="B961" s="1"/>
    </row>
    <row r="962" spans="1:12" ht="39" customHeight="1" thickBot="1" x14ac:dyDescent="0.25">
      <c r="A962" s="10" t="s">
        <v>0</v>
      </c>
      <c r="B962" s="278" t="s">
        <v>91</v>
      </c>
      <c r="C962" s="278"/>
      <c r="D962" s="278"/>
      <c r="E962" s="278"/>
      <c r="F962" s="278"/>
      <c r="G962" s="278"/>
      <c r="H962" s="278"/>
      <c r="I962" s="278"/>
      <c r="J962" s="278"/>
      <c r="K962" s="278"/>
      <c r="L962" s="278"/>
    </row>
    <row r="963" spans="1:12" ht="18" customHeight="1" thickTop="1" x14ac:dyDescent="0.25">
      <c r="A963" s="1"/>
      <c r="B963" s="11" t="s">
        <v>3</v>
      </c>
      <c r="C963" s="12" t="s">
        <v>4</v>
      </c>
      <c r="D963" s="13"/>
      <c r="E963" s="13"/>
      <c r="F963" s="13"/>
      <c r="G963" s="13"/>
      <c r="H963" s="14"/>
      <c r="I963" s="15" t="s">
        <v>5</v>
      </c>
      <c r="J963" s="12" t="s">
        <v>17</v>
      </c>
      <c r="K963" s="13"/>
      <c r="L963" s="14"/>
    </row>
    <row r="964" spans="1:12" ht="18" customHeight="1" x14ac:dyDescent="0.2">
      <c r="A964" s="50"/>
      <c r="B964" s="100">
        <v>1</v>
      </c>
      <c r="C964" s="284" t="s">
        <v>303</v>
      </c>
      <c r="D964" s="285"/>
      <c r="E964" s="285"/>
      <c r="F964" s="285"/>
      <c r="G964" s="76"/>
      <c r="H964" s="79"/>
      <c r="I964" s="56">
        <v>250000</v>
      </c>
      <c r="J964" s="76"/>
      <c r="K964" s="76"/>
      <c r="L964" s="79"/>
    </row>
    <row r="965" spans="1:12" ht="15" x14ac:dyDescent="0.25">
      <c r="A965" s="50"/>
      <c r="B965" s="96">
        <v>2</v>
      </c>
      <c r="C965" s="321" t="s">
        <v>238</v>
      </c>
      <c r="D965" s="297"/>
      <c r="E965" s="127">
        <v>622000</v>
      </c>
      <c r="F965" s="319" t="s">
        <v>239</v>
      </c>
      <c r="G965" s="297"/>
      <c r="H965" s="320"/>
      <c r="I965" s="56">
        <f>E965*30/100</f>
        <v>186600</v>
      </c>
      <c r="J965" s="50" t="s">
        <v>240</v>
      </c>
      <c r="K965" s="1"/>
      <c r="L965" s="17"/>
    </row>
    <row r="966" spans="1:12" ht="21" customHeight="1" x14ac:dyDescent="0.2">
      <c r="B966" s="20"/>
      <c r="C966" s="21"/>
      <c r="D966" s="21"/>
      <c r="E966" s="21"/>
      <c r="F966" s="21"/>
      <c r="G966" s="21"/>
      <c r="H966" s="22"/>
      <c r="I966" s="23"/>
      <c r="J966" s="21"/>
      <c r="K966" s="21"/>
      <c r="L966" s="22"/>
    </row>
    <row r="967" spans="1:12" ht="21" customHeight="1" x14ac:dyDescent="0.25">
      <c r="A967" s="1"/>
      <c r="B967" s="39"/>
      <c r="C967" s="1"/>
      <c r="D967" s="1"/>
      <c r="E967" s="1"/>
      <c r="F967" s="40" t="s">
        <v>5</v>
      </c>
      <c r="G967" s="40"/>
      <c r="H967" s="1"/>
      <c r="I967" s="41">
        <f>SUM(I964:I965)</f>
        <v>436600</v>
      </c>
      <c r="J967" s="1"/>
      <c r="K967" s="1"/>
      <c r="L967" s="42"/>
    </row>
    <row r="968" spans="1:12" ht="15.75" customHeight="1" thickBot="1" x14ac:dyDescent="0.3">
      <c r="A968" s="1"/>
      <c r="B968" s="43"/>
      <c r="C968" s="44"/>
      <c r="D968" s="44"/>
      <c r="E968" s="44"/>
      <c r="F968" s="45"/>
      <c r="G968" s="45"/>
      <c r="H968" s="44"/>
      <c r="I968" s="46"/>
      <c r="J968" s="44"/>
      <c r="K968" s="44"/>
      <c r="L968" s="47"/>
    </row>
    <row r="969" spans="1:12" ht="11.25" customHeight="1" thickTop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45.75" customHeight="1" x14ac:dyDescent="0.2">
      <c r="A970" s="10" t="s">
        <v>2</v>
      </c>
      <c r="B970" s="279" t="s">
        <v>11</v>
      </c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</row>
    <row r="971" spans="1:12" ht="1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7.25" customHeight="1" x14ac:dyDescent="0.2">
      <c r="A972" s="280" t="s">
        <v>12</v>
      </c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</row>
    <row r="973" spans="1:12" ht="17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" x14ac:dyDescent="0.25">
      <c r="A975" s="1"/>
      <c r="B975" s="1"/>
      <c r="C975" s="1"/>
      <c r="D975" s="1"/>
      <c r="E975" s="1"/>
      <c r="F975" s="1"/>
      <c r="G975" s="1"/>
      <c r="H975" s="4" t="s">
        <v>199</v>
      </c>
      <c r="J975" s="286" t="s">
        <v>299</v>
      </c>
      <c r="K975" s="286"/>
      <c r="L975" s="286"/>
    </row>
    <row r="976" spans="1:12" ht="15.75" customHeight="1" x14ac:dyDescent="0.25">
      <c r="A976" s="1"/>
      <c r="B976" s="1" t="s">
        <v>15</v>
      </c>
      <c r="C976" s="1"/>
      <c r="D976" s="1"/>
      <c r="E976" s="1"/>
      <c r="F976" s="1"/>
      <c r="G976" s="1"/>
      <c r="H976" s="4" t="s">
        <v>13</v>
      </c>
    </row>
    <row r="977" spans="1:12" ht="13.5" customHeight="1" x14ac:dyDescent="0.25">
      <c r="A977" s="1"/>
      <c r="B977" s="1" t="s">
        <v>18</v>
      </c>
      <c r="C977" s="1"/>
      <c r="D977" s="1"/>
      <c r="E977" s="1"/>
      <c r="F977" s="1"/>
      <c r="G977" s="1"/>
      <c r="H977" s="4" t="s">
        <v>14</v>
      </c>
    </row>
    <row r="978" spans="1:12" ht="23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4.25" customHeight="1" x14ac:dyDescent="0.25">
      <c r="A980" s="1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"/>
    </row>
    <row r="981" spans="1:12" ht="7.5" customHeight="1" x14ac:dyDescent="0.25">
      <c r="A981" s="1"/>
      <c r="K981" s="103"/>
      <c r="L981" s="1"/>
    </row>
    <row r="982" spans="1:12" ht="20.25" customHeight="1" x14ac:dyDescent="0.25">
      <c r="A982" s="1"/>
      <c r="B982" s="95" t="s">
        <v>77</v>
      </c>
      <c r="H982" s="95" t="s">
        <v>64</v>
      </c>
      <c r="I982" s="95"/>
      <c r="J982" s="92"/>
      <c r="K982" s="103"/>
      <c r="L982" s="1"/>
    </row>
    <row r="983" spans="1:12" ht="14.25" customHeight="1" x14ac:dyDescent="0.25">
      <c r="A983" s="1"/>
      <c r="B983" s="99" t="s">
        <v>27</v>
      </c>
      <c r="C983" s="57"/>
      <c r="H983" s="99" t="s">
        <v>46</v>
      </c>
      <c r="K983" s="103"/>
    </row>
    <row r="984" spans="1:12" ht="21" customHeight="1" x14ac:dyDescent="0.2"/>
    <row r="985" spans="1:12" ht="49.5" customHeight="1" x14ac:dyDescent="0.2"/>
    <row r="986" spans="1:12" ht="18" customHeight="1" x14ac:dyDescent="0.2"/>
    <row r="987" spans="1:12" ht="16.5" customHeight="1" x14ac:dyDescent="0.25">
      <c r="A987" s="3" t="s">
        <v>22</v>
      </c>
    </row>
    <row r="988" spans="1:12" ht="15.75" x14ac:dyDescent="0.2">
      <c r="A988" s="122" t="s">
        <v>20</v>
      </c>
    </row>
    <row r="989" spans="1:12" ht="15.75" x14ac:dyDescent="0.2">
      <c r="A989" s="122" t="s">
        <v>21</v>
      </c>
    </row>
    <row r="990" spans="1:12" ht="12.75" x14ac:dyDescent="0.2"/>
    <row r="991" spans="1:12" ht="12.75" x14ac:dyDescent="0.2"/>
    <row r="992" spans="1:12" ht="12.75" x14ac:dyDescent="0.2"/>
    <row r="993" spans="1:12" ht="15.75" customHeight="1" x14ac:dyDescent="0.3">
      <c r="A993" s="276" t="s">
        <v>6</v>
      </c>
      <c r="B993" s="276"/>
      <c r="C993" s="276"/>
      <c r="D993" s="276"/>
      <c r="E993" s="276"/>
      <c r="F993" s="276"/>
      <c r="G993" s="276"/>
      <c r="H993" s="276"/>
      <c r="I993" s="276"/>
      <c r="J993" s="276"/>
      <c r="K993" s="276"/>
      <c r="L993" s="276"/>
    </row>
    <row r="994" spans="1:12" ht="18" hidden="1" customHeight="1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</row>
    <row r="995" spans="1:12" ht="18" customHeight="1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</row>
    <row r="996" spans="1:12" ht="20.25" customHeight="1" x14ac:dyDescent="0.25">
      <c r="A996" s="1"/>
      <c r="B996" s="1"/>
    </row>
    <row r="997" spans="1:12" ht="20.25" customHeight="1" x14ac:dyDescent="0.25">
      <c r="A997" s="1" t="s">
        <v>7</v>
      </c>
      <c r="B997" s="1"/>
    </row>
    <row r="998" spans="1:12" ht="15" x14ac:dyDescent="0.25">
      <c r="A998" s="1"/>
      <c r="B998" s="1"/>
    </row>
    <row r="999" spans="1:12" ht="15" customHeight="1" x14ac:dyDescent="0.25">
      <c r="A999" s="1" t="s">
        <v>8</v>
      </c>
      <c r="C999" s="9" t="s">
        <v>1</v>
      </c>
      <c r="D999" s="123" t="s">
        <v>78</v>
      </c>
      <c r="E999" s="76"/>
      <c r="F999" s="76"/>
      <c r="G999" s="76"/>
      <c r="H999" s="76"/>
    </row>
    <row r="1000" spans="1:12" ht="15" x14ac:dyDescent="0.25">
      <c r="A1000" s="1" t="s">
        <v>9</v>
      </c>
      <c r="C1000" s="9" t="s">
        <v>1</v>
      </c>
      <c r="D1000" s="76" t="s">
        <v>234</v>
      </c>
      <c r="E1000" s="76"/>
      <c r="F1000" s="76"/>
      <c r="G1000" s="76"/>
      <c r="H1000" s="76"/>
    </row>
    <row r="1001" spans="1:12" ht="15" x14ac:dyDescent="0.2">
      <c r="A1001" s="50" t="s">
        <v>10</v>
      </c>
      <c r="B1001" s="76"/>
      <c r="C1001" s="91" t="s">
        <v>1</v>
      </c>
      <c r="D1001" s="50" t="s">
        <v>235</v>
      </c>
      <c r="E1001" s="76"/>
      <c r="F1001" s="76"/>
      <c r="G1001" s="76"/>
      <c r="H1001" s="76"/>
      <c r="I1001" s="76"/>
      <c r="J1001" s="76"/>
      <c r="K1001" s="76"/>
      <c r="L1001" s="76"/>
    </row>
    <row r="1002" spans="1:12" ht="15" x14ac:dyDescent="0.25">
      <c r="A1002" s="1"/>
      <c r="B1002" s="1"/>
      <c r="D1002" s="1"/>
    </row>
    <row r="1003" spans="1:12" ht="28.5" customHeight="1" x14ac:dyDescent="0.2">
      <c r="A1003" s="277" t="s">
        <v>311</v>
      </c>
      <c r="B1003" s="277"/>
      <c r="C1003" s="277"/>
      <c r="D1003" s="277"/>
      <c r="E1003" s="277"/>
      <c r="F1003" s="277"/>
      <c r="G1003" s="277"/>
      <c r="H1003" s="277"/>
      <c r="I1003" s="277"/>
      <c r="J1003" s="277"/>
      <c r="K1003" s="277"/>
      <c r="L1003" s="277"/>
    </row>
    <row r="1004" spans="1:12" ht="15" x14ac:dyDescent="0.25">
      <c r="A1004" s="1"/>
      <c r="B1004" s="1"/>
    </row>
    <row r="1005" spans="1:12" ht="32.25" customHeight="1" thickBot="1" x14ac:dyDescent="0.25">
      <c r="A1005" s="10" t="s">
        <v>0</v>
      </c>
      <c r="B1005" s="278" t="s">
        <v>91</v>
      </c>
      <c r="C1005" s="278"/>
      <c r="D1005" s="278"/>
      <c r="E1005" s="278"/>
      <c r="F1005" s="278"/>
      <c r="G1005" s="278"/>
      <c r="H1005" s="278"/>
      <c r="I1005" s="278"/>
      <c r="J1005" s="278"/>
      <c r="K1005" s="278"/>
      <c r="L1005" s="278"/>
    </row>
    <row r="1006" spans="1:12" ht="15.75" thickTop="1" x14ac:dyDescent="0.25">
      <c r="A1006" s="1"/>
      <c r="B1006" s="11" t="s">
        <v>3</v>
      </c>
      <c r="C1006" s="12" t="s">
        <v>4</v>
      </c>
      <c r="D1006" s="13"/>
      <c r="E1006" s="13"/>
      <c r="F1006" s="13"/>
      <c r="G1006" s="13"/>
      <c r="H1006" s="14"/>
      <c r="I1006" s="15" t="s">
        <v>5</v>
      </c>
      <c r="J1006" s="12" t="s">
        <v>17</v>
      </c>
      <c r="K1006" s="13"/>
      <c r="L1006" s="14"/>
    </row>
    <row r="1007" spans="1:12" ht="32.25" customHeight="1" x14ac:dyDescent="0.2">
      <c r="A1007" s="50"/>
      <c r="B1007" s="100">
        <v>1</v>
      </c>
      <c r="C1007" s="284" t="s">
        <v>303</v>
      </c>
      <c r="D1007" s="285"/>
      <c r="E1007" s="285"/>
      <c r="F1007" s="285"/>
      <c r="G1007" s="76"/>
      <c r="H1007" s="79"/>
      <c r="I1007" s="56">
        <v>250000</v>
      </c>
      <c r="J1007" s="76"/>
      <c r="K1007" s="76"/>
      <c r="L1007" s="79"/>
    </row>
    <row r="1008" spans="1:12" ht="31.5" customHeight="1" x14ac:dyDescent="0.25">
      <c r="A1008" s="50"/>
      <c r="B1008" s="96">
        <v>2</v>
      </c>
      <c r="C1008" s="321" t="s">
        <v>238</v>
      </c>
      <c r="D1008" s="297"/>
      <c r="E1008" s="127">
        <v>622000</v>
      </c>
      <c r="F1008" s="319" t="s">
        <v>239</v>
      </c>
      <c r="G1008" s="297"/>
      <c r="H1008" s="320"/>
      <c r="I1008" s="56">
        <f>E1008*30/100*1</f>
        <v>186600</v>
      </c>
      <c r="J1008" s="50" t="s">
        <v>240</v>
      </c>
      <c r="K1008" s="1"/>
      <c r="L1008" s="17"/>
    </row>
    <row r="1009" spans="1:12" ht="39.75" customHeight="1" x14ac:dyDescent="0.2">
      <c r="B1009" s="20"/>
      <c r="C1009" s="21"/>
      <c r="D1009" s="21"/>
      <c r="E1009" s="21"/>
      <c r="F1009" s="21"/>
      <c r="G1009" s="21"/>
      <c r="H1009" s="22"/>
      <c r="I1009" s="23"/>
      <c r="J1009" s="21"/>
      <c r="K1009" s="21"/>
      <c r="L1009" s="22"/>
    </row>
    <row r="1010" spans="1:12" ht="19.5" customHeight="1" x14ac:dyDescent="0.25">
      <c r="A1010" s="1"/>
      <c r="B1010" s="39"/>
      <c r="C1010" s="1"/>
      <c r="D1010" s="1"/>
      <c r="E1010" s="1"/>
      <c r="F1010" s="40" t="s">
        <v>5</v>
      </c>
      <c r="G1010" s="40"/>
      <c r="H1010" s="1"/>
      <c r="I1010" s="41">
        <f>SUM(I1007:I1008)</f>
        <v>436600</v>
      </c>
      <c r="J1010" s="1"/>
      <c r="K1010" s="1"/>
      <c r="L1010" s="42"/>
    </row>
    <row r="1011" spans="1:12" ht="4.5" customHeight="1" thickBot="1" x14ac:dyDescent="0.3">
      <c r="A1011" s="1"/>
      <c r="B1011" s="43"/>
      <c r="C1011" s="44"/>
      <c r="D1011" s="44"/>
      <c r="E1011" s="44"/>
      <c r="F1011" s="45"/>
      <c r="G1011" s="45"/>
      <c r="H1011" s="44"/>
      <c r="I1011" s="46"/>
      <c r="J1011" s="44"/>
      <c r="K1011" s="44"/>
      <c r="L1011" s="47"/>
    </row>
    <row r="1012" spans="1:12" ht="9.75" customHeight="1" thickTop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ht="47.25" customHeight="1" x14ac:dyDescent="0.2">
      <c r="A1013" s="10" t="s">
        <v>2</v>
      </c>
      <c r="B1013" s="279" t="s">
        <v>11</v>
      </c>
      <c r="C1013" s="279"/>
      <c r="D1013" s="279"/>
      <c r="E1013" s="279"/>
      <c r="F1013" s="279"/>
      <c r="G1013" s="279"/>
      <c r="H1013" s="279"/>
      <c r="I1013" s="279"/>
      <c r="J1013" s="279"/>
      <c r="K1013" s="279"/>
      <c r="L1013" s="279"/>
    </row>
    <row r="1014" spans="1:12" ht="12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ht="21" customHeight="1" x14ac:dyDescent="0.2">
      <c r="A1015" s="280" t="s">
        <v>12</v>
      </c>
      <c r="B1015" s="280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</row>
    <row r="1016" spans="1:12" ht="12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ht="9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ht="17.25" customHeight="1" x14ac:dyDescent="0.25">
      <c r="A1018" s="1"/>
      <c r="B1018" s="1"/>
      <c r="C1018" s="1"/>
      <c r="D1018" s="1"/>
      <c r="E1018" s="1"/>
      <c r="F1018" s="1"/>
      <c r="G1018" s="1"/>
      <c r="H1018" s="4" t="s">
        <v>199</v>
      </c>
      <c r="J1018" s="286" t="s">
        <v>299</v>
      </c>
      <c r="K1018" s="286"/>
      <c r="L1018" s="286"/>
    </row>
    <row r="1019" spans="1:12" ht="15" customHeight="1" x14ac:dyDescent="0.25">
      <c r="A1019" s="1"/>
      <c r="B1019" s="1" t="s">
        <v>15</v>
      </c>
      <c r="C1019" s="1"/>
      <c r="D1019" s="1"/>
      <c r="E1019" s="1"/>
      <c r="F1019" s="1"/>
      <c r="G1019" s="1"/>
      <c r="H1019" s="4" t="s">
        <v>13</v>
      </c>
    </row>
    <row r="1020" spans="1:12" ht="16.5" customHeight="1" x14ac:dyDescent="0.25">
      <c r="A1020" s="1"/>
      <c r="B1020" s="1" t="s">
        <v>18</v>
      </c>
      <c r="C1020" s="1"/>
      <c r="D1020" s="1"/>
      <c r="E1020" s="1"/>
      <c r="F1020" s="1"/>
      <c r="G1020" s="1"/>
      <c r="H1020" s="4" t="s">
        <v>14</v>
      </c>
    </row>
    <row r="1021" spans="1:12" ht="24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ht="1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ht="10.5" customHeight="1" x14ac:dyDescent="0.25">
      <c r="A1023" s="1"/>
      <c r="B1023" s="103"/>
      <c r="C1023" s="103"/>
      <c r="D1023" s="103"/>
      <c r="E1023" s="103"/>
      <c r="F1023" s="103"/>
      <c r="G1023" s="103"/>
      <c r="H1023" s="103"/>
      <c r="I1023" s="103"/>
      <c r="J1023" s="103"/>
      <c r="K1023" s="103"/>
      <c r="L1023" s="1"/>
    </row>
    <row r="1024" spans="1:12" ht="17.25" customHeight="1" x14ac:dyDescent="0.25">
      <c r="A1024" s="1"/>
      <c r="K1024" s="103"/>
      <c r="L1024" s="1"/>
    </row>
    <row r="1025" spans="1:12" ht="12" customHeight="1" x14ac:dyDescent="0.25">
      <c r="A1025" s="1"/>
      <c r="B1025" s="95" t="s">
        <v>77</v>
      </c>
      <c r="H1025" s="95" t="s">
        <v>78</v>
      </c>
      <c r="I1025" s="95"/>
      <c r="J1025" s="92"/>
      <c r="K1025" s="103"/>
      <c r="L1025" s="1"/>
    </row>
    <row r="1026" spans="1:12" ht="23.25" customHeight="1" x14ac:dyDescent="0.25">
      <c r="A1026" s="1"/>
      <c r="B1026" s="99" t="s">
        <v>27</v>
      </c>
      <c r="C1026" s="57"/>
      <c r="H1026" s="99" t="s">
        <v>79</v>
      </c>
      <c r="K1026" s="103"/>
    </row>
    <row r="1027" spans="1:12" s="99" customFormat="1" ht="21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</row>
    <row r="1028" spans="1:12" ht="30.75" customHeight="1" x14ac:dyDescent="0.2"/>
    <row r="1029" spans="1:12" ht="12.75" x14ac:dyDescent="0.2"/>
    <row r="1030" spans="1:12" ht="5.25" customHeight="1" x14ac:dyDescent="0.2"/>
    <row r="1031" spans="1:12" ht="12.75" x14ac:dyDescent="0.2"/>
    <row r="1032" spans="1:12" ht="45.75" customHeight="1" x14ac:dyDescent="0.25">
      <c r="A1032" s="3" t="s">
        <v>22</v>
      </c>
    </row>
    <row r="1033" spans="1:12" ht="15.75" x14ac:dyDescent="0.2">
      <c r="A1033" s="122" t="s">
        <v>20</v>
      </c>
    </row>
    <row r="1034" spans="1:12" ht="15" customHeight="1" x14ac:dyDescent="0.2">
      <c r="A1034" s="122" t="s">
        <v>21</v>
      </c>
    </row>
    <row r="1035" spans="1:12" ht="10.5" customHeight="1" x14ac:dyDescent="0.2"/>
    <row r="1036" spans="1:12" ht="10.5" customHeight="1" x14ac:dyDescent="0.2"/>
    <row r="1037" spans="1:12" ht="12.75" x14ac:dyDescent="0.2"/>
    <row r="1038" spans="1:12" ht="18.75" x14ac:dyDescent="0.3">
      <c r="A1038" s="276" t="s">
        <v>6</v>
      </c>
      <c r="B1038" s="276"/>
      <c r="C1038" s="276"/>
      <c r="D1038" s="276"/>
      <c r="E1038" s="276"/>
      <c r="F1038" s="276"/>
      <c r="G1038" s="276"/>
      <c r="H1038" s="276"/>
      <c r="I1038" s="276"/>
      <c r="J1038" s="276"/>
      <c r="K1038" s="276"/>
      <c r="L1038" s="276"/>
    </row>
    <row r="1039" spans="1:12" ht="18.75" x14ac:dyDescent="0.3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</row>
    <row r="1040" spans="1:12" ht="18.75" x14ac:dyDescent="0.3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</row>
    <row r="1041" spans="1:12" ht="15" x14ac:dyDescent="0.25">
      <c r="A1041" s="1"/>
      <c r="B1041" s="1"/>
    </row>
    <row r="1042" spans="1:12" ht="15" x14ac:dyDescent="0.25">
      <c r="A1042" s="1" t="s">
        <v>7</v>
      </c>
      <c r="B1042" s="1"/>
    </row>
    <row r="1043" spans="1:12" ht="17.25" customHeight="1" x14ac:dyDescent="0.25">
      <c r="A1043" s="1"/>
      <c r="B1043" s="1"/>
    </row>
    <row r="1044" spans="1:12" ht="17.25" customHeight="1" x14ac:dyDescent="0.25">
      <c r="A1044" s="1" t="s">
        <v>8</v>
      </c>
      <c r="C1044" s="9" t="s">
        <v>1</v>
      </c>
      <c r="D1044" s="92" t="s">
        <v>77</v>
      </c>
      <c r="E1044" s="76"/>
      <c r="F1044" s="76"/>
      <c r="G1044" s="76"/>
      <c r="H1044" s="76"/>
    </row>
    <row r="1045" spans="1:12" ht="18.75" customHeight="1" x14ac:dyDescent="0.25">
      <c r="A1045" s="1" t="s">
        <v>9</v>
      </c>
      <c r="C1045" s="9" t="s">
        <v>1</v>
      </c>
      <c r="D1045" s="57" t="s">
        <v>201</v>
      </c>
      <c r="E1045" s="76"/>
      <c r="F1045" s="76"/>
      <c r="G1045" s="76"/>
      <c r="H1045" s="76"/>
    </row>
    <row r="1046" spans="1:12" ht="15" x14ac:dyDescent="0.2">
      <c r="A1046" s="50" t="s">
        <v>10</v>
      </c>
      <c r="B1046" s="76"/>
      <c r="C1046" s="91" t="s">
        <v>1</v>
      </c>
      <c r="D1046" s="50" t="s">
        <v>265</v>
      </c>
      <c r="E1046" s="76"/>
      <c r="F1046" s="76"/>
      <c r="G1046" s="76"/>
      <c r="H1046" s="76"/>
      <c r="I1046" s="76"/>
      <c r="J1046" s="76"/>
      <c r="K1046" s="76"/>
      <c r="L1046" s="76"/>
    </row>
    <row r="1047" spans="1:12" ht="15" x14ac:dyDescent="0.25">
      <c r="A1047" s="1"/>
      <c r="B1047" s="1"/>
      <c r="D1047" s="1"/>
    </row>
    <row r="1048" spans="1:12" ht="28.5" customHeight="1" x14ac:dyDescent="0.2">
      <c r="A1048" s="277" t="s">
        <v>311</v>
      </c>
      <c r="B1048" s="277"/>
      <c r="C1048" s="277"/>
      <c r="D1048" s="277"/>
      <c r="E1048" s="277"/>
      <c r="F1048" s="277"/>
      <c r="G1048" s="277"/>
      <c r="H1048" s="277"/>
      <c r="I1048" s="277"/>
      <c r="J1048" s="277"/>
      <c r="K1048" s="277"/>
      <c r="L1048" s="277"/>
    </row>
    <row r="1049" spans="1:12" ht="15" x14ac:dyDescent="0.25">
      <c r="A1049" s="1"/>
      <c r="B1049" s="1"/>
    </row>
    <row r="1050" spans="1:12" ht="39.75" customHeight="1" thickBot="1" x14ac:dyDescent="0.25">
      <c r="A1050" s="10" t="s">
        <v>0</v>
      </c>
      <c r="B1050" s="278" t="s">
        <v>91</v>
      </c>
      <c r="C1050" s="278"/>
      <c r="D1050" s="278"/>
      <c r="E1050" s="278"/>
      <c r="F1050" s="278"/>
      <c r="G1050" s="278"/>
      <c r="H1050" s="278"/>
      <c r="I1050" s="278"/>
      <c r="J1050" s="278"/>
      <c r="K1050" s="278"/>
      <c r="L1050" s="278"/>
    </row>
    <row r="1051" spans="1:12" ht="15.75" thickTop="1" x14ac:dyDescent="0.25">
      <c r="A1051" s="1"/>
      <c r="B1051" s="11" t="s">
        <v>3</v>
      </c>
      <c r="C1051" s="12" t="s">
        <v>4</v>
      </c>
      <c r="D1051" s="13"/>
      <c r="E1051" s="13"/>
      <c r="F1051" s="13"/>
      <c r="G1051" s="13"/>
      <c r="H1051" s="14"/>
      <c r="I1051" s="15" t="s">
        <v>5</v>
      </c>
      <c r="J1051" s="12" t="s">
        <v>17</v>
      </c>
      <c r="K1051" s="13"/>
      <c r="L1051" s="14"/>
    </row>
    <row r="1052" spans="1:12" ht="21" customHeight="1" x14ac:dyDescent="0.2">
      <c r="A1052" s="50"/>
      <c r="B1052" s="143">
        <v>1</v>
      </c>
      <c r="C1052" s="285" t="s">
        <v>303</v>
      </c>
      <c r="D1052" s="285"/>
      <c r="E1052" s="285"/>
      <c r="F1052" s="285"/>
      <c r="G1052" s="76"/>
      <c r="H1052" s="79"/>
      <c r="I1052" s="56">
        <v>250000</v>
      </c>
      <c r="J1052" s="76"/>
      <c r="K1052" s="76"/>
      <c r="L1052" s="79"/>
    </row>
    <row r="1053" spans="1:12" ht="36" customHeight="1" x14ac:dyDescent="0.2">
      <c r="B1053" s="16"/>
      <c r="C1053" s="124"/>
      <c r="D1053" s="124"/>
      <c r="E1053" s="127"/>
      <c r="F1053" s="125"/>
      <c r="G1053" s="124"/>
      <c r="H1053" s="124"/>
      <c r="I1053" s="56"/>
      <c r="L1053" s="17"/>
    </row>
    <row r="1054" spans="1:12" ht="15" x14ac:dyDescent="0.25">
      <c r="A1054" s="1"/>
      <c r="B1054" s="39"/>
      <c r="C1054" s="1"/>
      <c r="D1054" s="1"/>
      <c r="E1054" s="1"/>
      <c r="F1054" s="40" t="s">
        <v>5</v>
      </c>
      <c r="G1054" s="40"/>
      <c r="H1054" s="1"/>
      <c r="I1054" s="41">
        <f>SUM(I1052:I1052)</f>
        <v>250000</v>
      </c>
      <c r="J1054" s="1"/>
      <c r="K1054" s="1"/>
      <c r="L1054" s="42"/>
    </row>
    <row r="1055" spans="1:12" ht="13.5" customHeight="1" thickBot="1" x14ac:dyDescent="0.3">
      <c r="A1055" s="1"/>
      <c r="B1055" s="43"/>
      <c r="C1055" s="44"/>
      <c r="D1055" s="44"/>
      <c r="E1055" s="44"/>
      <c r="F1055" s="45"/>
      <c r="G1055" s="45"/>
      <c r="H1055" s="44"/>
      <c r="I1055" s="46"/>
      <c r="J1055" s="44"/>
      <c r="K1055" s="44"/>
      <c r="L1055" s="47"/>
    </row>
    <row r="1056" spans="1:12" ht="15.75" customHeight="1" thickTop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ht="46.5" customHeight="1" x14ac:dyDescent="0.2">
      <c r="A1057" s="10" t="s">
        <v>2</v>
      </c>
      <c r="B1057" s="279" t="s">
        <v>11</v>
      </c>
      <c r="C1057" s="279"/>
      <c r="D1057" s="279"/>
      <c r="E1057" s="279"/>
      <c r="F1057" s="279"/>
      <c r="G1057" s="279"/>
      <c r="H1057" s="279"/>
      <c r="I1057" s="279"/>
      <c r="J1057" s="279"/>
      <c r="K1057" s="279"/>
      <c r="L1057" s="279"/>
    </row>
    <row r="1058" spans="1:12" ht="5.25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ht="25.5" customHeight="1" x14ac:dyDescent="0.2">
      <c r="A1059" s="280" t="s">
        <v>12</v>
      </c>
      <c r="B1059" s="280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</row>
    <row r="1060" spans="1:12" ht="9.75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ht="27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ht="18" customHeight="1" x14ac:dyDescent="0.25">
      <c r="A1062" s="1"/>
      <c r="B1062" s="1"/>
      <c r="C1062" s="1"/>
      <c r="D1062" s="1"/>
      <c r="E1062" s="1"/>
      <c r="F1062" s="1"/>
      <c r="G1062" s="1"/>
      <c r="H1062" s="4" t="s">
        <v>199</v>
      </c>
      <c r="J1062" s="286" t="s">
        <v>299</v>
      </c>
      <c r="K1062" s="286"/>
      <c r="L1062" s="286"/>
    </row>
    <row r="1063" spans="1:12" ht="15" x14ac:dyDescent="0.25">
      <c r="A1063" s="1"/>
      <c r="B1063" s="1" t="s">
        <v>15</v>
      </c>
      <c r="C1063" s="1"/>
      <c r="D1063" s="1"/>
      <c r="E1063" s="1"/>
      <c r="F1063" s="1"/>
      <c r="G1063" s="1"/>
      <c r="H1063" s="4" t="s">
        <v>13</v>
      </c>
    </row>
    <row r="1064" spans="1:12" ht="15.75" customHeight="1" x14ac:dyDescent="0.25">
      <c r="A1064" s="1"/>
      <c r="B1064" s="1" t="s">
        <v>18</v>
      </c>
      <c r="C1064" s="1"/>
      <c r="D1064" s="1"/>
      <c r="E1064" s="1"/>
      <c r="F1064" s="1"/>
      <c r="G1064" s="1"/>
      <c r="H1064" s="4" t="s">
        <v>14</v>
      </c>
    </row>
    <row r="1065" spans="1:12" ht="20.25" customHeight="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ht="17.25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ht="10.5" customHeight="1" x14ac:dyDescent="0.25">
      <c r="A1067" s="1"/>
      <c r="B1067" s="103"/>
      <c r="C1067" s="103"/>
      <c r="D1067" s="103"/>
      <c r="E1067" s="103"/>
      <c r="F1067" s="103"/>
      <c r="G1067" s="103"/>
      <c r="H1067" s="103"/>
      <c r="I1067" s="103"/>
      <c r="J1067" s="103"/>
      <c r="K1067" s="103"/>
      <c r="L1067" s="1"/>
    </row>
    <row r="1068" spans="1:12" ht="15" customHeight="1" x14ac:dyDescent="0.25">
      <c r="A1068" s="1"/>
      <c r="K1068" s="103"/>
      <c r="L1068" s="1"/>
    </row>
    <row r="1069" spans="1:12" ht="22.5" customHeight="1" x14ac:dyDescent="0.25">
      <c r="A1069" s="1"/>
      <c r="B1069" s="95" t="s">
        <v>77</v>
      </c>
      <c r="H1069" s="95" t="s">
        <v>77</v>
      </c>
      <c r="I1069" s="95"/>
      <c r="J1069" s="92"/>
      <c r="K1069" s="103"/>
      <c r="L1069" s="1"/>
    </row>
    <row r="1070" spans="1:12" ht="15" x14ac:dyDescent="0.25">
      <c r="A1070" s="1"/>
      <c r="B1070" s="99" t="s">
        <v>27</v>
      </c>
      <c r="C1070" s="57"/>
      <c r="H1070" s="99" t="s">
        <v>27</v>
      </c>
      <c r="K1070" s="103"/>
    </row>
    <row r="1071" spans="1:12" ht="18.75" customHeight="1" x14ac:dyDescent="0.2"/>
    <row r="1072" spans="1:12" ht="23.25" customHeight="1" x14ac:dyDescent="0.2"/>
    <row r="1073" spans="1:12" ht="35.25" customHeight="1" x14ac:dyDescent="0.2"/>
    <row r="1074" spans="1:12" ht="21" customHeight="1" x14ac:dyDescent="0.2"/>
    <row r="1075" spans="1:12" ht="17.25" customHeight="1" x14ac:dyDescent="0.25">
      <c r="A1075" s="3" t="s">
        <v>22</v>
      </c>
    </row>
    <row r="1076" spans="1:12" ht="16.5" customHeight="1" x14ac:dyDescent="0.2">
      <c r="A1076" s="122" t="s">
        <v>20</v>
      </c>
    </row>
    <row r="1077" spans="1:12" ht="29.25" customHeight="1" x14ac:dyDescent="0.2">
      <c r="A1077" s="122" t="s">
        <v>21</v>
      </c>
    </row>
    <row r="1078" spans="1:12" ht="12.75" x14ac:dyDescent="0.2"/>
    <row r="1079" spans="1:12" ht="15" customHeight="1" x14ac:dyDescent="0.2"/>
    <row r="1080" spans="1:12" ht="7.5" customHeight="1" x14ac:dyDescent="0.2"/>
    <row r="1081" spans="1:12" ht="18.75" x14ac:dyDescent="0.3">
      <c r="A1081" s="276" t="s">
        <v>6</v>
      </c>
      <c r="B1081" s="276"/>
      <c r="C1081" s="276"/>
      <c r="D1081" s="276"/>
      <c r="E1081" s="276"/>
      <c r="F1081" s="276"/>
      <c r="G1081" s="276"/>
      <c r="H1081" s="276"/>
      <c r="I1081" s="276"/>
      <c r="J1081" s="276"/>
      <c r="K1081" s="276"/>
      <c r="L1081" s="276"/>
    </row>
    <row r="1082" spans="1:12" ht="18.75" x14ac:dyDescent="0.3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</row>
    <row r="1083" spans="1:12" ht="18.75" x14ac:dyDescent="0.3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</row>
    <row r="1084" spans="1:12" ht="15" x14ac:dyDescent="0.25">
      <c r="A1084" s="1"/>
      <c r="B1084" s="1"/>
    </row>
    <row r="1085" spans="1:12" ht="15" x14ac:dyDescent="0.25">
      <c r="A1085" s="1" t="s">
        <v>7</v>
      </c>
      <c r="B1085" s="1"/>
    </row>
    <row r="1086" spans="1:12" ht="15" x14ac:dyDescent="0.25">
      <c r="A1086" s="1"/>
      <c r="B1086" s="1"/>
    </row>
    <row r="1087" spans="1:12" ht="15" x14ac:dyDescent="0.25">
      <c r="A1087" s="1" t="s">
        <v>8</v>
      </c>
      <c r="C1087" s="9" t="s">
        <v>1</v>
      </c>
      <c r="D1087" s="92" t="s">
        <v>96</v>
      </c>
      <c r="E1087" s="76"/>
      <c r="F1087" s="76"/>
      <c r="G1087" s="76"/>
      <c r="H1087" s="76"/>
    </row>
    <row r="1088" spans="1:12" ht="15" x14ac:dyDescent="0.25">
      <c r="A1088" s="1" t="s">
        <v>9</v>
      </c>
      <c r="C1088" s="9" t="s">
        <v>1</v>
      </c>
      <c r="D1088" s="57" t="s">
        <v>200</v>
      </c>
      <c r="E1088" s="76"/>
      <c r="F1088" s="76"/>
      <c r="G1088" s="76"/>
      <c r="H1088" s="76"/>
    </row>
    <row r="1089" spans="1:12" ht="15" x14ac:dyDescent="0.2">
      <c r="A1089" s="50" t="s">
        <v>10</v>
      </c>
      <c r="B1089" s="76"/>
      <c r="C1089" s="91" t="s">
        <v>1</v>
      </c>
      <c r="D1089" s="50" t="s">
        <v>203</v>
      </c>
      <c r="E1089" s="76"/>
      <c r="F1089" s="76"/>
      <c r="G1089" s="76"/>
      <c r="H1089" s="76"/>
      <c r="I1089" s="76"/>
      <c r="J1089" s="76"/>
      <c r="K1089" s="76"/>
      <c r="L1089" s="76"/>
    </row>
    <row r="1090" spans="1:12" ht="30" customHeight="1" x14ac:dyDescent="0.25">
      <c r="A1090" s="1"/>
      <c r="B1090" s="1"/>
      <c r="D1090" s="1"/>
    </row>
    <row r="1091" spans="1:12" ht="32.25" customHeight="1" x14ac:dyDescent="0.2">
      <c r="A1091" s="277" t="s">
        <v>311</v>
      </c>
      <c r="B1091" s="277"/>
      <c r="C1091" s="277"/>
      <c r="D1091" s="277"/>
      <c r="E1091" s="277"/>
      <c r="F1091" s="277"/>
      <c r="G1091" s="277"/>
      <c r="H1091" s="277"/>
      <c r="I1091" s="277"/>
      <c r="J1091" s="277"/>
      <c r="K1091" s="277"/>
      <c r="L1091" s="277"/>
    </row>
    <row r="1092" spans="1:12" ht="15.75" customHeight="1" x14ac:dyDescent="0.25">
      <c r="A1092" s="1"/>
      <c r="B1092" s="1"/>
    </row>
    <row r="1093" spans="1:12" ht="32.25" customHeight="1" thickBot="1" x14ac:dyDescent="0.25">
      <c r="A1093" s="10" t="s">
        <v>0</v>
      </c>
      <c r="B1093" s="278" t="s">
        <v>91</v>
      </c>
      <c r="C1093" s="278"/>
      <c r="D1093" s="278"/>
      <c r="E1093" s="278"/>
      <c r="F1093" s="278"/>
      <c r="G1093" s="278"/>
      <c r="H1093" s="278"/>
      <c r="I1093" s="278"/>
      <c r="J1093" s="278"/>
      <c r="K1093" s="278"/>
      <c r="L1093" s="278"/>
    </row>
    <row r="1094" spans="1:12" ht="15.75" thickTop="1" x14ac:dyDescent="0.25">
      <c r="A1094" s="1"/>
      <c r="B1094" s="11" t="s">
        <v>3</v>
      </c>
      <c r="C1094" s="12" t="s">
        <v>4</v>
      </c>
      <c r="D1094" s="13"/>
      <c r="E1094" s="13"/>
      <c r="F1094" s="13"/>
      <c r="G1094" s="13"/>
      <c r="H1094" s="14"/>
      <c r="I1094" s="15" t="s">
        <v>5</v>
      </c>
      <c r="J1094" s="12" t="s">
        <v>17</v>
      </c>
      <c r="K1094" s="13"/>
      <c r="L1094" s="14"/>
    </row>
    <row r="1095" spans="1:12" ht="20.25" customHeight="1" x14ac:dyDescent="0.2">
      <c r="A1095" s="50"/>
      <c r="B1095" s="100">
        <v>1</v>
      </c>
      <c r="C1095" s="284" t="s">
        <v>303</v>
      </c>
      <c r="D1095" s="285"/>
      <c r="E1095" s="285"/>
      <c r="F1095" s="285"/>
      <c r="G1095" s="76"/>
      <c r="H1095" s="79"/>
      <c r="I1095" s="56">
        <v>250000</v>
      </c>
      <c r="J1095" s="76"/>
      <c r="K1095" s="76"/>
      <c r="L1095" s="79"/>
    </row>
    <row r="1096" spans="1:12" ht="30" customHeight="1" x14ac:dyDescent="0.2">
      <c r="B1096" s="96"/>
      <c r="C1096" s="124"/>
      <c r="D1096" s="124"/>
      <c r="E1096" s="127"/>
      <c r="F1096" s="125"/>
      <c r="G1096" s="124"/>
      <c r="H1096" s="124"/>
      <c r="I1096" s="23"/>
      <c r="L1096" s="17"/>
    </row>
    <row r="1097" spans="1:12" ht="21.75" customHeight="1" x14ac:dyDescent="0.25">
      <c r="A1097" s="1"/>
      <c r="B1097" s="39"/>
      <c r="C1097" s="1"/>
      <c r="D1097" s="1"/>
      <c r="E1097" s="1"/>
      <c r="F1097" s="40" t="s">
        <v>5</v>
      </c>
      <c r="G1097" s="40"/>
      <c r="H1097" s="1"/>
      <c r="I1097" s="41">
        <f>SUM(I1095:I1095)</f>
        <v>250000</v>
      </c>
      <c r="J1097" s="1"/>
      <c r="K1097" s="1"/>
      <c r="L1097" s="42"/>
    </row>
    <row r="1098" spans="1:12" ht="15.75" thickBot="1" x14ac:dyDescent="0.3">
      <c r="A1098" s="1"/>
      <c r="B1098" s="43"/>
      <c r="C1098" s="44"/>
      <c r="D1098" s="44"/>
      <c r="E1098" s="44"/>
      <c r="F1098" s="45"/>
      <c r="G1098" s="45"/>
      <c r="H1098" s="44"/>
      <c r="I1098" s="46"/>
      <c r="J1098" s="44"/>
      <c r="K1098" s="44"/>
      <c r="L1098" s="47"/>
    </row>
    <row r="1099" spans="1:12" ht="15.75" thickTop="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ht="47.25" customHeight="1" x14ac:dyDescent="0.2">
      <c r="A1100" s="10" t="s">
        <v>2</v>
      </c>
      <c r="B1100" s="279" t="s">
        <v>11</v>
      </c>
      <c r="C1100" s="279"/>
      <c r="D1100" s="279"/>
      <c r="E1100" s="279"/>
      <c r="F1100" s="279"/>
      <c r="G1100" s="279"/>
      <c r="H1100" s="279"/>
      <c r="I1100" s="279"/>
      <c r="J1100" s="279"/>
      <c r="K1100" s="279"/>
      <c r="L1100" s="279"/>
    </row>
    <row r="1101" spans="1:12" ht="1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ht="15" x14ac:dyDescent="0.2">
      <c r="A1102" s="280" t="s">
        <v>12</v>
      </c>
      <c r="B1102" s="280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</row>
    <row r="1103" spans="1:12" ht="16.5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ht="15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ht="15" customHeight="1" x14ac:dyDescent="0.25">
      <c r="A1105" s="1"/>
      <c r="B1105" s="1"/>
      <c r="C1105" s="1"/>
      <c r="D1105" s="1"/>
      <c r="E1105" s="1"/>
      <c r="F1105" s="1"/>
      <c r="G1105" s="1"/>
      <c r="H1105" s="4" t="s">
        <v>199</v>
      </c>
      <c r="J1105" s="286" t="s">
        <v>299</v>
      </c>
      <c r="K1105" s="286"/>
      <c r="L1105" s="286"/>
    </row>
    <row r="1106" spans="1:12" ht="17.25" customHeight="1" x14ac:dyDescent="0.25">
      <c r="A1106" s="1"/>
      <c r="B1106" s="1" t="s">
        <v>15</v>
      </c>
      <c r="C1106" s="1"/>
      <c r="D1106" s="1"/>
      <c r="E1106" s="1"/>
      <c r="F1106" s="1"/>
      <c r="G1106" s="1"/>
      <c r="H1106" s="4" t="s">
        <v>13</v>
      </c>
    </row>
    <row r="1107" spans="1:12" ht="17.25" customHeight="1" x14ac:dyDescent="0.25">
      <c r="A1107" s="1"/>
      <c r="B1107" s="1" t="s">
        <v>18</v>
      </c>
      <c r="C1107" s="1"/>
      <c r="D1107" s="1"/>
      <c r="E1107" s="1"/>
      <c r="F1107" s="1"/>
      <c r="G1107" s="1"/>
      <c r="H1107" s="4" t="s">
        <v>14</v>
      </c>
    </row>
    <row r="1108" spans="1:12" ht="15.75" customHeight="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ht="16.5" customHeight="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ht="15.75" customHeight="1" x14ac:dyDescent="0.25">
      <c r="A1110" s="1"/>
      <c r="B1110" s="103"/>
      <c r="C1110" s="103"/>
      <c r="D1110" s="103"/>
      <c r="E1110" s="103"/>
      <c r="F1110" s="103"/>
      <c r="G1110" s="103"/>
      <c r="H1110" s="103"/>
      <c r="I1110" s="103"/>
      <c r="J1110" s="103"/>
      <c r="K1110" s="103"/>
      <c r="L1110" s="1"/>
    </row>
    <row r="1111" spans="1:12" ht="9.75" customHeight="1" x14ac:dyDescent="0.25">
      <c r="A1111" s="1"/>
      <c r="K1111" s="103"/>
      <c r="L1111" s="1"/>
    </row>
    <row r="1112" spans="1:12" ht="15" x14ac:dyDescent="0.25">
      <c r="A1112" s="1"/>
      <c r="B1112" s="95" t="s">
        <v>77</v>
      </c>
      <c r="H1112" s="95" t="s">
        <v>96</v>
      </c>
      <c r="I1112" s="95"/>
      <c r="J1112" s="92"/>
      <c r="K1112" s="103"/>
      <c r="L1112" s="1"/>
    </row>
    <row r="1113" spans="1:12" ht="37.5" customHeight="1" x14ac:dyDescent="0.25">
      <c r="A1113" s="1"/>
      <c r="B1113" s="99" t="s">
        <v>27</v>
      </c>
      <c r="C1113" s="57"/>
      <c r="H1113" s="99" t="s">
        <v>100</v>
      </c>
      <c r="K1113" s="103"/>
    </row>
    <row r="1114" spans="1:12" ht="27" customHeight="1" x14ac:dyDescent="0.2"/>
    <row r="1115" spans="1:12" s="120" customFormat="1" ht="33.75" customHeight="1" x14ac:dyDescent="0.25">
      <c r="A1115" s="3" t="s">
        <v>22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</row>
    <row r="1116" spans="1:12" ht="13.5" customHeight="1" x14ac:dyDescent="0.2">
      <c r="A1116" s="122" t="s">
        <v>20</v>
      </c>
    </row>
    <row r="1117" spans="1:12" ht="15.75" x14ac:dyDescent="0.2">
      <c r="A1117" s="122" t="s">
        <v>21</v>
      </c>
    </row>
    <row r="1118" spans="1:12" ht="12.75" x14ac:dyDescent="0.2"/>
    <row r="1119" spans="1:12" ht="18" customHeight="1" x14ac:dyDescent="0.2"/>
    <row r="1120" spans="1:12" ht="6.75" customHeight="1" x14ac:dyDescent="0.2"/>
    <row r="1121" spans="1:12" ht="23.25" customHeight="1" x14ac:dyDescent="0.3">
      <c r="A1121" s="276" t="s">
        <v>6</v>
      </c>
      <c r="B1121" s="276"/>
      <c r="C1121" s="276"/>
      <c r="D1121" s="276"/>
      <c r="E1121" s="276"/>
      <c r="F1121" s="276"/>
      <c r="G1121" s="276"/>
      <c r="H1121" s="276"/>
      <c r="I1121" s="276"/>
      <c r="J1121" s="276"/>
      <c r="K1121" s="276"/>
      <c r="L1121" s="276"/>
    </row>
    <row r="1122" spans="1:12" ht="42" customHeight="1" x14ac:dyDescent="0.3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</row>
    <row r="1123" spans="1:12" ht="23.25" hidden="1" customHeight="1" x14ac:dyDescent="0.3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</row>
    <row r="1124" spans="1:12" ht="17.25" customHeight="1" x14ac:dyDescent="0.25">
      <c r="A1124" s="1"/>
      <c r="B1124" s="1"/>
    </row>
    <row r="1125" spans="1:12" ht="12.75" customHeight="1" x14ac:dyDescent="0.25">
      <c r="A1125" s="1" t="s">
        <v>7</v>
      </c>
      <c r="B1125" s="1"/>
    </row>
    <row r="1126" spans="1:12" ht="20.25" customHeight="1" x14ac:dyDescent="0.25">
      <c r="A1126" s="1"/>
      <c r="B1126" s="1"/>
    </row>
    <row r="1127" spans="1:12" ht="12" customHeight="1" x14ac:dyDescent="0.25">
      <c r="A1127" s="1" t="s">
        <v>8</v>
      </c>
      <c r="C1127" s="9" t="s">
        <v>1</v>
      </c>
      <c r="D1127" s="67" t="s">
        <v>120</v>
      </c>
      <c r="E1127" s="76"/>
      <c r="F1127" s="76"/>
      <c r="G1127" s="76"/>
      <c r="H1127" s="76"/>
    </row>
    <row r="1128" spans="1:12" ht="15" x14ac:dyDescent="0.25">
      <c r="A1128" s="1" t="s">
        <v>9</v>
      </c>
      <c r="C1128" s="9" t="s">
        <v>1</v>
      </c>
      <c r="D1128" s="68" t="s">
        <v>202</v>
      </c>
      <c r="E1128" s="76"/>
      <c r="F1128" s="76"/>
      <c r="G1128" s="76"/>
      <c r="H1128" s="76"/>
    </row>
    <row r="1129" spans="1:12" ht="15" x14ac:dyDescent="0.2">
      <c r="A1129" s="50" t="s">
        <v>10</v>
      </c>
      <c r="B1129" s="76"/>
      <c r="C1129" s="91" t="s">
        <v>1</v>
      </c>
      <c r="D1129" s="50" t="s">
        <v>81</v>
      </c>
      <c r="E1129" s="76"/>
      <c r="F1129" s="76"/>
      <c r="G1129" s="76"/>
      <c r="H1129" s="76"/>
      <c r="I1129" s="76"/>
      <c r="J1129" s="76"/>
      <c r="K1129" s="76"/>
      <c r="L1129" s="76"/>
    </row>
    <row r="1130" spans="1:12" ht="15" x14ac:dyDescent="0.25">
      <c r="A1130" s="1"/>
      <c r="B1130" s="1"/>
      <c r="D1130" s="1"/>
    </row>
    <row r="1131" spans="1:12" ht="27" customHeight="1" x14ac:dyDescent="0.2">
      <c r="A1131" s="277" t="s">
        <v>311</v>
      </c>
      <c r="B1131" s="277"/>
      <c r="C1131" s="277"/>
      <c r="D1131" s="277"/>
      <c r="E1131" s="277"/>
      <c r="F1131" s="277"/>
      <c r="G1131" s="277"/>
      <c r="H1131" s="277"/>
      <c r="I1131" s="277"/>
      <c r="J1131" s="277"/>
      <c r="K1131" s="277"/>
      <c r="L1131" s="277"/>
    </row>
    <row r="1132" spans="1:12" ht="18" customHeight="1" x14ac:dyDescent="0.25">
      <c r="A1132" s="1"/>
      <c r="B1132" s="1"/>
    </row>
    <row r="1133" spans="1:12" ht="35.25" customHeight="1" thickBot="1" x14ac:dyDescent="0.25">
      <c r="A1133" s="10" t="s">
        <v>0</v>
      </c>
      <c r="B1133" s="278" t="s">
        <v>91</v>
      </c>
      <c r="C1133" s="278"/>
      <c r="D1133" s="278"/>
      <c r="E1133" s="278"/>
      <c r="F1133" s="278"/>
      <c r="G1133" s="278"/>
      <c r="H1133" s="278"/>
      <c r="I1133" s="278"/>
      <c r="J1133" s="278"/>
      <c r="K1133" s="278"/>
      <c r="L1133" s="278"/>
    </row>
    <row r="1134" spans="1:12" ht="15.75" thickTop="1" x14ac:dyDescent="0.25">
      <c r="A1134" s="1"/>
      <c r="B1134" s="11" t="s">
        <v>3</v>
      </c>
      <c r="C1134" s="12" t="s">
        <v>4</v>
      </c>
      <c r="D1134" s="13"/>
      <c r="E1134" s="13"/>
      <c r="F1134" s="13"/>
      <c r="G1134" s="13"/>
      <c r="H1134" s="14"/>
      <c r="I1134" s="15" t="s">
        <v>5</v>
      </c>
      <c r="J1134" s="12" t="s">
        <v>17</v>
      </c>
      <c r="K1134" s="13"/>
      <c r="L1134" s="14"/>
    </row>
    <row r="1135" spans="1:12" ht="15" x14ac:dyDescent="0.2">
      <c r="A1135" s="50"/>
      <c r="B1135" s="143">
        <v>1</v>
      </c>
      <c r="C1135" s="285" t="s">
        <v>303</v>
      </c>
      <c r="D1135" s="285"/>
      <c r="E1135" s="285"/>
      <c r="F1135" s="285"/>
      <c r="G1135" s="76"/>
      <c r="H1135" s="79"/>
      <c r="I1135" s="56">
        <v>250000</v>
      </c>
      <c r="J1135" s="76"/>
      <c r="K1135" s="76"/>
      <c r="L1135" s="79"/>
    </row>
    <row r="1136" spans="1:12" ht="54.75" customHeight="1" x14ac:dyDescent="0.2">
      <c r="B1136" s="16"/>
      <c r="C1136" s="124"/>
      <c r="D1136" s="124"/>
      <c r="E1136" s="127"/>
      <c r="F1136" s="125"/>
      <c r="G1136" s="124"/>
      <c r="H1136" s="124"/>
      <c r="I1136" s="56"/>
      <c r="L1136" s="17"/>
    </row>
    <row r="1137" spans="1:12" ht="15" x14ac:dyDescent="0.25">
      <c r="A1137" s="1"/>
      <c r="B1137" s="39"/>
      <c r="C1137" s="1"/>
      <c r="D1137" s="1"/>
      <c r="E1137" s="1"/>
      <c r="F1137" s="40" t="s">
        <v>5</v>
      </c>
      <c r="G1137" s="40"/>
      <c r="H1137" s="1"/>
      <c r="I1137" s="41">
        <f>SUM(I1135:I1135)</f>
        <v>250000</v>
      </c>
      <c r="J1137" s="1"/>
      <c r="K1137" s="1"/>
      <c r="L1137" s="42"/>
    </row>
    <row r="1138" spans="1:12" ht="15.75" thickBot="1" x14ac:dyDescent="0.3">
      <c r="A1138" s="1"/>
      <c r="B1138" s="43"/>
      <c r="C1138" s="44"/>
      <c r="D1138" s="44"/>
      <c r="E1138" s="44"/>
      <c r="F1138" s="45"/>
      <c r="G1138" s="45"/>
      <c r="H1138" s="44"/>
      <c r="I1138" s="46"/>
      <c r="J1138" s="44"/>
      <c r="K1138" s="44"/>
      <c r="L1138" s="47"/>
    </row>
    <row r="1139" spans="1:12" ht="15.75" thickTop="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 ht="48" customHeight="1" x14ac:dyDescent="0.2">
      <c r="A1140" s="10" t="s">
        <v>2</v>
      </c>
      <c r="B1140" s="279" t="s">
        <v>11</v>
      </c>
      <c r="C1140" s="279"/>
      <c r="D1140" s="279"/>
      <c r="E1140" s="279"/>
      <c r="F1140" s="279"/>
      <c r="G1140" s="279"/>
      <c r="H1140" s="279"/>
      <c r="I1140" s="279"/>
      <c r="J1140" s="279"/>
      <c r="K1140" s="279"/>
      <c r="L1140" s="279"/>
    </row>
    <row r="1141" spans="1:12" ht="19.5" customHeight="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 ht="15" x14ac:dyDescent="0.2">
      <c r="A1142" s="280" t="s">
        <v>12</v>
      </c>
      <c r="B1142" s="280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</row>
    <row r="1143" spans="1:12" ht="21" customHeight="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 ht="15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 ht="20.25" customHeight="1" x14ac:dyDescent="0.25">
      <c r="A1145" s="1"/>
      <c r="B1145" s="1"/>
      <c r="C1145" s="1"/>
      <c r="D1145" s="1"/>
      <c r="E1145" s="1"/>
      <c r="F1145" s="1"/>
      <c r="G1145" s="1"/>
      <c r="H1145" s="4" t="s">
        <v>199</v>
      </c>
      <c r="J1145" s="286" t="s">
        <v>299</v>
      </c>
      <c r="K1145" s="286"/>
      <c r="L1145" s="286"/>
    </row>
    <row r="1146" spans="1:12" ht="14.25" customHeight="1" x14ac:dyDescent="0.25">
      <c r="A1146" s="1"/>
      <c r="B1146" s="1" t="s">
        <v>15</v>
      </c>
      <c r="C1146" s="1"/>
      <c r="D1146" s="1"/>
      <c r="E1146" s="1"/>
      <c r="F1146" s="1"/>
      <c r="G1146" s="1"/>
      <c r="H1146" s="4" t="s">
        <v>13</v>
      </c>
    </row>
    <row r="1147" spans="1:12" ht="15.75" customHeight="1" x14ac:dyDescent="0.25">
      <c r="A1147" s="1"/>
      <c r="B1147" s="1" t="s">
        <v>18</v>
      </c>
      <c r="C1147" s="1"/>
      <c r="D1147" s="1"/>
      <c r="E1147" s="1"/>
      <c r="F1147" s="1"/>
      <c r="G1147" s="1"/>
      <c r="H1147" s="4" t="s">
        <v>14</v>
      </c>
    </row>
    <row r="1148" spans="1:12" ht="15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 ht="15" hidden="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ht="15" x14ac:dyDescent="0.25">
      <c r="A1150" s="1"/>
      <c r="B1150" s="103"/>
      <c r="C1150" s="103"/>
      <c r="D1150" s="103"/>
      <c r="E1150" s="103"/>
      <c r="F1150" s="103"/>
      <c r="G1150" s="103"/>
      <c r="H1150" s="103"/>
      <c r="I1150" s="103"/>
      <c r="J1150" s="103"/>
      <c r="K1150" s="103"/>
      <c r="L1150" s="1"/>
    </row>
    <row r="1151" spans="1:12" ht="15" x14ac:dyDescent="0.25">
      <c r="A1151" s="1"/>
      <c r="K1151" s="103"/>
      <c r="L1151" s="1"/>
    </row>
    <row r="1152" spans="1:12" ht="15" x14ac:dyDescent="0.25">
      <c r="A1152" s="1"/>
      <c r="B1152" s="95" t="s">
        <v>77</v>
      </c>
      <c r="H1152" s="117" t="s">
        <v>120</v>
      </c>
      <c r="I1152" s="95"/>
      <c r="J1152" s="92"/>
      <c r="K1152" s="103"/>
      <c r="L1152" s="1"/>
    </row>
    <row r="1153" spans="1:11" ht="21" customHeight="1" x14ac:dyDescent="0.25">
      <c r="A1153" s="1"/>
      <c r="B1153" s="99" t="s">
        <v>27</v>
      </c>
      <c r="C1153" s="57"/>
      <c r="H1153" s="99" t="s">
        <v>108</v>
      </c>
      <c r="K1153" s="103"/>
    </row>
    <row r="1154" spans="1:11" ht="12.75" x14ac:dyDescent="0.2"/>
    <row r="1155" spans="1:11" ht="15" customHeight="1" x14ac:dyDescent="0.2"/>
    <row r="1156" spans="1:11" ht="6.75" customHeight="1" x14ac:dyDescent="0.2"/>
    <row r="1157" spans="1:11" ht="30" customHeight="1" x14ac:dyDescent="0.2"/>
    <row r="1158" spans="1:11" ht="19.5" customHeight="1" x14ac:dyDescent="0.2"/>
    <row r="1159" spans="1:11" ht="33.75" customHeight="1" x14ac:dyDescent="0.2"/>
    <row r="1160" spans="1:11" ht="27" customHeight="1" x14ac:dyDescent="0.2"/>
    <row r="1161" spans="1:11" ht="28.5" customHeight="1" x14ac:dyDescent="0.2"/>
    <row r="1162" spans="1:11" ht="12.75" x14ac:dyDescent="0.2"/>
    <row r="1163" spans="1:11" ht="36" customHeight="1" x14ac:dyDescent="0.2"/>
    <row r="1164" spans="1:11" ht="31.5" customHeight="1" x14ac:dyDescent="0.2"/>
    <row r="1165" spans="1:11" ht="15.75" customHeight="1" x14ac:dyDescent="0.2"/>
    <row r="1166" spans="1:11" ht="11.25" customHeight="1" x14ac:dyDescent="0.2"/>
    <row r="1167" spans="1:11" ht="10.5" customHeight="1" x14ac:dyDescent="0.2"/>
    <row r="1168" spans="1:11" ht="50.25" customHeight="1" x14ac:dyDescent="0.2"/>
    <row r="1169" spans="1:1" ht="16.5" customHeight="1" x14ac:dyDescent="0.2"/>
    <row r="1170" spans="1:1" ht="24" customHeight="1" x14ac:dyDescent="0.2"/>
    <row r="1171" spans="1:1" ht="15" customHeight="1" x14ac:dyDescent="0.2"/>
    <row r="1172" spans="1:1" ht="15" customHeight="1" x14ac:dyDescent="0.2"/>
    <row r="1173" spans="1:1" ht="12.75" x14ac:dyDescent="0.2"/>
    <row r="1174" spans="1:1" ht="18" customHeight="1" x14ac:dyDescent="0.2"/>
    <row r="1175" spans="1:1" ht="12.75" x14ac:dyDescent="0.2"/>
    <row r="1176" spans="1:1" ht="12.75" customHeight="1" x14ac:dyDescent="0.2"/>
    <row r="1177" spans="1:1" ht="12.75" x14ac:dyDescent="0.2"/>
    <row r="1178" spans="1:1" ht="10.5" customHeight="1" x14ac:dyDescent="0.2"/>
    <row r="1179" spans="1:1" ht="10.5" customHeight="1" x14ac:dyDescent="0.2"/>
    <row r="1180" spans="1:1" ht="15.75" x14ac:dyDescent="0.25">
      <c r="A1180" s="3" t="s">
        <v>22</v>
      </c>
    </row>
    <row r="1181" spans="1:1" ht="15" customHeight="1" x14ac:dyDescent="0.2">
      <c r="A1181" s="122" t="s">
        <v>20</v>
      </c>
    </row>
    <row r="1182" spans="1:1" ht="15.75" x14ac:dyDescent="0.2">
      <c r="A1182" s="122" t="s">
        <v>21</v>
      </c>
    </row>
    <row r="1183" spans="1:1" ht="15" customHeight="1" x14ac:dyDescent="0.2"/>
    <row r="1184" spans="1:1" ht="12.75" x14ac:dyDescent="0.2"/>
    <row r="1185" spans="1:12" ht="18" customHeight="1" x14ac:dyDescent="0.2"/>
    <row r="1186" spans="1:12" ht="18.75" x14ac:dyDescent="0.3">
      <c r="A1186" s="276" t="s">
        <v>6</v>
      </c>
      <c r="B1186" s="276"/>
      <c r="C1186" s="276"/>
      <c r="D1186" s="276"/>
      <c r="E1186" s="276"/>
      <c r="F1186" s="276"/>
      <c r="G1186" s="276"/>
      <c r="H1186" s="276"/>
      <c r="I1186" s="276"/>
      <c r="J1186" s="276"/>
      <c r="K1186" s="276"/>
      <c r="L1186" s="276"/>
    </row>
    <row r="1187" spans="1:12" ht="15.75" customHeight="1" x14ac:dyDescent="0.3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</row>
    <row r="1188" spans="1:12" ht="18.75" x14ac:dyDescent="0.3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</row>
    <row r="1189" spans="1:12" ht="15" x14ac:dyDescent="0.25">
      <c r="A1189" s="1"/>
      <c r="B1189" s="1"/>
    </row>
    <row r="1190" spans="1:12" ht="18.75" customHeight="1" x14ac:dyDescent="0.25">
      <c r="A1190" s="1" t="s">
        <v>7</v>
      </c>
      <c r="B1190" s="1"/>
    </row>
    <row r="1191" spans="1:12" ht="15" x14ac:dyDescent="0.25">
      <c r="A1191" s="1"/>
      <c r="B1191" s="1"/>
    </row>
    <row r="1192" spans="1:12" ht="18.75" customHeight="1" x14ac:dyDescent="0.25">
      <c r="A1192" s="1" t="s">
        <v>8</v>
      </c>
      <c r="C1192" s="9" t="s">
        <v>1</v>
      </c>
      <c r="D1192" s="92" t="s">
        <v>77</v>
      </c>
      <c r="E1192" s="76"/>
      <c r="F1192" s="76"/>
      <c r="G1192" s="76"/>
      <c r="H1192" s="76"/>
    </row>
    <row r="1193" spans="1:12" ht="15" x14ac:dyDescent="0.25">
      <c r="A1193" s="1" t="s">
        <v>9</v>
      </c>
      <c r="C1193" s="9" t="s">
        <v>1</v>
      </c>
      <c r="D1193" s="57" t="s">
        <v>201</v>
      </c>
      <c r="E1193" s="76"/>
      <c r="F1193" s="76"/>
      <c r="G1193" s="76"/>
      <c r="H1193" s="76"/>
    </row>
    <row r="1194" spans="1:12" ht="21.75" customHeight="1" x14ac:dyDescent="0.2">
      <c r="A1194" s="50" t="s">
        <v>10</v>
      </c>
      <c r="B1194" s="76"/>
      <c r="C1194" s="91" t="s">
        <v>1</v>
      </c>
      <c r="D1194" s="50" t="s">
        <v>265</v>
      </c>
      <c r="E1194" s="76"/>
      <c r="F1194" s="76"/>
      <c r="G1194" s="76"/>
      <c r="H1194" s="76"/>
      <c r="I1194" s="76"/>
      <c r="J1194" s="76"/>
      <c r="K1194" s="76"/>
      <c r="L1194" s="76"/>
    </row>
    <row r="1195" spans="1:12" ht="15" x14ac:dyDescent="0.25">
      <c r="A1195" s="1"/>
      <c r="B1195" s="1"/>
      <c r="D1195" s="1"/>
    </row>
    <row r="1196" spans="1:12" ht="29.25" customHeight="1" x14ac:dyDescent="0.2">
      <c r="A1196" s="277" t="s">
        <v>312</v>
      </c>
      <c r="B1196" s="277"/>
      <c r="C1196" s="277"/>
      <c r="D1196" s="277"/>
      <c r="E1196" s="277"/>
      <c r="F1196" s="277"/>
      <c r="G1196" s="277"/>
      <c r="H1196" s="277"/>
      <c r="I1196" s="277"/>
      <c r="J1196" s="277"/>
      <c r="K1196" s="277"/>
      <c r="L1196" s="277"/>
    </row>
    <row r="1197" spans="1:12" ht="18.75" customHeight="1" x14ac:dyDescent="0.25">
      <c r="A1197" s="1"/>
      <c r="B1197" s="1"/>
    </row>
    <row r="1198" spans="1:12" ht="34.5" customHeight="1" thickBot="1" x14ac:dyDescent="0.25">
      <c r="A1198" s="10" t="s">
        <v>0</v>
      </c>
      <c r="B1198" s="278" t="s">
        <v>91</v>
      </c>
      <c r="C1198" s="278"/>
      <c r="D1198" s="278"/>
      <c r="E1198" s="278"/>
      <c r="F1198" s="278"/>
      <c r="G1198" s="278"/>
      <c r="H1198" s="278"/>
      <c r="I1198" s="278"/>
      <c r="J1198" s="278"/>
      <c r="K1198" s="278"/>
      <c r="L1198" s="278"/>
    </row>
    <row r="1199" spans="1:12" ht="15" customHeight="1" thickTop="1" x14ac:dyDescent="0.25">
      <c r="A1199" s="1"/>
      <c r="B1199" s="11" t="s">
        <v>3</v>
      </c>
      <c r="C1199" s="12" t="s">
        <v>4</v>
      </c>
      <c r="D1199" s="13"/>
      <c r="E1199" s="13"/>
      <c r="F1199" s="13"/>
      <c r="G1199" s="13"/>
      <c r="H1199" s="14"/>
      <c r="I1199" s="15" t="s">
        <v>5</v>
      </c>
      <c r="J1199" s="12" t="s">
        <v>17</v>
      </c>
      <c r="K1199" s="13"/>
      <c r="L1199" s="14"/>
    </row>
    <row r="1200" spans="1:12" ht="21.75" customHeight="1" x14ac:dyDescent="0.2">
      <c r="A1200" s="50"/>
      <c r="B1200" s="143">
        <v>1</v>
      </c>
      <c r="C1200" s="285" t="s">
        <v>303</v>
      </c>
      <c r="D1200" s="285"/>
      <c r="E1200" s="285"/>
      <c r="F1200" s="285"/>
      <c r="G1200" s="76"/>
      <c r="H1200" s="79"/>
      <c r="I1200" s="56">
        <v>250000</v>
      </c>
      <c r="J1200" s="76"/>
      <c r="K1200" s="76"/>
      <c r="L1200" s="79"/>
    </row>
    <row r="1201" spans="1:12" ht="36.75" customHeight="1" x14ac:dyDescent="0.2">
      <c r="B1201" s="16"/>
      <c r="C1201" s="124"/>
      <c r="D1201" s="124"/>
      <c r="E1201" s="127"/>
      <c r="F1201" s="125"/>
      <c r="G1201" s="124"/>
      <c r="H1201" s="124"/>
      <c r="I1201" s="56"/>
      <c r="L1201" s="17"/>
    </row>
    <row r="1202" spans="1:12" ht="12.75" customHeight="1" x14ac:dyDescent="0.25">
      <c r="A1202" s="1"/>
      <c r="B1202" s="39"/>
      <c r="C1202" s="1"/>
      <c r="D1202" s="1"/>
      <c r="E1202" s="1"/>
      <c r="F1202" s="40" t="s">
        <v>5</v>
      </c>
      <c r="G1202" s="40"/>
      <c r="H1202" s="1"/>
      <c r="I1202" s="41">
        <f>SUM(I1200:I1200)</f>
        <v>250000</v>
      </c>
      <c r="J1202" s="1"/>
      <c r="K1202" s="1"/>
      <c r="L1202" s="42"/>
    </row>
    <row r="1203" spans="1:12" ht="18.75" customHeight="1" thickBot="1" x14ac:dyDescent="0.3">
      <c r="A1203" s="1"/>
      <c r="B1203" s="43"/>
      <c r="C1203" s="44"/>
      <c r="D1203" s="44"/>
      <c r="E1203" s="44"/>
      <c r="F1203" s="45"/>
      <c r="G1203" s="45"/>
      <c r="H1203" s="44"/>
      <c r="I1203" s="46"/>
      <c r="J1203" s="44"/>
      <c r="K1203" s="44"/>
      <c r="L1203" s="47"/>
    </row>
    <row r="1204" spans="1:12" ht="15.75" thickTop="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 ht="45" customHeight="1" x14ac:dyDescent="0.2">
      <c r="A1205" s="10" t="s">
        <v>2</v>
      </c>
      <c r="B1205" s="279" t="s">
        <v>11</v>
      </c>
      <c r="C1205" s="279"/>
      <c r="D1205" s="279"/>
      <c r="E1205" s="279"/>
      <c r="F1205" s="279"/>
      <c r="G1205" s="279"/>
      <c r="H1205" s="279"/>
      <c r="I1205" s="279"/>
      <c r="J1205" s="279"/>
      <c r="K1205" s="279"/>
      <c r="L1205" s="279"/>
    </row>
    <row r="1206" spans="1:12" ht="9.75" customHeight="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 ht="22.5" customHeight="1" x14ac:dyDescent="0.2">
      <c r="A1207" s="280" t="s">
        <v>12</v>
      </c>
      <c r="B1207" s="280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</row>
    <row r="1208" spans="1:12" ht="19.5" customHeight="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 ht="3.75" customHeight="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 ht="19.5" customHeight="1" x14ac:dyDescent="0.25">
      <c r="A1210" s="1"/>
      <c r="B1210" s="1"/>
      <c r="C1210" s="1"/>
      <c r="D1210" s="1"/>
      <c r="E1210" s="1"/>
      <c r="F1210" s="1"/>
      <c r="G1210" s="1"/>
      <c r="H1210" s="4" t="s">
        <v>199</v>
      </c>
      <c r="J1210" s="286" t="s">
        <v>299</v>
      </c>
      <c r="K1210" s="286"/>
      <c r="L1210" s="286"/>
    </row>
    <row r="1211" spans="1:12" ht="15" customHeight="1" x14ac:dyDescent="0.25">
      <c r="A1211" s="1"/>
      <c r="B1211" s="1" t="s">
        <v>15</v>
      </c>
      <c r="C1211" s="1"/>
      <c r="D1211" s="1"/>
      <c r="E1211" s="1"/>
      <c r="F1211" s="1"/>
      <c r="G1211" s="1"/>
      <c r="H1211" s="4" t="s">
        <v>13</v>
      </c>
    </row>
    <row r="1212" spans="1:12" ht="13.5" customHeight="1" x14ac:dyDescent="0.25">
      <c r="A1212" s="1"/>
      <c r="B1212" s="1" t="s">
        <v>18</v>
      </c>
      <c r="C1212" s="1"/>
      <c r="D1212" s="1"/>
      <c r="E1212" s="1"/>
      <c r="F1212" s="1"/>
      <c r="G1212" s="1"/>
      <c r="H1212" s="4" t="s">
        <v>14</v>
      </c>
    </row>
    <row r="1213" spans="1:12" ht="19.5" customHeight="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 ht="7.5" customHeight="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 ht="15" x14ac:dyDescent="0.25">
      <c r="A1215" s="1"/>
      <c r="B1215" s="103"/>
      <c r="C1215" s="103"/>
      <c r="D1215" s="103"/>
      <c r="E1215" s="103"/>
      <c r="F1215" s="103"/>
      <c r="G1215" s="103"/>
      <c r="H1215" s="103"/>
      <c r="I1215" s="103"/>
      <c r="J1215" s="103"/>
      <c r="K1215" s="103"/>
      <c r="L1215" s="1"/>
    </row>
    <row r="1216" spans="1:12" ht="15" customHeight="1" x14ac:dyDescent="0.25">
      <c r="A1216" s="1"/>
      <c r="K1216" s="103"/>
      <c r="L1216" s="1"/>
    </row>
    <row r="1217" spans="1:12" ht="21" customHeight="1" x14ac:dyDescent="0.25">
      <c r="A1217" s="1"/>
      <c r="B1217" s="95" t="s">
        <v>77</v>
      </c>
      <c r="H1217" s="95" t="s">
        <v>77</v>
      </c>
      <c r="I1217" s="95"/>
      <c r="J1217" s="92"/>
      <c r="K1217" s="103"/>
      <c r="L1217" s="1"/>
    </row>
    <row r="1218" spans="1:12" ht="20.25" customHeight="1" x14ac:dyDescent="0.25">
      <c r="A1218" s="1"/>
      <c r="B1218" s="99" t="s">
        <v>27</v>
      </c>
      <c r="C1218" s="57"/>
      <c r="H1218" s="99" t="s">
        <v>27</v>
      </c>
      <c r="K1218" s="103"/>
    </row>
    <row r="1219" spans="1:12" ht="19.5" hidden="1" customHeight="1" x14ac:dyDescent="0.2"/>
    <row r="1220" spans="1:12" ht="16.5" customHeight="1" x14ac:dyDescent="0.2"/>
    <row r="1221" spans="1:12" ht="12.75" x14ac:dyDescent="0.2"/>
    <row r="1222" spans="1:12" ht="12.75" x14ac:dyDescent="0.2"/>
    <row r="1223" spans="1:12" ht="15.75" x14ac:dyDescent="0.25">
      <c r="A1223" s="3" t="s">
        <v>22</v>
      </c>
    </row>
    <row r="1224" spans="1:12" ht="15.75" x14ac:dyDescent="0.2">
      <c r="A1224" s="122" t="s">
        <v>20</v>
      </c>
    </row>
    <row r="1225" spans="1:12" ht="15.75" x14ac:dyDescent="0.2">
      <c r="A1225" s="122" t="s">
        <v>21</v>
      </c>
    </row>
    <row r="1226" spans="1:12" ht="12.75" x14ac:dyDescent="0.2"/>
    <row r="1227" spans="1:12" ht="12.75" x14ac:dyDescent="0.2"/>
    <row r="1228" spans="1:12" ht="12.75" x14ac:dyDescent="0.2"/>
    <row r="1229" spans="1:12" ht="24" customHeight="1" x14ac:dyDescent="0.3">
      <c r="A1229" s="276" t="s">
        <v>6</v>
      </c>
      <c r="B1229" s="276"/>
      <c r="C1229" s="276"/>
      <c r="D1229" s="276"/>
      <c r="E1229" s="276"/>
      <c r="F1229" s="276"/>
      <c r="G1229" s="276"/>
      <c r="H1229" s="276"/>
      <c r="I1229" s="276"/>
      <c r="J1229" s="276"/>
      <c r="K1229" s="276"/>
      <c r="L1229" s="276"/>
    </row>
    <row r="1230" spans="1:12" ht="18.75" x14ac:dyDescent="0.3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</row>
    <row r="1231" spans="1:12" ht="21" customHeight="1" x14ac:dyDescent="0.3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</row>
    <row r="1232" spans="1:12" ht="21" customHeight="1" x14ac:dyDescent="0.25">
      <c r="A1232" s="1"/>
      <c r="B1232" s="1"/>
    </row>
    <row r="1233" spans="1:12" ht="15" x14ac:dyDescent="0.25">
      <c r="A1233" s="1" t="s">
        <v>7</v>
      </c>
      <c r="B1233" s="1"/>
    </row>
    <row r="1234" spans="1:12" ht="15" x14ac:dyDescent="0.25">
      <c r="A1234" s="1"/>
      <c r="B1234" s="1"/>
    </row>
    <row r="1235" spans="1:12" ht="15" x14ac:dyDescent="0.25">
      <c r="A1235" s="1" t="s">
        <v>8</v>
      </c>
      <c r="C1235" s="9" t="s">
        <v>1</v>
      </c>
      <c r="D1235" s="92" t="s">
        <v>96</v>
      </c>
      <c r="E1235" s="76"/>
      <c r="F1235" s="76"/>
      <c r="G1235" s="76"/>
      <c r="H1235" s="76"/>
    </row>
    <row r="1236" spans="1:12" ht="17.25" customHeight="1" x14ac:dyDescent="0.25">
      <c r="A1236" s="1" t="s">
        <v>9</v>
      </c>
      <c r="C1236" s="9" t="s">
        <v>1</v>
      </c>
      <c r="D1236" s="57" t="s">
        <v>200</v>
      </c>
      <c r="E1236" s="76"/>
      <c r="F1236" s="76"/>
      <c r="G1236" s="76"/>
      <c r="H1236" s="76"/>
    </row>
    <row r="1237" spans="1:12" ht="15" x14ac:dyDescent="0.2">
      <c r="A1237" s="50" t="s">
        <v>10</v>
      </c>
      <c r="B1237" s="76"/>
      <c r="C1237" s="91" t="s">
        <v>1</v>
      </c>
      <c r="D1237" s="50" t="s">
        <v>203</v>
      </c>
      <c r="E1237" s="76"/>
      <c r="F1237" s="76"/>
      <c r="G1237" s="76"/>
      <c r="H1237" s="76"/>
      <c r="I1237" s="76"/>
      <c r="J1237" s="76"/>
      <c r="K1237" s="76"/>
      <c r="L1237" s="76"/>
    </row>
    <row r="1238" spans="1:12" ht="16.5" customHeight="1" x14ac:dyDescent="0.25">
      <c r="A1238" s="1"/>
      <c r="B1238" s="1"/>
      <c r="D1238" s="1"/>
    </row>
    <row r="1239" spans="1:12" ht="25.5" customHeight="1" x14ac:dyDescent="0.2">
      <c r="A1239" s="277" t="s">
        <v>312</v>
      </c>
      <c r="B1239" s="277"/>
      <c r="C1239" s="277"/>
      <c r="D1239" s="277"/>
      <c r="E1239" s="277"/>
      <c r="F1239" s="277"/>
      <c r="G1239" s="277"/>
      <c r="H1239" s="277"/>
      <c r="I1239" s="277"/>
      <c r="J1239" s="277"/>
      <c r="K1239" s="277"/>
      <c r="L1239" s="277"/>
    </row>
    <row r="1240" spans="1:12" ht="15" x14ac:dyDescent="0.25">
      <c r="A1240" s="1"/>
      <c r="B1240" s="1"/>
    </row>
    <row r="1241" spans="1:12" ht="36.75" customHeight="1" thickBot="1" x14ac:dyDescent="0.25">
      <c r="A1241" s="10" t="s">
        <v>0</v>
      </c>
      <c r="B1241" s="278" t="s">
        <v>91</v>
      </c>
      <c r="C1241" s="278"/>
      <c r="D1241" s="278"/>
      <c r="E1241" s="278"/>
      <c r="F1241" s="278"/>
      <c r="G1241" s="278"/>
      <c r="H1241" s="278"/>
      <c r="I1241" s="278"/>
      <c r="J1241" s="278"/>
      <c r="K1241" s="278"/>
      <c r="L1241" s="278"/>
    </row>
    <row r="1242" spans="1:12" ht="15.75" thickTop="1" x14ac:dyDescent="0.25">
      <c r="A1242" s="1"/>
      <c r="B1242" s="11" t="s">
        <v>3</v>
      </c>
      <c r="C1242" s="12" t="s">
        <v>4</v>
      </c>
      <c r="D1242" s="13"/>
      <c r="E1242" s="13"/>
      <c r="F1242" s="13"/>
      <c r="G1242" s="13"/>
      <c r="H1242" s="14"/>
      <c r="I1242" s="15" t="s">
        <v>5</v>
      </c>
      <c r="J1242" s="12" t="s">
        <v>17</v>
      </c>
      <c r="K1242" s="13"/>
      <c r="L1242" s="14"/>
    </row>
    <row r="1243" spans="1:12" ht="41.25" customHeight="1" x14ac:dyDescent="0.2">
      <c r="A1243" s="50"/>
      <c r="B1243" s="100">
        <v>1</v>
      </c>
      <c r="C1243" s="284" t="s">
        <v>303</v>
      </c>
      <c r="D1243" s="285"/>
      <c r="E1243" s="285"/>
      <c r="F1243" s="285"/>
      <c r="G1243" s="76"/>
      <c r="H1243" s="79"/>
      <c r="I1243" s="56">
        <v>250000</v>
      </c>
      <c r="J1243" s="76"/>
      <c r="K1243" s="76"/>
      <c r="L1243" s="79"/>
    </row>
    <row r="1244" spans="1:12" ht="21" customHeight="1" x14ac:dyDescent="0.2">
      <c r="B1244" s="96"/>
      <c r="C1244" s="124"/>
      <c r="D1244" s="124"/>
      <c r="E1244" s="127"/>
      <c r="F1244" s="125"/>
      <c r="G1244" s="124"/>
      <c r="H1244" s="124"/>
      <c r="I1244" s="23"/>
      <c r="L1244" s="17"/>
    </row>
    <row r="1245" spans="1:12" ht="22.5" customHeight="1" x14ac:dyDescent="0.25">
      <c r="A1245" s="1"/>
      <c r="B1245" s="39"/>
      <c r="C1245" s="1"/>
      <c r="D1245" s="1"/>
      <c r="E1245" s="1"/>
      <c r="F1245" s="40" t="s">
        <v>5</v>
      </c>
      <c r="G1245" s="40"/>
      <c r="H1245" s="1"/>
      <c r="I1245" s="41">
        <f>SUM(I1243:I1243)</f>
        <v>250000</v>
      </c>
      <c r="J1245" s="1"/>
      <c r="K1245" s="1"/>
      <c r="L1245" s="42"/>
    </row>
    <row r="1246" spans="1:12" ht="10.5" customHeight="1" thickBot="1" x14ac:dyDescent="0.3">
      <c r="A1246" s="1"/>
      <c r="B1246" s="43"/>
      <c r="C1246" s="44"/>
      <c r="D1246" s="44"/>
      <c r="E1246" s="44"/>
      <c r="F1246" s="45"/>
      <c r="G1246" s="45"/>
      <c r="H1246" s="44"/>
      <c r="I1246" s="46"/>
      <c r="J1246" s="44"/>
      <c r="K1246" s="44"/>
      <c r="L1246" s="47"/>
    </row>
    <row r="1247" spans="1:12" ht="16.5" customHeight="1" thickTop="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 ht="46.5" customHeight="1" x14ac:dyDescent="0.2">
      <c r="A1248" s="10" t="s">
        <v>2</v>
      </c>
      <c r="B1248" s="279" t="s">
        <v>11</v>
      </c>
      <c r="C1248" s="279"/>
      <c r="D1248" s="279"/>
      <c r="E1248" s="279"/>
      <c r="F1248" s="279"/>
      <c r="G1248" s="279"/>
      <c r="H1248" s="279"/>
      <c r="I1248" s="279"/>
      <c r="J1248" s="279"/>
      <c r="K1248" s="279"/>
      <c r="L1248" s="279"/>
    </row>
    <row r="1249" spans="1:12" ht="13.5" customHeight="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 ht="24.75" customHeight="1" x14ac:dyDescent="0.2">
      <c r="A1250" s="280" t="s">
        <v>12</v>
      </c>
      <c r="B1250" s="280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</row>
    <row r="1251" spans="1:12" ht="21" customHeight="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 ht="27" customHeight="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 ht="15" x14ac:dyDescent="0.25">
      <c r="A1253" s="1"/>
      <c r="B1253" s="1"/>
      <c r="C1253" s="1"/>
      <c r="D1253" s="1"/>
      <c r="E1253" s="1"/>
      <c r="F1253" s="1"/>
      <c r="G1253" s="1"/>
      <c r="H1253" s="4" t="s">
        <v>199</v>
      </c>
      <c r="J1253" s="286" t="s">
        <v>299</v>
      </c>
      <c r="K1253" s="286"/>
      <c r="L1253" s="286"/>
    </row>
    <row r="1254" spans="1:12" s="99" customFormat="1" ht="19.5" customHeight="1" x14ac:dyDescent="0.2">
      <c r="A1254" s="48"/>
      <c r="B1254" s="48" t="s">
        <v>15</v>
      </c>
      <c r="C1254" s="48"/>
      <c r="D1254" s="48"/>
      <c r="E1254" s="48"/>
      <c r="F1254" s="48"/>
      <c r="G1254" s="48"/>
      <c r="H1254" s="99" t="s">
        <v>13</v>
      </c>
    </row>
    <row r="1255" spans="1:12" s="99" customFormat="1" ht="15" x14ac:dyDescent="0.2">
      <c r="A1255" s="48"/>
      <c r="B1255" s="48" t="s">
        <v>18</v>
      </c>
      <c r="C1255" s="48"/>
      <c r="D1255" s="48"/>
      <c r="E1255" s="48"/>
      <c r="F1255" s="48"/>
      <c r="G1255" s="48"/>
      <c r="H1255" s="99" t="s">
        <v>14</v>
      </c>
    </row>
    <row r="1256" spans="1:12" ht="19.5" customHeight="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 ht="12.75" customHeight="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 ht="17.25" customHeight="1" x14ac:dyDescent="0.25">
      <c r="A1258" s="1"/>
      <c r="B1258" s="103"/>
      <c r="C1258" s="103"/>
      <c r="D1258" s="103"/>
      <c r="E1258" s="103"/>
      <c r="F1258" s="103"/>
      <c r="G1258" s="103"/>
      <c r="H1258" s="103"/>
      <c r="I1258" s="103"/>
      <c r="J1258" s="103"/>
      <c r="K1258" s="103"/>
      <c r="L1258" s="1"/>
    </row>
    <row r="1259" spans="1:12" ht="15" customHeight="1" x14ac:dyDescent="0.25">
      <c r="A1259" s="1"/>
      <c r="K1259" s="103"/>
      <c r="L1259" s="1"/>
    </row>
    <row r="1260" spans="1:12" ht="21" customHeight="1" x14ac:dyDescent="0.25">
      <c r="A1260" s="1"/>
      <c r="B1260" s="95" t="s">
        <v>77</v>
      </c>
      <c r="H1260" s="95" t="s">
        <v>96</v>
      </c>
      <c r="I1260" s="95"/>
      <c r="J1260" s="92"/>
      <c r="K1260" s="103"/>
      <c r="L1260" s="1"/>
    </row>
    <row r="1261" spans="1:12" ht="19.5" customHeight="1" x14ac:dyDescent="0.25">
      <c r="A1261" s="1"/>
      <c r="B1261" s="99" t="s">
        <v>27</v>
      </c>
      <c r="C1261" s="57"/>
      <c r="H1261" s="99" t="s">
        <v>100</v>
      </c>
      <c r="K1261" s="103"/>
    </row>
    <row r="1262" spans="1:12" ht="21" customHeight="1" x14ac:dyDescent="0.2"/>
    <row r="1263" spans="1:12" ht="14.25" customHeight="1" x14ac:dyDescent="0.2"/>
    <row r="1264" spans="1:12" ht="12.75" x14ac:dyDescent="0.2"/>
    <row r="1265" ht="16.5" customHeight="1" x14ac:dyDescent="0.2"/>
    <row r="1266" ht="12.75" x14ac:dyDescent="0.2"/>
    <row r="1267" ht="12.75" customHeight="1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6.5" customHeight="1" x14ac:dyDescent="0.2"/>
    <row r="1275" ht="12.75" x14ac:dyDescent="0.2"/>
    <row r="1276" ht="20.25" customHeight="1" x14ac:dyDescent="0.2"/>
    <row r="1277" ht="12.75" x14ac:dyDescent="0.2"/>
    <row r="1278" ht="24.75" customHeight="1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8" customHeight="1" x14ac:dyDescent="0.2"/>
    <row r="1287" ht="17.25" customHeight="1" x14ac:dyDescent="0.2"/>
    <row r="1288" ht="18" customHeight="1" x14ac:dyDescent="0.2"/>
    <row r="1289" ht="13.5" customHeight="1" x14ac:dyDescent="0.2"/>
    <row r="1290" ht="18" customHeight="1" x14ac:dyDescent="0.2"/>
    <row r="1291" ht="17.25" customHeight="1" x14ac:dyDescent="0.2"/>
    <row r="1292" ht="41.25" customHeight="1" x14ac:dyDescent="0.2"/>
    <row r="1293" ht="15.75" customHeight="1" x14ac:dyDescent="0.2"/>
    <row r="1294" ht="35.25" customHeight="1" x14ac:dyDescent="0.2"/>
    <row r="1295" ht="18.75" customHeight="1" x14ac:dyDescent="0.2"/>
    <row r="1296" ht="35.25" customHeight="1" x14ac:dyDescent="0.2"/>
    <row r="1297" ht="24.75" customHeight="1" x14ac:dyDescent="0.2"/>
    <row r="1298" ht="28.5" customHeight="1" x14ac:dyDescent="0.2"/>
    <row r="1299" ht="21.75" customHeight="1" x14ac:dyDescent="0.2"/>
    <row r="1300" ht="18.75" customHeight="1" x14ac:dyDescent="0.2"/>
    <row r="1301" ht="17.25" customHeight="1" x14ac:dyDescent="0.2"/>
    <row r="1302" ht="21" customHeight="1" x14ac:dyDescent="0.2"/>
    <row r="1303" ht="45" customHeight="1" x14ac:dyDescent="0.2"/>
    <row r="1304" ht="17.25" customHeight="1" x14ac:dyDescent="0.2"/>
    <row r="1305" ht="23.25" customHeight="1" x14ac:dyDescent="0.2"/>
    <row r="1306" ht="18" customHeight="1" x14ac:dyDescent="0.2"/>
    <row r="1307" ht="11.25" customHeight="1" x14ac:dyDescent="0.2"/>
    <row r="1308" ht="18" customHeight="1" x14ac:dyDescent="0.2"/>
    <row r="1309" ht="12.75" customHeight="1" x14ac:dyDescent="0.2"/>
    <row r="1310" ht="13.5" customHeight="1" x14ac:dyDescent="0.2"/>
    <row r="1311" ht="19.5" customHeight="1" x14ac:dyDescent="0.2"/>
    <row r="1312" ht="22.5" customHeight="1" x14ac:dyDescent="0.2"/>
    <row r="1313" ht="12.75" x14ac:dyDescent="0.2"/>
    <row r="1314" ht="16.5" customHeight="1" x14ac:dyDescent="0.2"/>
    <row r="1315" ht="16.5" customHeight="1" x14ac:dyDescent="0.2"/>
    <row r="1316" ht="12.75" x14ac:dyDescent="0.2"/>
    <row r="1317" ht="27.75" customHeight="1" x14ac:dyDescent="0.2"/>
    <row r="1318" ht="12.75" x14ac:dyDescent="0.2"/>
    <row r="1319" ht="18.75" customHeight="1" x14ac:dyDescent="0.2"/>
    <row r="1320" ht="12.75" x14ac:dyDescent="0.2"/>
    <row r="1321" ht="18" customHeight="1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45.75" hidden="1" customHeight="1" x14ac:dyDescent="0.2"/>
    <row r="1330" ht="32.25" customHeight="1" x14ac:dyDescent="0.2"/>
    <row r="1331" ht="15" customHeight="1" x14ac:dyDescent="0.2"/>
    <row r="1332" ht="12.75" x14ac:dyDescent="0.2"/>
    <row r="1333" ht="12.75" x14ac:dyDescent="0.2"/>
    <row r="1334" ht="12.75" x14ac:dyDescent="0.2"/>
    <row r="1335" ht="41.25" customHeight="1" x14ac:dyDescent="0.2"/>
    <row r="1336" ht="15" customHeight="1" x14ac:dyDescent="0.2"/>
    <row r="1337" ht="39" customHeight="1" x14ac:dyDescent="0.2"/>
    <row r="1338" ht="19.5" customHeight="1" x14ac:dyDescent="0.2"/>
    <row r="1339" ht="23.25" customHeight="1" x14ac:dyDescent="0.2"/>
    <row r="1340" ht="30.75" customHeight="1" x14ac:dyDescent="0.2"/>
    <row r="1341" ht="27.75" customHeight="1" x14ac:dyDescent="0.2"/>
    <row r="1342" ht="12.75" x14ac:dyDescent="0.2"/>
    <row r="1343" ht="15.75" customHeight="1" x14ac:dyDescent="0.2"/>
    <row r="1344" ht="6" customHeight="1" x14ac:dyDescent="0.2"/>
    <row r="1345" ht="12.75" x14ac:dyDescent="0.2"/>
    <row r="1346" ht="48.75" customHeight="1" x14ac:dyDescent="0.2"/>
    <row r="1347" ht="20.25" customHeight="1" x14ac:dyDescent="0.2"/>
    <row r="1348" ht="21.75" customHeight="1" x14ac:dyDescent="0.2"/>
    <row r="1349" ht="18" customHeight="1" x14ac:dyDescent="0.2"/>
    <row r="1350" ht="12.75" x14ac:dyDescent="0.2"/>
    <row r="1351" ht="20.25" customHeight="1" x14ac:dyDescent="0.2"/>
    <row r="1352" ht="18" customHeight="1" x14ac:dyDescent="0.2"/>
    <row r="1353" ht="15" customHeight="1" x14ac:dyDescent="0.2"/>
    <row r="1354" ht="17.25" customHeight="1" x14ac:dyDescent="0.2"/>
    <row r="1355" ht="16.5" hidden="1" customHeight="1" x14ac:dyDescent="0.2"/>
    <row r="1356" ht="21" hidden="1" customHeight="1" x14ac:dyDescent="0.2"/>
    <row r="1357" ht="42" customHeight="1" x14ac:dyDescent="0.2"/>
    <row r="1358" ht="17.25" customHeight="1" x14ac:dyDescent="0.2"/>
    <row r="1359" ht="39.75" customHeight="1" x14ac:dyDescent="0.2"/>
    <row r="1360" ht="25.5" customHeight="1" x14ac:dyDescent="0.2"/>
    <row r="1361" ht="11.25" customHeight="1" x14ac:dyDescent="0.2"/>
    <row r="1362" ht="18.75" customHeight="1" x14ac:dyDescent="0.2"/>
    <row r="1363" ht="21.75" customHeight="1" x14ac:dyDescent="0.2"/>
    <row r="1364" ht="19.5" customHeight="1" x14ac:dyDescent="0.2"/>
    <row r="1365" ht="18" customHeight="1" x14ac:dyDescent="0.2"/>
    <row r="1366" ht="18" customHeight="1" x14ac:dyDescent="0.2"/>
    <row r="1367" ht="12.75" x14ac:dyDescent="0.2"/>
    <row r="1368" ht="24" customHeight="1" x14ac:dyDescent="0.2"/>
    <row r="1369" ht="12.75" x14ac:dyDescent="0.2"/>
    <row r="1370" ht="12.75" customHeight="1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21.75" customHeight="1" x14ac:dyDescent="0.2"/>
    <row r="1379" ht="29.25" customHeight="1" x14ac:dyDescent="0.2"/>
    <row r="1380" ht="15" customHeight="1" x14ac:dyDescent="0.2"/>
    <row r="1381" ht="33.75" customHeight="1" x14ac:dyDescent="0.2"/>
    <row r="1382" ht="43.5" customHeight="1" x14ac:dyDescent="0.2"/>
    <row r="1383" ht="12.75" x14ac:dyDescent="0.2"/>
    <row r="1384" ht="41.25" customHeight="1" x14ac:dyDescent="0.2"/>
    <row r="1385" ht="12.75" x14ac:dyDescent="0.2"/>
    <row r="1386" ht="22.5" customHeight="1" x14ac:dyDescent="0.2"/>
    <row r="1387" ht="18.75" customHeight="1" x14ac:dyDescent="0.2"/>
    <row r="1388" ht="16.5" customHeight="1" x14ac:dyDescent="0.2"/>
    <row r="1389" ht="12.75" x14ac:dyDescent="0.2"/>
    <row r="1390" ht="47.25" customHeight="1" x14ac:dyDescent="0.2"/>
    <row r="1391" ht="12" customHeight="1" x14ac:dyDescent="0.2"/>
    <row r="1392" ht="22.5" customHeight="1" x14ac:dyDescent="0.2"/>
    <row r="1393" ht="12.75" x14ac:dyDescent="0.2"/>
    <row r="1394" ht="24.75" customHeight="1" x14ac:dyDescent="0.2"/>
    <row r="1395" ht="12.75" x14ac:dyDescent="0.2"/>
    <row r="1396" ht="12.75" x14ac:dyDescent="0.2"/>
    <row r="1397" ht="12.75" x14ac:dyDescent="0.2"/>
    <row r="1398" ht="12.75" x14ac:dyDescent="0.2"/>
    <row r="1399" ht="17.25" customHeight="1" x14ac:dyDescent="0.2"/>
    <row r="1400" ht="29.25" hidden="1" customHeight="1" x14ac:dyDescent="0.2"/>
    <row r="1401" ht="14.25" customHeight="1" x14ac:dyDescent="0.2"/>
    <row r="1402" ht="36.75" customHeight="1" x14ac:dyDescent="0.2"/>
    <row r="1403" ht="14.25" customHeight="1" x14ac:dyDescent="0.2"/>
    <row r="1404" ht="39" customHeight="1" x14ac:dyDescent="0.2"/>
    <row r="1405" ht="25.5" customHeight="1" x14ac:dyDescent="0.2"/>
    <row r="1406" ht="18.75" customHeight="1" x14ac:dyDescent="0.2"/>
    <row r="1407" ht="12.75" x14ac:dyDescent="0.2"/>
    <row r="1408" ht="19.5" customHeight="1" x14ac:dyDescent="0.2"/>
    <row r="1409" ht="13.5" customHeight="1" x14ac:dyDescent="0.2"/>
    <row r="1410" ht="21" customHeight="1" x14ac:dyDescent="0.2"/>
    <row r="1411" ht="48" customHeight="1" x14ac:dyDescent="0.2"/>
    <row r="1412" ht="12.75" x14ac:dyDescent="0.2"/>
    <row r="1413" ht="21.75" customHeight="1" x14ac:dyDescent="0.2"/>
    <row r="1414" ht="12.75" x14ac:dyDescent="0.2"/>
    <row r="1415" ht="12.75" customHeight="1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21" customHeight="1" x14ac:dyDescent="0.2"/>
    <row r="1423" ht="30" customHeight="1" x14ac:dyDescent="0.2"/>
    <row r="1424" ht="29.25" customHeight="1" x14ac:dyDescent="0.2"/>
    <row r="1425" ht="21" customHeight="1" x14ac:dyDescent="0.2"/>
    <row r="1426" ht="33" customHeight="1" x14ac:dyDescent="0.2"/>
    <row r="1427" ht="21.75" customHeight="1" x14ac:dyDescent="0.2"/>
    <row r="1428" ht="29.25" customHeight="1" x14ac:dyDescent="0.2"/>
    <row r="1429" ht="24" customHeight="1" x14ac:dyDescent="0.2"/>
    <row r="1430" ht="12.75" x14ac:dyDescent="0.2"/>
    <row r="1431" ht="33.75" customHeight="1" x14ac:dyDescent="0.2"/>
    <row r="1432" ht="18" customHeight="1" x14ac:dyDescent="0.2"/>
    <row r="1433" ht="5.25" customHeight="1" x14ac:dyDescent="0.2"/>
    <row r="1434" ht="23.25" customHeight="1" x14ac:dyDescent="0.2"/>
    <row r="1435" ht="45" customHeight="1" x14ac:dyDescent="0.2"/>
    <row r="1436" ht="12.75" x14ac:dyDescent="0.2"/>
    <row r="1437" ht="18" customHeight="1" x14ac:dyDescent="0.2"/>
    <row r="1438" ht="21" customHeight="1" x14ac:dyDescent="0.2"/>
    <row r="1439" ht="14.25" customHeight="1" x14ac:dyDescent="0.2"/>
    <row r="1440" ht="16.5" customHeight="1" x14ac:dyDescent="0.2"/>
    <row r="1441" ht="12.75" x14ac:dyDescent="0.2"/>
    <row r="1442" ht="12.75" x14ac:dyDescent="0.2"/>
    <row r="1443" ht="12.75" x14ac:dyDescent="0.2"/>
    <row r="1444" ht="12.75" customHeight="1" x14ac:dyDescent="0.2"/>
    <row r="1445" ht="12.75" x14ac:dyDescent="0.2"/>
    <row r="1446" ht="12.75" x14ac:dyDescent="0.2"/>
    <row r="1447" ht="12.75" x14ac:dyDescent="0.2"/>
    <row r="1448" ht="25.5" customHeight="1" x14ac:dyDescent="0.2"/>
    <row r="1449" ht="18" customHeight="1" x14ac:dyDescent="0.2"/>
    <row r="1450" ht="15" customHeight="1" x14ac:dyDescent="0.2"/>
    <row r="1451" ht="13.5" customHeight="1" x14ac:dyDescent="0.2"/>
    <row r="1452" ht="12.75" customHeight="1" x14ac:dyDescent="0.2"/>
    <row r="1453" ht="12.75" x14ac:dyDescent="0.2"/>
    <row r="1454" ht="12.75" x14ac:dyDescent="0.2"/>
    <row r="1455" ht="18" customHeight="1" x14ac:dyDescent="0.2"/>
    <row r="1456" ht="12.75" x14ac:dyDescent="0.2"/>
    <row r="1457" ht="23.25" customHeight="1" x14ac:dyDescent="0.2"/>
    <row r="1458" ht="21.75" customHeight="1" x14ac:dyDescent="0.2"/>
    <row r="1459" ht="11.25" customHeight="1" x14ac:dyDescent="0.2"/>
    <row r="1460" ht="12.75" x14ac:dyDescent="0.2"/>
    <row r="1461" ht="19.5" customHeight="1" x14ac:dyDescent="0.2"/>
    <row r="1462" ht="12.75" x14ac:dyDescent="0.2"/>
    <row r="1463" ht="12.75" x14ac:dyDescent="0.2"/>
    <row r="1464" ht="12.75" x14ac:dyDescent="0.2"/>
    <row r="1465" ht="12.75" x14ac:dyDescent="0.2"/>
    <row r="1466" ht="14.25" customHeight="1" x14ac:dyDescent="0.2"/>
    <row r="1467" ht="12.75" x14ac:dyDescent="0.2"/>
    <row r="1468" ht="15" customHeight="1" x14ac:dyDescent="0.2"/>
    <row r="1469" ht="12.75" x14ac:dyDescent="0.2"/>
    <row r="1470" ht="12.75" x14ac:dyDescent="0.2"/>
    <row r="1471" ht="33" customHeight="1" x14ac:dyDescent="0.2"/>
    <row r="1472" ht="12.75" x14ac:dyDescent="0.2"/>
    <row r="1473" ht="34.5" customHeight="1" x14ac:dyDescent="0.2"/>
    <row r="1474" ht="12.75" x14ac:dyDescent="0.2"/>
    <row r="1475" ht="36" customHeight="1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customHeight="1" x14ac:dyDescent="0.2"/>
    <row r="1482" ht="50.25" customHeight="1" x14ac:dyDescent="0.2"/>
    <row r="1483" ht="21" customHeight="1" x14ac:dyDescent="0.2"/>
    <row r="1484" ht="18" customHeight="1" x14ac:dyDescent="0.2"/>
    <row r="1485" ht="14.25" customHeight="1" x14ac:dyDescent="0.2"/>
    <row r="1486" ht="17.25" customHeight="1" x14ac:dyDescent="0.2"/>
    <row r="1487" ht="17.25" customHeight="1" x14ac:dyDescent="0.2"/>
    <row r="1488" ht="12.75" customHeight="1" x14ac:dyDescent="0.2"/>
    <row r="1489" ht="18.75" customHeight="1" x14ac:dyDescent="0.2"/>
    <row r="1490" ht="12.75" x14ac:dyDescent="0.2"/>
    <row r="1491" ht="13.5" customHeight="1" x14ac:dyDescent="0.2"/>
    <row r="1492" ht="7.5" customHeight="1" x14ac:dyDescent="0.2"/>
    <row r="1493" ht="35.25" customHeight="1" x14ac:dyDescent="0.2"/>
    <row r="1494" ht="12.75" x14ac:dyDescent="0.2"/>
    <row r="1495" ht="19.5" customHeight="1" x14ac:dyDescent="0.2"/>
    <row r="1496" ht="12.75" x14ac:dyDescent="0.2"/>
    <row r="1497" ht="18.75" customHeight="1" x14ac:dyDescent="0.2"/>
    <row r="1498" ht="21" customHeight="1" x14ac:dyDescent="0.2"/>
    <row r="1499" ht="23.25" customHeight="1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5" customHeight="1" x14ac:dyDescent="0.2"/>
    <row r="1507" ht="15.75" customHeight="1" x14ac:dyDescent="0.2"/>
    <row r="1508" ht="12.75" x14ac:dyDescent="0.2"/>
    <row r="1509" ht="6" customHeight="1" x14ac:dyDescent="0.2"/>
    <row r="1510" ht="12.75" x14ac:dyDescent="0.2"/>
    <row r="1511" ht="14.25" customHeight="1" x14ac:dyDescent="0.2"/>
    <row r="1512" ht="12.75" x14ac:dyDescent="0.2"/>
    <row r="1513" ht="18" customHeight="1" x14ac:dyDescent="0.2"/>
    <row r="1514" ht="14.25" customHeight="1" x14ac:dyDescent="0.2"/>
    <row r="1515" ht="18.75" customHeight="1" x14ac:dyDescent="0.2"/>
    <row r="1516" ht="33.75" customHeight="1" x14ac:dyDescent="0.2"/>
    <row r="1517" ht="18.75" customHeight="1" x14ac:dyDescent="0.2"/>
    <row r="1518" ht="35.25" customHeight="1" x14ac:dyDescent="0.2"/>
    <row r="1519" ht="32.25" customHeight="1" x14ac:dyDescent="0.2"/>
    <row r="1520" ht="23.25" customHeight="1" x14ac:dyDescent="0.2"/>
    <row r="1521" ht="12.75" x14ac:dyDescent="0.2"/>
    <row r="1522" ht="30.75" customHeight="1" x14ac:dyDescent="0.2"/>
    <row r="1523" ht="12.75" x14ac:dyDescent="0.2"/>
    <row r="1524" ht="15" customHeight="1" x14ac:dyDescent="0.2"/>
    <row r="1525" ht="12.75" x14ac:dyDescent="0.2"/>
    <row r="1526" ht="12.75" x14ac:dyDescent="0.2"/>
    <row r="1527" ht="45.75" customHeight="1" x14ac:dyDescent="0.2"/>
    <row r="1528" ht="12.75" x14ac:dyDescent="0.2"/>
    <row r="1529" ht="19.5" customHeight="1" x14ac:dyDescent="0.2"/>
    <row r="1530" ht="12.75" x14ac:dyDescent="0.2"/>
    <row r="1531" ht="15.75" customHeight="1" x14ac:dyDescent="0.2"/>
    <row r="1532" ht="12.75" x14ac:dyDescent="0.2"/>
    <row r="1533" ht="12" customHeight="1" x14ac:dyDescent="0.2"/>
    <row r="1534" ht="12.75" x14ac:dyDescent="0.2"/>
    <row r="1535" ht="19.5" customHeight="1" x14ac:dyDescent="0.2"/>
    <row r="1536" ht="31.5" hidden="1" customHeight="1" x14ac:dyDescent="0.2"/>
    <row r="1537" ht="31.5" customHeight="1" x14ac:dyDescent="0.2"/>
    <row r="1538" ht="21" customHeight="1" x14ac:dyDescent="0.2"/>
    <row r="1539" ht="20.25" customHeight="1" x14ac:dyDescent="0.2"/>
    <row r="1540" ht="12.75" x14ac:dyDescent="0.2"/>
    <row r="1541" ht="12.75" x14ac:dyDescent="0.2"/>
    <row r="1542" ht="19.5" customHeight="1" x14ac:dyDescent="0.2"/>
    <row r="1543" ht="21.75" customHeight="1" x14ac:dyDescent="0.2"/>
    <row r="1544" ht="18.75" customHeight="1" x14ac:dyDescent="0.2"/>
    <row r="1545" ht="21.75" customHeight="1" x14ac:dyDescent="0.2"/>
    <row r="1546" ht="18" customHeight="1" x14ac:dyDescent="0.2"/>
    <row r="1547" ht="19.5" customHeight="1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4.25" customHeight="1" x14ac:dyDescent="0.2"/>
    <row r="1554" ht="19.5" customHeight="1" x14ac:dyDescent="0.2"/>
    <row r="1555" ht="14.25" customHeight="1" x14ac:dyDescent="0.2"/>
    <row r="1556" ht="15" customHeight="1" x14ac:dyDescent="0.2"/>
    <row r="1557" ht="17.25" customHeight="1" x14ac:dyDescent="0.2"/>
    <row r="1558" ht="21.75" customHeight="1" x14ac:dyDescent="0.2"/>
    <row r="1559" ht="12.75" x14ac:dyDescent="0.2"/>
    <row r="1560" ht="35.25" customHeight="1" x14ac:dyDescent="0.2"/>
    <row r="1561" ht="14.25" customHeight="1" x14ac:dyDescent="0.2"/>
    <row r="1562" ht="36.75" customHeight="1" x14ac:dyDescent="0.2"/>
    <row r="1563" ht="12.75" x14ac:dyDescent="0.2"/>
    <row r="1564" ht="41.25" customHeight="1" x14ac:dyDescent="0.2"/>
    <row r="1565" ht="12.75" x14ac:dyDescent="0.2"/>
    <row r="1566" ht="12.75" customHeight="1" x14ac:dyDescent="0.2"/>
    <row r="1567" ht="12.75" x14ac:dyDescent="0.2"/>
    <row r="1568" ht="12.75" x14ac:dyDescent="0.2"/>
    <row r="1569" ht="12.75" x14ac:dyDescent="0.2"/>
    <row r="1570" ht="12.75" x14ac:dyDescent="0.2"/>
    <row r="1571" ht="35.25" customHeight="1" x14ac:dyDescent="0.2"/>
    <row r="1572" ht="33" customHeight="1" x14ac:dyDescent="0.2"/>
    <row r="1573" ht="31.5" customHeight="1" x14ac:dyDescent="0.2"/>
    <row r="1574" ht="24" customHeight="1" x14ac:dyDescent="0.2"/>
    <row r="1575" ht="12.75" x14ac:dyDescent="0.2"/>
    <row r="1576" ht="12.75" x14ac:dyDescent="0.2"/>
    <row r="1577" ht="12.75" x14ac:dyDescent="0.2"/>
    <row r="1578" ht="18.75" customHeight="1" x14ac:dyDescent="0.2"/>
    <row r="1579" ht="12.75" x14ac:dyDescent="0.2"/>
    <row r="1580" ht="40.5" customHeight="1" x14ac:dyDescent="0.2"/>
    <row r="1581" ht="12.75" x14ac:dyDescent="0.2"/>
    <row r="1582" ht="13.5" customHeight="1" x14ac:dyDescent="0.2"/>
    <row r="1583" ht="22.5" customHeight="1" x14ac:dyDescent="0.2"/>
    <row r="1584" ht="23.25" customHeight="1" x14ac:dyDescent="0.2"/>
    <row r="1585" spans="1:12" s="76" customFormat="1" ht="16.5" customHeight="1" x14ac:dyDescent="0.2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</row>
    <row r="1586" spans="1:12" ht="15" customHeight="1" x14ac:dyDescent="0.2"/>
    <row r="1587" spans="1:12" ht="12.75" x14ac:dyDescent="0.2"/>
    <row r="1588" spans="1:12" ht="12.75" x14ac:dyDescent="0.2"/>
    <row r="1589" spans="1:12" ht="12.75" x14ac:dyDescent="0.2"/>
    <row r="1590" spans="1:12" ht="15" customHeight="1" x14ac:dyDescent="0.2"/>
    <row r="1591" spans="1:12" ht="15.75" customHeight="1" x14ac:dyDescent="0.2"/>
    <row r="1592" spans="1:12" ht="14.25" customHeight="1" x14ac:dyDescent="0.2"/>
    <row r="1593" spans="1:12" ht="21.75" customHeight="1" x14ac:dyDescent="0.2"/>
    <row r="1594" spans="1:12" ht="18" customHeight="1" x14ac:dyDescent="0.2"/>
    <row r="1595" spans="1:12" ht="19.5" customHeight="1" x14ac:dyDescent="0.2"/>
    <row r="1596" spans="1:12" ht="17.25" customHeight="1" x14ac:dyDescent="0.2"/>
    <row r="1597" spans="1:12" ht="12.75" x14ac:dyDescent="0.2"/>
    <row r="1598" spans="1:12" ht="12.75" x14ac:dyDescent="0.2"/>
    <row r="1599" spans="1:12" ht="12.75" x14ac:dyDescent="0.2"/>
    <row r="1600" spans="1:12" ht="13.5" customHeight="1" x14ac:dyDescent="0.2"/>
    <row r="1601" ht="12.75" x14ac:dyDescent="0.2"/>
    <row r="1602" ht="21" customHeight="1" x14ac:dyDescent="0.2"/>
    <row r="1603" ht="34.5" customHeight="1" x14ac:dyDescent="0.2"/>
    <row r="1604" ht="10.5" customHeight="1" x14ac:dyDescent="0.2"/>
    <row r="1605" ht="32.25" customHeight="1" x14ac:dyDescent="0.2"/>
    <row r="1606" ht="30" customHeight="1" x14ac:dyDescent="0.2"/>
    <row r="1607" ht="12.75" x14ac:dyDescent="0.2"/>
    <row r="1608" ht="25.5" customHeight="1" x14ac:dyDescent="0.2"/>
    <row r="1609" ht="12.75" x14ac:dyDescent="0.2"/>
    <row r="1610" ht="12.75" x14ac:dyDescent="0.2"/>
    <row r="1611" ht="15.75" customHeight="1" x14ac:dyDescent="0.2"/>
    <row r="1612" ht="12.75" x14ac:dyDescent="0.2"/>
    <row r="1613" ht="12.75" customHeight="1" x14ac:dyDescent="0.2"/>
    <row r="1614" ht="47.25" customHeight="1" x14ac:dyDescent="0.2"/>
    <row r="1615" ht="12.75" x14ac:dyDescent="0.2"/>
    <row r="1616" ht="15" customHeight="1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20.25" customHeight="1" x14ac:dyDescent="0.2"/>
    <row r="1626" ht="12.75" x14ac:dyDescent="0.2"/>
    <row r="1627" ht="26.25" customHeight="1" x14ac:dyDescent="0.2"/>
    <row r="1628" ht="21" customHeight="1" x14ac:dyDescent="0.2"/>
    <row r="1629" ht="38.25" customHeight="1" x14ac:dyDescent="0.2"/>
    <row r="1630" ht="25.5" customHeight="1" x14ac:dyDescent="0.2"/>
    <row r="1631" ht="15.75" customHeight="1" x14ac:dyDescent="0.2"/>
    <row r="1632" ht="21.75" customHeight="1" x14ac:dyDescent="0.2"/>
    <row r="1633" ht="12.75" x14ac:dyDescent="0.2"/>
    <row r="1634" ht="12.75" x14ac:dyDescent="0.2"/>
    <row r="1635" ht="12.75" x14ac:dyDescent="0.2"/>
    <row r="1636" ht="12.75" x14ac:dyDescent="0.2"/>
    <row r="1637" ht="24.75" customHeight="1" x14ac:dyDescent="0.2"/>
    <row r="1638" ht="12.75" x14ac:dyDescent="0.2"/>
    <row r="1639" ht="15" customHeight="1" x14ac:dyDescent="0.2"/>
    <row r="1640" ht="46.5" customHeight="1" x14ac:dyDescent="0.2"/>
    <row r="1641" ht="18.75" customHeight="1" x14ac:dyDescent="0.2"/>
    <row r="1642" ht="24" customHeight="1" x14ac:dyDescent="0.2"/>
    <row r="1643" ht="11.25" customHeight="1" x14ac:dyDescent="0.2"/>
    <row r="1644" ht="16.5" customHeight="1" x14ac:dyDescent="0.2"/>
    <row r="1645" ht="12.75" customHeight="1" x14ac:dyDescent="0.2"/>
    <row r="1646" ht="13.5" customHeight="1" x14ac:dyDescent="0.2"/>
    <row r="1647" ht="12.75" x14ac:dyDescent="0.2"/>
    <row r="1648" ht="19.5" customHeight="1" x14ac:dyDescent="0.2"/>
    <row r="1649" ht="12.75" x14ac:dyDescent="0.2"/>
    <row r="1650" ht="39" customHeight="1" x14ac:dyDescent="0.2"/>
    <row r="1651" ht="20.25" customHeight="1" x14ac:dyDescent="0.2"/>
    <row r="1652" ht="45" customHeight="1" x14ac:dyDescent="0.2"/>
    <row r="1653" ht="12.75" x14ac:dyDescent="0.2"/>
    <row r="1654" ht="21" customHeight="1" x14ac:dyDescent="0.2"/>
    <row r="1655" ht="12.75" x14ac:dyDescent="0.2"/>
    <row r="1656" ht="12.75" x14ac:dyDescent="0.2"/>
    <row r="1657" ht="42" customHeight="1" x14ac:dyDescent="0.2"/>
    <row r="1658" ht="12.75" x14ac:dyDescent="0.2"/>
    <row r="1659" ht="12.75" customHeight="1" x14ac:dyDescent="0.2"/>
    <row r="1660" ht="12.75" x14ac:dyDescent="0.2"/>
    <row r="1661" ht="50.25" customHeight="1" x14ac:dyDescent="0.2"/>
    <row r="1662" ht="12.75" customHeight="1" x14ac:dyDescent="0.2"/>
    <row r="1663" ht="15" customHeight="1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5.75" customHeight="1" x14ac:dyDescent="0.2"/>
    <row r="1675" ht="20.25" customHeight="1" x14ac:dyDescent="0.2"/>
    <row r="1676" ht="19.5" customHeight="1" x14ac:dyDescent="0.2"/>
    <row r="1677" ht="18.75" customHeight="1" x14ac:dyDescent="0.2"/>
    <row r="1678" ht="33.75" customHeight="1" x14ac:dyDescent="0.2"/>
    <row r="1679" ht="14.25" customHeight="1" x14ac:dyDescent="0.2"/>
    <row r="1680" ht="39.75" customHeight="1" x14ac:dyDescent="0.2"/>
    <row r="1681" ht="12.75" x14ac:dyDescent="0.2"/>
    <row r="1682" ht="18.75" customHeight="1" x14ac:dyDescent="0.2"/>
    <row r="1683" ht="12.75" x14ac:dyDescent="0.2"/>
    <row r="1684" ht="17.25" customHeight="1" x14ac:dyDescent="0.2"/>
    <row r="1685" ht="12.75" x14ac:dyDescent="0.2"/>
    <row r="1686" ht="22.5" customHeight="1" x14ac:dyDescent="0.2"/>
    <row r="1687" ht="12.75" customHeight="1" x14ac:dyDescent="0.2"/>
    <row r="1688" ht="28.5" customHeight="1" x14ac:dyDescent="0.2"/>
    <row r="1689" ht="10.5" customHeight="1" x14ac:dyDescent="0.2"/>
    <row r="1690" ht="25.5" customHeight="1" x14ac:dyDescent="0.2"/>
    <row r="1691" ht="20.25" customHeight="1" x14ac:dyDescent="0.2"/>
    <row r="1692" ht="19.5" customHeight="1" x14ac:dyDescent="0.2"/>
    <row r="1693" ht="20.25" customHeight="1" x14ac:dyDescent="0.2"/>
    <row r="1694" ht="14.25" customHeight="1" x14ac:dyDescent="0.2"/>
    <row r="1695" ht="12.75" x14ac:dyDescent="0.2"/>
    <row r="1696" ht="53.25" customHeight="1" x14ac:dyDescent="0.2"/>
    <row r="1697" ht="12.75" x14ac:dyDescent="0.2"/>
    <row r="1698" ht="36.75" customHeight="1" x14ac:dyDescent="0.2"/>
    <row r="1699" ht="12.75" x14ac:dyDescent="0.2"/>
    <row r="1700" ht="35.25" customHeight="1" x14ac:dyDescent="0.2"/>
    <row r="1701" ht="31.5" customHeight="1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54" customHeight="1" x14ac:dyDescent="0.2"/>
    <row r="1708" ht="12.75" x14ac:dyDescent="0.2"/>
    <row r="1709" ht="27.75" customHeight="1" x14ac:dyDescent="0.2"/>
    <row r="1710" ht="19.5" customHeight="1" x14ac:dyDescent="0.2"/>
    <row r="1711" ht="19.5" customHeight="1" x14ac:dyDescent="0.2"/>
    <row r="1712" ht="12.75" x14ac:dyDescent="0.2"/>
    <row r="1713" ht="12.75" x14ac:dyDescent="0.2"/>
    <row r="1714" ht="12.75" x14ac:dyDescent="0.2"/>
    <row r="1715" ht="12" customHeight="1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4.25" customHeight="1" x14ac:dyDescent="0.2"/>
    <row r="1724" ht="12.75" x14ac:dyDescent="0.2"/>
    <row r="1725" ht="21" customHeight="1" x14ac:dyDescent="0.2"/>
    <row r="1726" ht="22.5" customHeight="1" x14ac:dyDescent="0.2"/>
    <row r="1727" ht="20.25" customHeight="1" x14ac:dyDescent="0.2"/>
    <row r="1728" ht="18" customHeight="1" x14ac:dyDescent="0.2"/>
    <row r="1729" ht="33" customHeight="1" x14ac:dyDescent="0.2"/>
    <row r="1730" ht="12.75" x14ac:dyDescent="0.2"/>
    <row r="1731" ht="12.75" x14ac:dyDescent="0.2"/>
    <row r="1732" ht="12.75" x14ac:dyDescent="0.2"/>
    <row r="1733" ht="18.75" customHeight="1" x14ac:dyDescent="0.2"/>
    <row r="1734" ht="34.5" hidden="1" customHeight="1" x14ac:dyDescent="0.2"/>
    <row r="1735" ht="20.25" customHeight="1" x14ac:dyDescent="0.2"/>
    <row r="1736" ht="24" customHeight="1" x14ac:dyDescent="0.2"/>
    <row r="1737" ht="10.5" customHeight="1" x14ac:dyDescent="0.2"/>
    <row r="1738" ht="12.75" x14ac:dyDescent="0.2"/>
    <row r="1739" ht="12.75" customHeight="1" x14ac:dyDescent="0.2"/>
    <row r="1740" ht="12.75" x14ac:dyDescent="0.2"/>
    <row r="1741" ht="15" customHeight="1" x14ac:dyDescent="0.2"/>
    <row r="1742" ht="48.75" customHeight="1" x14ac:dyDescent="0.2"/>
    <row r="1743" ht="12.75" x14ac:dyDescent="0.2"/>
    <row r="1744" ht="39" customHeight="1" x14ac:dyDescent="0.2"/>
    <row r="1745" ht="25.5" customHeight="1" x14ac:dyDescent="0.2"/>
    <row r="1746" ht="35.25" customHeight="1" x14ac:dyDescent="0.2"/>
    <row r="1747" ht="26.25" customHeight="1" x14ac:dyDescent="0.2"/>
    <row r="1748" ht="12.75" customHeight="1" x14ac:dyDescent="0.2"/>
    <row r="1749" ht="12.75" x14ac:dyDescent="0.2"/>
    <row r="1750" ht="15" customHeight="1" x14ac:dyDescent="0.2"/>
    <row r="1751" ht="12.75" x14ac:dyDescent="0.2"/>
    <row r="1752" ht="15" customHeight="1" x14ac:dyDescent="0.2"/>
    <row r="1753" ht="52.5" customHeight="1" x14ac:dyDescent="0.2"/>
    <row r="1754" ht="12.75" x14ac:dyDescent="0.2"/>
    <row r="1755" ht="15" customHeight="1" x14ac:dyDescent="0.2"/>
    <row r="1756" ht="12.75" x14ac:dyDescent="0.2"/>
    <row r="1757" ht="15" customHeight="1" x14ac:dyDescent="0.2"/>
    <row r="1758" ht="12.75" x14ac:dyDescent="0.2"/>
    <row r="1759" ht="12.75" x14ac:dyDescent="0.2"/>
    <row r="1760" ht="16.5" customHeight="1" x14ac:dyDescent="0.2"/>
    <row r="1761" ht="15" customHeight="1" x14ac:dyDescent="0.2"/>
    <row r="1762" ht="12.75" x14ac:dyDescent="0.2"/>
    <row r="1763" ht="20.25" customHeight="1" x14ac:dyDescent="0.2"/>
    <row r="1764" ht="12.75" x14ac:dyDescent="0.2"/>
    <row r="1765" ht="15" customHeight="1" x14ac:dyDescent="0.2"/>
    <row r="1766" ht="12.75" x14ac:dyDescent="0.2"/>
    <row r="1767" ht="12.75" x14ac:dyDescent="0.2"/>
    <row r="1768" ht="13.5" customHeight="1" x14ac:dyDescent="0.2"/>
    <row r="1769" ht="12.75" x14ac:dyDescent="0.2"/>
    <row r="1770" ht="12.75" customHeight="1" x14ac:dyDescent="0.2"/>
    <row r="1771" ht="12.75" customHeight="1" x14ac:dyDescent="0.2"/>
    <row r="1772" ht="21.75" customHeight="1" x14ac:dyDescent="0.2"/>
    <row r="1773" ht="30" customHeight="1" x14ac:dyDescent="0.2"/>
    <row r="1774" ht="12.75" x14ac:dyDescent="0.2"/>
    <row r="1775" ht="21" customHeight="1" x14ac:dyDescent="0.2"/>
    <row r="1776" ht="12.75" x14ac:dyDescent="0.2"/>
    <row r="1777" ht="12.75" x14ac:dyDescent="0.2"/>
    <row r="1778" ht="12.75" x14ac:dyDescent="0.2"/>
    <row r="1779" ht="40.5" customHeight="1" x14ac:dyDescent="0.2"/>
    <row r="1780" ht="26.25" customHeight="1" x14ac:dyDescent="0.2"/>
    <row r="1781" ht="1.5" customHeight="1" x14ac:dyDescent="0.2"/>
    <row r="1782" ht="26.25" customHeight="1" x14ac:dyDescent="0.2"/>
    <row r="1783" ht="21.75" customHeight="1" x14ac:dyDescent="0.2"/>
    <row r="1784" ht="13.5" customHeight="1" x14ac:dyDescent="0.2"/>
    <row r="1785" ht="12.75" x14ac:dyDescent="0.2"/>
    <row r="1786" ht="12.75" x14ac:dyDescent="0.2"/>
    <row r="1787" ht="12.75" x14ac:dyDescent="0.2"/>
    <row r="1788" ht="12.75" x14ac:dyDescent="0.2"/>
    <row r="1789" ht="40.5" customHeight="1" x14ac:dyDescent="0.2"/>
    <row r="1790" ht="12.75" x14ac:dyDescent="0.2"/>
    <row r="1791" ht="45.75" customHeight="1" x14ac:dyDescent="0.2"/>
    <row r="1792" ht="12.75" x14ac:dyDescent="0.2"/>
    <row r="1793" ht="26.25" customHeight="1" x14ac:dyDescent="0.2"/>
    <row r="1794" ht="20.25" customHeight="1" x14ac:dyDescent="0.2"/>
    <row r="1795" ht="12.75" x14ac:dyDescent="0.2"/>
    <row r="1796" ht="12.75" x14ac:dyDescent="0.2"/>
    <row r="1797" ht="12.75" x14ac:dyDescent="0.2"/>
    <row r="1798" ht="12.75" x14ac:dyDescent="0.2"/>
    <row r="1799" ht="16.5" customHeight="1" x14ac:dyDescent="0.2"/>
    <row r="1800" ht="49.5" customHeight="1" x14ac:dyDescent="0.2"/>
    <row r="1801" ht="12.75" x14ac:dyDescent="0.2"/>
    <row r="1802" ht="21.75" customHeight="1" x14ac:dyDescent="0.2"/>
    <row r="1803" ht="12.75" x14ac:dyDescent="0.2"/>
    <row r="1804" ht="12.75" x14ac:dyDescent="0.2"/>
    <row r="1805" ht="12.75" x14ac:dyDescent="0.2"/>
    <row r="1806" ht="12.75" customHeight="1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6.5" customHeight="1" x14ac:dyDescent="0.2"/>
    <row r="1814" ht="15.75" customHeight="1" x14ac:dyDescent="0.2"/>
    <row r="1815" ht="15" customHeight="1" x14ac:dyDescent="0.2"/>
    <row r="1816" ht="23.25" customHeight="1" x14ac:dyDescent="0.2"/>
    <row r="1817" ht="12.75" x14ac:dyDescent="0.2"/>
    <row r="1818" ht="21" customHeight="1" x14ac:dyDescent="0.2"/>
    <row r="1819" ht="21" customHeight="1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4.25" customHeight="1" x14ac:dyDescent="0.2"/>
    <row r="1826" ht="21.75" customHeight="1" x14ac:dyDescent="0.2"/>
    <row r="1827" ht="15.75" customHeight="1" x14ac:dyDescent="0.2"/>
    <row r="1828" ht="16.5" customHeight="1" x14ac:dyDescent="0.2"/>
    <row r="1829" ht="15.75" customHeight="1" x14ac:dyDescent="0.2"/>
    <row r="1830" ht="13.5" customHeight="1" x14ac:dyDescent="0.2"/>
    <row r="1831" ht="22.5" customHeight="1" x14ac:dyDescent="0.2"/>
    <row r="1832" ht="31.5" customHeight="1" x14ac:dyDescent="0.2"/>
    <row r="1833" ht="12.75" x14ac:dyDescent="0.2"/>
    <row r="1834" ht="39" customHeight="1" x14ac:dyDescent="0.2"/>
    <row r="1835" ht="12.75" x14ac:dyDescent="0.2"/>
    <row r="1836" ht="27.75" customHeight="1" x14ac:dyDescent="0.2"/>
    <row r="1837" ht="26.25" customHeight="1" x14ac:dyDescent="0.2"/>
    <row r="1838" ht="20.25" customHeight="1" x14ac:dyDescent="0.2"/>
    <row r="1839" ht="12.75" x14ac:dyDescent="0.2"/>
    <row r="1840" ht="12.75" x14ac:dyDescent="0.2"/>
    <row r="1841" ht="12.75" customHeight="1" x14ac:dyDescent="0.2"/>
    <row r="1842" ht="18" customHeight="1" x14ac:dyDescent="0.2"/>
    <row r="1843" ht="46.5" customHeight="1" x14ac:dyDescent="0.2"/>
    <row r="1844" ht="12.75" x14ac:dyDescent="0.2"/>
    <row r="1845" ht="15" customHeight="1" x14ac:dyDescent="0.2"/>
    <row r="1846" ht="12.75" x14ac:dyDescent="0.2"/>
    <row r="1847" ht="12.75" x14ac:dyDescent="0.2"/>
    <row r="1848" ht="16.5" customHeight="1" x14ac:dyDescent="0.2"/>
    <row r="1849" ht="12.75" x14ac:dyDescent="0.2"/>
    <row r="1850" ht="14.25" customHeight="1" x14ac:dyDescent="0.2"/>
    <row r="1851" ht="12.75" x14ac:dyDescent="0.2"/>
    <row r="1852" ht="12.75" x14ac:dyDescent="0.2"/>
    <row r="1853" ht="12.75" x14ac:dyDescent="0.2"/>
    <row r="1854" ht="12" customHeight="1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53.25" customHeight="1" x14ac:dyDescent="0.2"/>
    <row r="1862" ht="9.75" customHeight="1" x14ac:dyDescent="0.2"/>
    <row r="1863" ht="15" customHeight="1" x14ac:dyDescent="0.2"/>
    <row r="1864" ht="23.25" customHeight="1" x14ac:dyDescent="0.2"/>
    <row r="1865" ht="23.25" customHeight="1" x14ac:dyDescent="0.2"/>
    <row r="1866" ht="22.5" customHeight="1" x14ac:dyDescent="0.2"/>
    <row r="1867" ht="13.5" customHeight="1" x14ac:dyDescent="0.2"/>
    <row r="1868" ht="12.75" x14ac:dyDescent="0.2"/>
    <row r="1869" ht="12.75" x14ac:dyDescent="0.2"/>
    <row r="1870" ht="12.75" x14ac:dyDescent="0.2"/>
    <row r="1871" ht="12.75" x14ac:dyDescent="0.2"/>
    <row r="1872" ht="15" customHeight="1" x14ac:dyDescent="0.2"/>
    <row r="1873" ht="21" customHeight="1" x14ac:dyDescent="0.2"/>
    <row r="1874" ht="15.75" customHeight="1" x14ac:dyDescent="0.2"/>
    <row r="1875" ht="15.75" customHeight="1" x14ac:dyDescent="0.2"/>
    <row r="1876" ht="17.25" customHeight="1" x14ac:dyDescent="0.2"/>
    <row r="1877" ht="20.25" customHeight="1" x14ac:dyDescent="0.2"/>
    <row r="1878" ht="30.75" customHeight="1" x14ac:dyDescent="0.2"/>
    <row r="1879" ht="12.75" x14ac:dyDescent="0.2"/>
    <row r="1880" ht="35.25" customHeight="1" x14ac:dyDescent="0.2"/>
    <row r="1881" ht="12.75" x14ac:dyDescent="0.2"/>
    <row r="1882" ht="12.75" x14ac:dyDescent="0.2"/>
    <row r="1883" ht="12.75" x14ac:dyDescent="0.2"/>
    <row r="1884" ht="12.75" x14ac:dyDescent="0.2"/>
    <row r="1885" ht="7.5" customHeight="1" x14ac:dyDescent="0.2"/>
    <row r="1886" ht="12.75" x14ac:dyDescent="0.2"/>
    <row r="1887" ht="12.75" x14ac:dyDescent="0.2"/>
    <row r="1888" ht="12.75" x14ac:dyDescent="0.2"/>
    <row r="1889" ht="12.75" x14ac:dyDescent="0.2"/>
    <row r="1890" ht="47.25" customHeight="1" x14ac:dyDescent="0.2"/>
    <row r="1891" ht="12.75" x14ac:dyDescent="0.2"/>
    <row r="1892" ht="37.5" customHeight="1" x14ac:dyDescent="0.2"/>
    <row r="1893" ht="12.75" x14ac:dyDescent="0.2"/>
    <row r="1894" ht="28.5" customHeight="1" x14ac:dyDescent="0.2"/>
    <row r="1895" ht="12.75" x14ac:dyDescent="0.2"/>
    <row r="1896" ht="27" customHeight="1" x14ac:dyDescent="0.2"/>
    <row r="1897" ht="12.75" x14ac:dyDescent="0.2"/>
    <row r="1898" ht="41.25" customHeight="1" x14ac:dyDescent="0.2"/>
    <row r="1899" ht="12.75" x14ac:dyDescent="0.2"/>
    <row r="1900" ht="12.75" x14ac:dyDescent="0.2"/>
    <row r="1901" ht="12.75" x14ac:dyDescent="0.2"/>
    <row r="1902" ht="12.75" x14ac:dyDescent="0.2"/>
    <row r="1903" ht="47.25" customHeight="1" x14ac:dyDescent="0.2"/>
    <row r="1904" ht="12.75" x14ac:dyDescent="0.2"/>
    <row r="1905" ht="24" customHeight="1" x14ac:dyDescent="0.2"/>
    <row r="1906" ht="12.75" x14ac:dyDescent="0.2"/>
    <row r="1907" ht="17.25" customHeight="1" x14ac:dyDescent="0.2"/>
    <row r="1908" ht="17.25" customHeight="1" x14ac:dyDescent="0.2"/>
    <row r="1909" ht="13.5" customHeight="1" x14ac:dyDescent="0.2"/>
    <row r="1910" ht="12.75" x14ac:dyDescent="0.2"/>
    <row r="1911" ht="38.25" customHeight="1" x14ac:dyDescent="0.2"/>
    <row r="1912" ht="12.75" hidden="1" x14ac:dyDescent="0.2"/>
    <row r="1913" ht="21.75" hidden="1" customHeight="1" x14ac:dyDescent="0.2"/>
    <row r="1914" ht="12.75" x14ac:dyDescent="0.2"/>
    <row r="1915" ht="24.75" customHeight="1" x14ac:dyDescent="0.2"/>
    <row r="1916" ht="20.25" customHeight="1" x14ac:dyDescent="0.2"/>
    <row r="1917" ht="12.75" x14ac:dyDescent="0.2"/>
    <row r="1918" ht="9" customHeight="1" x14ac:dyDescent="0.2"/>
    <row r="1919" ht="14.25" customHeight="1" x14ac:dyDescent="0.2"/>
    <row r="1920" ht="15" customHeight="1" x14ac:dyDescent="0.2"/>
    <row r="1921" ht="18.75" customHeight="1" x14ac:dyDescent="0.2"/>
    <row r="1922" ht="12.75" x14ac:dyDescent="0.2"/>
    <row r="1923" ht="36.75" customHeight="1" x14ac:dyDescent="0.2"/>
    <row r="1924" ht="19.5" customHeight="1" x14ac:dyDescent="0.2"/>
    <row r="1925" ht="19.5" customHeight="1" x14ac:dyDescent="0.2"/>
    <row r="1926" ht="18" customHeight="1" x14ac:dyDescent="0.2"/>
    <row r="1927" ht="22.5" customHeight="1" x14ac:dyDescent="0.2"/>
    <row r="1928" ht="12.75" customHeight="1" x14ac:dyDescent="0.2"/>
    <row r="1929" ht="12.75" x14ac:dyDescent="0.2"/>
    <row r="1930" ht="30.75" customHeight="1" x14ac:dyDescent="0.2"/>
    <row r="1931" ht="12.75" x14ac:dyDescent="0.2"/>
    <row r="1932" ht="12.75" x14ac:dyDescent="0.2"/>
    <row r="1933" ht="12.75" x14ac:dyDescent="0.2"/>
    <row r="1934" ht="12.75" x14ac:dyDescent="0.2"/>
    <row r="1935" ht="24" customHeight="1" x14ac:dyDescent="0.2"/>
    <row r="1936" ht="12.75" x14ac:dyDescent="0.2"/>
    <row r="1937" ht="12.75" x14ac:dyDescent="0.2"/>
    <row r="1938" ht="12.75" x14ac:dyDescent="0.2"/>
    <row r="1939" ht="33.75" customHeight="1" x14ac:dyDescent="0.2"/>
    <row r="1940" ht="12.75" x14ac:dyDescent="0.2"/>
    <row r="1941" ht="34.5" customHeight="1" x14ac:dyDescent="0.2"/>
    <row r="1942" ht="12.75" x14ac:dyDescent="0.2"/>
    <row r="1943" ht="32.25" customHeight="1" x14ac:dyDescent="0.2"/>
    <row r="1944" ht="30.75" customHeight="1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54" customHeight="1" x14ac:dyDescent="0.2"/>
    <row r="1951" ht="12.75" x14ac:dyDescent="0.2"/>
    <row r="1952" ht="15" customHeight="1" x14ac:dyDescent="0.2"/>
    <row r="1953" ht="12.75" x14ac:dyDescent="0.2"/>
    <row r="1954" ht="9.75" customHeight="1" x14ac:dyDescent="0.2"/>
    <row r="1955" ht="12.75" x14ac:dyDescent="0.2"/>
    <row r="1956" ht="15" customHeight="1" x14ac:dyDescent="0.2"/>
    <row r="1957" ht="12.75" x14ac:dyDescent="0.2"/>
    <row r="1958" ht="23.25" customHeight="1" x14ac:dyDescent="0.2"/>
    <row r="1959" ht="2.25" customHeight="1" x14ac:dyDescent="0.2"/>
    <row r="1960" ht="21" customHeight="1" x14ac:dyDescent="0.2"/>
    <row r="1961" ht="12.75" x14ac:dyDescent="0.2"/>
    <row r="1962" ht="16.5" customHeight="1" x14ac:dyDescent="0.2"/>
    <row r="1963" ht="16.5" customHeight="1" x14ac:dyDescent="0.2"/>
    <row r="1964" ht="7.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2.75" x14ac:dyDescent="0.2"/>
    <row r="1971" ht="48" customHeight="1" x14ac:dyDescent="0.2"/>
    <row r="1972" ht="12.75" x14ac:dyDescent="0.2"/>
    <row r="1973" ht="20.25" customHeight="1" x14ac:dyDescent="0.2"/>
    <row r="1974" ht="12.75" x14ac:dyDescent="0.2"/>
    <row r="1975" ht="23.25" customHeight="1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3.5" customHeight="1" x14ac:dyDescent="0.2"/>
    <row r="1982" ht="12.75" x14ac:dyDescent="0.2"/>
    <row r="1983" ht="19.5" customHeight="1" x14ac:dyDescent="0.2"/>
    <row r="1984" ht="12.75" x14ac:dyDescent="0.2"/>
    <row r="1985" ht="12.75" x14ac:dyDescent="0.2"/>
    <row r="1986" ht="12.75" x14ac:dyDescent="0.2"/>
    <row r="1987" ht="51.75" customHeight="1" x14ac:dyDescent="0.2"/>
    <row r="1988" ht="12.75" customHeight="1" x14ac:dyDescent="0.2"/>
    <row r="1989" ht="34.5" customHeight="1" x14ac:dyDescent="0.2"/>
    <row r="1990" ht="24" customHeight="1" x14ac:dyDescent="0.2"/>
    <row r="1991" ht="26.25" customHeight="1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54.75" customHeight="1" x14ac:dyDescent="0.2"/>
    <row r="1999" ht="12.75" x14ac:dyDescent="0.2"/>
    <row r="2000" ht="47.25" customHeight="1" x14ac:dyDescent="0.2"/>
    <row r="2001" ht="12.75" x14ac:dyDescent="0.2"/>
    <row r="2002" ht="15" customHeight="1" x14ac:dyDescent="0.2"/>
    <row r="2003" ht="12.75" x14ac:dyDescent="0.2"/>
    <row r="2004" ht="12.75" x14ac:dyDescent="0.2"/>
    <row r="2005" ht="16.5" customHeight="1" x14ac:dyDescent="0.2"/>
    <row r="2006" ht="15" customHeight="1" x14ac:dyDescent="0.2"/>
    <row r="2007" ht="15" customHeight="1" x14ac:dyDescent="0.2"/>
    <row r="2008" ht="12.75" x14ac:dyDescent="0.2"/>
    <row r="2009" ht="20.25" customHeight="1" x14ac:dyDescent="0.2"/>
    <row r="2010" ht="20.25" customHeight="1" x14ac:dyDescent="0.2"/>
    <row r="2011" ht="12.75" x14ac:dyDescent="0.2"/>
    <row r="2012" ht="12.75" x14ac:dyDescent="0.2"/>
    <row r="2013" ht="13.5" customHeight="1" x14ac:dyDescent="0.2"/>
    <row r="2014" ht="15" customHeight="1" x14ac:dyDescent="0.2"/>
    <row r="2015" ht="15" customHeight="1" x14ac:dyDescent="0.2"/>
    <row r="2016" ht="21.75" customHeight="1" x14ac:dyDescent="0.2"/>
    <row r="2017" ht="12.75" x14ac:dyDescent="0.2"/>
    <row r="2018" ht="21.75" customHeight="1" x14ac:dyDescent="0.2"/>
    <row r="2019" ht="12.75" x14ac:dyDescent="0.2"/>
    <row r="2020" ht="21.75" customHeight="1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9.5" customHeight="1" x14ac:dyDescent="0.2"/>
    <row r="2029" ht="12.75" x14ac:dyDescent="0.2"/>
    <row r="2030" ht="33" customHeight="1" x14ac:dyDescent="0.2"/>
    <row r="2031" ht="12.75" x14ac:dyDescent="0.2"/>
    <row r="2032" ht="12.75" x14ac:dyDescent="0.2"/>
    <row r="2033" ht="12.75" x14ac:dyDescent="0.2"/>
    <row r="2034" ht="17.25" customHeight="1" x14ac:dyDescent="0.2"/>
    <row r="2035" ht="12.75" x14ac:dyDescent="0.2"/>
    <row r="2036" ht="35.25" customHeight="1" x14ac:dyDescent="0.2"/>
    <row r="2037" ht="29.25" customHeight="1" x14ac:dyDescent="0.2"/>
    <row r="2038" ht="38.25" customHeight="1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7.25" customHeight="1" x14ac:dyDescent="0.2"/>
    <row r="2047" ht="45" customHeight="1" x14ac:dyDescent="0.2"/>
    <row r="2048" ht="12.75" x14ac:dyDescent="0.2"/>
    <row r="2049" ht="15" customHeight="1" x14ac:dyDescent="0.2"/>
    <row r="2050" ht="12.75" x14ac:dyDescent="0.2"/>
    <row r="2051" ht="12.75" x14ac:dyDescent="0.2"/>
    <row r="2052" ht="15.75" customHeight="1" x14ac:dyDescent="0.2"/>
    <row r="2053" ht="12.75" x14ac:dyDescent="0.2"/>
    <row r="2054" ht="12.75" customHeight="1" x14ac:dyDescent="0.2"/>
    <row r="2055" ht="17.25" customHeight="1" x14ac:dyDescent="0.2"/>
    <row r="2056" ht="21.75" customHeight="1" x14ac:dyDescent="0.2"/>
    <row r="2057" ht="12.75" x14ac:dyDescent="0.2"/>
    <row r="2058" ht="12.75" x14ac:dyDescent="0.2"/>
    <row r="2059" ht="19.5" customHeight="1" x14ac:dyDescent="0.2"/>
    <row r="2060" ht="19.5" customHeight="1" x14ac:dyDescent="0.2"/>
    <row r="2061" ht="12" customHeight="1" x14ac:dyDescent="0.2"/>
    <row r="2062" ht="14.25" customHeight="1" x14ac:dyDescent="0.2"/>
    <row r="2063" ht="12.75" x14ac:dyDescent="0.2"/>
    <row r="2064" ht="12.75" x14ac:dyDescent="0.2"/>
    <row r="2065" ht="21.75" customHeight="1" x14ac:dyDescent="0.2"/>
    <row r="2066" ht="36" customHeight="1" x14ac:dyDescent="0.2"/>
    <row r="2067" ht="24" customHeight="1" x14ac:dyDescent="0.2"/>
    <row r="2068" ht="23.25" customHeight="1" x14ac:dyDescent="0.2"/>
    <row r="2069" ht="15.75" customHeight="1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5.75" customHeight="1" x14ac:dyDescent="0.2"/>
    <row r="2076" ht="12.75" x14ac:dyDescent="0.2"/>
    <row r="2077" ht="12.75" x14ac:dyDescent="0.2"/>
    <row r="2078" ht="21" customHeight="1" x14ac:dyDescent="0.2"/>
    <row r="2079" ht="21" customHeight="1" x14ac:dyDescent="0.2"/>
    <row r="2080" ht="12.75" x14ac:dyDescent="0.2"/>
    <row r="2081" ht="12.75" x14ac:dyDescent="0.2"/>
    <row r="2082" ht="39.75" customHeight="1" x14ac:dyDescent="0.2"/>
    <row r="2083" ht="12.75" x14ac:dyDescent="0.2"/>
    <row r="2084" ht="36" customHeight="1" x14ac:dyDescent="0.2"/>
    <row r="2085" ht="12.75" x14ac:dyDescent="0.2"/>
    <row r="2086" ht="34.5" customHeight="1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50.25" customHeight="1" x14ac:dyDescent="0.2"/>
    <row r="2094" ht="12.75" x14ac:dyDescent="0.2"/>
    <row r="2095" ht="15" customHeight="1" x14ac:dyDescent="0.2"/>
    <row r="2096" ht="12.75" x14ac:dyDescent="0.2"/>
    <row r="2097" ht="48" customHeight="1" x14ac:dyDescent="0.2"/>
    <row r="2098" ht="19.5" customHeight="1" x14ac:dyDescent="0.2"/>
    <row r="2099" ht="15" customHeight="1" x14ac:dyDescent="0.2"/>
    <row r="2100" ht="12.75" customHeight="1" x14ac:dyDescent="0.2"/>
    <row r="2101" ht="23.25" customHeight="1" x14ac:dyDescent="0.2"/>
    <row r="2102" ht="15.75" customHeight="1" x14ac:dyDescent="0.2"/>
    <row r="2103" ht="13.5" customHeight="1" x14ac:dyDescent="0.2"/>
    <row r="2104" ht="12.75" x14ac:dyDescent="0.2"/>
    <row r="2105" ht="12.75" x14ac:dyDescent="0.2"/>
    <row r="2106" ht="14.25" customHeight="1" x14ac:dyDescent="0.2"/>
    <row r="2107" ht="15" customHeight="1" x14ac:dyDescent="0.2"/>
    <row r="2109" ht="17.25" customHeight="1" x14ac:dyDescent="0.2"/>
    <row r="2110" ht="20.25" customHeight="1" x14ac:dyDescent="0.2"/>
    <row r="2111" ht="17.25" customHeight="1" x14ac:dyDescent="0.2"/>
    <row r="2112" ht="12.75" x14ac:dyDescent="0.2"/>
    <row r="2113" ht="51" customHeight="1" x14ac:dyDescent="0.2"/>
    <row r="2114" ht="12.75" x14ac:dyDescent="0.2"/>
    <row r="2115" ht="13.5" customHeight="1" x14ac:dyDescent="0.2"/>
    <row r="2116" ht="12.75" x14ac:dyDescent="0.2"/>
    <row r="2117" ht="18" customHeight="1" x14ac:dyDescent="0.2"/>
    <row r="2118" ht="12.75" x14ac:dyDescent="0.2"/>
    <row r="2119" ht="12.75" x14ac:dyDescent="0.2"/>
    <row r="2120" ht="12.75" x14ac:dyDescent="0.2"/>
    <row r="2121" ht="17.25" customHeight="1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40.5" customHeight="1" x14ac:dyDescent="0.2"/>
    <row r="2130" ht="12.75" x14ac:dyDescent="0.2"/>
    <row r="2131" ht="32.25" customHeight="1" x14ac:dyDescent="0.2"/>
    <row r="2132" ht="25.5" customHeight="1" x14ac:dyDescent="0.2"/>
    <row r="2133" ht="12.75" x14ac:dyDescent="0.2"/>
    <row r="2134" ht="12.75" x14ac:dyDescent="0.2"/>
    <row r="2135" ht="44.25" customHeight="1" x14ac:dyDescent="0.2"/>
    <row r="2136" ht="12.75" x14ac:dyDescent="0.2"/>
    <row r="2137" ht="12.75" x14ac:dyDescent="0.2"/>
    <row r="2138" ht="12.75" x14ac:dyDescent="0.2"/>
    <row r="2139" ht="12.75" x14ac:dyDescent="0.2"/>
    <row r="2140" ht="48" customHeight="1" x14ac:dyDescent="0.2"/>
    <row r="2141" ht="12.75" x14ac:dyDescent="0.2"/>
    <row r="2142" ht="44.25" customHeight="1" x14ac:dyDescent="0.2"/>
    <row r="2143" ht="19.5" customHeight="1" x14ac:dyDescent="0.2"/>
    <row r="2144" ht="15" customHeight="1" x14ac:dyDescent="0.2"/>
    <row r="2145" ht="20.25" customHeight="1" x14ac:dyDescent="0.2"/>
    <row r="2146" ht="12.75" x14ac:dyDescent="0.2"/>
    <row r="2147" ht="21" customHeight="1" x14ac:dyDescent="0.2"/>
    <row r="2148" ht="12.75" x14ac:dyDescent="0.2"/>
    <row r="2149" ht="21" customHeight="1" x14ac:dyDescent="0.2"/>
    <row r="2150" ht="18.75" customHeight="1" x14ac:dyDescent="0.2"/>
    <row r="2151" ht="19.5" customHeight="1" x14ac:dyDescent="0.2"/>
    <row r="2152" ht="12.75" x14ac:dyDescent="0.2"/>
    <row r="2153" ht="12.75" x14ac:dyDescent="0.2"/>
    <row r="2154" ht="12" customHeight="1" x14ac:dyDescent="0.2"/>
    <row r="2155" ht="13.5" customHeight="1" x14ac:dyDescent="0.2"/>
    <row r="2157" ht="19.5" customHeight="1" x14ac:dyDescent="0.2"/>
    <row r="2158" ht="19.5" customHeight="1" x14ac:dyDescent="0.2"/>
    <row r="2159" ht="12.75" x14ac:dyDescent="0.2"/>
    <row r="2160" ht="25.5" customHeight="1" x14ac:dyDescent="0.2"/>
    <row r="2161" ht="46.5" customHeight="1" x14ac:dyDescent="0.2"/>
    <row r="2162" ht="18.75" customHeight="1" x14ac:dyDescent="0.2"/>
    <row r="2163" ht="25.5" customHeight="1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22.5" customHeight="1" x14ac:dyDescent="0.2"/>
    <row r="2170" ht="12.75" x14ac:dyDescent="0.2"/>
    <row r="2171" ht="12.75" x14ac:dyDescent="0.2"/>
    <row r="2172" ht="12.75" x14ac:dyDescent="0.2"/>
    <row r="2173" ht="46.5" customHeight="1" x14ac:dyDescent="0.2"/>
    <row r="2174" ht="12.75" x14ac:dyDescent="0.2"/>
    <row r="2175" ht="12.75" x14ac:dyDescent="0.2"/>
    <row r="2176" ht="12.75" x14ac:dyDescent="0.2"/>
    <row r="2177" ht="47.25" customHeight="1" x14ac:dyDescent="0.2"/>
    <row r="2178" ht="12.75" x14ac:dyDescent="0.2"/>
    <row r="2179" ht="36.75" customHeight="1" x14ac:dyDescent="0.2"/>
    <row r="2180" ht="24" customHeight="1" x14ac:dyDescent="0.2"/>
    <row r="2181" ht="38.25" customHeight="1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53.25" customHeight="1" x14ac:dyDescent="0.2"/>
    <row r="2189" ht="12.75" x14ac:dyDescent="0.2"/>
    <row r="2190" ht="15" customHeight="1" x14ac:dyDescent="0.2"/>
    <row r="2191" ht="20.25" customHeight="1" x14ac:dyDescent="0.2"/>
    <row r="2192" ht="47.25" customHeight="1" x14ac:dyDescent="0.2"/>
    <row r="2193" ht="18.75" customHeight="1" x14ac:dyDescent="0.2"/>
    <row r="2194" ht="15" customHeight="1" x14ac:dyDescent="0.2"/>
    <row r="2195" ht="20.25" customHeight="1" x14ac:dyDescent="0.2"/>
    <row r="2196" ht="20.25" customHeight="1" x14ac:dyDescent="0.2"/>
    <row r="2197" ht="20.25" customHeight="1" x14ac:dyDescent="0.2"/>
    <row r="2198" ht="15.75" customHeight="1" x14ac:dyDescent="0.2"/>
    <row r="2199" ht="12.75" x14ac:dyDescent="0.2"/>
    <row r="2200" ht="12.75" x14ac:dyDescent="0.2"/>
    <row r="2201" ht="13.5" customHeight="1" x14ac:dyDescent="0.2"/>
    <row r="2202" ht="13.5" customHeight="1" x14ac:dyDescent="0.2"/>
    <row r="2204" ht="50.25" customHeight="1" x14ac:dyDescent="0.2"/>
    <row r="2205" ht="12" customHeight="1" x14ac:dyDescent="0.2"/>
    <row r="2206" ht="21" customHeight="1" x14ac:dyDescent="0.2"/>
    <row r="2207" ht="12.75" x14ac:dyDescent="0.2"/>
    <row r="2208" ht="18" customHeight="1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31.5" customHeight="1" x14ac:dyDescent="0.2"/>
    <row r="2223" ht="12.75" x14ac:dyDescent="0.2"/>
    <row r="2224" ht="24.75" customHeight="1" x14ac:dyDescent="0.2"/>
    <row r="2225" ht="12.75" x14ac:dyDescent="0.2"/>
    <row r="2226" ht="12.75" x14ac:dyDescent="0.2"/>
    <row r="2227" ht="12.75" x14ac:dyDescent="0.2"/>
    <row r="2228" ht="26.25" customHeight="1" x14ac:dyDescent="0.2"/>
    <row r="2229" ht="12.75" x14ac:dyDescent="0.2"/>
    <row r="2230" ht="26.25" customHeight="1" x14ac:dyDescent="0.2"/>
    <row r="2231" ht="12.75" x14ac:dyDescent="0.2"/>
    <row r="2232" ht="12.75" x14ac:dyDescent="0.2"/>
    <row r="2233" ht="12.75" x14ac:dyDescent="0.2"/>
    <row r="2234" ht="22.5" customHeight="1" x14ac:dyDescent="0.2"/>
    <row r="2235" ht="12.75" x14ac:dyDescent="0.2"/>
    <row r="2236" ht="12.75" x14ac:dyDescent="0.2"/>
    <row r="2237" ht="12.75" x14ac:dyDescent="0.2"/>
    <row r="2238" ht="39" customHeight="1" x14ac:dyDescent="0.2"/>
    <row r="2239" ht="12.75" x14ac:dyDescent="0.2"/>
    <row r="2240" ht="37.5" customHeight="1" x14ac:dyDescent="0.2"/>
    <row r="2241" ht="22.5" customHeight="1" x14ac:dyDescent="0.2"/>
    <row r="2242" ht="19.5" customHeight="1" x14ac:dyDescent="0.2"/>
    <row r="2243" ht="19.5" customHeight="1" x14ac:dyDescent="0.2"/>
    <row r="2244" ht="19.5" customHeight="1" x14ac:dyDescent="0.2"/>
    <row r="2245" ht="12.75" x14ac:dyDescent="0.2"/>
    <row r="2246" ht="12.75" x14ac:dyDescent="0.2"/>
    <row r="2247" ht="12.75" x14ac:dyDescent="0.2"/>
    <row r="2248" ht="15" customHeight="1" x14ac:dyDescent="0.2"/>
    <row r="2249" ht="52.5" customHeight="1" x14ac:dyDescent="0.2"/>
    <row r="2250" ht="20.25" customHeight="1" x14ac:dyDescent="0.2"/>
    <row r="2251" ht="30" customHeight="1" x14ac:dyDescent="0.2"/>
    <row r="2253" ht="18" customHeight="1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41.25" customHeight="1" x14ac:dyDescent="0.2"/>
    <row r="2271" ht="12.75" x14ac:dyDescent="0.2"/>
    <row r="2272" ht="15" customHeight="1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45" customHeight="1" x14ac:dyDescent="0.2"/>
    <row r="2283" ht="12.75" x14ac:dyDescent="0.2"/>
    <row r="2284" ht="12.75" x14ac:dyDescent="0.2"/>
    <row r="2285" ht="12.75" x14ac:dyDescent="0.2"/>
    <row r="2286" ht="47.25" customHeight="1" x14ac:dyDescent="0.2"/>
    <row r="2287" ht="12" customHeight="1" x14ac:dyDescent="0.2"/>
    <row r="2288" ht="46.5" customHeight="1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6.5" customHeight="1" x14ac:dyDescent="0.2"/>
    <row r="2295" ht="12.75" x14ac:dyDescent="0.2"/>
    <row r="2296" ht="16.5" customHeight="1" x14ac:dyDescent="0.2"/>
    <row r="2297" ht="45" customHeight="1" x14ac:dyDescent="0.2"/>
    <row r="2298" ht="16.5" customHeight="1" x14ac:dyDescent="0.2"/>
    <row r="2299" ht="23.25" customHeight="1" x14ac:dyDescent="0.2"/>
    <row r="2300" ht="16.5" customHeight="1" x14ac:dyDescent="0.2"/>
    <row r="2301" ht="16.5" customHeight="1" x14ac:dyDescent="0.2"/>
    <row r="2302" ht="16.5" customHeight="1" x14ac:dyDescent="0.2"/>
    <row r="2303" ht="16.5" customHeight="1" x14ac:dyDescent="0.2"/>
    <row r="2304" ht="16.5" customHeight="1" x14ac:dyDescent="0.2"/>
    <row r="2305" ht="16.5" customHeight="1" x14ac:dyDescent="0.2"/>
    <row r="2306" ht="16.5" customHeight="1" x14ac:dyDescent="0.2"/>
    <row r="2307" ht="16.5" customHeight="1" x14ac:dyDescent="0.2"/>
    <row r="2308" ht="16.5" customHeight="1" x14ac:dyDescent="0.2"/>
    <row r="2309" ht="16.5" customHeight="1" x14ac:dyDescent="0.2"/>
    <row r="2310" ht="16.5" customHeight="1" x14ac:dyDescent="0.2"/>
    <row r="2311" ht="16.5" customHeight="1" x14ac:dyDescent="0.2"/>
    <row r="2312" ht="16.5" customHeight="1" x14ac:dyDescent="0.2"/>
    <row r="2313" ht="16.5" customHeight="1" x14ac:dyDescent="0.2"/>
    <row r="2314" ht="16.5" customHeight="1" x14ac:dyDescent="0.2"/>
    <row r="2315" ht="48.75" customHeight="1" x14ac:dyDescent="0.2"/>
    <row r="2316" ht="16.5" customHeight="1" x14ac:dyDescent="0.2"/>
    <row r="2317" ht="40.5" customHeight="1" x14ac:dyDescent="0.2"/>
    <row r="2318" ht="16.5" customHeight="1" x14ac:dyDescent="0.2"/>
    <row r="2319" ht="16.5" customHeight="1" x14ac:dyDescent="0.2"/>
    <row r="2320" ht="16.5" customHeight="1" x14ac:dyDescent="0.2"/>
    <row r="2321" ht="16.5" customHeight="1" x14ac:dyDescent="0.2"/>
    <row r="2322" ht="16.5" customHeight="1" x14ac:dyDescent="0.2"/>
    <row r="2323" ht="16.5" customHeight="1" x14ac:dyDescent="0.2"/>
    <row r="2324" ht="16.5" customHeight="1" x14ac:dyDescent="0.2"/>
    <row r="2325" ht="16.5" customHeight="1" x14ac:dyDescent="0.2"/>
    <row r="2326" ht="16.5" customHeight="1" x14ac:dyDescent="0.2"/>
    <row r="2327" ht="21" customHeight="1" x14ac:dyDescent="0.2"/>
    <row r="2328" ht="16.5" customHeight="1" x14ac:dyDescent="0.2"/>
    <row r="2329" ht="16.5" customHeight="1" x14ac:dyDescent="0.2"/>
    <row r="2330" ht="16.5" customHeight="1" x14ac:dyDescent="0.2"/>
    <row r="2331" ht="39" customHeight="1" x14ac:dyDescent="0.2"/>
    <row r="2332" ht="20.25" customHeight="1" x14ac:dyDescent="0.2"/>
    <row r="2333" ht="39" customHeight="1" x14ac:dyDescent="0.2"/>
    <row r="2334" ht="26.25" customHeight="1" x14ac:dyDescent="0.2"/>
    <row r="2335" ht="45" customHeight="1" x14ac:dyDescent="0.2"/>
    <row r="2336" ht="16.5" customHeight="1" x14ac:dyDescent="0.2"/>
    <row r="2337" ht="16.5" customHeight="1" x14ac:dyDescent="0.2"/>
    <row r="2338" ht="18.75" customHeight="1" x14ac:dyDescent="0.2"/>
    <row r="2339" ht="16.5" customHeight="1" x14ac:dyDescent="0.2"/>
    <row r="2340" ht="16.5" customHeight="1" x14ac:dyDescent="0.2"/>
    <row r="2341" ht="16.5" customHeight="1" x14ac:dyDescent="0.2"/>
    <row r="2342" ht="54.75" customHeight="1" x14ac:dyDescent="0.2"/>
    <row r="2343" ht="16.5" customHeight="1" x14ac:dyDescent="0.2"/>
    <row r="2344" ht="16.5" customHeight="1" x14ac:dyDescent="0.2"/>
    <row r="2345" ht="16.5" customHeight="1" x14ac:dyDescent="0.2"/>
    <row r="2346" ht="19.5" customHeight="1" x14ac:dyDescent="0.2"/>
    <row r="2347" ht="16.5" customHeight="1" x14ac:dyDescent="0.2"/>
    <row r="2348" ht="16.5" customHeight="1" x14ac:dyDescent="0.2"/>
    <row r="2349" ht="16.5" customHeight="1" x14ac:dyDescent="0.2"/>
    <row r="2350" ht="16.5" customHeight="1" x14ac:dyDescent="0.2"/>
    <row r="2351" ht="16.5" customHeight="1" x14ac:dyDescent="0.2"/>
    <row r="2352" ht="16.5" customHeight="1" x14ac:dyDescent="0.2"/>
    <row r="2353" ht="16.5" customHeight="1" x14ac:dyDescent="0.2"/>
    <row r="2354" ht="16.5" customHeight="1" x14ac:dyDescent="0.2"/>
    <row r="2355" ht="16.5" customHeight="1" x14ac:dyDescent="0.2"/>
    <row r="2356" ht="16.5" customHeight="1" x14ac:dyDescent="0.2"/>
    <row r="2357" ht="16.5" customHeight="1" x14ac:dyDescent="0.2"/>
    <row r="2358" ht="16.5" customHeight="1" x14ac:dyDescent="0.2"/>
    <row r="2359" ht="16.5" customHeight="1" x14ac:dyDescent="0.2"/>
    <row r="2360" ht="16.5" customHeight="1" x14ac:dyDescent="0.2"/>
    <row r="2361" ht="45" customHeight="1" x14ac:dyDescent="0.2"/>
    <row r="2362" ht="16.5" customHeight="1" x14ac:dyDescent="0.2"/>
    <row r="2363" ht="33" customHeight="1" x14ac:dyDescent="0.2"/>
    <row r="2364" ht="16.5" customHeight="1" x14ac:dyDescent="0.2"/>
    <row r="2365" ht="30.75" customHeight="1" x14ac:dyDescent="0.2"/>
    <row r="2366" ht="16.5" customHeight="1" x14ac:dyDescent="0.2"/>
    <row r="2367" ht="16.5" customHeight="1" x14ac:dyDescent="0.2"/>
    <row r="2368" ht="16.5" customHeight="1" x14ac:dyDescent="0.2"/>
    <row r="2369" ht="16.5" customHeight="1" x14ac:dyDescent="0.2"/>
    <row r="2370" ht="16.5" customHeight="1" x14ac:dyDescent="0.2"/>
    <row r="2371" ht="16.5" customHeight="1" x14ac:dyDescent="0.2"/>
    <row r="2372" ht="16.5" customHeight="1" x14ac:dyDescent="0.2"/>
    <row r="2373" ht="45.75" customHeight="1" x14ac:dyDescent="0.2"/>
    <row r="2374" ht="16.5" customHeight="1" x14ac:dyDescent="0.2"/>
    <row r="2375" ht="16.5" customHeight="1" x14ac:dyDescent="0.2"/>
    <row r="2376" ht="16.5" customHeight="1" x14ac:dyDescent="0.2"/>
    <row r="2377" ht="37.5" customHeight="1" x14ac:dyDescent="0.2"/>
    <row r="2378" ht="11.25" customHeight="1" x14ac:dyDescent="0.2"/>
    <row r="2379" ht="37.5" customHeight="1" x14ac:dyDescent="0.2"/>
    <row r="2380" ht="25.5" customHeight="1" x14ac:dyDescent="0.2"/>
    <row r="2381" ht="40.5" customHeight="1" x14ac:dyDescent="0.2"/>
    <row r="2382" ht="21" hidden="1" customHeight="1" x14ac:dyDescent="0.2"/>
    <row r="2383" ht="41.25" customHeight="1" x14ac:dyDescent="0.2"/>
    <row r="2384" ht="24.75" customHeight="1" x14ac:dyDescent="0.2"/>
    <row r="2385" ht="16.5" customHeight="1" x14ac:dyDescent="0.2"/>
    <row r="2386" ht="16.5" customHeight="1" x14ac:dyDescent="0.2"/>
    <row r="2387" ht="15" customHeight="1" x14ac:dyDescent="0.2"/>
    <row r="2388" ht="49.5" customHeight="1" x14ac:dyDescent="0.2"/>
    <row r="2389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13.5" customHeight="1" x14ac:dyDescent="0.2"/>
    <row r="2395" ht="15" customHeight="1" x14ac:dyDescent="0.2"/>
    <row r="2396" ht="15" customHeight="1" x14ac:dyDescent="0.2"/>
    <row r="2397" ht="15" customHeight="1" x14ac:dyDescent="0.2"/>
    <row r="2398" ht="15" customHeight="1" x14ac:dyDescent="0.2"/>
    <row r="2399" ht="15" customHeight="1" x14ac:dyDescent="0.2"/>
    <row r="2400" ht="1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40.5" customHeight="1" x14ac:dyDescent="0.2"/>
    <row r="2410" ht="15" customHeight="1" x14ac:dyDescent="0.2"/>
    <row r="2411" ht="33.7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15" customHeight="1" x14ac:dyDescent="0.2"/>
    <row r="2419" ht="15" customHeight="1" x14ac:dyDescent="0.2"/>
    <row r="2420" ht="15" customHeight="1" x14ac:dyDescent="0.2"/>
    <row r="2421" ht="44.2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45" customHeight="1" x14ac:dyDescent="0.2"/>
    <row r="2438" ht="15" customHeight="1" x14ac:dyDescent="0.2"/>
    <row r="2439" ht="37.5" customHeight="1" x14ac:dyDescent="0.2"/>
    <row r="2440" ht="37.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57.7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34.5" customHeight="1" x14ac:dyDescent="0.2"/>
    <row r="2459" ht="15" customHeight="1" x14ac:dyDescent="0.2"/>
    <row r="2460" ht="38.2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4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42.75" customHeight="1" x14ac:dyDescent="0.2"/>
    <row r="2495" ht="15" customHeight="1" x14ac:dyDescent="0.2"/>
    <row r="2496" ht="41.2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48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37.5" customHeight="1" x14ac:dyDescent="0.2"/>
    <row r="2547" ht="15" customHeight="1" x14ac:dyDescent="0.2"/>
    <row r="2548" ht="42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49.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15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3" ht="30" customHeight="1" x14ac:dyDescent="0.2"/>
    <row r="2584" ht="16.5" customHeight="1" x14ac:dyDescent="0.2"/>
    <row r="2585" ht="19.5" customHeight="1" x14ac:dyDescent="0.2"/>
    <row r="2586" ht="30" customHeight="1" x14ac:dyDescent="0.2"/>
    <row r="2587" ht="30" customHeight="1" x14ac:dyDescent="0.2"/>
    <row r="2588" ht="30" customHeight="1" x14ac:dyDescent="0.2"/>
    <row r="2589" ht="30" customHeight="1" x14ac:dyDescent="0.2"/>
    <row r="2590" ht="7.5" customHeight="1" x14ac:dyDescent="0.2"/>
    <row r="2591" ht="9.75" customHeight="1" x14ac:dyDescent="0.2"/>
    <row r="2592" ht="30" customHeight="1" x14ac:dyDescent="0.2"/>
    <row r="2593" ht="30" customHeight="1" x14ac:dyDescent="0.2"/>
    <row r="2594" ht="10.5" customHeight="1" x14ac:dyDescent="0.2"/>
    <row r="2595" ht="18.75" customHeight="1" x14ac:dyDescent="0.2"/>
    <row r="2596" ht="16.5" customHeight="1" x14ac:dyDescent="0.2"/>
    <row r="2597" ht="17.25" customHeight="1" x14ac:dyDescent="0.2"/>
    <row r="2598" ht="30" customHeight="1" x14ac:dyDescent="0.2"/>
    <row r="2599" ht="30" customHeight="1" x14ac:dyDescent="0.2"/>
    <row r="2600" ht="14.25" customHeight="1" x14ac:dyDescent="0.2"/>
    <row r="2601" ht="30" customHeight="1" x14ac:dyDescent="0.2"/>
    <row r="2602" ht="30" customHeight="1" x14ac:dyDescent="0.2"/>
    <row r="2603" ht="44.25" customHeight="1" x14ac:dyDescent="0.2"/>
    <row r="2604" ht="26.25" customHeight="1" x14ac:dyDescent="0.2"/>
    <row r="2605" ht="13.5" customHeight="1" x14ac:dyDescent="0.2"/>
    <row r="2606" ht="6" customHeight="1" x14ac:dyDescent="0.2"/>
    <row r="2607" ht="13.5" hidden="1" customHeight="1" x14ac:dyDescent="0.2"/>
    <row r="2608" ht="30" customHeight="1" x14ac:dyDescent="0.2"/>
    <row r="2609" ht="21" customHeight="1" x14ac:dyDescent="0.2"/>
    <row r="2610" ht="12" customHeight="1" x14ac:dyDescent="0.2"/>
    <row r="2611" ht="30" customHeight="1" x14ac:dyDescent="0.2"/>
    <row r="2612" ht="50.25" customHeight="1" x14ac:dyDescent="0.2"/>
    <row r="2613" ht="30" customHeight="1" x14ac:dyDescent="0.2"/>
    <row r="2614" ht="18" customHeight="1" x14ac:dyDescent="0.2"/>
    <row r="2615" ht="15" customHeight="1" x14ac:dyDescent="0.2"/>
    <row r="2616" ht="15" customHeight="1" x14ac:dyDescent="0.2"/>
    <row r="2617" ht="15" customHeight="1" x14ac:dyDescent="0.2"/>
    <row r="2618" ht="15" customHeight="1" x14ac:dyDescent="0.2"/>
    <row r="2619" ht="15" customHeight="1" x14ac:dyDescent="0.2"/>
    <row r="2620" ht="15" customHeight="1" x14ac:dyDescent="0.2"/>
    <row r="2621" ht="30" customHeight="1" x14ac:dyDescent="0.2"/>
    <row r="2622" ht="30" customHeight="1" x14ac:dyDescent="0.2"/>
    <row r="2623" ht="30" customHeight="1" x14ac:dyDescent="0.2"/>
    <row r="2624" ht="30" customHeight="1" x14ac:dyDescent="0.2"/>
    <row r="2625" ht="30" customHeight="1" x14ac:dyDescent="0.2"/>
    <row r="2626" ht="30" customHeight="1" x14ac:dyDescent="0.2"/>
    <row r="2627" ht="15" customHeight="1" x14ac:dyDescent="0.2"/>
    <row r="2628" ht="15" customHeight="1" x14ac:dyDescent="0.2"/>
    <row r="2629" ht="15" customHeight="1" x14ac:dyDescent="0.2"/>
    <row r="2630" ht="15" customHeight="1" x14ac:dyDescent="0.2"/>
    <row r="2631" ht="15" customHeight="1" x14ac:dyDescent="0.2"/>
    <row r="2632" ht="15" customHeight="1" x14ac:dyDescent="0.2"/>
    <row r="2633" ht="15" customHeight="1" x14ac:dyDescent="0.2"/>
    <row r="2634" ht="15" customHeight="1" x14ac:dyDescent="0.2"/>
    <row r="2635" ht="15" customHeight="1" x14ac:dyDescent="0.2"/>
    <row r="2636" ht="15" customHeight="1" x14ac:dyDescent="0.2"/>
    <row r="2637" ht="15" customHeight="1" x14ac:dyDescent="0.2"/>
    <row r="2638" ht="15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35.25" customHeight="1" x14ac:dyDescent="0.2"/>
    <row r="2644" ht="15" customHeight="1" x14ac:dyDescent="0.2"/>
    <row r="2645" ht="36.75" customHeight="1" x14ac:dyDescent="0.2"/>
    <row r="2646" ht="25.5" customHeight="1" x14ac:dyDescent="0.2"/>
    <row r="2647" ht="33" customHeight="1" x14ac:dyDescent="0.2"/>
    <row r="2648" ht="15" customHeight="1" x14ac:dyDescent="0.2"/>
    <row r="2649" ht="15" customHeight="1" x14ac:dyDescent="0.2"/>
    <row r="2650" ht="15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48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15" customHeight="1" x14ac:dyDescent="0.2"/>
    <row r="2668" ht="15" customHeight="1" x14ac:dyDescent="0.2"/>
    <row r="2669" ht="15" customHeight="1" x14ac:dyDescent="0.2"/>
    <row r="2670" ht="15" customHeight="1" x14ac:dyDescent="0.2"/>
    <row r="2671" ht="15" customHeight="1" x14ac:dyDescent="0.2"/>
    <row r="2672" ht="15" customHeight="1" x14ac:dyDescent="0.2"/>
    <row r="2673" ht="15" customHeight="1" x14ac:dyDescent="0.2"/>
    <row r="2674" ht="15" customHeight="1" x14ac:dyDescent="0.2"/>
    <row r="2675" ht="30" customHeight="1" x14ac:dyDescent="0.2"/>
    <row r="2676" ht="30" customHeight="1" x14ac:dyDescent="0.2"/>
    <row r="2677" ht="30" customHeight="1" x14ac:dyDescent="0.2"/>
    <row r="2678" ht="30" customHeight="1" x14ac:dyDescent="0.2"/>
    <row r="2679" ht="30" customHeight="1" x14ac:dyDescent="0.2"/>
    <row r="2680" ht="30" customHeight="1" x14ac:dyDescent="0.2"/>
    <row r="2681" ht="30" customHeight="1" x14ac:dyDescent="0.2"/>
    <row r="2682" ht="30" customHeight="1" x14ac:dyDescent="0.2"/>
    <row r="2683" ht="30" customHeight="1" x14ac:dyDescent="0.2"/>
    <row r="2684" ht="30" customHeight="1" x14ac:dyDescent="0.2"/>
    <row r="2685" ht="30" customHeight="1" x14ac:dyDescent="0.2"/>
    <row r="2686" ht="30" customHeight="1" x14ac:dyDescent="0.2"/>
    <row r="2687" ht="30" customHeight="1" x14ac:dyDescent="0.2"/>
    <row r="2688" ht="30" customHeight="1" x14ac:dyDescent="0.2"/>
    <row r="2689" ht="30" customHeight="1" x14ac:dyDescent="0.2"/>
    <row r="2690" ht="30" customHeight="1" x14ac:dyDescent="0.2"/>
    <row r="2691" ht="30" customHeight="1" x14ac:dyDescent="0.2"/>
    <row r="2692" ht="30" customHeight="1" x14ac:dyDescent="0.2"/>
    <row r="2693" ht="30" customHeight="1" x14ac:dyDescent="0.2"/>
    <row r="2694" ht="30" customHeight="1" x14ac:dyDescent="0.2"/>
    <row r="2695" ht="30" customHeight="1" x14ac:dyDescent="0.2"/>
    <row r="2696" ht="30" customHeight="1" x14ac:dyDescent="0.2"/>
    <row r="2697" ht="30" customHeight="1" x14ac:dyDescent="0.2"/>
    <row r="2698" ht="30" customHeight="1" x14ac:dyDescent="0.2"/>
    <row r="2699" ht="30" customHeight="1" x14ac:dyDescent="0.2"/>
    <row r="2700" ht="30" customHeight="1" x14ac:dyDescent="0.2"/>
    <row r="2701" ht="30" customHeight="1" x14ac:dyDescent="0.2"/>
    <row r="2702" ht="30" customHeight="1" x14ac:dyDescent="0.2"/>
    <row r="2703" ht="30" customHeight="1" x14ac:dyDescent="0.2"/>
    <row r="2704" ht="30" customHeight="1" x14ac:dyDescent="0.2"/>
    <row r="2705" ht="30" customHeight="1" x14ac:dyDescent="0.2"/>
    <row r="2706" ht="30" customHeight="1" x14ac:dyDescent="0.2"/>
    <row r="2707" ht="30" customHeight="1" x14ac:dyDescent="0.2"/>
    <row r="2708" ht="30" customHeight="1" x14ac:dyDescent="0.2"/>
    <row r="2709" ht="30" customHeight="1" x14ac:dyDescent="0.2"/>
    <row r="2710" ht="30" customHeight="1" x14ac:dyDescent="0.2"/>
    <row r="2711" ht="30" customHeight="1" x14ac:dyDescent="0.2"/>
    <row r="2712" ht="30" customHeight="1" x14ac:dyDescent="0.2"/>
    <row r="2713" ht="30" customHeight="1" x14ac:dyDescent="0.2"/>
    <row r="2714" ht="30" customHeight="1" x14ac:dyDescent="0.2"/>
    <row r="2715" ht="30" customHeight="1" x14ac:dyDescent="0.2"/>
    <row r="2716" ht="30" customHeight="1" x14ac:dyDescent="0.2"/>
    <row r="2717" ht="30" customHeight="1" x14ac:dyDescent="0.2"/>
    <row r="2718" ht="30" customHeight="1" x14ac:dyDescent="0.2"/>
    <row r="2719" ht="30" customHeight="1" x14ac:dyDescent="0.2"/>
    <row r="2720" ht="30" customHeight="1" x14ac:dyDescent="0.2"/>
    <row r="2721" ht="30" customHeight="1" x14ac:dyDescent="0.2"/>
    <row r="2722" ht="30" customHeight="1" x14ac:dyDescent="0.2"/>
    <row r="2723" ht="30" customHeight="1" x14ac:dyDescent="0.2"/>
    <row r="2724" ht="30" customHeight="1" x14ac:dyDescent="0.2"/>
    <row r="2725" ht="30" customHeight="1" x14ac:dyDescent="0.2"/>
    <row r="2726" ht="30" customHeight="1" x14ac:dyDescent="0.2"/>
    <row r="2727" ht="30" customHeight="1" x14ac:dyDescent="0.2"/>
    <row r="2728" ht="30" customHeight="1" x14ac:dyDescent="0.2"/>
    <row r="2729" ht="30" customHeight="1" x14ac:dyDescent="0.2"/>
    <row r="2730" ht="30" customHeight="1" x14ac:dyDescent="0.2"/>
    <row r="2731" ht="30" customHeight="1" x14ac:dyDescent="0.2"/>
    <row r="2732" ht="30" customHeight="1" x14ac:dyDescent="0.2"/>
    <row r="2733" ht="30" customHeight="1" x14ac:dyDescent="0.2"/>
  </sheetData>
  <mergeCells count="227">
    <mergeCell ref="A1048:L1048"/>
    <mergeCell ref="B1050:L1050"/>
    <mergeCell ref="C1052:F1052"/>
    <mergeCell ref="B1057:L1057"/>
    <mergeCell ref="A1059:L1059"/>
    <mergeCell ref="B1140:L1140"/>
    <mergeCell ref="A1142:L1142"/>
    <mergeCell ref="J1145:L1145"/>
    <mergeCell ref="A1102:L1102"/>
    <mergeCell ref="J1105:L1105"/>
    <mergeCell ref="A1121:L1121"/>
    <mergeCell ref="A1131:L1131"/>
    <mergeCell ref="B1133:L1133"/>
    <mergeCell ref="C1135:F1135"/>
    <mergeCell ref="J565:L565"/>
    <mergeCell ref="A584:L584"/>
    <mergeCell ref="A594:L594"/>
    <mergeCell ref="B596:L596"/>
    <mergeCell ref="C1007:F1007"/>
    <mergeCell ref="C1008:D1008"/>
    <mergeCell ref="F1008:H1008"/>
    <mergeCell ref="B1013:L1013"/>
    <mergeCell ref="A1015:L1015"/>
    <mergeCell ref="B970:L970"/>
    <mergeCell ref="A972:L972"/>
    <mergeCell ref="J975:L975"/>
    <mergeCell ref="A993:L993"/>
    <mergeCell ref="A1003:L1003"/>
    <mergeCell ref="B1005:L1005"/>
    <mergeCell ref="C696:F696"/>
    <mergeCell ref="C697:D697"/>
    <mergeCell ref="F697:H697"/>
    <mergeCell ref="B702:L702"/>
    <mergeCell ref="A704:L704"/>
    <mergeCell ref="J707:L707"/>
    <mergeCell ref="A727:L727"/>
    <mergeCell ref="A737:L737"/>
    <mergeCell ref="B739:L739"/>
    <mergeCell ref="C555:D555"/>
    <mergeCell ref="F555:H555"/>
    <mergeCell ref="A606:L606"/>
    <mergeCell ref="J609:L609"/>
    <mergeCell ref="A950:L950"/>
    <mergeCell ref="A960:L960"/>
    <mergeCell ref="B962:L962"/>
    <mergeCell ref="C964:F964"/>
    <mergeCell ref="C965:D965"/>
    <mergeCell ref="F965:H965"/>
    <mergeCell ref="J555:L555"/>
    <mergeCell ref="C645:D645"/>
    <mergeCell ref="F645:H645"/>
    <mergeCell ref="B650:L650"/>
    <mergeCell ref="A652:L652"/>
    <mergeCell ref="J655:L655"/>
    <mergeCell ref="C599:D599"/>
    <mergeCell ref="F599:H599"/>
    <mergeCell ref="C598:F598"/>
    <mergeCell ref="B604:L604"/>
    <mergeCell ref="A630:L630"/>
    <mergeCell ref="A640:L640"/>
    <mergeCell ref="B560:L560"/>
    <mergeCell ref="A562:L562"/>
    <mergeCell ref="B158:L158"/>
    <mergeCell ref="A156:L156"/>
    <mergeCell ref="J523:L523"/>
    <mergeCell ref="A520:L520"/>
    <mergeCell ref="B518:L518"/>
    <mergeCell ref="F513:H513"/>
    <mergeCell ref="C513:D513"/>
    <mergeCell ref="C512:F512"/>
    <mergeCell ref="A123:L123"/>
    <mergeCell ref="A188:L188"/>
    <mergeCell ref="A198:L198"/>
    <mergeCell ref="B200:L200"/>
    <mergeCell ref="C202:F202"/>
    <mergeCell ref="B208:L208"/>
    <mergeCell ref="J171:L171"/>
    <mergeCell ref="A168:L168"/>
    <mergeCell ref="B166:L166"/>
    <mergeCell ref="C160:F160"/>
    <mergeCell ref="B252:L252"/>
    <mergeCell ref="A254:L254"/>
    <mergeCell ref="J257:L257"/>
    <mergeCell ref="F468:H468"/>
    <mergeCell ref="C468:D468"/>
    <mergeCell ref="C467:F467"/>
    <mergeCell ref="A10:L10"/>
    <mergeCell ref="A20:L20"/>
    <mergeCell ref="B22:L22"/>
    <mergeCell ref="C24:F24"/>
    <mergeCell ref="A55:L55"/>
    <mergeCell ref="J126:L126"/>
    <mergeCell ref="C115:F115"/>
    <mergeCell ref="A65:L65"/>
    <mergeCell ref="A146:L146"/>
    <mergeCell ref="B67:L67"/>
    <mergeCell ref="C69:F69"/>
    <mergeCell ref="B30:L30"/>
    <mergeCell ref="A32:L32"/>
    <mergeCell ref="J35:L35"/>
    <mergeCell ref="A111:L111"/>
    <mergeCell ref="A101:L101"/>
    <mergeCell ref="B121:L121"/>
    <mergeCell ref="B75:L75"/>
    <mergeCell ref="A77:L77"/>
    <mergeCell ref="J80:L80"/>
    <mergeCell ref="B113:L113"/>
    <mergeCell ref="A210:L210"/>
    <mergeCell ref="J213:L213"/>
    <mergeCell ref="A232:L232"/>
    <mergeCell ref="A242:L242"/>
    <mergeCell ref="B244:L244"/>
    <mergeCell ref="C246:F246"/>
    <mergeCell ref="A277:L277"/>
    <mergeCell ref="A287:L287"/>
    <mergeCell ref="B289:L289"/>
    <mergeCell ref="C291:F291"/>
    <mergeCell ref="B297:L297"/>
    <mergeCell ref="A299:L299"/>
    <mergeCell ref="J302:L302"/>
    <mergeCell ref="C292:D292"/>
    <mergeCell ref="F292:H292"/>
    <mergeCell ref="A321:L321"/>
    <mergeCell ref="A331:L331"/>
    <mergeCell ref="B333:L333"/>
    <mergeCell ref="C335:F335"/>
    <mergeCell ref="B341:L341"/>
    <mergeCell ref="A343:L343"/>
    <mergeCell ref="J346:L346"/>
    <mergeCell ref="C336:D336"/>
    <mergeCell ref="F336:H336"/>
    <mergeCell ref="A365:L365"/>
    <mergeCell ref="A375:L375"/>
    <mergeCell ref="B377:L377"/>
    <mergeCell ref="C379:F379"/>
    <mergeCell ref="C380:D380"/>
    <mergeCell ref="F380:H380"/>
    <mergeCell ref="B385:L385"/>
    <mergeCell ref="A387:L387"/>
    <mergeCell ref="J390:L390"/>
    <mergeCell ref="A410:L410"/>
    <mergeCell ref="A420:L420"/>
    <mergeCell ref="B422:L422"/>
    <mergeCell ref="C424:F424"/>
    <mergeCell ref="C425:D425"/>
    <mergeCell ref="F425:H425"/>
    <mergeCell ref="B430:L430"/>
    <mergeCell ref="A432:L432"/>
    <mergeCell ref="J435:L435"/>
    <mergeCell ref="A682:L682"/>
    <mergeCell ref="A692:L692"/>
    <mergeCell ref="B694:L694"/>
    <mergeCell ref="B465:L465"/>
    <mergeCell ref="A463:L463"/>
    <mergeCell ref="A453:L453"/>
    <mergeCell ref="B510:L510"/>
    <mergeCell ref="A508:L508"/>
    <mergeCell ref="A498:L498"/>
    <mergeCell ref="J478:L478"/>
    <mergeCell ref="A475:L475"/>
    <mergeCell ref="B473:L473"/>
    <mergeCell ref="A540:L540"/>
    <mergeCell ref="A550:L550"/>
    <mergeCell ref="B552:L552"/>
    <mergeCell ref="C554:F554"/>
    <mergeCell ref="B642:L642"/>
    <mergeCell ref="C644:F644"/>
    <mergeCell ref="J751:L751"/>
    <mergeCell ref="A770:L770"/>
    <mergeCell ref="A780:L780"/>
    <mergeCell ref="B782:L782"/>
    <mergeCell ref="C784:F784"/>
    <mergeCell ref="C741:F741"/>
    <mergeCell ref="B746:L746"/>
    <mergeCell ref="A748:L748"/>
    <mergeCell ref="B789:L789"/>
    <mergeCell ref="A791:L791"/>
    <mergeCell ref="J794:L794"/>
    <mergeCell ref="A819:L819"/>
    <mergeCell ref="A829:L829"/>
    <mergeCell ref="B831:L831"/>
    <mergeCell ref="C833:F833"/>
    <mergeCell ref="C834:D834"/>
    <mergeCell ref="F834:H834"/>
    <mergeCell ref="B839:L839"/>
    <mergeCell ref="A841:L841"/>
    <mergeCell ref="J844:L844"/>
    <mergeCell ref="A861:L861"/>
    <mergeCell ref="A871:L871"/>
    <mergeCell ref="B873:L873"/>
    <mergeCell ref="C875:F875"/>
    <mergeCell ref="C876:D876"/>
    <mergeCell ref="F876:H876"/>
    <mergeCell ref="B881:L881"/>
    <mergeCell ref="A883:L883"/>
    <mergeCell ref="J886:L886"/>
    <mergeCell ref="A907:L907"/>
    <mergeCell ref="A917:L917"/>
    <mergeCell ref="B919:L919"/>
    <mergeCell ref="C921:F921"/>
    <mergeCell ref="C922:D922"/>
    <mergeCell ref="F922:H922"/>
    <mergeCell ref="B927:L927"/>
    <mergeCell ref="J1253:L1253"/>
    <mergeCell ref="J1210:L1210"/>
    <mergeCell ref="A1229:L1229"/>
    <mergeCell ref="A1239:L1239"/>
    <mergeCell ref="B1241:L1241"/>
    <mergeCell ref="C1243:F1243"/>
    <mergeCell ref="B1248:L1248"/>
    <mergeCell ref="A929:L929"/>
    <mergeCell ref="J932:L932"/>
    <mergeCell ref="A1186:L1186"/>
    <mergeCell ref="A1196:L1196"/>
    <mergeCell ref="B1198:L1198"/>
    <mergeCell ref="C1200:F1200"/>
    <mergeCell ref="B1205:L1205"/>
    <mergeCell ref="A1207:L1207"/>
    <mergeCell ref="A1250:L1250"/>
    <mergeCell ref="J1018:L1018"/>
    <mergeCell ref="J1062:L1062"/>
    <mergeCell ref="A1081:L1081"/>
    <mergeCell ref="A1091:L1091"/>
    <mergeCell ref="B1093:L1093"/>
    <mergeCell ref="C1095:F1095"/>
    <mergeCell ref="B1100:L1100"/>
    <mergeCell ref="A1038:L1038"/>
  </mergeCells>
  <pageMargins left="0.5" right="0.2" top="0.75" bottom="1" header="0.5" footer="0.5"/>
  <pageSetup paperSize="5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739"/>
  <sheetViews>
    <sheetView topLeftCell="A565"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8554687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12.28515625" style="4" bestFit="1" customWidth="1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4.25" customHeight="1" x14ac:dyDescent="0.2"/>
    <row r="2" spans="1:12" ht="12" customHeight="1" x14ac:dyDescent="0.2"/>
    <row r="3" spans="1:12" ht="13.5" customHeight="1" x14ac:dyDescent="0.25">
      <c r="A3" s="3" t="s">
        <v>22</v>
      </c>
    </row>
    <row r="4" spans="1:12" ht="15" customHeight="1" x14ac:dyDescent="0.2">
      <c r="A4" s="122" t="s">
        <v>20</v>
      </c>
    </row>
    <row r="5" spans="1:12" ht="15" customHeight="1" x14ac:dyDescent="0.2">
      <c r="A5" s="122" t="s">
        <v>21</v>
      </c>
    </row>
    <row r="6" spans="1:12" ht="27" customHeight="1" x14ac:dyDescent="0.2"/>
    <row r="7" spans="1:12" ht="22.5" customHeight="1" x14ac:dyDescent="0.2"/>
    <row r="8" spans="1:12" ht="13.5" customHeight="1" x14ac:dyDescent="0.2"/>
    <row r="9" spans="1:12" ht="30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27.7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2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" customHeight="1" x14ac:dyDescent="0.25">
      <c r="A12" s="1"/>
      <c r="B12" s="1"/>
    </row>
    <row r="13" spans="1:12" ht="15" customHeight="1" x14ac:dyDescent="0.25">
      <c r="A13" s="1" t="s">
        <v>7</v>
      </c>
      <c r="B13" s="1"/>
    </row>
    <row r="14" spans="1:12" ht="13.5" customHeight="1" x14ac:dyDescent="0.25">
      <c r="A14" s="1"/>
      <c r="B14" s="1"/>
    </row>
    <row r="15" spans="1:12" ht="15" customHeight="1" x14ac:dyDescent="0.25">
      <c r="A15" s="1" t="s">
        <v>8</v>
      </c>
      <c r="C15" s="9" t="s">
        <v>1</v>
      </c>
      <c r="D15" s="92" t="s">
        <v>77</v>
      </c>
      <c r="E15" s="76"/>
      <c r="F15" s="76"/>
      <c r="G15" s="76"/>
      <c r="H15" s="76"/>
    </row>
    <row r="16" spans="1:12" ht="13.5" customHeight="1" x14ac:dyDescent="0.25">
      <c r="A16" s="1" t="s">
        <v>9</v>
      </c>
      <c r="C16" s="9" t="s">
        <v>1</v>
      </c>
      <c r="D16" s="57" t="s">
        <v>201</v>
      </c>
      <c r="E16" s="76"/>
      <c r="F16" s="76"/>
      <c r="G16" s="76"/>
      <c r="H16" s="76"/>
    </row>
    <row r="17" spans="1:12" s="76" customFormat="1" ht="15" customHeight="1" x14ac:dyDescent="0.2">
      <c r="A17" s="50" t="s">
        <v>10</v>
      </c>
      <c r="C17" s="91" t="s">
        <v>1</v>
      </c>
      <c r="D17" s="314" t="s">
        <v>265</v>
      </c>
      <c r="E17" s="314"/>
      <c r="F17" s="314"/>
      <c r="G17" s="314"/>
      <c r="H17" s="314"/>
    </row>
    <row r="18" spans="1:12" ht="11.25" customHeight="1" x14ac:dyDescent="0.25">
      <c r="A18" s="1"/>
      <c r="B18" s="1"/>
      <c r="D18" s="1"/>
    </row>
    <row r="19" spans="1:12" ht="32.25" customHeight="1" x14ac:dyDescent="0.2">
      <c r="A19" s="277" t="s">
        <v>268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</row>
    <row r="20" spans="1:12" ht="17.25" customHeight="1" x14ac:dyDescent="0.25">
      <c r="A20" s="1"/>
      <c r="B20" s="1"/>
    </row>
    <row r="21" spans="1:12" ht="36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26.2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34.5" customHeight="1" x14ac:dyDescent="0.2">
      <c r="A23" s="50"/>
      <c r="B23" s="100">
        <v>1</v>
      </c>
      <c r="C23" s="284" t="s">
        <v>269</v>
      </c>
      <c r="D23" s="285"/>
      <c r="E23" s="285"/>
      <c r="F23" s="285"/>
      <c r="G23" s="76"/>
      <c r="H23" s="79"/>
      <c r="I23" s="56">
        <v>275000</v>
      </c>
      <c r="J23" s="76"/>
      <c r="K23" s="76"/>
      <c r="L23" s="79"/>
    </row>
    <row r="24" spans="1:12" ht="26.25" customHeight="1" x14ac:dyDescent="0.25">
      <c r="A24" s="50"/>
      <c r="B24" s="96"/>
      <c r="C24" s="321"/>
      <c r="D24" s="297"/>
      <c r="E24" s="127"/>
      <c r="F24" s="319"/>
      <c r="G24" s="297"/>
      <c r="H24" s="320"/>
      <c r="I24" s="56"/>
      <c r="J24" s="50"/>
      <c r="K24" s="1"/>
      <c r="L24" s="17"/>
    </row>
    <row r="25" spans="1:12" ht="18" customHeight="1" x14ac:dyDescent="0.2">
      <c r="B25" s="16"/>
      <c r="H25" s="17"/>
      <c r="I25" s="19"/>
      <c r="L25" s="17"/>
    </row>
    <row r="26" spans="1:12" ht="15" customHeight="1" x14ac:dyDescent="0.2">
      <c r="B26" s="20"/>
      <c r="C26" s="21"/>
      <c r="D26" s="21"/>
      <c r="E26" s="21"/>
      <c r="F26" s="21"/>
      <c r="G26" s="21"/>
      <c r="H26" s="22"/>
      <c r="I26" s="23"/>
      <c r="J26" s="21"/>
      <c r="K26" s="21"/>
      <c r="L26" s="22"/>
    </row>
    <row r="27" spans="1:12" ht="12.75" customHeight="1" x14ac:dyDescent="0.25">
      <c r="A27" s="1"/>
      <c r="B27" s="39"/>
      <c r="C27" s="1"/>
      <c r="D27" s="1"/>
      <c r="E27" s="1"/>
      <c r="F27" s="40" t="s">
        <v>5</v>
      </c>
      <c r="G27" s="40"/>
      <c r="H27" s="1"/>
      <c r="I27" s="41">
        <f>SUM(I23:I24)</f>
        <v>275000</v>
      </c>
      <c r="J27" s="1"/>
      <c r="K27" s="1"/>
      <c r="L27" s="42"/>
    </row>
    <row r="28" spans="1:12" ht="6.75" customHeight="1" thickBot="1" x14ac:dyDescent="0.3">
      <c r="A28" s="1"/>
      <c r="B28" s="43"/>
      <c r="C28" s="44"/>
      <c r="D28" s="44"/>
      <c r="E28" s="44"/>
      <c r="F28" s="45"/>
      <c r="G28" s="45"/>
      <c r="H28" s="44"/>
      <c r="I28" s="46"/>
      <c r="J28" s="44"/>
      <c r="K28" s="44"/>
      <c r="L28" s="47"/>
    </row>
    <row r="29" spans="1:12" ht="18" customHeight="1" thickTop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51.75" customHeight="1" x14ac:dyDescent="0.2">
      <c r="A30" s="10" t="s">
        <v>2</v>
      </c>
      <c r="B30" s="279" t="s">
        <v>11</v>
      </c>
      <c r="C30" s="279"/>
      <c r="D30" s="279"/>
      <c r="E30" s="279"/>
      <c r="F30" s="279"/>
      <c r="G30" s="279"/>
      <c r="H30" s="279"/>
      <c r="I30" s="279"/>
      <c r="J30" s="279"/>
      <c r="K30" s="279"/>
      <c r="L30" s="279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9.5" customHeight="1" x14ac:dyDescent="0.2">
      <c r="A32" s="280" t="s">
        <v>12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</row>
    <row r="33" spans="1:12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4" t="s">
        <v>199</v>
      </c>
      <c r="J35" s="286" t="s">
        <v>270</v>
      </c>
      <c r="K35" s="286"/>
      <c r="L35" s="286"/>
    </row>
    <row r="36" spans="1:12" ht="15" x14ac:dyDescent="0.25">
      <c r="A36" s="1"/>
      <c r="B36" s="1" t="s">
        <v>15</v>
      </c>
      <c r="C36" s="1"/>
      <c r="D36" s="1"/>
      <c r="E36" s="1"/>
      <c r="F36" s="1"/>
      <c r="G36" s="1"/>
      <c r="H36" s="4" t="s">
        <v>13</v>
      </c>
    </row>
    <row r="37" spans="1:12" ht="15" x14ac:dyDescent="0.25">
      <c r="A37" s="1"/>
      <c r="B37" s="1" t="s">
        <v>18</v>
      </c>
      <c r="C37" s="1"/>
      <c r="D37" s="1"/>
      <c r="E37" s="1"/>
      <c r="F37" s="1"/>
      <c r="G37" s="1"/>
      <c r="H37" s="4" t="s">
        <v>14</v>
      </c>
    </row>
    <row r="38" spans="1:12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75" customHeight="1" x14ac:dyDescent="0.25">
      <c r="A40" s="1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"/>
    </row>
    <row r="41" spans="1:12" ht="15" x14ac:dyDescent="0.25">
      <c r="A41" s="1"/>
      <c r="K41" s="103"/>
      <c r="L41" s="1"/>
    </row>
    <row r="42" spans="1:12" ht="15" x14ac:dyDescent="0.25">
      <c r="A42" s="1"/>
      <c r="B42" s="95" t="s">
        <v>77</v>
      </c>
      <c r="H42" s="95" t="s">
        <v>77</v>
      </c>
      <c r="I42" s="95"/>
      <c r="J42" s="92"/>
      <c r="K42" s="103"/>
      <c r="L42" s="1"/>
    </row>
    <row r="43" spans="1:12" ht="15" x14ac:dyDescent="0.25">
      <c r="A43" s="1"/>
      <c r="B43" s="99" t="s">
        <v>27</v>
      </c>
      <c r="C43" s="57"/>
      <c r="H43" s="99" t="s">
        <v>27</v>
      </c>
      <c r="K43" s="103"/>
    </row>
    <row r="44" spans="1:12" ht="12.75" x14ac:dyDescent="0.2"/>
    <row r="45" spans="1:12" ht="12.75" x14ac:dyDescent="0.2"/>
    <row r="46" spans="1:12" ht="12.75" x14ac:dyDescent="0.2"/>
    <row r="47" spans="1:12" ht="14.25" customHeight="1" x14ac:dyDescent="0.2"/>
    <row r="48" spans="1:12" ht="14.25" customHeight="1" x14ac:dyDescent="0.2"/>
    <row r="49" spans="1:12" ht="15" customHeight="1" x14ac:dyDescent="0.2"/>
    <row r="50" spans="1:12" ht="15" customHeight="1" x14ac:dyDescent="0.2"/>
    <row r="51" spans="1:12" ht="18.75" customHeight="1" x14ac:dyDescent="0.25">
      <c r="A51" s="3" t="s">
        <v>22</v>
      </c>
    </row>
    <row r="52" spans="1:12" ht="15" customHeight="1" x14ac:dyDescent="0.2">
      <c r="A52" s="122" t="s">
        <v>20</v>
      </c>
    </row>
    <row r="53" spans="1:12" ht="15" customHeight="1" x14ac:dyDescent="0.2">
      <c r="A53" s="122" t="s">
        <v>21</v>
      </c>
    </row>
    <row r="54" spans="1:12" ht="15" customHeight="1" x14ac:dyDescent="0.2"/>
    <row r="55" spans="1:12" ht="18.75" customHeight="1" x14ac:dyDescent="0.2"/>
    <row r="56" spans="1:12" ht="15" customHeight="1" x14ac:dyDescent="0.2"/>
    <row r="57" spans="1:12" ht="15" customHeight="1" x14ac:dyDescent="0.3">
      <c r="A57" s="276" t="s">
        <v>6</v>
      </c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</row>
    <row r="58" spans="1:12" ht="30.75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 ht="18.75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 ht="12.75" customHeight="1" x14ac:dyDescent="0.25">
      <c r="A60" s="1"/>
      <c r="B60" s="1"/>
    </row>
    <row r="61" spans="1:12" ht="16.5" customHeight="1" x14ac:dyDescent="0.25">
      <c r="A61" s="1" t="s">
        <v>7</v>
      </c>
      <c r="B61" s="1"/>
    </row>
    <row r="62" spans="1:12" ht="18.75" customHeight="1" x14ac:dyDescent="0.25">
      <c r="A62" s="1"/>
      <c r="B62" s="1"/>
    </row>
    <row r="63" spans="1:12" ht="14.25" customHeight="1" x14ac:dyDescent="0.25">
      <c r="A63" s="1" t="s">
        <v>8</v>
      </c>
      <c r="C63" s="9" t="s">
        <v>1</v>
      </c>
      <c r="D63" s="92" t="s">
        <v>96</v>
      </c>
      <c r="E63" s="76"/>
      <c r="F63" s="76"/>
      <c r="G63" s="76"/>
      <c r="H63" s="76"/>
    </row>
    <row r="64" spans="1:12" ht="12.75" customHeight="1" x14ac:dyDescent="0.25">
      <c r="A64" s="1" t="s">
        <v>9</v>
      </c>
      <c r="C64" s="9" t="s">
        <v>1</v>
      </c>
      <c r="D64" s="57" t="s">
        <v>200</v>
      </c>
      <c r="E64" s="76"/>
      <c r="F64" s="76"/>
      <c r="G64" s="76"/>
      <c r="H64" s="76"/>
    </row>
    <row r="65" spans="1:12" ht="20.25" customHeight="1" x14ac:dyDescent="0.2">
      <c r="A65" s="50" t="s">
        <v>10</v>
      </c>
      <c r="B65" s="76"/>
      <c r="C65" s="91" t="s">
        <v>1</v>
      </c>
      <c r="D65" s="50" t="s">
        <v>203</v>
      </c>
      <c r="E65" s="76"/>
      <c r="F65" s="76"/>
      <c r="G65" s="76"/>
      <c r="H65" s="76"/>
      <c r="I65" s="76"/>
      <c r="J65" s="76"/>
      <c r="K65" s="76"/>
      <c r="L65" s="76"/>
    </row>
    <row r="66" spans="1:12" ht="13.5" customHeight="1" x14ac:dyDescent="0.25">
      <c r="A66" s="1"/>
      <c r="B66" s="1"/>
      <c r="D66" s="1"/>
    </row>
    <row r="67" spans="1:12" ht="35.25" customHeight="1" x14ac:dyDescent="0.2">
      <c r="A67" s="277" t="s">
        <v>268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</row>
    <row r="68" spans="1:12" ht="15" customHeight="1" x14ac:dyDescent="0.25">
      <c r="A68" s="1"/>
      <c r="B68" s="1"/>
    </row>
    <row r="69" spans="1:12" ht="31.5" customHeight="1" thickBot="1" x14ac:dyDescent="0.25">
      <c r="A69" s="10" t="s">
        <v>0</v>
      </c>
      <c r="B69" s="278" t="s">
        <v>91</v>
      </c>
      <c r="C69" s="278"/>
      <c r="D69" s="278"/>
      <c r="E69" s="278"/>
      <c r="F69" s="278"/>
      <c r="G69" s="278"/>
      <c r="H69" s="278"/>
      <c r="I69" s="278"/>
      <c r="J69" s="278"/>
      <c r="K69" s="278"/>
      <c r="L69" s="278"/>
    </row>
    <row r="70" spans="1:12" ht="27" customHeight="1" thickTop="1" x14ac:dyDescent="0.25">
      <c r="A70" s="1"/>
      <c r="B70" s="11" t="s">
        <v>3</v>
      </c>
      <c r="C70" s="12" t="s">
        <v>4</v>
      </c>
      <c r="D70" s="13"/>
      <c r="E70" s="13"/>
      <c r="F70" s="13"/>
      <c r="G70" s="13"/>
      <c r="H70" s="14"/>
      <c r="I70" s="15" t="s">
        <v>5</v>
      </c>
      <c r="J70" s="12" t="s">
        <v>17</v>
      </c>
      <c r="K70" s="13"/>
      <c r="L70" s="14"/>
    </row>
    <row r="71" spans="1:12" ht="24" customHeight="1" x14ac:dyDescent="0.2">
      <c r="A71" s="50"/>
      <c r="B71" s="100">
        <v>1</v>
      </c>
      <c r="C71" s="284" t="s">
        <v>269</v>
      </c>
      <c r="D71" s="285"/>
      <c r="E71" s="285"/>
      <c r="F71" s="285"/>
      <c r="G71" s="76"/>
      <c r="H71" s="79"/>
      <c r="I71" s="56">
        <v>275000</v>
      </c>
      <c r="J71" s="76"/>
      <c r="K71" s="76"/>
      <c r="L71" s="79"/>
    </row>
    <row r="72" spans="1:12" ht="27.75" customHeight="1" x14ac:dyDescent="0.25">
      <c r="A72" s="50"/>
      <c r="B72" s="96"/>
      <c r="C72" s="321"/>
      <c r="D72" s="297"/>
      <c r="E72" s="127"/>
      <c r="F72" s="319"/>
      <c r="G72" s="297"/>
      <c r="H72" s="320"/>
      <c r="I72" s="56"/>
      <c r="J72" s="50"/>
      <c r="K72" s="1"/>
      <c r="L72" s="17"/>
    </row>
    <row r="73" spans="1:12" ht="29.25" customHeight="1" x14ac:dyDescent="0.2">
      <c r="B73" s="16"/>
      <c r="H73" s="17"/>
      <c r="I73" s="19"/>
      <c r="L73" s="17"/>
    </row>
    <row r="74" spans="1:12" ht="12.75" x14ac:dyDescent="0.2">
      <c r="B74" s="20"/>
      <c r="C74" s="21"/>
      <c r="D74" s="21"/>
      <c r="E74" s="21"/>
      <c r="F74" s="21"/>
      <c r="G74" s="21"/>
      <c r="H74" s="22"/>
      <c r="I74" s="23"/>
      <c r="J74" s="21"/>
      <c r="K74" s="21"/>
      <c r="L74" s="22"/>
    </row>
    <row r="75" spans="1:12" ht="15" x14ac:dyDescent="0.25">
      <c r="A75" s="1"/>
      <c r="B75" s="39"/>
      <c r="C75" s="1"/>
      <c r="D75" s="1"/>
      <c r="E75" s="1"/>
      <c r="F75" s="40" t="s">
        <v>5</v>
      </c>
      <c r="G75" s="40"/>
      <c r="H75" s="1"/>
      <c r="I75" s="41">
        <f>SUM(I71:I72)</f>
        <v>275000</v>
      </c>
      <c r="J75" s="1"/>
      <c r="K75" s="1"/>
      <c r="L75" s="42"/>
    </row>
    <row r="76" spans="1:12" ht="6.75" customHeight="1" thickBot="1" x14ac:dyDescent="0.3">
      <c r="A76" s="1"/>
      <c r="B76" s="43"/>
      <c r="C76" s="44"/>
      <c r="D76" s="44"/>
      <c r="E76" s="44"/>
      <c r="F76" s="45"/>
      <c r="G76" s="45"/>
      <c r="H76" s="44"/>
      <c r="I76" s="46"/>
      <c r="J76" s="44"/>
      <c r="K76" s="44"/>
      <c r="L76" s="47"/>
    </row>
    <row r="77" spans="1:12" ht="15.75" thickTop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46.5" customHeight="1" x14ac:dyDescent="0.2">
      <c r="A78" s="10" t="s">
        <v>2</v>
      </c>
      <c r="B78" s="279" t="s">
        <v>11</v>
      </c>
      <c r="C78" s="279"/>
      <c r="D78" s="279"/>
      <c r="E78" s="279"/>
      <c r="F78" s="279"/>
      <c r="G78" s="279"/>
      <c r="H78" s="279"/>
      <c r="I78" s="279"/>
      <c r="J78" s="279"/>
      <c r="K78" s="279"/>
      <c r="L78" s="279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customHeight="1" x14ac:dyDescent="0.2">
      <c r="A80" s="280" t="s">
        <v>12</v>
      </c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</row>
    <row r="81" spans="1:12" ht="1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customHeight="1" x14ac:dyDescent="0.25">
      <c r="A83" s="1"/>
      <c r="B83" s="1"/>
      <c r="C83" s="1"/>
      <c r="D83" s="1"/>
      <c r="E83" s="1"/>
      <c r="F83" s="1"/>
      <c r="G83" s="1"/>
      <c r="H83" s="4" t="s">
        <v>199</v>
      </c>
      <c r="J83" s="286" t="s">
        <v>270</v>
      </c>
      <c r="K83" s="286"/>
      <c r="L83" s="286"/>
    </row>
    <row r="84" spans="1:12" ht="15" x14ac:dyDescent="0.25">
      <c r="A84" s="1"/>
      <c r="B84" s="1" t="s">
        <v>15</v>
      </c>
      <c r="C84" s="1"/>
      <c r="D84" s="1"/>
      <c r="E84" s="1"/>
      <c r="F84" s="1"/>
      <c r="G84" s="1"/>
      <c r="H84" s="4" t="s">
        <v>13</v>
      </c>
    </row>
    <row r="85" spans="1:12" ht="15" customHeight="1" x14ac:dyDescent="0.25">
      <c r="A85" s="1"/>
      <c r="B85" s="1" t="s">
        <v>18</v>
      </c>
      <c r="C85" s="1"/>
      <c r="D85" s="1"/>
      <c r="E85" s="1"/>
      <c r="F85" s="1"/>
      <c r="G85" s="1"/>
      <c r="H85" s="4" t="s">
        <v>14</v>
      </c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21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"/>
    </row>
    <row r="89" spans="1:12" ht="15" x14ac:dyDescent="0.25">
      <c r="A89" s="1"/>
      <c r="K89" s="103"/>
      <c r="L89" s="1"/>
    </row>
    <row r="90" spans="1:12" ht="15" x14ac:dyDescent="0.25">
      <c r="A90" s="1"/>
      <c r="B90" s="95" t="s">
        <v>77</v>
      </c>
      <c r="H90" s="95" t="s">
        <v>96</v>
      </c>
      <c r="I90" s="95"/>
      <c r="J90" s="92"/>
      <c r="K90" s="103"/>
      <c r="L90" s="1"/>
    </row>
    <row r="91" spans="1:12" ht="15" x14ac:dyDescent="0.25">
      <c r="A91" s="1"/>
      <c r="B91" s="99" t="s">
        <v>27</v>
      </c>
      <c r="C91" s="57"/>
      <c r="H91" s="99" t="s">
        <v>100</v>
      </c>
      <c r="K91" s="103"/>
    </row>
    <row r="92" spans="1:12" ht="12.75" x14ac:dyDescent="0.2"/>
    <row r="93" spans="1:12" ht="12.75" x14ac:dyDescent="0.2"/>
    <row r="94" spans="1:12" ht="12.75" x14ac:dyDescent="0.2"/>
    <row r="95" spans="1:12" ht="12.75" x14ac:dyDescent="0.2"/>
    <row r="96" spans="1:12" ht="12.75" x14ac:dyDescent="0.2"/>
    <row r="97" ht="18" customHeight="1" x14ac:dyDescent="0.2"/>
    <row r="98" ht="23.25" customHeight="1" x14ac:dyDescent="0.2"/>
    <row r="99" ht="18.75" customHeight="1" x14ac:dyDescent="0.2"/>
    <row r="100" ht="14.25" customHeight="1" x14ac:dyDescent="0.2"/>
    <row r="101" ht="21" customHeight="1" x14ac:dyDescent="0.2"/>
    <row r="102" ht="15" customHeight="1" x14ac:dyDescent="0.2"/>
    <row r="103" ht="18.75" customHeight="1" x14ac:dyDescent="0.2"/>
    <row r="104" ht="14.25" customHeight="1" x14ac:dyDescent="0.2"/>
    <row r="105" ht="12.75" x14ac:dyDescent="0.2"/>
    <row r="106" ht="17.25" customHeight="1" x14ac:dyDescent="0.2"/>
    <row r="107" ht="28.5" customHeight="1" x14ac:dyDescent="0.2"/>
    <row r="108" ht="13.5" customHeight="1" x14ac:dyDescent="0.2"/>
    <row r="109" ht="23.25" customHeight="1" x14ac:dyDescent="0.2"/>
    <row r="110" ht="19.5" customHeight="1" x14ac:dyDescent="0.2"/>
    <row r="111" ht="14.25" customHeight="1" x14ac:dyDescent="0.2"/>
    <row r="112" ht="13.5" customHeight="1" x14ac:dyDescent="0.2"/>
    <row r="113" spans="1:12" ht="15.75" customHeight="1" x14ac:dyDescent="0.2"/>
    <row r="114" spans="1:12" ht="18.75" customHeight="1" x14ac:dyDescent="0.2"/>
    <row r="115" spans="1:12" ht="21.75" customHeight="1" x14ac:dyDescent="0.25">
      <c r="A115" s="3" t="s">
        <v>22</v>
      </c>
    </row>
    <row r="116" spans="1:12" ht="17.25" customHeight="1" x14ac:dyDescent="0.2">
      <c r="A116" s="122" t="s">
        <v>20</v>
      </c>
    </row>
    <row r="117" spans="1:12" ht="31.5" customHeight="1" x14ac:dyDescent="0.2">
      <c r="A117" s="122" t="s">
        <v>21</v>
      </c>
    </row>
    <row r="118" spans="1:12" ht="26.25" customHeight="1" x14ac:dyDescent="0.2"/>
    <row r="119" spans="1:12" ht="25.5" customHeight="1" x14ac:dyDescent="0.2"/>
    <row r="120" spans="1:12" ht="22.5" customHeight="1" x14ac:dyDescent="0.2"/>
    <row r="121" spans="1:12" ht="14.25" customHeight="1" x14ac:dyDescent="0.3">
      <c r="A121" s="276" t="s">
        <v>6</v>
      </c>
      <c r="B121" s="276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</row>
    <row r="122" spans="1:12" ht="36" customHeight="1" x14ac:dyDescent="0.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</row>
    <row r="123" spans="1:12" ht="21" customHeight="1" x14ac:dyDescent="0.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</row>
    <row r="124" spans="1:12" ht="15.75" customHeight="1" x14ac:dyDescent="0.25">
      <c r="A124" s="1"/>
      <c r="B124" s="1"/>
    </row>
    <row r="125" spans="1:12" ht="15" customHeight="1" x14ac:dyDescent="0.25">
      <c r="A125" s="1" t="s">
        <v>7</v>
      </c>
      <c r="B125" s="1"/>
    </row>
    <row r="126" spans="1:12" ht="13.5" customHeight="1" x14ac:dyDescent="0.25">
      <c r="A126" s="1"/>
      <c r="B126" s="1"/>
    </row>
    <row r="127" spans="1:12" ht="15" customHeight="1" x14ac:dyDescent="0.25">
      <c r="A127" s="1" t="s">
        <v>8</v>
      </c>
      <c r="C127" s="9" t="s">
        <v>1</v>
      </c>
      <c r="D127" s="92" t="s">
        <v>77</v>
      </c>
      <c r="E127" s="76"/>
      <c r="F127" s="76"/>
      <c r="G127" s="76"/>
      <c r="H127" s="76"/>
    </row>
    <row r="128" spans="1:12" ht="15" customHeight="1" x14ac:dyDescent="0.25">
      <c r="A128" s="1" t="s">
        <v>9</v>
      </c>
      <c r="C128" s="9" t="s">
        <v>1</v>
      </c>
      <c r="D128" s="57" t="s">
        <v>201</v>
      </c>
      <c r="E128" s="76"/>
      <c r="F128" s="76"/>
      <c r="G128" s="76"/>
      <c r="H128" s="76"/>
    </row>
    <row r="129" spans="1:12" ht="15" customHeight="1" x14ac:dyDescent="0.2">
      <c r="A129" s="50" t="s">
        <v>10</v>
      </c>
      <c r="B129" s="76"/>
      <c r="C129" s="91" t="s">
        <v>1</v>
      </c>
      <c r="D129" s="314" t="s">
        <v>265</v>
      </c>
      <c r="E129" s="314"/>
      <c r="F129" s="314"/>
      <c r="G129" s="314"/>
      <c r="H129" s="314"/>
      <c r="I129" s="76"/>
      <c r="J129" s="76"/>
      <c r="K129" s="76"/>
      <c r="L129" s="76"/>
    </row>
    <row r="130" spans="1:12" ht="15" x14ac:dyDescent="0.25">
      <c r="A130" s="1"/>
      <c r="B130" s="1"/>
      <c r="D130" s="1"/>
    </row>
    <row r="131" spans="1:12" ht="32.25" customHeight="1" x14ac:dyDescent="0.2">
      <c r="A131" s="277" t="s">
        <v>271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</row>
    <row r="132" spans="1:12" ht="15" x14ac:dyDescent="0.25">
      <c r="A132" s="1"/>
      <c r="B132" s="1"/>
    </row>
    <row r="133" spans="1:12" ht="36.75" customHeight="1" thickBot="1" x14ac:dyDescent="0.25">
      <c r="A133" s="10" t="s">
        <v>0</v>
      </c>
      <c r="B133" s="278" t="s">
        <v>91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8"/>
    </row>
    <row r="134" spans="1:12" ht="24" customHeight="1" thickTop="1" x14ac:dyDescent="0.25">
      <c r="A134" s="1"/>
      <c r="B134" s="11" t="s">
        <v>3</v>
      </c>
      <c r="C134" s="12" t="s">
        <v>4</v>
      </c>
      <c r="D134" s="13"/>
      <c r="E134" s="13"/>
      <c r="F134" s="13"/>
      <c r="G134" s="13"/>
      <c r="H134" s="14"/>
      <c r="I134" s="15" t="s">
        <v>5</v>
      </c>
      <c r="J134" s="12" t="s">
        <v>17</v>
      </c>
      <c r="K134" s="13"/>
      <c r="L134" s="14"/>
    </row>
    <row r="135" spans="1:12" ht="15" customHeight="1" x14ac:dyDescent="0.2">
      <c r="A135" s="50"/>
      <c r="B135" s="100">
        <v>1</v>
      </c>
      <c r="C135" s="284" t="s">
        <v>272</v>
      </c>
      <c r="D135" s="285"/>
      <c r="E135" s="285"/>
      <c r="F135" s="285"/>
      <c r="G135" s="76"/>
      <c r="H135" s="79"/>
      <c r="I135" s="56">
        <v>250000</v>
      </c>
      <c r="J135" s="76"/>
      <c r="K135" s="76"/>
      <c r="L135" s="79"/>
    </row>
    <row r="136" spans="1:12" ht="15" x14ac:dyDescent="0.25">
      <c r="A136" s="50"/>
      <c r="B136" s="96"/>
      <c r="C136" s="321"/>
      <c r="D136" s="297"/>
      <c r="E136" s="127"/>
      <c r="F136" s="319"/>
      <c r="G136" s="297"/>
      <c r="H136" s="320"/>
      <c r="I136" s="56"/>
      <c r="J136" s="50"/>
      <c r="K136" s="1"/>
      <c r="L136" s="17"/>
    </row>
    <row r="137" spans="1:12" ht="15" customHeight="1" x14ac:dyDescent="0.2">
      <c r="B137" s="16"/>
      <c r="H137" s="17"/>
      <c r="I137" s="19"/>
      <c r="L137" s="17"/>
    </row>
    <row r="138" spans="1:12" ht="23.25" customHeight="1" x14ac:dyDescent="0.2">
      <c r="B138" s="20"/>
      <c r="C138" s="21"/>
      <c r="D138" s="21"/>
      <c r="E138" s="21"/>
      <c r="F138" s="21"/>
      <c r="G138" s="21"/>
      <c r="H138" s="22"/>
      <c r="I138" s="23"/>
      <c r="J138" s="21"/>
      <c r="K138" s="21"/>
      <c r="L138" s="22"/>
    </row>
    <row r="139" spans="1:12" ht="15" x14ac:dyDescent="0.25">
      <c r="A139" s="1"/>
      <c r="B139" s="39"/>
      <c r="C139" s="1"/>
      <c r="D139" s="1"/>
      <c r="E139" s="1"/>
      <c r="F139" s="40" t="s">
        <v>5</v>
      </c>
      <c r="G139" s="40"/>
      <c r="H139" s="1"/>
      <c r="I139" s="41">
        <f>SUM(I135:I136)</f>
        <v>250000</v>
      </c>
      <c r="J139" s="1"/>
      <c r="K139" s="1"/>
      <c r="L139" s="42"/>
    </row>
    <row r="140" spans="1:12" ht="15.75" thickBot="1" x14ac:dyDescent="0.3">
      <c r="A140" s="1"/>
      <c r="B140" s="43"/>
      <c r="C140" s="44"/>
      <c r="D140" s="44"/>
      <c r="E140" s="44"/>
      <c r="F140" s="45"/>
      <c r="G140" s="45"/>
      <c r="H140" s="44"/>
      <c r="I140" s="46"/>
      <c r="J140" s="44"/>
      <c r="K140" s="44"/>
      <c r="L140" s="47"/>
    </row>
    <row r="141" spans="1:12" ht="14.25" customHeight="1" thickTop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47.25" customHeight="1" x14ac:dyDescent="0.2">
      <c r="A142" s="10" t="s">
        <v>2</v>
      </c>
      <c r="B142" s="279" t="s">
        <v>11</v>
      </c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</row>
    <row r="143" spans="1:12" ht="16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21" customHeight="1" x14ac:dyDescent="0.2">
      <c r="A144" s="280" t="s">
        <v>12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</row>
    <row r="145" spans="1:1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20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8.75" customHeight="1" x14ac:dyDescent="0.25">
      <c r="A147" s="1"/>
      <c r="B147" s="1"/>
      <c r="C147" s="1"/>
      <c r="D147" s="1"/>
      <c r="E147" s="1"/>
      <c r="F147" s="1"/>
      <c r="G147" s="1"/>
      <c r="H147" s="4" t="s">
        <v>199</v>
      </c>
      <c r="J147" s="286" t="s">
        <v>273</v>
      </c>
      <c r="K147" s="286"/>
      <c r="L147" s="286"/>
    </row>
    <row r="148" spans="1:12" s="76" customFormat="1" ht="15" customHeight="1" x14ac:dyDescent="0.25">
      <c r="A148" s="1"/>
      <c r="B148" s="1" t="s">
        <v>15</v>
      </c>
      <c r="C148" s="1"/>
      <c r="D148" s="1"/>
      <c r="E148" s="1"/>
      <c r="F148" s="1"/>
      <c r="G148" s="1"/>
      <c r="H148" s="4" t="s">
        <v>13</v>
      </c>
      <c r="I148" s="4"/>
      <c r="J148" s="4"/>
      <c r="K148" s="4"/>
      <c r="L148" s="4"/>
    </row>
    <row r="149" spans="1:12" ht="17.25" customHeight="1" x14ac:dyDescent="0.25">
      <c r="A149" s="1"/>
      <c r="B149" s="1" t="s">
        <v>18</v>
      </c>
      <c r="C149" s="1"/>
      <c r="D149" s="1"/>
      <c r="E149" s="1"/>
      <c r="F149" s="1"/>
      <c r="G149" s="1"/>
      <c r="H149" s="4" t="s">
        <v>14</v>
      </c>
    </row>
    <row r="150" spans="1:12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" x14ac:dyDescent="0.25">
      <c r="A152" s="1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"/>
    </row>
    <row r="153" spans="1:12" ht="15" x14ac:dyDescent="0.25">
      <c r="A153" s="1"/>
      <c r="K153" s="103"/>
      <c r="L153" s="1"/>
    </row>
    <row r="154" spans="1:12" ht="15" x14ac:dyDescent="0.25">
      <c r="A154" s="1"/>
      <c r="B154" s="95" t="s">
        <v>77</v>
      </c>
      <c r="H154" s="95" t="s">
        <v>77</v>
      </c>
      <c r="I154" s="95"/>
      <c r="J154" s="92"/>
      <c r="K154" s="103"/>
      <c r="L154" s="1"/>
    </row>
    <row r="155" spans="1:12" ht="16.5" customHeight="1" x14ac:dyDescent="0.25">
      <c r="A155" s="1"/>
      <c r="B155" s="99" t="s">
        <v>27</v>
      </c>
      <c r="C155" s="57"/>
      <c r="H155" s="99" t="s">
        <v>27</v>
      </c>
      <c r="K155" s="103"/>
    </row>
    <row r="156" spans="1:12" ht="15.75" customHeight="1" x14ac:dyDescent="0.2"/>
    <row r="157" spans="1:12" ht="18.75" customHeight="1" x14ac:dyDescent="0.2"/>
    <row r="158" spans="1:12" ht="14.25" customHeight="1" x14ac:dyDescent="0.2"/>
    <row r="159" spans="1:12" ht="16.5" customHeight="1" x14ac:dyDescent="0.25">
      <c r="A159" s="3" t="s">
        <v>22</v>
      </c>
    </row>
    <row r="160" spans="1:12" ht="21" customHeight="1" x14ac:dyDescent="0.2">
      <c r="A160" s="122" t="s">
        <v>20</v>
      </c>
    </row>
    <row r="161" spans="1:12" ht="31.5" customHeight="1" x14ac:dyDescent="0.2">
      <c r="A161" s="122" t="s">
        <v>21</v>
      </c>
    </row>
    <row r="162" spans="1:12" ht="15.75" customHeight="1" x14ac:dyDescent="0.2"/>
    <row r="163" spans="1:12" ht="33.75" customHeight="1" x14ac:dyDescent="0.2"/>
    <row r="164" spans="1:12" ht="17.25" customHeight="1" x14ac:dyDescent="0.2"/>
    <row r="165" spans="1:12" ht="30" customHeight="1" x14ac:dyDescent="0.3">
      <c r="A165" s="276" t="s">
        <v>6</v>
      </c>
      <c r="B165" s="276"/>
      <c r="C165" s="276"/>
      <c r="D165" s="276"/>
      <c r="E165" s="276"/>
      <c r="F165" s="276"/>
      <c r="G165" s="276"/>
      <c r="H165" s="276"/>
      <c r="I165" s="276"/>
      <c r="J165" s="276"/>
      <c r="K165" s="276"/>
      <c r="L165" s="276"/>
    </row>
    <row r="166" spans="1:12" ht="26.25" customHeigh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</row>
    <row r="167" spans="1:12" ht="22.5" customHeigh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</row>
    <row r="168" spans="1:12" ht="14.25" customHeight="1" x14ac:dyDescent="0.25">
      <c r="A168" s="1"/>
      <c r="B168" s="1"/>
    </row>
    <row r="169" spans="1:12" ht="13.5" customHeight="1" x14ac:dyDescent="0.25">
      <c r="A169" s="1" t="s">
        <v>7</v>
      </c>
      <c r="B169" s="1"/>
    </row>
    <row r="170" spans="1:12" ht="12" customHeight="1" x14ac:dyDescent="0.25">
      <c r="A170" s="1"/>
      <c r="B170" s="1"/>
    </row>
    <row r="171" spans="1:12" ht="19.5" customHeight="1" x14ac:dyDescent="0.25">
      <c r="A171" s="1" t="s">
        <v>8</v>
      </c>
      <c r="C171" s="9" t="s">
        <v>1</v>
      </c>
      <c r="D171" s="126" t="s">
        <v>64</v>
      </c>
      <c r="E171" s="76"/>
      <c r="F171" s="76"/>
      <c r="G171" s="76"/>
      <c r="H171" s="76"/>
    </row>
    <row r="172" spans="1:12" ht="15.75" customHeight="1" x14ac:dyDescent="0.25">
      <c r="A172" s="1" t="s">
        <v>9</v>
      </c>
      <c r="C172" s="9" t="s">
        <v>1</v>
      </c>
      <c r="D172" s="119" t="s">
        <v>236</v>
      </c>
      <c r="E172" s="76"/>
      <c r="F172" s="76"/>
      <c r="G172" s="76"/>
      <c r="H172" s="76"/>
    </row>
    <row r="173" spans="1:12" ht="16.5" customHeight="1" x14ac:dyDescent="0.2">
      <c r="A173" s="50" t="s">
        <v>10</v>
      </c>
      <c r="B173" s="76"/>
      <c r="C173" s="91" t="s">
        <v>1</v>
      </c>
      <c r="D173" s="124" t="s">
        <v>235</v>
      </c>
      <c r="E173" s="76"/>
      <c r="F173" s="76"/>
      <c r="G173" s="76"/>
      <c r="H173" s="76"/>
      <c r="I173" s="76"/>
      <c r="J173" s="76"/>
      <c r="K173" s="76"/>
      <c r="L173" s="76"/>
    </row>
    <row r="174" spans="1:12" s="76" customFormat="1" ht="15" customHeight="1" x14ac:dyDescent="0.25">
      <c r="A174" s="1"/>
      <c r="B174" s="1"/>
      <c r="C174" s="4"/>
      <c r="D174" s="1"/>
      <c r="E174" s="4"/>
      <c r="F174" s="4"/>
      <c r="G174" s="4"/>
      <c r="H174" s="4"/>
      <c r="I174" s="4"/>
      <c r="J174" s="4"/>
      <c r="K174" s="4"/>
      <c r="L174" s="4"/>
    </row>
    <row r="175" spans="1:12" ht="44.25" customHeight="1" x14ac:dyDescent="0.2">
      <c r="A175" s="277" t="s">
        <v>271</v>
      </c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</row>
    <row r="176" spans="1:12" ht="15" x14ac:dyDescent="0.25">
      <c r="A176" s="1"/>
      <c r="B176" s="1"/>
    </row>
    <row r="177" spans="1:12" ht="33" customHeight="1" thickBot="1" x14ac:dyDescent="0.25">
      <c r="A177" s="10" t="s">
        <v>0</v>
      </c>
      <c r="B177" s="278" t="s">
        <v>91</v>
      </c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</row>
    <row r="178" spans="1:12" ht="15.75" thickTop="1" x14ac:dyDescent="0.25">
      <c r="A178" s="1"/>
      <c r="B178" s="11" t="s">
        <v>3</v>
      </c>
      <c r="C178" s="12" t="s">
        <v>4</v>
      </c>
      <c r="D178" s="13"/>
      <c r="E178" s="13"/>
      <c r="F178" s="13"/>
      <c r="G178" s="13"/>
      <c r="H178" s="14"/>
      <c r="I178" s="15" t="s">
        <v>5</v>
      </c>
      <c r="J178" s="12" t="s">
        <v>17</v>
      </c>
      <c r="K178" s="13"/>
      <c r="L178" s="14"/>
    </row>
    <row r="179" spans="1:12" ht="15" customHeight="1" x14ac:dyDescent="0.2">
      <c r="A179" s="50"/>
      <c r="B179" s="100">
        <v>1</v>
      </c>
      <c r="C179" s="284" t="s">
        <v>272</v>
      </c>
      <c r="D179" s="285"/>
      <c r="E179" s="285"/>
      <c r="F179" s="285"/>
      <c r="G179" s="76"/>
      <c r="H179" s="79"/>
      <c r="I179" s="56">
        <v>250000</v>
      </c>
      <c r="J179" s="76"/>
      <c r="K179" s="76"/>
      <c r="L179" s="79"/>
    </row>
    <row r="180" spans="1:12" ht="15" x14ac:dyDescent="0.25">
      <c r="A180" s="50"/>
      <c r="B180" s="96"/>
      <c r="C180" s="321"/>
      <c r="D180" s="297"/>
      <c r="E180" s="127"/>
      <c r="F180" s="319"/>
      <c r="G180" s="297"/>
      <c r="H180" s="320"/>
      <c r="I180" s="56"/>
      <c r="J180" s="50"/>
      <c r="K180" s="1"/>
      <c r="L180" s="17"/>
    </row>
    <row r="181" spans="1:12" ht="15" customHeight="1" x14ac:dyDescent="0.2">
      <c r="B181" s="16"/>
      <c r="H181" s="17"/>
      <c r="I181" s="19"/>
      <c r="L181" s="17"/>
    </row>
    <row r="182" spans="1:12" ht="12.75" x14ac:dyDescent="0.2">
      <c r="B182" s="20"/>
      <c r="C182" s="21"/>
      <c r="D182" s="21"/>
      <c r="E182" s="21"/>
      <c r="F182" s="21"/>
      <c r="G182" s="21"/>
      <c r="H182" s="22"/>
      <c r="I182" s="23"/>
      <c r="J182" s="21"/>
      <c r="K182" s="21"/>
      <c r="L182" s="22"/>
    </row>
    <row r="183" spans="1:12" ht="15" customHeight="1" x14ac:dyDescent="0.25">
      <c r="A183" s="1"/>
      <c r="B183" s="39"/>
      <c r="C183" s="1"/>
      <c r="D183" s="1"/>
      <c r="E183" s="1"/>
      <c r="F183" s="40" t="s">
        <v>5</v>
      </c>
      <c r="G183" s="40"/>
      <c r="H183" s="1"/>
      <c r="I183" s="41">
        <f>SUM(I179:I180)</f>
        <v>250000</v>
      </c>
      <c r="J183" s="1"/>
      <c r="K183" s="1"/>
      <c r="L183" s="42"/>
    </row>
    <row r="184" spans="1:12" ht="15.75" thickBot="1" x14ac:dyDescent="0.3">
      <c r="A184" s="1"/>
      <c r="B184" s="43"/>
      <c r="C184" s="44"/>
      <c r="D184" s="44"/>
      <c r="E184" s="44"/>
      <c r="F184" s="45"/>
      <c r="G184" s="45"/>
      <c r="H184" s="44"/>
      <c r="I184" s="46"/>
      <c r="J184" s="44"/>
      <c r="K184" s="44"/>
      <c r="L184" s="47"/>
    </row>
    <row r="185" spans="1:12" ht="15.75" thickTop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48" customHeight="1" x14ac:dyDescent="0.2">
      <c r="A186" s="10" t="s">
        <v>2</v>
      </c>
      <c r="B186" s="279" t="s">
        <v>11</v>
      </c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</row>
    <row r="187" spans="1:12" ht="16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">
      <c r="A188" s="280" t="s">
        <v>12</v>
      </c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</row>
    <row r="189" spans="1:12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" customHeight="1" x14ac:dyDescent="0.25">
      <c r="A191" s="1"/>
      <c r="B191" s="1"/>
      <c r="C191" s="1"/>
      <c r="D191" s="1"/>
      <c r="E191" s="1"/>
      <c r="F191" s="1"/>
      <c r="G191" s="1"/>
      <c r="H191" s="4" t="s">
        <v>199</v>
      </c>
      <c r="J191" s="286" t="s">
        <v>273</v>
      </c>
      <c r="K191" s="286"/>
      <c r="L191" s="286"/>
    </row>
    <row r="192" spans="1:12" ht="19.5" customHeight="1" x14ac:dyDescent="0.25">
      <c r="A192" s="1"/>
      <c r="B192" s="1" t="s">
        <v>15</v>
      </c>
      <c r="C192" s="1"/>
      <c r="D192" s="1"/>
      <c r="E192" s="1"/>
      <c r="F192" s="1"/>
      <c r="G192" s="1"/>
      <c r="H192" s="4" t="s">
        <v>13</v>
      </c>
    </row>
    <row r="193" spans="1:12" ht="15.75" customHeight="1" x14ac:dyDescent="0.25">
      <c r="A193" s="1"/>
      <c r="B193" s="1" t="s">
        <v>18</v>
      </c>
      <c r="C193" s="1"/>
      <c r="D193" s="1"/>
      <c r="E193" s="1"/>
      <c r="F193" s="1"/>
      <c r="G193" s="1"/>
      <c r="H193" s="4" t="s">
        <v>14</v>
      </c>
    </row>
    <row r="194" spans="1:12" ht="18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7.25" hidden="1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7.5" customHeight="1" x14ac:dyDescent="0.25">
      <c r="A196" s="1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"/>
    </row>
    <row r="197" spans="1:12" ht="22.5" customHeight="1" x14ac:dyDescent="0.25">
      <c r="A197" s="1"/>
      <c r="K197" s="103"/>
      <c r="L197" s="1"/>
    </row>
    <row r="198" spans="1:12" ht="14.25" customHeight="1" x14ac:dyDescent="0.25">
      <c r="A198" s="1"/>
      <c r="B198" s="95" t="s">
        <v>77</v>
      </c>
      <c r="H198" s="95" t="s">
        <v>64</v>
      </c>
      <c r="I198" s="95"/>
      <c r="J198" s="92"/>
      <c r="K198" s="103"/>
      <c r="L198" s="1"/>
    </row>
    <row r="199" spans="1:12" ht="18.75" customHeight="1" x14ac:dyDescent="0.25">
      <c r="A199" s="1"/>
      <c r="B199" s="99" t="s">
        <v>27</v>
      </c>
      <c r="C199" s="57"/>
      <c r="H199" s="99" t="s">
        <v>46</v>
      </c>
      <c r="K199" s="103"/>
    </row>
    <row r="200" spans="1:12" ht="12.75" x14ac:dyDescent="0.2"/>
    <row r="201" spans="1:12" s="76" customFormat="1" ht="17.25" customHeight="1" x14ac:dyDescent="0.2"/>
    <row r="202" spans="1:12" ht="17.25" customHeight="1" x14ac:dyDescent="0.2"/>
    <row r="203" spans="1:12" ht="17.25" customHeight="1" x14ac:dyDescent="0.2"/>
    <row r="204" spans="1:12" ht="18" customHeight="1" x14ac:dyDescent="0.2"/>
    <row r="205" spans="1:12" ht="17.25" customHeight="1" x14ac:dyDescent="0.25">
      <c r="A205" s="3" t="s">
        <v>22</v>
      </c>
    </row>
    <row r="206" spans="1:12" ht="17.25" customHeight="1" x14ac:dyDescent="0.2">
      <c r="A206" s="122" t="s">
        <v>20</v>
      </c>
    </row>
    <row r="207" spans="1:12" ht="33" customHeight="1" x14ac:dyDescent="0.2">
      <c r="A207" s="122" t="s">
        <v>21</v>
      </c>
    </row>
    <row r="208" spans="1:12" ht="12.75" x14ac:dyDescent="0.2"/>
    <row r="209" spans="1:12" ht="38.25" customHeight="1" x14ac:dyDescent="0.2"/>
    <row r="210" spans="1:12" ht="14.25" customHeight="1" x14ac:dyDescent="0.2"/>
    <row r="211" spans="1:12" ht="26.25" customHeight="1" x14ac:dyDescent="0.3">
      <c r="A211" s="276" t="s">
        <v>6</v>
      </c>
      <c r="B211" s="276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</row>
    <row r="212" spans="1:12" ht="16.5" customHeigh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</row>
    <row r="213" spans="1:12" ht="39.75" hidden="1" customHeigh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</row>
    <row r="214" spans="1:12" ht="9" customHeight="1" x14ac:dyDescent="0.25">
      <c r="A214" s="1"/>
      <c r="B214" s="1"/>
    </row>
    <row r="215" spans="1:12" ht="18.75" customHeight="1" x14ac:dyDescent="0.25">
      <c r="A215" s="1" t="s">
        <v>7</v>
      </c>
      <c r="B215" s="1"/>
    </row>
    <row r="216" spans="1:12" ht="9.75" customHeight="1" x14ac:dyDescent="0.25">
      <c r="A216" s="1"/>
      <c r="B216" s="1"/>
    </row>
    <row r="217" spans="1:12" ht="21" customHeight="1" x14ac:dyDescent="0.25">
      <c r="A217" s="1" t="s">
        <v>8</v>
      </c>
      <c r="C217" s="9" t="s">
        <v>1</v>
      </c>
      <c r="D217" s="40" t="s">
        <v>156</v>
      </c>
      <c r="E217" s="76"/>
      <c r="F217" s="76"/>
      <c r="G217" s="76"/>
      <c r="H217" s="76"/>
    </row>
    <row r="218" spans="1:12" ht="15.75" customHeight="1" x14ac:dyDescent="0.25">
      <c r="A218" s="1" t="s">
        <v>9</v>
      </c>
      <c r="C218" s="9" t="s">
        <v>1</v>
      </c>
      <c r="D218" s="10" t="s">
        <v>274</v>
      </c>
      <c r="E218" s="76"/>
      <c r="F218" s="76"/>
      <c r="G218" s="76"/>
      <c r="H218" s="76"/>
    </row>
    <row r="219" spans="1:12" ht="15" customHeight="1" x14ac:dyDescent="0.2">
      <c r="A219" s="50" t="s">
        <v>10</v>
      </c>
      <c r="B219" s="76"/>
      <c r="C219" s="91" t="s">
        <v>1</v>
      </c>
      <c r="D219" s="124" t="s">
        <v>275</v>
      </c>
      <c r="E219" s="76"/>
      <c r="F219" s="76"/>
      <c r="G219" s="76"/>
      <c r="H219" s="76"/>
      <c r="I219" s="76"/>
      <c r="J219" s="76"/>
      <c r="K219" s="76"/>
      <c r="L219" s="76"/>
    </row>
    <row r="220" spans="1:12" ht="20.25" customHeight="1" x14ac:dyDescent="0.25">
      <c r="A220" s="1"/>
      <c r="B220" s="1"/>
      <c r="D220" s="1"/>
    </row>
    <row r="221" spans="1:12" ht="30" customHeight="1" x14ac:dyDescent="0.2">
      <c r="A221" s="277" t="s">
        <v>271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</row>
    <row r="222" spans="1:12" ht="10.5" customHeight="1" x14ac:dyDescent="0.25">
      <c r="A222" s="1"/>
      <c r="B222" s="1"/>
    </row>
    <row r="223" spans="1:12" ht="45" customHeight="1" thickBot="1" x14ac:dyDescent="0.25">
      <c r="A223" s="10" t="s">
        <v>0</v>
      </c>
      <c r="B223" s="278" t="s">
        <v>91</v>
      </c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</row>
    <row r="224" spans="1:12" ht="13.5" customHeight="1" thickTop="1" x14ac:dyDescent="0.25">
      <c r="A224" s="1"/>
      <c r="B224" s="11" t="s">
        <v>3</v>
      </c>
      <c r="C224" s="12" t="s">
        <v>4</v>
      </c>
      <c r="D224" s="13"/>
      <c r="E224" s="13"/>
      <c r="F224" s="13"/>
      <c r="G224" s="13"/>
      <c r="H224" s="14"/>
      <c r="I224" s="15" t="s">
        <v>5</v>
      </c>
      <c r="J224" s="12" t="s">
        <v>17</v>
      </c>
      <c r="K224" s="13"/>
      <c r="L224" s="14"/>
    </row>
    <row r="225" spans="1:12" ht="15" customHeight="1" x14ac:dyDescent="0.2">
      <c r="A225" s="50"/>
      <c r="B225" s="100">
        <v>1</v>
      </c>
      <c r="C225" s="284" t="s">
        <v>272</v>
      </c>
      <c r="D225" s="285"/>
      <c r="E225" s="285"/>
      <c r="F225" s="285"/>
      <c r="G225" s="76"/>
      <c r="H225" s="79"/>
      <c r="I225" s="56">
        <v>250000</v>
      </c>
      <c r="J225" s="76"/>
      <c r="K225" s="76"/>
      <c r="L225" s="79"/>
    </row>
    <row r="226" spans="1:12" ht="24.75" customHeight="1" x14ac:dyDescent="0.25">
      <c r="A226" s="50"/>
      <c r="B226" s="96"/>
      <c r="C226" s="321"/>
      <c r="D226" s="297"/>
      <c r="E226" s="127"/>
      <c r="F226" s="319"/>
      <c r="G226" s="297"/>
      <c r="H226" s="320"/>
      <c r="I226" s="56"/>
      <c r="J226" s="50"/>
      <c r="K226" s="1"/>
      <c r="L226" s="17"/>
    </row>
    <row r="227" spans="1:12" ht="15.75" customHeight="1" x14ac:dyDescent="0.2">
      <c r="B227" s="16"/>
      <c r="H227" s="17"/>
      <c r="I227" s="19"/>
      <c r="L227" s="17"/>
    </row>
    <row r="228" spans="1:12" ht="15" customHeight="1" x14ac:dyDescent="0.2">
      <c r="B228" s="20"/>
      <c r="C228" s="21"/>
      <c r="D228" s="21"/>
      <c r="E228" s="21"/>
      <c r="F228" s="21"/>
      <c r="G228" s="21"/>
      <c r="H228" s="22"/>
      <c r="I228" s="23"/>
      <c r="J228" s="21"/>
      <c r="K228" s="21"/>
      <c r="L228" s="22"/>
    </row>
    <row r="229" spans="1:12" ht="15" x14ac:dyDescent="0.25">
      <c r="A229" s="1"/>
      <c r="B229" s="39"/>
      <c r="C229" s="1"/>
      <c r="D229" s="1"/>
      <c r="E229" s="1"/>
      <c r="F229" s="40" t="s">
        <v>5</v>
      </c>
      <c r="G229" s="40"/>
      <c r="H229" s="1"/>
      <c r="I229" s="41">
        <f>SUM(I225:I226)</f>
        <v>250000</v>
      </c>
      <c r="J229" s="1"/>
      <c r="K229" s="1"/>
      <c r="L229" s="42"/>
    </row>
    <row r="230" spans="1:12" ht="14.25" customHeight="1" thickBot="1" x14ac:dyDescent="0.3">
      <c r="A230" s="1"/>
      <c r="B230" s="43"/>
      <c r="C230" s="44"/>
      <c r="D230" s="44"/>
      <c r="E230" s="44"/>
      <c r="F230" s="45"/>
      <c r="G230" s="45"/>
      <c r="H230" s="44"/>
      <c r="I230" s="46"/>
      <c r="J230" s="44"/>
      <c r="K230" s="44"/>
      <c r="L230" s="47"/>
    </row>
    <row r="231" spans="1:12" ht="15.75" thickTop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45.75" customHeight="1" x14ac:dyDescent="0.2">
      <c r="A232" s="10" t="s">
        <v>2</v>
      </c>
      <c r="B232" s="279" t="s">
        <v>11</v>
      </c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</row>
    <row r="233" spans="1:12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9.5" customHeight="1" x14ac:dyDescent="0.2">
      <c r="A234" s="280" t="s">
        <v>12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</row>
    <row r="235" spans="1:1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23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9.5" customHeight="1" x14ac:dyDescent="0.25">
      <c r="A237" s="1"/>
      <c r="B237" s="1"/>
      <c r="C237" s="1"/>
      <c r="D237" s="1"/>
      <c r="E237" s="1"/>
      <c r="F237" s="1"/>
      <c r="G237" s="1"/>
      <c r="H237" s="4" t="s">
        <v>199</v>
      </c>
      <c r="J237" s="286" t="s">
        <v>273</v>
      </c>
      <c r="K237" s="286"/>
      <c r="L237" s="286"/>
    </row>
    <row r="238" spans="1:12" ht="18.75" customHeight="1" x14ac:dyDescent="0.25">
      <c r="A238" s="1"/>
      <c r="B238" s="1" t="s">
        <v>15</v>
      </c>
      <c r="C238" s="1"/>
      <c r="D238" s="1"/>
      <c r="E238" s="1"/>
      <c r="F238" s="1"/>
      <c r="G238" s="1"/>
      <c r="H238" s="4" t="s">
        <v>13</v>
      </c>
    </row>
    <row r="239" spans="1:12" s="119" customFormat="1" ht="18" customHeight="1" x14ac:dyDescent="0.25">
      <c r="A239" s="1"/>
      <c r="B239" s="1" t="s">
        <v>18</v>
      </c>
      <c r="C239" s="1"/>
      <c r="D239" s="1"/>
      <c r="E239" s="1"/>
      <c r="F239" s="1"/>
      <c r="G239" s="1"/>
      <c r="H239" s="4" t="s">
        <v>14</v>
      </c>
      <c r="I239" s="4"/>
      <c r="J239" s="4"/>
      <c r="K239" s="4"/>
      <c r="L239" s="4"/>
    </row>
    <row r="240" spans="1:12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22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9.5" customHeight="1" x14ac:dyDescent="0.25">
      <c r="A242" s="1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"/>
    </row>
    <row r="243" spans="1:12" ht="19.5" customHeight="1" x14ac:dyDescent="0.25">
      <c r="A243" s="1"/>
      <c r="K243" s="103"/>
      <c r="L243" s="1"/>
    </row>
    <row r="244" spans="1:12" ht="16.5" customHeight="1" x14ac:dyDescent="0.25">
      <c r="A244" s="1"/>
      <c r="B244" s="95" t="s">
        <v>77</v>
      </c>
      <c r="H244" s="37" t="s">
        <v>156</v>
      </c>
      <c r="I244" s="95"/>
      <c r="J244" s="92"/>
      <c r="K244" s="103"/>
      <c r="L244" s="1"/>
    </row>
    <row r="245" spans="1:12" ht="13.5" customHeight="1" x14ac:dyDescent="0.25">
      <c r="A245" s="1"/>
      <c r="B245" s="99" t="s">
        <v>27</v>
      </c>
      <c r="C245" s="57"/>
      <c r="H245" s="48" t="s">
        <v>157</v>
      </c>
      <c r="K245" s="103"/>
    </row>
    <row r="246" spans="1:12" ht="12.75" customHeight="1" x14ac:dyDescent="0.2"/>
    <row r="247" spans="1:12" ht="22.5" customHeight="1" x14ac:dyDescent="0.2"/>
    <row r="248" spans="1:12" ht="15.75" customHeight="1" x14ac:dyDescent="0.2"/>
    <row r="249" spans="1:12" ht="19.5" customHeight="1" x14ac:dyDescent="0.2"/>
    <row r="250" spans="1:12" ht="20.25" customHeight="1" x14ac:dyDescent="0.2"/>
    <row r="251" spans="1:12" ht="33" customHeight="1" x14ac:dyDescent="0.2"/>
    <row r="252" spans="1:12" ht="16.5" customHeight="1" x14ac:dyDescent="0.2"/>
    <row r="253" spans="1:12" ht="31.5" customHeight="1" x14ac:dyDescent="0.2"/>
    <row r="254" spans="1:12" ht="18.75" customHeight="1" x14ac:dyDescent="0.2"/>
    <row r="255" spans="1:12" ht="24.75" customHeight="1" x14ac:dyDescent="0.2"/>
    <row r="256" spans="1:12" ht="33" customHeight="1" x14ac:dyDescent="0.2"/>
    <row r="257" spans="1:12" ht="33.75" customHeight="1" x14ac:dyDescent="0.2"/>
    <row r="258" spans="1:12" ht="12" customHeight="1" x14ac:dyDescent="0.2"/>
    <row r="259" spans="1:12" ht="20.25" customHeight="1" x14ac:dyDescent="0.2"/>
    <row r="260" spans="1:12" ht="9" customHeight="1" x14ac:dyDescent="0.2"/>
    <row r="261" spans="1:12" ht="15.75" customHeight="1" x14ac:dyDescent="0.2"/>
    <row r="262" spans="1:12" ht="47.25" customHeight="1" x14ac:dyDescent="0.25">
      <c r="A262" s="3" t="s">
        <v>22</v>
      </c>
    </row>
    <row r="263" spans="1:12" ht="22.5" customHeight="1" x14ac:dyDescent="0.2">
      <c r="A263" s="122" t="s">
        <v>20</v>
      </c>
    </row>
    <row r="264" spans="1:12" ht="15" customHeight="1" x14ac:dyDescent="0.2">
      <c r="A264" s="122" t="s">
        <v>21</v>
      </c>
    </row>
    <row r="265" spans="1:12" ht="14.25" customHeight="1" x14ac:dyDescent="0.2"/>
    <row r="266" spans="1:12" ht="13.5" customHeight="1" x14ac:dyDescent="0.2"/>
    <row r="267" spans="1:12" ht="12.75" x14ac:dyDescent="0.2"/>
    <row r="268" spans="1:12" ht="18.75" customHeight="1" x14ac:dyDescent="0.3">
      <c r="A268" s="276" t="s">
        <v>6</v>
      </c>
      <c r="B268" s="276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</row>
    <row r="269" spans="1:12" ht="14.25" customHeigh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</row>
    <row r="270" spans="1:12" ht="18.75" hidden="1" customHeight="1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</row>
    <row r="271" spans="1:12" ht="9.75" customHeight="1" x14ac:dyDescent="0.25">
      <c r="A271" s="1"/>
      <c r="B271" s="1"/>
    </row>
    <row r="272" spans="1:12" ht="19.5" customHeight="1" x14ac:dyDescent="0.25">
      <c r="A272" s="1" t="s">
        <v>7</v>
      </c>
      <c r="B272" s="1"/>
    </row>
    <row r="273" spans="1:12" ht="15" x14ac:dyDescent="0.25">
      <c r="A273" s="1"/>
      <c r="B273" s="1"/>
    </row>
    <row r="274" spans="1:12" ht="18" customHeight="1" x14ac:dyDescent="0.25">
      <c r="A274" s="1" t="s">
        <v>8</v>
      </c>
      <c r="C274" s="9" t="s">
        <v>1</v>
      </c>
      <c r="D274" s="92" t="s">
        <v>77</v>
      </c>
      <c r="E274" s="76"/>
      <c r="F274" s="76"/>
      <c r="G274" s="76"/>
      <c r="H274" s="76"/>
    </row>
    <row r="275" spans="1:12" ht="12" customHeight="1" x14ac:dyDescent="0.25">
      <c r="A275" s="1" t="s">
        <v>9</v>
      </c>
      <c r="C275" s="9" t="s">
        <v>1</v>
      </c>
      <c r="D275" s="57" t="s">
        <v>201</v>
      </c>
      <c r="E275" s="76"/>
      <c r="F275" s="76"/>
      <c r="G275" s="76"/>
      <c r="H275" s="76"/>
    </row>
    <row r="276" spans="1:12" ht="15" customHeight="1" x14ac:dyDescent="0.2">
      <c r="A276" s="50" t="s">
        <v>10</v>
      </c>
      <c r="B276" s="76"/>
      <c r="C276" s="91" t="s">
        <v>1</v>
      </c>
      <c r="D276" s="314" t="s">
        <v>265</v>
      </c>
      <c r="E276" s="314"/>
      <c r="F276" s="314"/>
      <c r="G276" s="314"/>
      <c r="H276" s="314"/>
      <c r="I276" s="76"/>
      <c r="J276" s="76"/>
      <c r="K276" s="76"/>
      <c r="L276" s="76"/>
    </row>
    <row r="277" spans="1:12" ht="17.25" customHeight="1" x14ac:dyDescent="0.25">
      <c r="A277" s="1"/>
      <c r="B277" s="1"/>
      <c r="D277" s="1"/>
    </row>
    <row r="278" spans="1:12" ht="41.25" customHeight="1" x14ac:dyDescent="0.2">
      <c r="A278" s="277" t="s">
        <v>278</v>
      </c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</row>
    <row r="279" spans="1:12" ht="12.75" customHeight="1" x14ac:dyDescent="0.25">
      <c r="A279" s="1"/>
      <c r="B279" s="1"/>
    </row>
    <row r="280" spans="1:12" ht="32.25" customHeight="1" thickBot="1" x14ac:dyDescent="0.25">
      <c r="A280" s="10" t="s">
        <v>0</v>
      </c>
      <c r="B280" s="278" t="s">
        <v>91</v>
      </c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</row>
    <row r="281" spans="1:12" ht="15.75" customHeight="1" thickTop="1" x14ac:dyDescent="0.25">
      <c r="A281" s="1"/>
      <c r="B281" s="11" t="s">
        <v>3</v>
      </c>
      <c r="C281" s="12" t="s">
        <v>4</v>
      </c>
      <c r="D281" s="13"/>
      <c r="E281" s="13"/>
      <c r="F281" s="13"/>
      <c r="G281" s="13"/>
      <c r="H281" s="14"/>
      <c r="I281" s="15" t="s">
        <v>5</v>
      </c>
      <c r="J281" s="12" t="s">
        <v>17</v>
      </c>
      <c r="K281" s="13"/>
      <c r="L281" s="14"/>
    </row>
    <row r="282" spans="1:12" ht="15" customHeight="1" x14ac:dyDescent="0.2">
      <c r="A282" s="50"/>
      <c r="B282" s="100">
        <v>1</v>
      </c>
      <c r="C282" s="284" t="s">
        <v>272</v>
      </c>
      <c r="D282" s="285"/>
      <c r="E282" s="285"/>
      <c r="F282" s="285"/>
      <c r="G282" s="76"/>
      <c r="H282" s="79"/>
      <c r="I282" s="56">
        <v>250000</v>
      </c>
      <c r="J282" s="76"/>
      <c r="K282" s="76"/>
      <c r="L282" s="79"/>
    </row>
    <row r="283" spans="1:12" ht="20.25" customHeight="1" x14ac:dyDescent="0.25">
      <c r="A283" s="50"/>
      <c r="B283" s="96">
        <v>2</v>
      </c>
      <c r="C283" s="97" t="s">
        <v>238</v>
      </c>
      <c r="D283" s="50"/>
      <c r="E283" s="131">
        <v>1957000</v>
      </c>
      <c r="F283" s="132" t="s">
        <v>279</v>
      </c>
      <c r="G283" s="329" t="s">
        <v>280</v>
      </c>
      <c r="H283" s="330"/>
      <c r="I283" s="56">
        <f>E283*30/100*2</f>
        <v>1174200</v>
      </c>
      <c r="J283" s="50" t="s">
        <v>281</v>
      </c>
      <c r="K283" s="1"/>
      <c r="L283" s="17"/>
    </row>
    <row r="284" spans="1:12" ht="12.75" customHeight="1" x14ac:dyDescent="0.2">
      <c r="B284" s="16"/>
      <c r="H284" s="17"/>
      <c r="I284" s="19"/>
      <c r="L284" s="17"/>
    </row>
    <row r="285" spans="1:12" ht="24" customHeight="1" x14ac:dyDescent="0.2">
      <c r="B285" s="20"/>
      <c r="C285" s="21"/>
      <c r="D285" s="21"/>
      <c r="E285" s="21"/>
      <c r="F285" s="21"/>
      <c r="G285" s="21"/>
      <c r="H285" s="22"/>
      <c r="I285" s="23"/>
      <c r="J285" s="21"/>
      <c r="K285" s="21"/>
      <c r="L285" s="22"/>
    </row>
    <row r="286" spans="1:12" ht="19.5" customHeight="1" x14ac:dyDescent="0.25">
      <c r="A286" s="1"/>
      <c r="B286" s="39"/>
      <c r="C286" s="1"/>
      <c r="D286" s="1"/>
      <c r="E286" s="1"/>
      <c r="F286" s="40" t="s">
        <v>5</v>
      </c>
      <c r="G286" s="40"/>
      <c r="H286" s="1"/>
      <c r="I286" s="41">
        <f>SUM(I282:I283)</f>
        <v>1424200</v>
      </c>
      <c r="J286" s="1"/>
      <c r="K286" s="1"/>
      <c r="L286" s="42"/>
    </row>
    <row r="287" spans="1:12" ht="15" customHeight="1" thickBot="1" x14ac:dyDescent="0.3">
      <c r="A287" s="1"/>
      <c r="B287" s="43"/>
      <c r="C287" s="44"/>
      <c r="D287" s="44"/>
      <c r="E287" s="44"/>
      <c r="F287" s="45"/>
      <c r="G287" s="45"/>
      <c r="H287" s="44"/>
      <c r="I287" s="46"/>
      <c r="J287" s="44"/>
      <c r="K287" s="44"/>
      <c r="L287" s="47"/>
    </row>
    <row r="288" spans="1:12" ht="15.75" customHeight="1" thickTop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46.5" customHeight="1" x14ac:dyDescent="0.2">
      <c r="A289" s="10" t="s">
        <v>2</v>
      </c>
      <c r="B289" s="279" t="s">
        <v>11</v>
      </c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</row>
    <row r="290" spans="1:12" ht="17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6.5" customHeight="1" x14ac:dyDescent="0.2">
      <c r="A291" s="280" t="s">
        <v>12</v>
      </c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</row>
    <row r="292" spans="1:12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" x14ac:dyDescent="0.25">
      <c r="A294" s="1"/>
      <c r="B294" s="1"/>
      <c r="C294" s="1"/>
      <c r="D294" s="1"/>
      <c r="E294" s="1"/>
      <c r="F294" s="1"/>
      <c r="G294" s="1"/>
      <c r="H294" s="4" t="s">
        <v>199</v>
      </c>
      <c r="J294" s="286" t="s">
        <v>273</v>
      </c>
      <c r="K294" s="286"/>
      <c r="L294" s="286"/>
    </row>
    <row r="295" spans="1:12" ht="15.75" customHeight="1" x14ac:dyDescent="0.25">
      <c r="A295" s="1"/>
      <c r="B295" s="1" t="s">
        <v>15</v>
      </c>
      <c r="C295" s="1"/>
      <c r="D295" s="1"/>
      <c r="E295" s="1"/>
      <c r="F295" s="1"/>
      <c r="G295" s="1"/>
      <c r="H295" s="4" t="s">
        <v>13</v>
      </c>
    </row>
    <row r="296" spans="1:12" ht="15" customHeight="1" x14ac:dyDescent="0.25">
      <c r="A296" s="1"/>
      <c r="B296" s="1" t="s">
        <v>18</v>
      </c>
      <c r="C296" s="1"/>
      <c r="D296" s="1"/>
      <c r="E296" s="1"/>
      <c r="F296" s="1"/>
      <c r="G296" s="1"/>
      <c r="H296" s="4" t="s">
        <v>14</v>
      </c>
    </row>
    <row r="297" spans="1:12" ht="18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5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1.25" customHeight="1" x14ac:dyDescent="0.25">
      <c r="A299" s="1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"/>
    </row>
    <row r="300" spans="1:12" ht="23.25" customHeight="1" x14ac:dyDescent="0.25">
      <c r="A300" s="1"/>
      <c r="K300" s="103"/>
      <c r="L300" s="1"/>
    </row>
    <row r="301" spans="1:12" ht="18" customHeight="1" x14ac:dyDescent="0.25">
      <c r="A301" s="1"/>
      <c r="B301" s="95" t="s">
        <v>77</v>
      </c>
      <c r="H301" s="95" t="s">
        <v>77</v>
      </c>
      <c r="I301" s="95"/>
      <c r="J301" s="92"/>
      <c r="K301" s="103"/>
      <c r="L301" s="1"/>
    </row>
    <row r="302" spans="1:12" ht="13.5" customHeight="1" x14ac:dyDescent="0.25">
      <c r="A302" s="1"/>
      <c r="B302" s="99" t="s">
        <v>27</v>
      </c>
      <c r="C302" s="57"/>
      <c r="H302" s="99" t="s">
        <v>27</v>
      </c>
      <c r="K302" s="103"/>
    </row>
    <row r="303" spans="1:12" ht="15" customHeight="1" x14ac:dyDescent="0.2"/>
    <row r="304" spans="1:12" ht="24" customHeight="1" x14ac:dyDescent="0.2"/>
    <row r="305" spans="1:12" ht="7.5" customHeight="1" x14ac:dyDescent="0.2"/>
    <row r="306" spans="1:12" ht="12.75" x14ac:dyDescent="0.2"/>
    <row r="307" spans="1:12" ht="48" customHeight="1" x14ac:dyDescent="0.2"/>
    <row r="308" spans="1:12" ht="17.25" customHeight="1" x14ac:dyDescent="0.2"/>
    <row r="309" spans="1:12" ht="20.25" customHeight="1" x14ac:dyDescent="0.2"/>
    <row r="310" spans="1:12" ht="12.75" x14ac:dyDescent="0.2"/>
    <row r="311" spans="1:12" ht="9" customHeight="1" x14ac:dyDescent="0.2"/>
    <row r="312" spans="1:12" ht="15.75" x14ac:dyDescent="0.25">
      <c r="A312" s="3" t="s">
        <v>22</v>
      </c>
    </row>
    <row r="313" spans="1:12" ht="14.25" customHeight="1" x14ac:dyDescent="0.2">
      <c r="A313" s="122" t="s">
        <v>20</v>
      </c>
    </row>
    <row r="314" spans="1:12" ht="15.75" x14ac:dyDescent="0.2">
      <c r="A314" s="122" t="s">
        <v>21</v>
      </c>
    </row>
    <row r="315" spans="1:12" ht="12.75" x14ac:dyDescent="0.2"/>
    <row r="316" spans="1:12" ht="27" customHeight="1" x14ac:dyDescent="0.2"/>
    <row r="317" spans="1:12" ht="15.75" customHeight="1" x14ac:dyDescent="0.2"/>
    <row r="318" spans="1:12" ht="19.5" customHeight="1" x14ac:dyDescent="0.3">
      <c r="A318" s="276" t="s">
        <v>6</v>
      </c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6"/>
    </row>
    <row r="319" spans="1:12" ht="18.75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</row>
    <row r="320" spans="1:12" ht="18.75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</row>
    <row r="321" spans="1:12" ht="18" customHeight="1" x14ac:dyDescent="0.25">
      <c r="A321" s="1"/>
      <c r="B321" s="1"/>
    </row>
    <row r="322" spans="1:12" ht="15.75" customHeight="1" x14ac:dyDescent="0.25">
      <c r="A322" s="1" t="s">
        <v>7</v>
      </c>
      <c r="B322" s="1"/>
    </row>
    <row r="323" spans="1:12" ht="19.5" customHeight="1" x14ac:dyDescent="0.25">
      <c r="A323" s="1"/>
      <c r="B323" s="1"/>
    </row>
    <row r="324" spans="1:12" ht="18" customHeight="1" x14ac:dyDescent="0.25">
      <c r="A324" s="1" t="s">
        <v>8</v>
      </c>
      <c r="C324" s="9" t="s">
        <v>1</v>
      </c>
      <c r="D324" s="126" t="s">
        <v>64</v>
      </c>
      <c r="E324" s="76"/>
      <c r="F324" s="76"/>
      <c r="G324" s="76"/>
      <c r="H324" s="76"/>
    </row>
    <row r="325" spans="1:12" ht="15" x14ac:dyDescent="0.25">
      <c r="A325" s="1" t="s">
        <v>9</v>
      </c>
      <c r="C325" s="9" t="s">
        <v>1</v>
      </c>
      <c r="D325" s="119" t="s">
        <v>236</v>
      </c>
      <c r="E325" s="76"/>
      <c r="F325" s="76"/>
      <c r="G325" s="76"/>
      <c r="H325" s="76"/>
    </row>
    <row r="326" spans="1:12" ht="16.5" customHeight="1" x14ac:dyDescent="0.2">
      <c r="A326" s="50" t="s">
        <v>10</v>
      </c>
      <c r="B326" s="76"/>
      <c r="C326" s="91" t="s">
        <v>1</v>
      </c>
      <c r="D326" s="124" t="s">
        <v>235</v>
      </c>
      <c r="E326" s="76"/>
      <c r="F326" s="76"/>
      <c r="G326" s="76"/>
      <c r="H326" s="76"/>
      <c r="I326" s="76"/>
      <c r="J326" s="76"/>
      <c r="K326" s="76"/>
      <c r="L326" s="76"/>
    </row>
    <row r="327" spans="1:12" ht="23.25" customHeight="1" x14ac:dyDescent="0.25">
      <c r="A327" s="1"/>
      <c r="B327" s="1"/>
      <c r="D327" s="1"/>
    </row>
    <row r="328" spans="1:12" ht="41.25" customHeight="1" x14ac:dyDescent="0.2">
      <c r="A328" s="277" t="s">
        <v>278</v>
      </c>
      <c r="B328" s="277"/>
      <c r="C328" s="277"/>
      <c r="D328" s="277"/>
      <c r="E328" s="277"/>
      <c r="F328" s="277"/>
      <c r="G328" s="277"/>
      <c r="H328" s="277"/>
      <c r="I328" s="277"/>
      <c r="J328" s="277"/>
      <c r="K328" s="277"/>
      <c r="L328" s="277"/>
    </row>
    <row r="329" spans="1:12" ht="12.75" customHeight="1" x14ac:dyDescent="0.25">
      <c r="A329" s="1"/>
      <c r="B329" s="1"/>
    </row>
    <row r="330" spans="1:12" ht="32.25" customHeight="1" thickBot="1" x14ac:dyDescent="0.25">
      <c r="A330" s="10" t="s">
        <v>0</v>
      </c>
      <c r="B330" s="278" t="s">
        <v>91</v>
      </c>
      <c r="C330" s="278"/>
      <c r="D330" s="278"/>
      <c r="E330" s="278"/>
      <c r="F330" s="278"/>
      <c r="G330" s="278"/>
      <c r="H330" s="278"/>
      <c r="I330" s="278"/>
      <c r="J330" s="278"/>
      <c r="K330" s="278"/>
      <c r="L330" s="278"/>
    </row>
    <row r="331" spans="1:12" ht="15.75" customHeight="1" thickTop="1" x14ac:dyDescent="0.25">
      <c r="A331" s="1"/>
      <c r="B331" s="11" t="s">
        <v>3</v>
      </c>
      <c r="C331" s="12" t="s">
        <v>4</v>
      </c>
      <c r="D331" s="13"/>
      <c r="E331" s="13"/>
      <c r="F331" s="13"/>
      <c r="G331" s="13"/>
      <c r="H331" s="14"/>
      <c r="I331" s="15" t="s">
        <v>5</v>
      </c>
      <c r="J331" s="12" t="s">
        <v>17</v>
      </c>
      <c r="K331" s="13"/>
      <c r="L331" s="14"/>
    </row>
    <row r="332" spans="1:12" ht="15" customHeight="1" x14ac:dyDescent="0.2">
      <c r="A332" s="50"/>
      <c r="B332" s="100">
        <v>1</v>
      </c>
      <c r="C332" s="284" t="s">
        <v>272</v>
      </c>
      <c r="D332" s="285"/>
      <c r="E332" s="285"/>
      <c r="F332" s="285"/>
      <c r="G332" s="76"/>
      <c r="H332" s="79"/>
      <c r="I332" s="56">
        <v>250000</v>
      </c>
      <c r="J332" s="76"/>
      <c r="K332" s="76"/>
      <c r="L332" s="79"/>
    </row>
    <row r="333" spans="1:12" ht="19.5" customHeight="1" x14ac:dyDescent="0.25">
      <c r="A333" s="50"/>
      <c r="B333" s="96">
        <v>2</v>
      </c>
      <c r="C333" s="97" t="s">
        <v>238</v>
      </c>
      <c r="D333" s="50"/>
      <c r="E333" s="131">
        <v>622000</v>
      </c>
      <c r="F333" s="132" t="s">
        <v>279</v>
      </c>
      <c r="G333" s="329" t="s">
        <v>280</v>
      </c>
      <c r="H333" s="330"/>
      <c r="I333" s="133">
        <f>E333*30/100*2</f>
        <v>373200</v>
      </c>
      <c r="J333" s="50" t="s">
        <v>281</v>
      </c>
      <c r="K333" s="1"/>
      <c r="L333" s="17"/>
    </row>
    <row r="334" spans="1:12" ht="12.75" customHeight="1" x14ac:dyDescent="0.2">
      <c r="B334" s="16"/>
      <c r="H334" s="17"/>
      <c r="I334" s="19"/>
      <c r="L334" s="17"/>
    </row>
    <row r="335" spans="1:12" ht="24" customHeight="1" x14ac:dyDescent="0.2">
      <c r="B335" s="20"/>
      <c r="C335" s="21"/>
      <c r="D335" s="21"/>
      <c r="E335" s="21"/>
      <c r="F335" s="21"/>
      <c r="G335" s="21"/>
      <c r="H335" s="22"/>
      <c r="I335" s="23"/>
      <c r="J335" s="21"/>
      <c r="K335" s="21"/>
      <c r="L335" s="22"/>
    </row>
    <row r="336" spans="1:12" ht="19.5" customHeight="1" x14ac:dyDescent="0.25">
      <c r="A336" s="1"/>
      <c r="B336" s="39"/>
      <c r="C336" s="1"/>
      <c r="D336" s="1"/>
      <c r="E336" s="1"/>
      <c r="F336" s="40" t="s">
        <v>5</v>
      </c>
      <c r="G336" s="40"/>
      <c r="H336" s="1"/>
      <c r="I336" s="41">
        <f>SUM(I332:I333)</f>
        <v>623200</v>
      </c>
      <c r="J336" s="1"/>
      <c r="K336" s="1"/>
      <c r="L336" s="42"/>
    </row>
    <row r="337" spans="1:12" ht="15" customHeight="1" thickBot="1" x14ac:dyDescent="0.3">
      <c r="A337" s="1"/>
      <c r="B337" s="43"/>
      <c r="C337" s="44"/>
      <c r="D337" s="44"/>
      <c r="E337" s="44"/>
      <c r="F337" s="45"/>
      <c r="G337" s="45"/>
      <c r="H337" s="44"/>
      <c r="I337" s="46"/>
      <c r="J337" s="44"/>
      <c r="K337" s="44"/>
      <c r="L337" s="47"/>
    </row>
    <row r="338" spans="1:12" ht="15.75" customHeight="1" thickTop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46.5" customHeight="1" x14ac:dyDescent="0.2">
      <c r="A339" s="10" t="s">
        <v>2</v>
      </c>
      <c r="B339" s="279" t="s">
        <v>11</v>
      </c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</row>
    <row r="340" spans="1:12" ht="17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6.5" customHeight="1" x14ac:dyDescent="0.2">
      <c r="A341" s="280" t="s">
        <v>12</v>
      </c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</row>
    <row r="342" spans="1:12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" x14ac:dyDescent="0.25">
      <c r="A344" s="1"/>
      <c r="B344" s="1"/>
      <c r="C344" s="1"/>
      <c r="D344" s="1"/>
      <c r="E344" s="1"/>
      <c r="F344" s="1"/>
      <c r="G344" s="1"/>
      <c r="H344" s="4" t="s">
        <v>199</v>
      </c>
      <c r="J344" s="286" t="s">
        <v>273</v>
      </c>
      <c r="K344" s="286"/>
      <c r="L344" s="286"/>
    </row>
    <row r="345" spans="1:12" ht="20.100000000000001" customHeight="1" x14ac:dyDescent="0.25">
      <c r="A345" s="1"/>
      <c r="B345" s="1" t="s">
        <v>15</v>
      </c>
      <c r="C345" s="1"/>
      <c r="D345" s="1"/>
      <c r="E345" s="1"/>
      <c r="F345" s="1"/>
      <c r="G345" s="1"/>
      <c r="H345" s="4" t="s">
        <v>13</v>
      </c>
    </row>
    <row r="346" spans="1:12" ht="15.75" customHeight="1" x14ac:dyDescent="0.25">
      <c r="A346" s="1"/>
      <c r="B346" s="1" t="s">
        <v>18</v>
      </c>
      <c r="C346" s="1"/>
      <c r="D346" s="1"/>
      <c r="E346" s="1"/>
      <c r="F346" s="1"/>
      <c r="G346" s="1"/>
      <c r="H346" s="4" t="s">
        <v>14</v>
      </c>
    </row>
    <row r="347" spans="1:12" ht="0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" hidden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2" hidden="1" customHeight="1" x14ac:dyDescent="0.25">
      <c r="A349" s="1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"/>
    </row>
    <row r="350" spans="1:12" ht="15" x14ac:dyDescent="0.25">
      <c r="A350" s="1"/>
      <c r="K350" s="103"/>
      <c r="L350" s="1"/>
    </row>
    <row r="351" spans="1:12" ht="47.25" customHeight="1" x14ac:dyDescent="0.25">
      <c r="A351" s="1"/>
      <c r="B351" s="95" t="s">
        <v>77</v>
      </c>
      <c r="H351" s="95" t="s">
        <v>64</v>
      </c>
      <c r="I351" s="95"/>
      <c r="J351" s="92"/>
      <c r="K351" s="103"/>
      <c r="L351" s="1"/>
    </row>
    <row r="352" spans="1:12" ht="15" x14ac:dyDescent="0.25">
      <c r="A352" s="1"/>
      <c r="B352" s="99" t="s">
        <v>27</v>
      </c>
      <c r="C352" s="57"/>
      <c r="H352" s="99" t="s">
        <v>46</v>
      </c>
      <c r="K352" s="103"/>
    </row>
    <row r="353" spans="1:12" ht="15" customHeight="1" x14ac:dyDescent="0.2"/>
    <row r="354" spans="1:12" ht="25.5" customHeight="1" x14ac:dyDescent="0.2"/>
    <row r="355" spans="1:12" ht="12.75" x14ac:dyDescent="0.2"/>
    <row r="356" spans="1:12" ht="12.75" x14ac:dyDescent="0.2"/>
    <row r="357" spans="1:12" ht="13.5" customHeight="1" x14ac:dyDescent="0.2"/>
    <row r="358" spans="1:12" ht="21" customHeight="1" x14ac:dyDescent="0.2"/>
    <row r="359" spans="1:12" ht="16.5" customHeight="1" x14ac:dyDescent="0.2"/>
    <row r="360" spans="1:12" ht="15.75" customHeight="1" x14ac:dyDescent="0.2"/>
    <row r="361" spans="1:12" ht="16.5" customHeight="1" x14ac:dyDescent="0.2"/>
    <row r="362" spans="1:12" ht="21" customHeight="1" x14ac:dyDescent="0.25">
      <c r="A362" s="3" t="s">
        <v>22</v>
      </c>
    </row>
    <row r="363" spans="1:12" ht="15" customHeight="1" x14ac:dyDescent="0.2">
      <c r="A363" s="122" t="s">
        <v>20</v>
      </c>
    </row>
    <row r="364" spans="1:12" ht="15.75" x14ac:dyDescent="0.2">
      <c r="A364" s="122" t="s">
        <v>21</v>
      </c>
    </row>
    <row r="365" spans="1:12" ht="13.5" customHeight="1" x14ac:dyDescent="0.2"/>
    <row r="366" spans="1:12" ht="12.75" x14ac:dyDescent="0.2"/>
    <row r="367" spans="1:12" ht="15" customHeight="1" x14ac:dyDescent="0.2"/>
    <row r="368" spans="1:12" ht="17.25" customHeight="1" x14ac:dyDescent="0.3">
      <c r="A368" s="276" t="s">
        <v>6</v>
      </c>
      <c r="B368" s="276"/>
      <c r="C368" s="276"/>
      <c r="D368" s="276"/>
      <c r="E368" s="276"/>
      <c r="F368" s="276"/>
      <c r="G368" s="276"/>
      <c r="H368" s="276"/>
      <c r="I368" s="276"/>
      <c r="J368" s="276"/>
      <c r="K368" s="276"/>
      <c r="L368" s="276"/>
    </row>
    <row r="369" spans="1:12" ht="15" customHeight="1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</row>
    <row r="370" spans="1:12" ht="15" customHeight="1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</row>
    <row r="371" spans="1:12" ht="18" customHeight="1" x14ac:dyDescent="0.25">
      <c r="A371" s="1"/>
      <c r="B371" s="1"/>
    </row>
    <row r="372" spans="1:12" ht="16.5" customHeight="1" x14ac:dyDescent="0.25">
      <c r="A372" s="1" t="s">
        <v>7</v>
      </c>
      <c r="B372" s="1"/>
    </row>
    <row r="373" spans="1:12" ht="15" customHeight="1" x14ac:dyDescent="0.25">
      <c r="A373" s="1"/>
      <c r="B373" s="1"/>
    </row>
    <row r="374" spans="1:12" ht="15.75" customHeight="1" x14ac:dyDescent="0.25">
      <c r="A374" s="1" t="s">
        <v>8</v>
      </c>
      <c r="C374" s="9" t="s">
        <v>1</v>
      </c>
      <c r="D374" s="123" t="s">
        <v>78</v>
      </c>
      <c r="E374" s="76"/>
      <c r="F374" s="76"/>
      <c r="G374" s="76"/>
      <c r="H374" s="76"/>
    </row>
    <row r="375" spans="1:12" ht="15" x14ac:dyDescent="0.25">
      <c r="A375" s="1" t="s">
        <v>9</v>
      </c>
      <c r="C375" s="9" t="s">
        <v>1</v>
      </c>
      <c r="D375" s="76" t="s">
        <v>234</v>
      </c>
      <c r="E375" s="76"/>
      <c r="F375" s="76"/>
      <c r="G375" s="76"/>
      <c r="H375" s="76"/>
    </row>
    <row r="376" spans="1:12" ht="21" customHeight="1" x14ac:dyDescent="0.2">
      <c r="A376" s="50" t="s">
        <v>10</v>
      </c>
      <c r="B376" s="76"/>
      <c r="C376" s="91" t="s">
        <v>1</v>
      </c>
      <c r="D376" s="50" t="s">
        <v>235</v>
      </c>
      <c r="E376" s="76"/>
      <c r="F376" s="76"/>
      <c r="G376" s="76"/>
      <c r="H376" s="76"/>
      <c r="I376" s="76"/>
      <c r="J376" s="76"/>
      <c r="K376" s="76"/>
      <c r="L376" s="76"/>
    </row>
    <row r="377" spans="1:12" ht="15" x14ac:dyDescent="0.25">
      <c r="A377" s="1"/>
      <c r="B377" s="1"/>
      <c r="D377" s="1"/>
    </row>
    <row r="378" spans="1:12" ht="41.25" customHeight="1" x14ac:dyDescent="0.2">
      <c r="A378" s="277" t="s">
        <v>278</v>
      </c>
      <c r="B378" s="277"/>
      <c r="C378" s="277"/>
      <c r="D378" s="277"/>
      <c r="E378" s="277"/>
      <c r="F378" s="277"/>
      <c r="G378" s="277"/>
      <c r="H378" s="277"/>
      <c r="I378" s="277"/>
      <c r="J378" s="277"/>
      <c r="K378" s="277"/>
      <c r="L378" s="277"/>
    </row>
    <row r="379" spans="1:12" ht="12.75" customHeight="1" x14ac:dyDescent="0.25">
      <c r="A379" s="1"/>
      <c r="B379" s="1"/>
    </row>
    <row r="380" spans="1:12" ht="32.25" customHeight="1" thickBot="1" x14ac:dyDescent="0.25">
      <c r="A380" s="10" t="s">
        <v>0</v>
      </c>
      <c r="B380" s="278" t="s">
        <v>91</v>
      </c>
      <c r="C380" s="278"/>
      <c r="D380" s="278"/>
      <c r="E380" s="278"/>
      <c r="F380" s="278"/>
      <c r="G380" s="278"/>
      <c r="H380" s="278"/>
      <c r="I380" s="278"/>
      <c r="J380" s="278"/>
      <c r="K380" s="278"/>
      <c r="L380" s="278"/>
    </row>
    <row r="381" spans="1:12" ht="15.75" customHeight="1" thickTop="1" x14ac:dyDescent="0.25">
      <c r="A381" s="1"/>
      <c r="B381" s="11" t="s">
        <v>3</v>
      </c>
      <c r="C381" s="12" t="s">
        <v>4</v>
      </c>
      <c r="D381" s="13"/>
      <c r="E381" s="13"/>
      <c r="F381" s="13"/>
      <c r="G381" s="13"/>
      <c r="H381" s="14"/>
      <c r="I381" s="15" t="s">
        <v>5</v>
      </c>
      <c r="J381" s="12" t="s">
        <v>17</v>
      </c>
      <c r="K381" s="13"/>
      <c r="L381" s="14"/>
    </row>
    <row r="382" spans="1:12" ht="15" customHeight="1" x14ac:dyDescent="0.2">
      <c r="A382" s="50"/>
      <c r="B382" s="100">
        <v>1</v>
      </c>
      <c r="C382" s="284" t="s">
        <v>272</v>
      </c>
      <c r="D382" s="285"/>
      <c r="E382" s="285"/>
      <c r="F382" s="285"/>
      <c r="G382" s="76"/>
      <c r="H382" s="79"/>
      <c r="I382" s="56">
        <v>250000</v>
      </c>
      <c r="J382" s="76"/>
      <c r="K382" s="76"/>
      <c r="L382" s="79"/>
    </row>
    <row r="383" spans="1:12" ht="19.5" customHeight="1" x14ac:dyDescent="0.25">
      <c r="A383" s="50"/>
      <c r="B383" s="96">
        <v>2</v>
      </c>
      <c r="C383" s="97" t="s">
        <v>238</v>
      </c>
      <c r="D383" s="50"/>
      <c r="E383" s="131">
        <v>622000</v>
      </c>
      <c r="F383" s="132" t="s">
        <v>279</v>
      </c>
      <c r="G383" s="329" t="s">
        <v>280</v>
      </c>
      <c r="H383" s="330"/>
      <c r="I383" s="133">
        <f>E383*30/100*2</f>
        <v>373200</v>
      </c>
      <c r="J383" s="50" t="s">
        <v>281</v>
      </c>
      <c r="K383" s="1"/>
      <c r="L383" s="17"/>
    </row>
    <row r="384" spans="1:12" ht="12.75" customHeight="1" x14ac:dyDescent="0.2">
      <c r="B384" s="16"/>
      <c r="H384" s="17"/>
      <c r="I384" s="19"/>
      <c r="L384" s="17"/>
    </row>
    <row r="385" spans="1:12" ht="24" customHeight="1" x14ac:dyDescent="0.2">
      <c r="B385" s="20"/>
      <c r="C385" s="21"/>
      <c r="D385" s="21"/>
      <c r="E385" s="21"/>
      <c r="F385" s="21"/>
      <c r="G385" s="21"/>
      <c r="H385" s="22"/>
      <c r="I385" s="23"/>
      <c r="J385" s="21"/>
      <c r="K385" s="21"/>
      <c r="L385" s="22"/>
    </row>
    <row r="386" spans="1:12" ht="19.5" customHeight="1" x14ac:dyDescent="0.25">
      <c r="A386" s="1"/>
      <c r="B386" s="39"/>
      <c r="C386" s="1"/>
      <c r="D386" s="1"/>
      <c r="E386" s="1"/>
      <c r="F386" s="40" t="s">
        <v>5</v>
      </c>
      <c r="G386" s="40"/>
      <c r="H386" s="1"/>
      <c r="I386" s="41">
        <f>SUM(I382:I383)</f>
        <v>623200</v>
      </c>
      <c r="J386" s="1"/>
      <c r="K386" s="1"/>
      <c r="L386" s="42"/>
    </row>
    <row r="387" spans="1:12" ht="15" customHeight="1" thickBot="1" x14ac:dyDescent="0.3">
      <c r="A387" s="1"/>
      <c r="B387" s="43"/>
      <c r="C387" s="44"/>
      <c r="D387" s="44"/>
      <c r="E387" s="44"/>
      <c r="F387" s="45"/>
      <c r="G387" s="45"/>
      <c r="H387" s="44"/>
      <c r="I387" s="46"/>
      <c r="J387" s="44"/>
      <c r="K387" s="44"/>
      <c r="L387" s="47"/>
    </row>
    <row r="388" spans="1:12" ht="15.75" customHeight="1" thickTop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46.5" customHeight="1" x14ac:dyDescent="0.2">
      <c r="A389" s="10" t="s">
        <v>2</v>
      </c>
      <c r="B389" s="279" t="s">
        <v>11</v>
      </c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</row>
    <row r="390" spans="1:12" ht="6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6.5" customHeight="1" x14ac:dyDescent="0.2">
      <c r="A391" s="280" t="s">
        <v>12</v>
      </c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</row>
    <row r="392" spans="1:12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" x14ac:dyDescent="0.25">
      <c r="A394" s="1"/>
      <c r="B394" s="1"/>
      <c r="C394" s="1"/>
      <c r="D394" s="1"/>
      <c r="E394" s="1"/>
      <c r="F394" s="1"/>
      <c r="G394" s="1"/>
      <c r="H394" s="4" t="s">
        <v>199</v>
      </c>
      <c r="J394" s="286" t="s">
        <v>273</v>
      </c>
      <c r="K394" s="286"/>
      <c r="L394" s="286"/>
    </row>
    <row r="395" spans="1:12" ht="15.75" customHeight="1" x14ac:dyDescent="0.25">
      <c r="A395" s="1"/>
      <c r="B395" s="1" t="s">
        <v>15</v>
      </c>
      <c r="C395" s="1"/>
      <c r="D395" s="1"/>
      <c r="E395" s="1"/>
      <c r="F395" s="1"/>
      <c r="G395" s="1"/>
      <c r="H395" s="4" t="s">
        <v>13</v>
      </c>
    </row>
    <row r="396" spans="1:12" ht="15" customHeight="1" x14ac:dyDescent="0.25">
      <c r="A396" s="1"/>
      <c r="B396" s="1" t="s">
        <v>18</v>
      </c>
      <c r="C396" s="1"/>
      <c r="D396" s="1"/>
      <c r="E396" s="1"/>
      <c r="F396" s="1"/>
      <c r="G396" s="1"/>
      <c r="H396" s="4" t="s">
        <v>14</v>
      </c>
    </row>
    <row r="397" spans="1:12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6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21" customHeight="1" x14ac:dyDescent="0.25">
      <c r="A399" s="1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"/>
    </row>
    <row r="400" spans="1:12" ht="7.5" customHeight="1" x14ac:dyDescent="0.25">
      <c r="A400" s="1"/>
      <c r="K400" s="103"/>
      <c r="L400" s="1"/>
    </row>
    <row r="401" spans="1:12" ht="15" customHeight="1" x14ac:dyDescent="0.25">
      <c r="A401" s="1"/>
      <c r="B401" s="95" t="s">
        <v>77</v>
      </c>
      <c r="H401" s="95" t="s">
        <v>78</v>
      </c>
      <c r="I401" s="95"/>
      <c r="J401" s="92"/>
      <c r="K401" s="103"/>
      <c r="L401" s="1"/>
    </row>
    <row r="402" spans="1:12" ht="16.5" customHeight="1" x14ac:dyDescent="0.25">
      <c r="A402" s="1"/>
      <c r="B402" s="99" t="s">
        <v>27</v>
      </c>
      <c r="C402" s="57"/>
      <c r="H402" s="99" t="s">
        <v>79</v>
      </c>
      <c r="K402" s="103"/>
    </row>
    <row r="403" spans="1:12" ht="13.5" customHeight="1" x14ac:dyDescent="0.2"/>
    <row r="404" spans="1:12" ht="21.75" customHeight="1" x14ac:dyDescent="0.2"/>
    <row r="405" spans="1:12" ht="21.75" customHeight="1" x14ac:dyDescent="0.2"/>
    <row r="406" spans="1:12" ht="3.75" customHeight="1" x14ac:dyDescent="0.2"/>
    <row r="407" spans="1:12" ht="17.25" customHeight="1" x14ac:dyDescent="0.25">
      <c r="A407" s="3" t="s">
        <v>22</v>
      </c>
    </row>
    <row r="408" spans="1:12" ht="18" customHeight="1" x14ac:dyDescent="0.2">
      <c r="A408" s="122" t="s">
        <v>20</v>
      </c>
    </row>
    <row r="409" spans="1:12" ht="15.75" customHeight="1" x14ac:dyDescent="0.2">
      <c r="A409" s="122" t="s">
        <v>21</v>
      </c>
    </row>
    <row r="410" spans="1:12" ht="19.5" customHeight="1" x14ac:dyDescent="0.2"/>
    <row r="411" spans="1:12" ht="12.75" x14ac:dyDescent="0.2"/>
    <row r="412" spans="1:12" ht="12.75" x14ac:dyDescent="0.2"/>
    <row r="413" spans="1:12" ht="15" customHeight="1" x14ac:dyDescent="0.3">
      <c r="A413" s="276" t="s">
        <v>6</v>
      </c>
      <c r="B413" s="276"/>
      <c r="C413" s="276"/>
      <c r="D413" s="276"/>
      <c r="E413" s="276"/>
      <c r="F413" s="276"/>
      <c r="G413" s="276"/>
      <c r="H413" s="276"/>
      <c r="I413" s="276"/>
      <c r="J413" s="276"/>
      <c r="K413" s="276"/>
      <c r="L413" s="276"/>
    </row>
    <row r="414" spans="1:12" ht="18.75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</row>
    <row r="415" spans="1:12" ht="16.5" customHeight="1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</row>
    <row r="416" spans="1:12" ht="17.25" customHeight="1" x14ac:dyDescent="0.25">
      <c r="A416" s="1"/>
      <c r="B416" s="1"/>
    </row>
    <row r="417" spans="1:12" ht="21" customHeight="1" x14ac:dyDescent="0.25">
      <c r="A417" s="1" t="s">
        <v>7</v>
      </c>
      <c r="B417" s="1"/>
    </row>
    <row r="418" spans="1:12" ht="8.25" customHeight="1" x14ac:dyDescent="0.25">
      <c r="A418" s="1"/>
      <c r="B418" s="1"/>
    </row>
    <row r="419" spans="1:12" ht="14.25" customHeight="1" x14ac:dyDescent="0.25">
      <c r="A419" s="1" t="s">
        <v>8</v>
      </c>
      <c r="C419" s="9" t="s">
        <v>1</v>
      </c>
      <c r="D419" s="92" t="s">
        <v>77</v>
      </c>
      <c r="E419" s="76"/>
      <c r="F419" s="76"/>
      <c r="G419" s="76"/>
      <c r="H419" s="76"/>
    </row>
    <row r="420" spans="1:12" ht="17.25" customHeight="1" x14ac:dyDescent="0.25">
      <c r="A420" s="1" t="s">
        <v>9</v>
      </c>
      <c r="C420" s="9" t="s">
        <v>1</v>
      </c>
      <c r="D420" s="57" t="s">
        <v>201</v>
      </c>
      <c r="E420" s="76"/>
      <c r="F420" s="76"/>
      <c r="G420" s="76"/>
      <c r="H420" s="76"/>
    </row>
    <row r="421" spans="1:12" ht="15" x14ac:dyDescent="0.2">
      <c r="A421" s="50" t="s">
        <v>10</v>
      </c>
      <c r="B421" s="76"/>
      <c r="C421" s="91" t="s">
        <v>1</v>
      </c>
      <c r="D421" s="314" t="s">
        <v>265</v>
      </c>
      <c r="E421" s="314"/>
      <c r="F421" s="314"/>
      <c r="G421" s="314"/>
      <c r="H421" s="314"/>
      <c r="I421" s="76"/>
      <c r="J421" s="76"/>
      <c r="K421" s="76"/>
      <c r="L421" s="76"/>
    </row>
    <row r="422" spans="1:12" ht="18" customHeight="1" x14ac:dyDescent="0.25">
      <c r="A422" s="1"/>
      <c r="B422" s="1"/>
      <c r="D422" s="1"/>
    </row>
    <row r="423" spans="1:12" s="76" customFormat="1" ht="38.25" customHeight="1" x14ac:dyDescent="0.2">
      <c r="A423" s="277" t="s">
        <v>282</v>
      </c>
      <c r="B423" s="277"/>
      <c r="C423" s="277"/>
      <c r="D423" s="277"/>
      <c r="E423" s="277"/>
      <c r="F423" s="277"/>
      <c r="G423" s="277"/>
      <c r="H423" s="277"/>
      <c r="I423" s="277"/>
      <c r="J423" s="277"/>
      <c r="K423" s="277"/>
      <c r="L423" s="277"/>
    </row>
    <row r="424" spans="1:12" s="76" customFormat="1" ht="13.5" customHeight="1" x14ac:dyDescent="0.25">
      <c r="A424" s="1"/>
      <c r="B424" s="1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s="76" customFormat="1" ht="33.75" customHeight="1" thickBot="1" x14ac:dyDescent="0.25">
      <c r="A425" s="10" t="s">
        <v>0</v>
      </c>
      <c r="B425" s="278" t="s">
        <v>91</v>
      </c>
      <c r="C425" s="278"/>
      <c r="D425" s="278"/>
      <c r="E425" s="278"/>
      <c r="F425" s="278"/>
      <c r="G425" s="278"/>
      <c r="H425" s="278"/>
      <c r="I425" s="278"/>
      <c r="J425" s="278"/>
      <c r="K425" s="278"/>
      <c r="L425" s="278"/>
    </row>
    <row r="426" spans="1:12" ht="12.75" customHeight="1" thickTop="1" x14ac:dyDescent="0.25">
      <c r="A426" s="1"/>
      <c r="B426" s="11" t="s">
        <v>3</v>
      </c>
      <c r="C426" s="12" t="s">
        <v>4</v>
      </c>
      <c r="D426" s="13"/>
      <c r="E426" s="13"/>
      <c r="F426" s="13"/>
      <c r="G426" s="13"/>
      <c r="H426" s="14"/>
      <c r="I426" s="15" t="s">
        <v>5</v>
      </c>
      <c r="J426" s="12" t="s">
        <v>17</v>
      </c>
      <c r="K426" s="13"/>
      <c r="L426" s="14"/>
    </row>
    <row r="427" spans="1:12" ht="20.25" customHeight="1" x14ac:dyDescent="0.2">
      <c r="A427" s="50"/>
      <c r="B427" s="100">
        <v>1</v>
      </c>
      <c r="C427" s="284" t="s">
        <v>272</v>
      </c>
      <c r="D427" s="285"/>
      <c r="E427" s="285"/>
      <c r="F427" s="285"/>
      <c r="G427" s="76"/>
      <c r="H427" s="79"/>
      <c r="I427" s="56">
        <v>250000</v>
      </c>
      <c r="J427" s="76"/>
      <c r="K427" s="76"/>
      <c r="L427" s="79"/>
    </row>
    <row r="428" spans="1:12" ht="15" x14ac:dyDescent="0.25">
      <c r="A428" s="50"/>
      <c r="B428" s="96"/>
      <c r="C428" s="321"/>
      <c r="D428" s="297"/>
      <c r="E428" s="127"/>
      <c r="F428" s="319"/>
      <c r="G428" s="297"/>
      <c r="H428" s="320"/>
      <c r="I428" s="56"/>
      <c r="J428" s="50"/>
      <c r="K428" s="1"/>
      <c r="L428" s="17"/>
    </row>
    <row r="429" spans="1:12" ht="49.5" customHeight="1" x14ac:dyDescent="0.2">
      <c r="B429" s="16"/>
      <c r="H429" s="17"/>
      <c r="I429" s="19"/>
      <c r="L429" s="17"/>
    </row>
    <row r="430" spans="1:12" ht="10.5" customHeight="1" x14ac:dyDescent="0.2">
      <c r="B430" s="20"/>
      <c r="C430" s="21"/>
      <c r="D430" s="21"/>
      <c r="E430" s="21"/>
      <c r="F430" s="21"/>
      <c r="G430" s="21"/>
      <c r="H430" s="22"/>
      <c r="I430" s="23"/>
      <c r="J430" s="21"/>
      <c r="K430" s="21"/>
      <c r="L430" s="22"/>
    </row>
    <row r="431" spans="1:12" ht="15.75" customHeight="1" x14ac:dyDescent="0.25">
      <c r="A431" s="1"/>
      <c r="B431" s="39"/>
      <c r="C431" s="1"/>
      <c r="D431" s="1"/>
      <c r="E431" s="1"/>
      <c r="F431" s="40" t="s">
        <v>5</v>
      </c>
      <c r="G431" s="40"/>
      <c r="H431" s="1"/>
      <c r="I431" s="41">
        <f>SUM(I427:I428)</f>
        <v>250000</v>
      </c>
      <c r="J431" s="1"/>
      <c r="K431" s="1"/>
      <c r="L431" s="42"/>
    </row>
    <row r="432" spans="1:12" ht="9.75" customHeight="1" thickBot="1" x14ac:dyDescent="0.3">
      <c r="A432" s="1"/>
      <c r="B432" s="43"/>
      <c r="C432" s="44"/>
      <c r="D432" s="44"/>
      <c r="E432" s="44"/>
      <c r="F432" s="45"/>
      <c r="G432" s="45"/>
      <c r="H432" s="44"/>
      <c r="I432" s="46"/>
      <c r="J432" s="44"/>
      <c r="K432" s="44"/>
      <c r="L432" s="47"/>
    </row>
    <row r="433" spans="1:12" ht="16.5" customHeight="1" thickTop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47.25" customHeight="1" x14ac:dyDescent="0.2">
      <c r="A434" s="10" t="s">
        <v>2</v>
      </c>
      <c r="B434" s="279" t="s">
        <v>11</v>
      </c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</row>
    <row r="435" spans="1:12" ht="17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6.5" customHeight="1" x14ac:dyDescent="0.2">
      <c r="A436" s="280" t="s">
        <v>12</v>
      </c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</row>
    <row r="437" spans="1:12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9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" x14ac:dyDescent="0.25">
      <c r="A439" s="1"/>
      <c r="B439" s="1"/>
      <c r="C439" s="1"/>
      <c r="D439" s="1"/>
      <c r="E439" s="1"/>
      <c r="F439" s="1"/>
      <c r="G439" s="1"/>
      <c r="H439" s="4" t="s">
        <v>199</v>
      </c>
      <c r="J439" s="286" t="s">
        <v>277</v>
      </c>
      <c r="K439" s="286"/>
      <c r="L439" s="286"/>
    </row>
    <row r="440" spans="1:12" ht="12.75" customHeight="1" x14ac:dyDescent="0.25">
      <c r="A440" s="1"/>
      <c r="B440" s="1" t="s">
        <v>15</v>
      </c>
      <c r="C440" s="1"/>
      <c r="D440" s="1"/>
      <c r="E440" s="1"/>
      <c r="F440" s="1"/>
      <c r="G440" s="1"/>
      <c r="H440" s="4" t="s">
        <v>13</v>
      </c>
    </row>
    <row r="441" spans="1:12" ht="15" x14ac:dyDescent="0.25">
      <c r="A441" s="1"/>
      <c r="B441" s="1" t="s">
        <v>18</v>
      </c>
      <c r="C441" s="1"/>
      <c r="D441" s="1"/>
      <c r="E441" s="1"/>
      <c r="F441" s="1"/>
      <c r="G441" s="1"/>
      <c r="H441" s="4" t="s">
        <v>14</v>
      </c>
    </row>
    <row r="442" spans="1:12" ht="11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" hidden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0.5" customHeight="1" x14ac:dyDescent="0.25">
      <c r="A444" s="1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"/>
    </row>
    <row r="445" spans="1:12" ht="22.5" customHeight="1" x14ac:dyDescent="0.25">
      <c r="A445" s="1"/>
      <c r="K445" s="103"/>
      <c r="L445" s="1"/>
    </row>
    <row r="446" spans="1:12" ht="16.5" customHeight="1" x14ac:dyDescent="0.25">
      <c r="A446" s="1"/>
      <c r="B446" s="95" t="s">
        <v>77</v>
      </c>
      <c r="H446" s="95" t="s">
        <v>77</v>
      </c>
      <c r="I446" s="95"/>
      <c r="J446" s="92"/>
      <c r="K446" s="103"/>
      <c r="L446" s="1"/>
    </row>
    <row r="447" spans="1:12" ht="16.5" customHeight="1" x14ac:dyDescent="0.25">
      <c r="A447" s="1"/>
      <c r="B447" s="99" t="s">
        <v>27</v>
      </c>
      <c r="C447" s="57"/>
      <c r="H447" s="99" t="s">
        <v>27</v>
      </c>
      <c r="K447" s="103"/>
    </row>
    <row r="448" spans="1:12" ht="16.5" customHeight="1" x14ac:dyDescent="0.2"/>
    <row r="449" ht="48" customHeight="1" x14ac:dyDescent="0.2"/>
    <row r="450" ht="18" customHeight="1" x14ac:dyDescent="0.2"/>
    <row r="451" ht="23.25" customHeight="1" x14ac:dyDescent="0.2"/>
    <row r="452" ht="9.75" customHeight="1" x14ac:dyDescent="0.2"/>
    <row r="453" ht="15.75" customHeight="1" x14ac:dyDescent="0.2"/>
    <row r="454" ht="12.75" customHeight="1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5.75" customHeight="1" x14ac:dyDescent="0.2"/>
    <row r="463" ht="20.25" customHeight="1" x14ac:dyDescent="0.2"/>
    <row r="464" ht="13.5" customHeight="1" x14ac:dyDescent="0.2"/>
    <row r="465" spans="1:12" ht="15" customHeight="1" x14ac:dyDescent="0.25">
      <c r="A465" s="3" t="s">
        <v>22</v>
      </c>
    </row>
    <row r="466" spans="1:12" ht="20.25" customHeight="1" x14ac:dyDescent="0.2">
      <c r="A466" s="122" t="s">
        <v>20</v>
      </c>
    </row>
    <row r="467" spans="1:12" ht="21" customHeight="1" x14ac:dyDescent="0.2">
      <c r="A467" s="122" t="s">
        <v>21</v>
      </c>
    </row>
    <row r="468" spans="1:12" ht="15" customHeight="1" x14ac:dyDescent="0.2"/>
    <row r="469" spans="1:12" ht="15.75" customHeight="1" x14ac:dyDescent="0.2"/>
    <row r="470" spans="1:12" ht="23.25" customHeight="1" x14ac:dyDescent="0.2"/>
    <row r="471" spans="1:12" ht="16.5" customHeight="1" x14ac:dyDescent="0.3">
      <c r="A471" s="276" t="s">
        <v>6</v>
      </c>
      <c r="B471" s="276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</row>
    <row r="472" spans="1:12" ht="20.100000000000001" customHeight="1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</row>
    <row r="473" spans="1:12" ht="12.75" customHeight="1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</row>
    <row r="474" spans="1:12" ht="15" x14ac:dyDescent="0.25">
      <c r="A474" s="1"/>
      <c r="B474" s="1"/>
    </row>
    <row r="475" spans="1:12" ht="15" x14ac:dyDescent="0.25">
      <c r="A475" s="1" t="s">
        <v>7</v>
      </c>
      <c r="B475" s="1"/>
    </row>
    <row r="476" spans="1:12" ht="14.25" customHeight="1" x14ac:dyDescent="0.25">
      <c r="A476" s="1"/>
      <c r="B476" s="1"/>
    </row>
    <row r="477" spans="1:12" ht="13.5" customHeight="1" x14ac:dyDescent="0.25">
      <c r="A477" s="1" t="s">
        <v>8</v>
      </c>
      <c r="C477" s="9" t="s">
        <v>1</v>
      </c>
      <c r="D477" s="92" t="s">
        <v>96</v>
      </c>
      <c r="E477" s="76"/>
      <c r="F477" s="76"/>
      <c r="G477" s="76"/>
      <c r="H477" s="76"/>
    </row>
    <row r="478" spans="1:12" ht="15" customHeight="1" x14ac:dyDescent="0.25">
      <c r="A478" s="1" t="s">
        <v>9</v>
      </c>
      <c r="C478" s="9" t="s">
        <v>1</v>
      </c>
      <c r="D478" s="57" t="s">
        <v>200</v>
      </c>
      <c r="E478" s="76"/>
      <c r="F478" s="76"/>
      <c r="G478" s="76"/>
      <c r="H478" s="76"/>
    </row>
    <row r="479" spans="1:12" ht="12" customHeight="1" x14ac:dyDescent="0.2">
      <c r="A479" s="50" t="s">
        <v>10</v>
      </c>
      <c r="B479" s="76"/>
      <c r="C479" s="91" t="s">
        <v>1</v>
      </c>
      <c r="D479" s="50" t="s">
        <v>203</v>
      </c>
      <c r="E479" s="76"/>
      <c r="F479" s="76"/>
      <c r="G479" s="76"/>
      <c r="H479" s="76"/>
      <c r="I479" s="76"/>
      <c r="J479" s="76"/>
      <c r="K479" s="76"/>
      <c r="L479" s="76"/>
    </row>
    <row r="480" spans="1:12" ht="11.25" customHeight="1" x14ac:dyDescent="0.25">
      <c r="A480" s="1"/>
      <c r="B480" s="1"/>
      <c r="D480" s="1"/>
    </row>
    <row r="481" spans="1:12" ht="33.75" customHeight="1" x14ac:dyDescent="0.2">
      <c r="A481" s="277" t="s">
        <v>282</v>
      </c>
      <c r="B481" s="277"/>
      <c r="C481" s="277"/>
      <c r="D481" s="277"/>
      <c r="E481" s="277"/>
      <c r="F481" s="277"/>
      <c r="G481" s="277"/>
      <c r="H481" s="277"/>
      <c r="I481" s="277"/>
      <c r="J481" s="277"/>
      <c r="K481" s="277"/>
      <c r="L481" s="277"/>
    </row>
    <row r="482" spans="1:12" ht="14.25" customHeight="1" x14ac:dyDescent="0.25">
      <c r="A482" s="1"/>
      <c r="B482" s="1"/>
    </row>
    <row r="483" spans="1:12" ht="36" customHeight="1" thickBot="1" x14ac:dyDescent="0.25">
      <c r="A483" s="10" t="s">
        <v>0</v>
      </c>
      <c r="B483" s="278" t="s">
        <v>91</v>
      </c>
      <c r="C483" s="278"/>
      <c r="D483" s="278"/>
      <c r="E483" s="278"/>
      <c r="F483" s="278"/>
      <c r="G483" s="278"/>
      <c r="H483" s="278"/>
      <c r="I483" s="278"/>
      <c r="J483" s="278"/>
      <c r="K483" s="278"/>
      <c r="L483" s="278"/>
    </row>
    <row r="484" spans="1:12" ht="26.25" customHeight="1" thickTop="1" x14ac:dyDescent="0.25">
      <c r="A484" s="1"/>
      <c r="B484" s="11" t="s">
        <v>3</v>
      </c>
      <c r="C484" s="12" t="s">
        <v>4</v>
      </c>
      <c r="D484" s="13"/>
      <c r="E484" s="13"/>
      <c r="F484" s="13"/>
      <c r="G484" s="13"/>
      <c r="H484" s="14"/>
      <c r="I484" s="15" t="s">
        <v>5</v>
      </c>
      <c r="J484" s="12" t="s">
        <v>17</v>
      </c>
      <c r="K484" s="13"/>
      <c r="L484" s="14"/>
    </row>
    <row r="485" spans="1:12" ht="21.75" customHeight="1" x14ac:dyDescent="0.2">
      <c r="A485" s="50"/>
      <c r="B485" s="100">
        <v>1</v>
      </c>
      <c r="C485" s="284" t="s">
        <v>272</v>
      </c>
      <c r="D485" s="285"/>
      <c r="E485" s="285"/>
      <c r="F485" s="285"/>
      <c r="G485" s="76"/>
      <c r="H485" s="79"/>
      <c r="I485" s="56">
        <v>250000</v>
      </c>
      <c r="J485" s="76"/>
      <c r="K485" s="76"/>
      <c r="L485" s="79"/>
    </row>
    <row r="486" spans="1:12" ht="20.25" customHeight="1" x14ac:dyDescent="0.25">
      <c r="A486" s="50"/>
      <c r="B486" s="96"/>
      <c r="C486" s="321"/>
      <c r="D486" s="297"/>
      <c r="E486" s="127"/>
      <c r="F486" s="319"/>
      <c r="G486" s="297"/>
      <c r="H486" s="320"/>
      <c r="I486" s="56"/>
      <c r="J486" s="50"/>
      <c r="K486" s="1"/>
      <c r="L486" s="17"/>
    </row>
    <row r="487" spans="1:12" ht="12.75" x14ac:dyDescent="0.2">
      <c r="B487" s="16"/>
      <c r="H487" s="17"/>
      <c r="I487" s="19"/>
      <c r="L487" s="17"/>
    </row>
    <row r="488" spans="1:12" ht="12.75" x14ac:dyDescent="0.2">
      <c r="B488" s="20"/>
      <c r="C488" s="21"/>
      <c r="D488" s="21"/>
      <c r="E488" s="21"/>
      <c r="F488" s="21"/>
      <c r="G488" s="21"/>
      <c r="H488" s="22"/>
      <c r="I488" s="23"/>
      <c r="J488" s="21"/>
      <c r="K488" s="21"/>
      <c r="L488" s="22"/>
    </row>
    <row r="489" spans="1:12" ht="13.5" customHeight="1" x14ac:dyDescent="0.25">
      <c r="A489" s="1"/>
      <c r="B489" s="39"/>
      <c r="C489" s="1"/>
      <c r="D489" s="1"/>
      <c r="E489" s="1"/>
      <c r="F489" s="40" t="s">
        <v>5</v>
      </c>
      <c r="G489" s="40"/>
      <c r="H489" s="1"/>
      <c r="I489" s="41">
        <f>SUM(I485:I486)</f>
        <v>250000</v>
      </c>
      <c r="J489" s="1"/>
      <c r="K489" s="1"/>
      <c r="L489" s="42"/>
    </row>
    <row r="490" spans="1:12" ht="18.75" customHeight="1" thickBot="1" x14ac:dyDescent="0.3">
      <c r="A490" s="1"/>
      <c r="B490" s="43"/>
      <c r="C490" s="44"/>
      <c r="D490" s="44"/>
      <c r="E490" s="44"/>
      <c r="F490" s="45"/>
      <c r="G490" s="45"/>
      <c r="H490" s="44"/>
      <c r="I490" s="46"/>
      <c r="J490" s="44"/>
      <c r="K490" s="44"/>
      <c r="L490" s="47"/>
    </row>
    <row r="491" spans="1:12" ht="19.5" customHeight="1" thickTop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49.5" customHeight="1" x14ac:dyDescent="0.2">
      <c r="A492" s="10" t="s">
        <v>2</v>
      </c>
      <c r="B492" s="279" t="s">
        <v>11</v>
      </c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</row>
    <row r="493" spans="1:12" ht="1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" customHeight="1" x14ac:dyDescent="0.2">
      <c r="A494" s="280" t="s">
        <v>12</v>
      </c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</row>
    <row r="495" spans="1:12" ht="7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3.5" customHeight="1" x14ac:dyDescent="0.25">
      <c r="A497" s="1"/>
      <c r="B497" s="1"/>
      <c r="C497" s="1"/>
      <c r="D497" s="1"/>
      <c r="E497" s="1"/>
      <c r="F497" s="1"/>
      <c r="G497" s="1"/>
      <c r="H497" s="4" t="s">
        <v>199</v>
      </c>
      <c r="J497" s="286" t="s">
        <v>273</v>
      </c>
      <c r="K497" s="286"/>
      <c r="L497" s="286"/>
    </row>
    <row r="498" spans="1:12" ht="15" x14ac:dyDescent="0.25">
      <c r="A498" s="1"/>
      <c r="B498" s="1" t="s">
        <v>15</v>
      </c>
      <c r="C498" s="1"/>
      <c r="D498" s="1"/>
      <c r="E498" s="1"/>
      <c r="F498" s="1"/>
      <c r="G498" s="1"/>
      <c r="H498" s="4" t="s">
        <v>13</v>
      </c>
    </row>
    <row r="499" spans="1:12" ht="17.25" customHeight="1" x14ac:dyDescent="0.25">
      <c r="A499" s="1"/>
      <c r="B499" s="1" t="s">
        <v>18</v>
      </c>
      <c r="C499" s="1"/>
      <c r="D499" s="1"/>
      <c r="E499" s="1"/>
      <c r="F499" s="1"/>
      <c r="G499" s="1"/>
      <c r="H499" s="4" t="s">
        <v>14</v>
      </c>
    </row>
    <row r="500" spans="1:12" ht="15" hidden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6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21" customHeight="1" x14ac:dyDescent="0.25">
      <c r="A502" s="1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"/>
    </row>
    <row r="503" spans="1:12" ht="15" customHeight="1" x14ac:dyDescent="0.25">
      <c r="A503" s="1"/>
      <c r="K503" s="103"/>
      <c r="L503" s="1"/>
    </row>
    <row r="504" spans="1:12" ht="15" x14ac:dyDescent="0.25">
      <c r="A504" s="1"/>
      <c r="B504" s="95" t="s">
        <v>77</v>
      </c>
      <c r="H504" s="95" t="s">
        <v>96</v>
      </c>
      <c r="I504" s="95"/>
      <c r="J504" s="92"/>
      <c r="K504" s="103"/>
      <c r="L504" s="1"/>
    </row>
    <row r="505" spans="1:12" ht="15" x14ac:dyDescent="0.25">
      <c r="A505" s="1"/>
      <c r="B505" s="99" t="s">
        <v>27</v>
      </c>
      <c r="C505" s="57"/>
      <c r="H505" s="99" t="s">
        <v>100</v>
      </c>
      <c r="K505" s="103"/>
    </row>
    <row r="506" spans="1:12" ht="12.75" customHeight="1" x14ac:dyDescent="0.2"/>
    <row r="507" spans="1:12" ht="28.5" customHeight="1" x14ac:dyDescent="0.2"/>
    <row r="508" spans="1:12" ht="11.25" customHeight="1" x14ac:dyDescent="0.2"/>
    <row r="509" spans="1:12" ht="39.75" customHeight="1" x14ac:dyDescent="0.2"/>
    <row r="510" spans="1:12" ht="18" customHeight="1" x14ac:dyDescent="0.2"/>
    <row r="511" spans="1:12" ht="33" customHeight="1" x14ac:dyDescent="0.25">
      <c r="A511" s="3" t="s">
        <v>22</v>
      </c>
    </row>
    <row r="512" spans="1:12" ht="15.75" x14ac:dyDescent="0.2">
      <c r="A512" s="122" t="s">
        <v>20</v>
      </c>
    </row>
    <row r="513" spans="1:12" ht="15" customHeight="1" x14ac:dyDescent="0.2">
      <c r="A513" s="122" t="s">
        <v>21</v>
      </c>
    </row>
    <row r="514" spans="1:12" ht="24.75" customHeight="1" x14ac:dyDescent="0.2"/>
    <row r="515" spans="1:12" ht="12.75" x14ac:dyDescent="0.2"/>
    <row r="516" spans="1:12" ht="12.75" x14ac:dyDescent="0.2"/>
    <row r="517" spans="1:12" ht="18" customHeight="1" x14ac:dyDescent="0.3">
      <c r="A517" s="276" t="s">
        <v>6</v>
      </c>
      <c r="B517" s="276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</row>
    <row r="518" spans="1:12" ht="9" customHeight="1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</row>
    <row r="519" spans="1:12" ht="25.5" customHeight="1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</row>
    <row r="520" spans="1:12" ht="15.75" customHeight="1" x14ac:dyDescent="0.25">
      <c r="A520" s="1"/>
      <c r="B520" s="1"/>
    </row>
    <row r="521" spans="1:12" ht="18.75" customHeight="1" x14ac:dyDescent="0.25">
      <c r="A521" s="1" t="s">
        <v>7</v>
      </c>
      <c r="B521" s="1"/>
    </row>
    <row r="522" spans="1:12" ht="15" customHeight="1" x14ac:dyDescent="0.25">
      <c r="A522" s="1"/>
      <c r="B522" s="1"/>
    </row>
    <row r="523" spans="1:12" ht="15.75" customHeight="1" x14ac:dyDescent="0.25">
      <c r="A523" s="1" t="s">
        <v>8</v>
      </c>
      <c r="C523" s="9" t="s">
        <v>1</v>
      </c>
      <c r="D523" s="40" t="s">
        <v>147</v>
      </c>
      <c r="E523" s="76"/>
      <c r="F523" s="76"/>
      <c r="G523" s="76"/>
      <c r="H523" s="76"/>
    </row>
    <row r="524" spans="1:12" ht="14.25" customHeight="1" x14ac:dyDescent="0.25">
      <c r="A524" s="1" t="s">
        <v>9</v>
      </c>
      <c r="C524" s="9" t="s">
        <v>1</v>
      </c>
      <c r="D524" s="10" t="s">
        <v>276</v>
      </c>
      <c r="E524" s="76"/>
      <c r="F524" s="76"/>
      <c r="G524" s="76"/>
      <c r="H524" s="76"/>
    </row>
    <row r="525" spans="1:12" ht="16.5" customHeight="1" x14ac:dyDescent="0.2">
      <c r="A525" s="50" t="s">
        <v>10</v>
      </c>
      <c r="B525" s="76"/>
      <c r="C525" s="91" t="s">
        <v>1</v>
      </c>
      <c r="D525" s="50" t="s">
        <v>275</v>
      </c>
      <c r="E525" s="76"/>
      <c r="F525" s="76"/>
      <c r="G525" s="76"/>
      <c r="H525" s="76"/>
      <c r="I525" s="76"/>
      <c r="J525" s="76"/>
      <c r="K525" s="76"/>
      <c r="L525" s="76"/>
    </row>
    <row r="526" spans="1:12" ht="15.75" customHeight="1" x14ac:dyDescent="0.25">
      <c r="A526" s="1"/>
      <c r="B526" s="1"/>
      <c r="D526" s="1"/>
    </row>
    <row r="527" spans="1:12" ht="36.75" customHeight="1" x14ac:dyDescent="0.2">
      <c r="A527" s="277" t="s">
        <v>282</v>
      </c>
      <c r="B527" s="277"/>
      <c r="C527" s="277"/>
      <c r="D527" s="277"/>
      <c r="E527" s="277"/>
      <c r="F527" s="277"/>
      <c r="G527" s="277"/>
      <c r="H527" s="277"/>
      <c r="I527" s="277"/>
      <c r="J527" s="277"/>
      <c r="K527" s="277"/>
      <c r="L527" s="277"/>
    </row>
    <row r="528" spans="1:12" ht="14.25" customHeight="1" x14ac:dyDescent="0.25">
      <c r="A528" s="1"/>
      <c r="B528" s="1"/>
    </row>
    <row r="529" spans="1:12" ht="33.75" customHeight="1" thickBot="1" x14ac:dyDescent="0.25">
      <c r="A529" s="10" t="s">
        <v>0</v>
      </c>
      <c r="B529" s="278" t="s">
        <v>91</v>
      </c>
      <c r="C529" s="278"/>
      <c r="D529" s="278"/>
      <c r="E529" s="278"/>
      <c r="F529" s="278"/>
      <c r="G529" s="278"/>
      <c r="H529" s="278"/>
      <c r="I529" s="278"/>
      <c r="J529" s="278"/>
      <c r="K529" s="278"/>
      <c r="L529" s="278"/>
    </row>
    <row r="530" spans="1:12" ht="13.5" customHeight="1" thickTop="1" x14ac:dyDescent="0.25">
      <c r="A530" s="1"/>
      <c r="B530" s="11" t="s">
        <v>3</v>
      </c>
      <c r="C530" s="12" t="s">
        <v>4</v>
      </c>
      <c r="D530" s="13"/>
      <c r="E530" s="13"/>
      <c r="F530" s="13"/>
      <c r="G530" s="13"/>
      <c r="H530" s="14"/>
      <c r="I530" s="15" t="s">
        <v>5</v>
      </c>
      <c r="J530" s="12" t="s">
        <v>17</v>
      </c>
      <c r="K530" s="13"/>
      <c r="L530" s="14"/>
    </row>
    <row r="531" spans="1:12" ht="15" x14ac:dyDescent="0.2">
      <c r="A531" s="50"/>
      <c r="B531" s="100">
        <v>1</v>
      </c>
      <c r="C531" s="284" t="s">
        <v>272</v>
      </c>
      <c r="D531" s="285"/>
      <c r="E531" s="285"/>
      <c r="F531" s="285"/>
      <c r="G531" s="76"/>
      <c r="H531" s="79"/>
      <c r="I531" s="56">
        <v>250000</v>
      </c>
      <c r="J531" s="76"/>
      <c r="K531" s="76"/>
      <c r="L531" s="79"/>
    </row>
    <row r="532" spans="1:12" ht="15" x14ac:dyDescent="0.25">
      <c r="A532" s="50"/>
      <c r="B532" s="96"/>
      <c r="C532" s="321"/>
      <c r="D532" s="297"/>
      <c r="E532" s="127"/>
      <c r="F532" s="319"/>
      <c r="G532" s="297"/>
      <c r="H532" s="320"/>
      <c r="I532" s="56"/>
      <c r="J532" s="50"/>
      <c r="K532" s="1"/>
      <c r="L532" s="17"/>
    </row>
    <row r="533" spans="1:12" ht="29.25" customHeight="1" x14ac:dyDescent="0.2">
      <c r="B533" s="16"/>
      <c r="H533" s="17"/>
      <c r="I533" s="19"/>
      <c r="L533" s="17"/>
    </row>
    <row r="534" spans="1:12" ht="15" customHeight="1" x14ac:dyDescent="0.2">
      <c r="B534" s="20"/>
      <c r="C534" s="21"/>
      <c r="D534" s="21"/>
      <c r="E534" s="21"/>
      <c r="F534" s="21"/>
      <c r="G534" s="21"/>
      <c r="H534" s="22"/>
      <c r="I534" s="23"/>
      <c r="J534" s="21"/>
      <c r="K534" s="21"/>
      <c r="L534" s="22"/>
    </row>
    <row r="535" spans="1:12" ht="18.75" customHeight="1" x14ac:dyDescent="0.25">
      <c r="A535" s="1"/>
      <c r="B535" s="39"/>
      <c r="C535" s="1"/>
      <c r="D535" s="1"/>
      <c r="E535" s="1"/>
      <c r="F535" s="40" t="s">
        <v>5</v>
      </c>
      <c r="G535" s="40"/>
      <c r="H535" s="1"/>
      <c r="I535" s="41">
        <f>SUM(I531:I532)</f>
        <v>250000</v>
      </c>
      <c r="J535" s="1"/>
      <c r="K535" s="1"/>
      <c r="L535" s="42"/>
    </row>
    <row r="536" spans="1:12" ht="15" customHeight="1" thickBot="1" x14ac:dyDescent="0.3">
      <c r="A536" s="1"/>
      <c r="B536" s="43"/>
      <c r="C536" s="44"/>
      <c r="D536" s="44"/>
      <c r="E536" s="44"/>
      <c r="F536" s="45"/>
      <c r="G536" s="45"/>
      <c r="H536" s="44"/>
      <c r="I536" s="46"/>
      <c r="J536" s="44"/>
      <c r="K536" s="44"/>
      <c r="L536" s="47"/>
    </row>
    <row r="537" spans="1:12" ht="15.75" thickTop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48" customHeight="1" x14ac:dyDescent="0.2">
      <c r="A538" s="10" t="s">
        <v>2</v>
      </c>
      <c r="B538" s="279" t="s">
        <v>11</v>
      </c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</row>
    <row r="539" spans="1:12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2">
      <c r="A540" s="280" t="s">
        <v>12</v>
      </c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</row>
    <row r="541" spans="1:12" ht="3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3.5" customHeight="1" x14ac:dyDescent="0.25">
      <c r="A543" s="1"/>
      <c r="B543" s="1"/>
      <c r="C543" s="1"/>
      <c r="D543" s="1"/>
      <c r="E543" s="1"/>
      <c r="F543" s="1"/>
      <c r="G543" s="1"/>
      <c r="H543" s="4" t="s">
        <v>199</v>
      </c>
      <c r="J543" s="286" t="s">
        <v>273</v>
      </c>
      <c r="K543" s="286"/>
      <c r="L543" s="286"/>
    </row>
    <row r="544" spans="1:12" ht="16.5" customHeight="1" x14ac:dyDescent="0.25">
      <c r="A544" s="1"/>
      <c r="B544" s="1" t="s">
        <v>15</v>
      </c>
      <c r="C544" s="1"/>
      <c r="D544" s="1"/>
      <c r="E544" s="1"/>
      <c r="F544" s="1"/>
      <c r="G544" s="1"/>
      <c r="H544" s="4" t="s">
        <v>13</v>
      </c>
    </row>
    <row r="545" spans="1:12" ht="16.5" customHeight="1" x14ac:dyDescent="0.25">
      <c r="A545" s="1"/>
      <c r="B545" s="1" t="s">
        <v>18</v>
      </c>
      <c r="C545" s="1"/>
      <c r="D545" s="1"/>
      <c r="E545" s="1"/>
      <c r="F545" s="1"/>
      <c r="G545" s="1"/>
      <c r="H545" s="4" t="s">
        <v>14</v>
      </c>
    </row>
    <row r="546" spans="1:12" ht="1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0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2" customHeight="1" x14ac:dyDescent="0.25">
      <c r="A548" s="1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"/>
    </row>
    <row r="549" spans="1:12" ht="15.75" customHeight="1" x14ac:dyDescent="0.25">
      <c r="A549" s="1"/>
      <c r="K549" s="103"/>
      <c r="L549" s="1"/>
    </row>
    <row r="550" spans="1:12" ht="15.75" customHeight="1" x14ac:dyDescent="0.25">
      <c r="A550" s="1"/>
      <c r="B550" s="95" t="s">
        <v>77</v>
      </c>
      <c r="H550" s="37" t="s">
        <v>147</v>
      </c>
      <c r="I550" s="95"/>
      <c r="J550" s="92"/>
      <c r="K550" s="103"/>
      <c r="L550" s="1"/>
    </row>
    <row r="551" spans="1:12" ht="15" x14ac:dyDescent="0.25">
      <c r="A551" s="1"/>
      <c r="B551" s="99" t="s">
        <v>27</v>
      </c>
      <c r="C551" s="57"/>
      <c r="H551" s="48" t="s">
        <v>148</v>
      </c>
      <c r="K551" s="103"/>
    </row>
    <row r="552" spans="1:12" ht="12.75" x14ac:dyDescent="0.2"/>
    <row r="553" spans="1:12" ht="15" customHeight="1" x14ac:dyDescent="0.2"/>
    <row r="554" spans="1:12" ht="12.75" x14ac:dyDescent="0.2"/>
    <row r="555" spans="1:12" ht="18" customHeight="1" x14ac:dyDescent="0.2"/>
    <row r="556" spans="1:12" ht="17.25" customHeight="1" x14ac:dyDescent="0.25">
      <c r="A556" s="3" t="s">
        <v>22</v>
      </c>
    </row>
    <row r="557" spans="1:12" ht="16.5" customHeight="1" x14ac:dyDescent="0.2">
      <c r="A557" s="122" t="s">
        <v>20</v>
      </c>
    </row>
    <row r="558" spans="1:12" ht="24" customHeight="1" x14ac:dyDescent="0.2">
      <c r="A558" s="122" t="s">
        <v>21</v>
      </c>
    </row>
    <row r="559" spans="1:12" ht="14.25" customHeight="1" x14ac:dyDescent="0.2"/>
    <row r="560" spans="1:12" ht="29.25" customHeight="1" x14ac:dyDescent="0.2"/>
    <row r="561" spans="1:12" ht="12.75" x14ac:dyDescent="0.2"/>
    <row r="562" spans="1:12" ht="32.25" customHeight="1" x14ac:dyDescent="0.3">
      <c r="A562" s="276" t="s">
        <v>6</v>
      </c>
      <c r="B562" s="276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</row>
    <row r="563" spans="1:12" s="76" customFormat="1" ht="18.75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</row>
    <row r="564" spans="1:12" s="76" customFormat="1" ht="18.75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</row>
    <row r="565" spans="1:12" s="76" customFormat="1" ht="17.25" customHeight="1" x14ac:dyDescent="0.25">
      <c r="A565" s="1"/>
      <c r="B565" s="1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23.25" customHeight="1" x14ac:dyDescent="0.25">
      <c r="A566" s="1" t="s">
        <v>7</v>
      </c>
      <c r="B566" s="1"/>
    </row>
    <row r="567" spans="1:12" ht="14.25" customHeight="1" x14ac:dyDescent="0.25">
      <c r="A567" s="1"/>
      <c r="B567" s="1"/>
    </row>
    <row r="568" spans="1:12" ht="20.25" customHeight="1" x14ac:dyDescent="0.25">
      <c r="A568" s="1" t="s">
        <v>8</v>
      </c>
      <c r="C568" s="9" t="s">
        <v>1</v>
      </c>
      <c r="D568" s="92" t="s">
        <v>96</v>
      </c>
      <c r="E568" s="76"/>
      <c r="F568" s="76"/>
      <c r="G568" s="76"/>
      <c r="H568" s="76"/>
    </row>
    <row r="569" spans="1:12" ht="15.75" customHeight="1" x14ac:dyDescent="0.25">
      <c r="A569" s="1" t="s">
        <v>9</v>
      </c>
      <c r="C569" s="9" t="s">
        <v>1</v>
      </c>
      <c r="D569" s="57" t="s">
        <v>200</v>
      </c>
      <c r="E569" s="76"/>
      <c r="F569" s="76"/>
      <c r="G569" s="76"/>
      <c r="H569" s="76"/>
    </row>
    <row r="570" spans="1:12" ht="15" customHeight="1" x14ac:dyDescent="0.2">
      <c r="A570" s="50" t="s">
        <v>10</v>
      </c>
      <c r="B570" s="76"/>
      <c r="C570" s="91" t="s">
        <v>1</v>
      </c>
      <c r="D570" s="50" t="s">
        <v>203</v>
      </c>
      <c r="E570" s="76"/>
      <c r="F570" s="76"/>
      <c r="G570" s="76"/>
      <c r="H570" s="76"/>
      <c r="I570" s="76"/>
      <c r="J570" s="76"/>
      <c r="K570" s="76"/>
      <c r="L570" s="76"/>
    </row>
    <row r="571" spans="1:12" ht="16.5" customHeight="1" x14ac:dyDescent="0.25">
      <c r="A571" s="1"/>
      <c r="B571" s="1"/>
      <c r="D571" s="1"/>
    </row>
    <row r="572" spans="1:12" ht="38.25" customHeight="1" x14ac:dyDescent="0.2">
      <c r="A572" s="277" t="s">
        <v>291</v>
      </c>
      <c r="B572" s="277"/>
      <c r="C572" s="277"/>
      <c r="D572" s="277"/>
      <c r="E572" s="277"/>
      <c r="F572" s="277"/>
      <c r="G572" s="277"/>
      <c r="H572" s="277"/>
      <c r="I572" s="277"/>
      <c r="J572" s="277"/>
      <c r="K572" s="277"/>
      <c r="L572" s="277"/>
    </row>
    <row r="573" spans="1:12" ht="16.5" customHeight="1" x14ac:dyDescent="0.25">
      <c r="A573" s="1"/>
      <c r="B573" s="1"/>
    </row>
    <row r="574" spans="1:12" ht="33.75" customHeight="1" thickBot="1" x14ac:dyDescent="0.25">
      <c r="A574" s="10" t="s">
        <v>0</v>
      </c>
      <c r="B574" s="278" t="s">
        <v>91</v>
      </c>
      <c r="C574" s="278"/>
      <c r="D574" s="278"/>
      <c r="E574" s="278"/>
      <c r="F574" s="278"/>
      <c r="G574" s="278"/>
      <c r="H574" s="278"/>
      <c r="I574" s="278"/>
      <c r="J574" s="278"/>
      <c r="K574" s="278"/>
      <c r="L574" s="278"/>
    </row>
    <row r="575" spans="1:12" ht="22.5" customHeight="1" thickTop="1" x14ac:dyDescent="0.25">
      <c r="A575" s="1"/>
      <c r="B575" s="11" t="s">
        <v>3</v>
      </c>
      <c r="C575" s="12" t="s">
        <v>4</v>
      </c>
      <c r="D575" s="13"/>
      <c r="E575" s="13"/>
      <c r="F575" s="13"/>
      <c r="G575" s="13"/>
      <c r="H575" s="14"/>
      <c r="I575" s="15" t="s">
        <v>5</v>
      </c>
      <c r="J575" s="12" t="s">
        <v>17</v>
      </c>
      <c r="K575" s="13"/>
      <c r="L575" s="14"/>
    </row>
    <row r="576" spans="1:12" ht="25.5" customHeight="1" x14ac:dyDescent="0.2">
      <c r="A576" s="50"/>
      <c r="B576" s="100">
        <v>1</v>
      </c>
      <c r="C576" s="281" t="s">
        <v>293</v>
      </c>
      <c r="D576" s="282"/>
      <c r="E576" s="282"/>
      <c r="F576" s="282"/>
      <c r="G576" s="50"/>
      <c r="H576" s="55"/>
      <c r="I576" s="56">
        <v>1179535</v>
      </c>
      <c r="J576" s="50"/>
      <c r="K576" s="50"/>
      <c r="L576" s="55"/>
    </row>
    <row r="577" spans="1:12" ht="25.5" customHeight="1" x14ac:dyDescent="0.2">
      <c r="A577" s="50"/>
      <c r="B577" s="100">
        <v>2</v>
      </c>
      <c r="C577" s="137" t="s">
        <v>294</v>
      </c>
      <c r="D577" s="124"/>
      <c r="E577" s="124"/>
      <c r="F577" s="124"/>
      <c r="G577" s="50"/>
      <c r="H577" s="55"/>
      <c r="I577" s="56">
        <v>160000</v>
      </c>
      <c r="J577" s="50"/>
      <c r="K577" s="50"/>
      <c r="L577" s="55"/>
    </row>
    <row r="578" spans="1:12" ht="17.25" customHeight="1" x14ac:dyDescent="0.25">
      <c r="A578" s="50"/>
      <c r="B578" s="96">
        <v>3</v>
      </c>
      <c r="C578" s="321" t="s">
        <v>238</v>
      </c>
      <c r="D578" s="297"/>
      <c r="E578" s="134">
        <v>792000</v>
      </c>
      <c r="F578" s="68" t="s">
        <v>279</v>
      </c>
      <c r="G578" s="297" t="s">
        <v>280</v>
      </c>
      <c r="H578" s="320"/>
      <c r="I578" s="135">
        <f>E578*30/100*2</f>
        <v>475200</v>
      </c>
      <c r="J578" s="50" t="s">
        <v>281</v>
      </c>
      <c r="K578" s="1"/>
      <c r="L578" s="42"/>
    </row>
    <row r="579" spans="1:12" ht="18" customHeight="1" x14ac:dyDescent="0.2">
      <c r="B579" s="16"/>
      <c r="H579" s="17"/>
      <c r="I579" s="19"/>
      <c r="L579" s="17"/>
    </row>
    <row r="580" spans="1:12" ht="12" customHeight="1" x14ac:dyDescent="0.2">
      <c r="B580" s="20"/>
      <c r="C580" s="21"/>
      <c r="D580" s="21"/>
      <c r="E580" s="21"/>
      <c r="F580" s="21"/>
      <c r="G580" s="21"/>
      <c r="H580" s="22"/>
      <c r="I580" s="23"/>
      <c r="J580" s="21"/>
      <c r="K580" s="21"/>
      <c r="L580" s="22"/>
    </row>
    <row r="581" spans="1:12" ht="17.25" customHeight="1" x14ac:dyDescent="0.25">
      <c r="A581" s="1"/>
      <c r="B581" s="39"/>
      <c r="C581" s="1"/>
      <c r="D581" s="1"/>
      <c r="E581" s="1"/>
      <c r="F581" s="40" t="s">
        <v>5</v>
      </c>
      <c r="G581" s="40"/>
      <c r="H581" s="1"/>
      <c r="I581" s="41">
        <f>SUM(I576:I578)</f>
        <v>1814735</v>
      </c>
      <c r="J581" s="1"/>
      <c r="K581" s="1"/>
      <c r="L581" s="42"/>
    </row>
    <row r="582" spans="1:12" ht="6.75" customHeight="1" thickBot="1" x14ac:dyDescent="0.3">
      <c r="A582" s="1"/>
      <c r="B582" s="43"/>
      <c r="C582" s="44"/>
      <c r="D582" s="44"/>
      <c r="E582" s="44"/>
      <c r="F582" s="45"/>
      <c r="G582" s="45"/>
      <c r="H582" s="44"/>
      <c r="I582" s="46"/>
      <c r="J582" s="44"/>
      <c r="K582" s="44"/>
      <c r="L582" s="47"/>
    </row>
    <row r="583" spans="1:12" ht="17.25" customHeight="1" thickTop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50.25" customHeight="1" x14ac:dyDescent="0.2">
      <c r="A584" s="10" t="s">
        <v>2</v>
      </c>
      <c r="B584" s="279" t="s">
        <v>11</v>
      </c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</row>
    <row r="585" spans="1:12" ht="16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" x14ac:dyDescent="0.2">
      <c r="A586" s="280" t="s">
        <v>12</v>
      </c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</row>
    <row r="587" spans="1:12" ht="1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8" customHeight="1" x14ac:dyDescent="0.25">
      <c r="A589" s="1"/>
      <c r="B589" s="1"/>
      <c r="C589" s="1"/>
      <c r="D589" s="1"/>
      <c r="E589" s="1"/>
      <c r="F589" s="1"/>
      <c r="G589" s="1"/>
      <c r="H589" s="4" t="s">
        <v>199</v>
      </c>
      <c r="J589" s="286" t="s">
        <v>273</v>
      </c>
      <c r="K589" s="286"/>
      <c r="L589" s="286"/>
    </row>
    <row r="590" spans="1:12" ht="18" customHeight="1" x14ac:dyDescent="0.25">
      <c r="A590" s="1"/>
      <c r="B590" s="1" t="s">
        <v>15</v>
      </c>
      <c r="C590" s="1"/>
      <c r="D590" s="1"/>
      <c r="E590" s="1"/>
      <c r="F590" s="1"/>
      <c r="G590" s="1"/>
      <c r="H590" s="4" t="s">
        <v>13</v>
      </c>
    </row>
    <row r="591" spans="1:12" ht="15.75" customHeight="1" x14ac:dyDescent="0.25">
      <c r="A591" s="1"/>
      <c r="B591" s="1" t="s">
        <v>18</v>
      </c>
      <c r="C591" s="1"/>
      <c r="D591" s="1"/>
      <c r="E591" s="1"/>
      <c r="F591" s="1"/>
      <c r="G591" s="1"/>
      <c r="H591" s="4" t="s">
        <v>14</v>
      </c>
    </row>
    <row r="592" spans="1:12" ht="1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9.5" hidden="1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29.25" customHeight="1" x14ac:dyDescent="0.25">
      <c r="A594" s="1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"/>
    </row>
    <row r="595" spans="1:12" ht="13.5" customHeight="1" x14ac:dyDescent="0.25">
      <c r="A595" s="1"/>
      <c r="K595" s="103"/>
      <c r="L595" s="1"/>
    </row>
    <row r="596" spans="1:12" ht="19.5" customHeight="1" x14ac:dyDescent="0.25">
      <c r="A596" s="1"/>
      <c r="B596" s="95" t="s">
        <v>77</v>
      </c>
      <c r="H596" s="95" t="s">
        <v>96</v>
      </c>
      <c r="I596" s="95"/>
      <c r="J596" s="92"/>
      <c r="K596" s="103"/>
      <c r="L596" s="1"/>
    </row>
    <row r="597" spans="1:12" ht="16.5" customHeight="1" x14ac:dyDescent="0.25">
      <c r="A597" s="1"/>
      <c r="B597" s="99" t="s">
        <v>27</v>
      </c>
      <c r="C597" s="57"/>
      <c r="H597" s="99" t="s">
        <v>100</v>
      </c>
      <c r="K597" s="103"/>
    </row>
    <row r="598" spans="1:12" ht="18" customHeight="1" x14ac:dyDescent="0.2"/>
    <row r="599" spans="1:12" ht="17.25" customHeight="1" x14ac:dyDescent="0.2"/>
    <row r="600" spans="1:12" ht="15.75" x14ac:dyDescent="0.25">
      <c r="A600" s="3" t="s">
        <v>22</v>
      </c>
    </row>
    <row r="601" spans="1:12" ht="15" customHeight="1" x14ac:dyDescent="0.2">
      <c r="A601" s="122" t="s">
        <v>20</v>
      </c>
    </row>
    <row r="602" spans="1:12" ht="16.5" customHeight="1" x14ac:dyDescent="0.2">
      <c r="A602" s="122" t="s">
        <v>21</v>
      </c>
    </row>
    <row r="603" spans="1:12" ht="16.5" customHeight="1" x14ac:dyDescent="0.2"/>
    <row r="604" spans="1:12" ht="20.25" customHeight="1" x14ac:dyDescent="0.2"/>
    <row r="605" spans="1:12" ht="15" customHeight="1" x14ac:dyDescent="0.2"/>
    <row r="606" spans="1:12" ht="30.75" customHeight="1" x14ac:dyDescent="0.3">
      <c r="A606" s="276" t="s">
        <v>6</v>
      </c>
      <c r="B606" s="276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</row>
    <row r="607" spans="1:12" ht="10.5" customHeight="1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</row>
    <row r="608" spans="1:12" ht="15" customHeight="1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</row>
    <row r="609" spans="1:13" ht="13.5" customHeight="1" x14ac:dyDescent="0.25">
      <c r="A609" s="1"/>
      <c r="B609" s="1"/>
    </row>
    <row r="610" spans="1:13" ht="24.75" customHeight="1" x14ac:dyDescent="0.25">
      <c r="A610" s="1" t="s">
        <v>7</v>
      </c>
      <c r="B610" s="1"/>
    </row>
    <row r="611" spans="1:13" ht="15" x14ac:dyDescent="0.25">
      <c r="A611" s="1"/>
      <c r="B611" s="1"/>
    </row>
    <row r="612" spans="1:13" ht="14.25" customHeight="1" x14ac:dyDescent="0.25">
      <c r="A612" s="1" t="s">
        <v>8</v>
      </c>
      <c r="C612" s="9" t="s">
        <v>1</v>
      </c>
      <c r="D612" s="40" t="s">
        <v>103</v>
      </c>
      <c r="E612" s="76"/>
      <c r="F612" s="76"/>
      <c r="G612" s="76"/>
      <c r="H612" s="76"/>
    </row>
    <row r="613" spans="1:13" ht="15" x14ac:dyDescent="0.25">
      <c r="A613" s="1" t="s">
        <v>9</v>
      </c>
      <c r="C613" s="9" t="s">
        <v>1</v>
      </c>
      <c r="D613" s="7" t="s">
        <v>284</v>
      </c>
      <c r="E613" s="76"/>
      <c r="F613" s="76"/>
      <c r="G613" s="76"/>
      <c r="H613" s="76"/>
    </row>
    <row r="614" spans="1:13" ht="15" x14ac:dyDescent="0.25">
      <c r="A614" s="50" t="s">
        <v>10</v>
      </c>
      <c r="B614" s="76"/>
      <c r="C614" s="91" t="s">
        <v>1</v>
      </c>
      <c r="D614" s="1" t="s">
        <v>275</v>
      </c>
      <c r="E614" s="76"/>
      <c r="F614" s="76"/>
      <c r="G614" s="76"/>
      <c r="H614" s="76"/>
      <c r="I614" s="76"/>
      <c r="J614" s="76"/>
      <c r="K614" s="76"/>
      <c r="L614" s="76"/>
    </row>
    <row r="615" spans="1:13" ht="17.25" customHeight="1" x14ac:dyDescent="0.25">
      <c r="A615" s="1"/>
      <c r="B615" s="1"/>
      <c r="D615" s="1"/>
    </row>
    <row r="616" spans="1:13" ht="38.25" customHeight="1" x14ac:dyDescent="0.2">
      <c r="A616" s="277" t="s">
        <v>291</v>
      </c>
      <c r="B616" s="277"/>
      <c r="C616" s="277"/>
      <c r="D616" s="277"/>
      <c r="E616" s="277"/>
      <c r="F616" s="277"/>
      <c r="G616" s="277"/>
      <c r="H616" s="277"/>
      <c r="I616" s="277"/>
      <c r="J616" s="277"/>
      <c r="K616" s="277"/>
      <c r="L616" s="277"/>
    </row>
    <row r="617" spans="1:13" ht="12" customHeight="1" x14ac:dyDescent="0.25">
      <c r="A617" s="1"/>
      <c r="B617" s="1"/>
    </row>
    <row r="618" spans="1:13" ht="32.25" customHeight="1" thickBot="1" x14ac:dyDescent="0.25">
      <c r="A618" s="10" t="s">
        <v>0</v>
      </c>
      <c r="B618" s="278" t="s">
        <v>91</v>
      </c>
      <c r="C618" s="278"/>
      <c r="D618" s="278"/>
      <c r="E618" s="278"/>
      <c r="F618" s="278"/>
      <c r="G618" s="278"/>
      <c r="H618" s="278"/>
      <c r="I618" s="278"/>
      <c r="J618" s="278"/>
      <c r="K618" s="278"/>
      <c r="L618" s="278"/>
    </row>
    <row r="619" spans="1:13" ht="15" customHeight="1" thickTop="1" x14ac:dyDescent="0.25">
      <c r="A619" s="1"/>
      <c r="B619" s="11" t="s">
        <v>3</v>
      </c>
      <c r="C619" s="12" t="s">
        <v>4</v>
      </c>
      <c r="D619" s="13"/>
      <c r="E619" s="13"/>
      <c r="F619" s="13"/>
      <c r="G619" s="13"/>
      <c r="H619" s="14"/>
      <c r="I619" s="15" t="s">
        <v>5</v>
      </c>
      <c r="J619" s="12" t="s">
        <v>17</v>
      </c>
      <c r="K619" s="13"/>
      <c r="L619" s="14"/>
    </row>
    <row r="620" spans="1:13" ht="25.5" customHeight="1" x14ac:dyDescent="0.2">
      <c r="A620" s="50"/>
      <c r="B620" s="100">
        <v>1</v>
      </c>
      <c r="C620" s="281" t="s">
        <v>293</v>
      </c>
      <c r="D620" s="282"/>
      <c r="E620" s="282"/>
      <c r="F620" s="282"/>
      <c r="G620" s="50"/>
      <c r="H620" s="55"/>
      <c r="I620" s="56">
        <v>1179535</v>
      </c>
      <c r="J620" s="50"/>
      <c r="K620" s="50"/>
      <c r="L620" s="55"/>
      <c r="M620" s="59"/>
    </row>
    <row r="621" spans="1:13" ht="25.5" customHeight="1" x14ac:dyDescent="0.2">
      <c r="A621" s="50"/>
      <c r="B621" s="138">
        <v>2</v>
      </c>
      <c r="C621" s="137" t="s">
        <v>294</v>
      </c>
      <c r="D621" s="124"/>
      <c r="E621" s="124"/>
      <c r="F621" s="124"/>
      <c r="G621" s="50"/>
      <c r="H621" s="55"/>
      <c r="I621" s="56">
        <v>160000</v>
      </c>
      <c r="J621" s="50"/>
      <c r="K621" s="50"/>
      <c r="L621" s="55"/>
    </row>
    <row r="622" spans="1:13" ht="20.25" customHeight="1" x14ac:dyDescent="0.25">
      <c r="A622" s="50"/>
      <c r="B622" s="96">
        <v>3</v>
      </c>
      <c r="C622" s="321" t="s">
        <v>283</v>
      </c>
      <c r="D622" s="297"/>
      <c r="E622" s="134"/>
      <c r="F622" s="68"/>
      <c r="G622" s="297"/>
      <c r="H622" s="331"/>
      <c r="I622" s="135">
        <v>77000</v>
      </c>
      <c r="J622" s="50"/>
      <c r="K622" s="1"/>
      <c r="L622" s="42"/>
    </row>
    <row r="623" spans="1:13" ht="12.75" x14ac:dyDescent="0.2">
      <c r="B623" s="16"/>
      <c r="H623" s="17"/>
      <c r="I623" s="19"/>
      <c r="L623" s="17"/>
    </row>
    <row r="624" spans="1:13" ht="12.75" x14ac:dyDescent="0.2">
      <c r="B624" s="20"/>
      <c r="C624" s="21"/>
      <c r="D624" s="21"/>
      <c r="E624" s="21"/>
      <c r="F624" s="21"/>
      <c r="G624" s="21"/>
      <c r="H624" s="22"/>
      <c r="I624" s="23"/>
      <c r="J624" s="21"/>
      <c r="K624" s="21"/>
      <c r="L624" s="22"/>
    </row>
    <row r="625" spans="1:12" ht="15" x14ac:dyDescent="0.25">
      <c r="A625" s="1"/>
      <c r="B625" s="39"/>
      <c r="C625" s="1"/>
      <c r="D625" s="1"/>
      <c r="E625" s="1"/>
      <c r="F625" s="40" t="s">
        <v>5</v>
      </c>
      <c r="G625" s="40"/>
      <c r="H625" s="1"/>
      <c r="I625" s="41">
        <f>SUM(I620:I622)</f>
        <v>1416535</v>
      </c>
      <c r="J625" s="1"/>
      <c r="K625" s="1"/>
      <c r="L625" s="42"/>
    </row>
    <row r="626" spans="1:12" ht="6" customHeight="1" thickBot="1" x14ac:dyDescent="0.3">
      <c r="A626" s="1"/>
      <c r="B626" s="43"/>
      <c r="C626" s="44"/>
      <c r="D626" s="44"/>
      <c r="E626" s="44"/>
      <c r="F626" s="45"/>
      <c r="G626" s="45"/>
      <c r="H626" s="44"/>
      <c r="I626" s="46"/>
      <c r="J626" s="44"/>
      <c r="K626" s="44"/>
      <c r="L626" s="47"/>
    </row>
    <row r="627" spans="1:12" ht="15" customHeight="1" thickTop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53.25" customHeight="1" x14ac:dyDescent="0.2">
      <c r="A628" s="10" t="s">
        <v>2</v>
      </c>
      <c r="B628" s="279" t="s">
        <v>11</v>
      </c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</row>
    <row r="629" spans="1:12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21" customHeight="1" x14ac:dyDescent="0.2">
      <c r="A630" s="280" t="s">
        <v>12</v>
      </c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</row>
    <row r="631" spans="1:12" ht="4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" x14ac:dyDescent="0.25">
      <c r="A633" s="1"/>
      <c r="B633" s="1"/>
      <c r="C633" s="1"/>
      <c r="D633" s="1"/>
      <c r="E633" s="1"/>
      <c r="F633" s="1"/>
      <c r="G633" s="1"/>
      <c r="H633" s="4" t="s">
        <v>199</v>
      </c>
      <c r="J633" s="286" t="s">
        <v>273</v>
      </c>
      <c r="K633" s="286"/>
      <c r="L633" s="286"/>
    </row>
    <row r="634" spans="1:12" ht="15" x14ac:dyDescent="0.25">
      <c r="A634" s="1"/>
      <c r="B634" s="1" t="s">
        <v>15</v>
      </c>
      <c r="C634" s="1"/>
      <c r="D634" s="1"/>
      <c r="E634" s="1"/>
      <c r="F634" s="1"/>
      <c r="G634" s="1"/>
      <c r="H634" s="4" t="s">
        <v>13</v>
      </c>
    </row>
    <row r="635" spans="1:12" ht="15" x14ac:dyDescent="0.25">
      <c r="A635" s="1"/>
      <c r="B635" s="1" t="s">
        <v>18</v>
      </c>
      <c r="C635" s="1"/>
      <c r="D635" s="1"/>
      <c r="E635" s="1"/>
      <c r="F635" s="1"/>
      <c r="G635" s="1"/>
      <c r="H635" s="4" t="s">
        <v>14</v>
      </c>
    </row>
    <row r="636" spans="1:12" ht="20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21" hidden="1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30" customHeight="1" x14ac:dyDescent="0.25">
      <c r="A638" s="1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"/>
    </row>
    <row r="639" spans="1:12" ht="21.75" customHeight="1" x14ac:dyDescent="0.25">
      <c r="A639" s="1"/>
      <c r="K639" s="103"/>
      <c r="L639" s="1"/>
    </row>
    <row r="640" spans="1:12" ht="15" x14ac:dyDescent="0.25">
      <c r="A640" s="1"/>
      <c r="B640" s="95" t="s">
        <v>77</v>
      </c>
      <c r="H640" s="37" t="s">
        <v>103</v>
      </c>
      <c r="I640" s="95"/>
      <c r="J640" s="92"/>
      <c r="K640" s="103"/>
      <c r="L640" s="1"/>
    </row>
    <row r="641" spans="1:12" ht="12.75" customHeight="1" x14ac:dyDescent="0.25">
      <c r="A641" s="1"/>
      <c r="B641" s="99" t="s">
        <v>27</v>
      </c>
      <c r="C641" s="57"/>
      <c r="H641" s="1" t="s">
        <v>104</v>
      </c>
      <c r="K641" s="103"/>
    </row>
    <row r="642" spans="1:12" ht="13.5" customHeight="1" x14ac:dyDescent="0.2"/>
    <row r="643" spans="1:12" ht="12.75" x14ac:dyDescent="0.2"/>
    <row r="644" spans="1:12" ht="17.25" customHeight="1" x14ac:dyDescent="0.2"/>
    <row r="645" spans="1:12" ht="22.5" customHeight="1" x14ac:dyDescent="0.2"/>
    <row r="646" spans="1:12" ht="14.25" customHeight="1" x14ac:dyDescent="0.2"/>
    <row r="647" spans="1:12" ht="46.5" hidden="1" customHeight="1" x14ac:dyDescent="0.2"/>
    <row r="648" spans="1:12" ht="24" customHeight="1" x14ac:dyDescent="0.25">
      <c r="A648" s="3" t="s">
        <v>22</v>
      </c>
    </row>
    <row r="649" spans="1:12" ht="13.5" customHeight="1" x14ac:dyDescent="0.2">
      <c r="A649" s="122" t="s">
        <v>20</v>
      </c>
    </row>
    <row r="650" spans="1:12" ht="16.5" customHeight="1" x14ac:dyDescent="0.2">
      <c r="A650" s="122" t="s">
        <v>21</v>
      </c>
    </row>
    <row r="651" spans="1:12" ht="13.5" customHeight="1" x14ac:dyDescent="0.2"/>
    <row r="652" spans="1:12" ht="19.5" customHeight="1" x14ac:dyDescent="0.2"/>
    <row r="653" spans="1:12" ht="15" customHeight="1" x14ac:dyDescent="0.2"/>
    <row r="654" spans="1:12" ht="20.25" customHeight="1" x14ac:dyDescent="0.3">
      <c r="A654" s="276" t="s">
        <v>6</v>
      </c>
      <c r="B654" s="276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</row>
    <row r="655" spans="1:12" ht="14.25" customHeight="1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</row>
    <row r="656" spans="1:12" ht="16.5" customHeight="1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</row>
    <row r="657" spans="1:12" ht="9.75" customHeight="1" x14ac:dyDescent="0.25">
      <c r="A657" s="1"/>
      <c r="B657" s="1"/>
    </row>
    <row r="658" spans="1:12" ht="18.75" customHeight="1" x14ac:dyDescent="0.25">
      <c r="A658" s="1" t="s">
        <v>7</v>
      </c>
      <c r="B658" s="1"/>
    </row>
    <row r="659" spans="1:12" ht="24" customHeight="1" x14ac:dyDescent="0.25">
      <c r="A659" s="1"/>
      <c r="B659" s="1"/>
    </row>
    <row r="660" spans="1:12" ht="15" customHeight="1" x14ac:dyDescent="0.25">
      <c r="A660" s="1" t="s">
        <v>8</v>
      </c>
      <c r="C660" s="9" t="s">
        <v>1</v>
      </c>
      <c r="D660" s="40" t="s">
        <v>285</v>
      </c>
      <c r="E660" s="76"/>
      <c r="F660" s="76"/>
      <c r="G660" s="76"/>
      <c r="H660" s="76"/>
    </row>
    <row r="661" spans="1:12" ht="15.75" customHeight="1" x14ac:dyDescent="0.25">
      <c r="A661" s="1" t="s">
        <v>9</v>
      </c>
      <c r="C661" s="9" t="s">
        <v>1</v>
      </c>
      <c r="D661" s="7" t="s">
        <v>286</v>
      </c>
      <c r="E661" s="76"/>
      <c r="F661" s="76"/>
      <c r="G661" s="76"/>
      <c r="H661" s="76"/>
    </row>
    <row r="662" spans="1:12" ht="18.75" customHeight="1" x14ac:dyDescent="0.25">
      <c r="A662" s="50" t="s">
        <v>10</v>
      </c>
      <c r="B662" s="76"/>
      <c r="C662" s="91" t="s">
        <v>1</v>
      </c>
      <c r="D662" s="1" t="s">
        <v>287</v>
      </c>
      <c r="E662" s="76"/>
      <c r="F662" s="76"/>
      <c r="G662" s="76"/>
      <c r="H662" s="76"/>
      <c r="I662" s="76"/>
      <c r="J662" s="76"/>
      <c r="K662" s="76"/>
      <c r="L662" s="76"/>
    </row>
    <row r="663" spans="1:12" ht="18" customHeight="1" x14ac:dyDescent="0.25">
      <c r="A663" s="1"/>
      <c r="B663" s="1"/>
      <c r="D663" s="1"/>
    </row>
    <row r="664" spans="1:12" ht="33" customHeight="1" x14ac:dyDescent="0.2">
      <c r="A664" s="277" t="s">
        <v>292</v>
      </c>
      <c r="B664" s="277"/>
      <c r="C664" s="277"/>
      <c r="D664" s="277"/>
      <c r="E664" s="277"/>
      <c r="F664" s="277"/>
      <c r="G664" s="277"/>
      <c r="H664" s="277"/>
      <c r="I664" s="277"/>
      <c r="J664" s="277"/>
      <c r="K664" s="277"/>
      <c r="L664" s="277"/>
    </row>
    <row r="665" spans="1:12" ht="15" customHeight="1" x14ac:dyDescent="0.25">
      <c r="A665" s="1"/>
      <c r="B665" s="1"/>
    </row>
    <row r="666" spans="1:12" ht="32.25" customHeight="1" thickBot="1" x14ac:dyDescent="0.25">
      <c r="A666" s="10" t="s">
        <v>0</v>
      </c>
      <c r="B666" s="278" t="s">
        <v>91</v>
      </c>
      <c r="C666" s="278"/>
      <c r="D666" s="278"/>
      <c r="E666" s="278"/>
      <c r="F666" s="278"/>
      <c r="G666" s="278"/>
      <c r="H666" s="278"/>
      <c r="I666" s="278"/>
      <c r="J666" s="278"/>
      <c r="K666" s="278"/>
      <c r="L666" s="278"/>
    </row>
    <row r="667" spans="1:12" ht="19.5" customHeight="1" thickTop="1" x14ac:dyDescent="0.25">
      <c r="A667" s="1"/>
      <c r="B667" s="11" t="s">
        <v>3</v>
      </c>
      <c r="C667" s="12" t="s">
        <v>4</v>
      </c>
      <c r="D667" s="13"/>
      <c r="E667" s="13"/>
      <c r="F667" s="13"/>
      <c r="G667" s="13"/>
      <c r="H667" s="14"/>
      <c r="I667" s="15" t="s">
        <v>5</v>
      </c>
      <c r="J667" s="12" t="s">
        <v>17</v>
      </c>
      <c r="K667" s="13"/>
      <c r="L667" s="14"/>
    </row>
    <row r="668" spans="1:12" ht="25.5" customHeight="1" x14ac:dyDescent="0.2">
      <c r="A668" s="50"/>
      <c r="B668" s="100">
        <v>1</v>
      </c>
      <c r="C668" s="281" t="s">
        <v>295</v>
      </c>
      <c r="D668" s="282"/>
      <c r="E668" s="282"/>
      <c r="F668" s="282"/>
      <c r="G668" s="50"/>
      <c r="H668" s="55"/>
      <c r="I668" s="56">
        <v>880247</v>
      </c>
      <c r="J668" s="50"/>
      <c r="K668" s="50"/>
      <c r="L668" s="55"/>
    </row>
    <row r="669" spans="1:12" ht="25.5" customHeight="1" x14ac:dyDescent="0.2">
      <c r="A669" s="50"/>
      <c r="B669" s="100">
        <v>2</v>
      </c>
      <c r="C669" s="124" t="s">
        <v>296</v>
      </c>
      <c r="D669" s="124"/>
      <c r="E669" s="124"/>
      <c r="F669" s="124"/>
      <c r="G669" s="50"/>
      <c r="H669" s="55"/>
      <c r="I669" s="139">
        <v>91000</v>
      </c>
      <c r="J669" s="50"/>
      <c r="K669" s="50"/>
      <c r="L669" s="55"/>
    </row>
    <row r="670" spans="1:12" ht="25.5" customHeight="1" x14ac:dyDescent="0.25">
      <c r="A670" s="50"/>
      <c r="B670" s="100">
        <v>3</v>
      </c>
      <c r="C670" s="297" t="s">
        <v>288</v>
      </c>
      <c r="D670" s="297"/>
      <c r="E670" s="134"/>
      <c r="F670" s="68"/>
      <c r="G670" s="297"/>
      <c r="H670" s="331"/>
      <c r="I670" s="136">
        <f>137000+74000</f>
        <v>211000</v>
      </c>
      <c r="J670" s="50"/>
      <c r="K670" s="1"/>
      <c r="L670" s="42"/>
    </row>
    <row r="671" spans="1:12" ht="15.75" customHeight="1" x14ac:dyDescent="0.2">
      <c r="B671" s="100">
        <v>4</v>
      </c>
      <c r="C671" s="321" t="s">
        <v>289</v>
      </c>
      <c r="D671" s="297"/>
      <c r="E671" s="297"/>
      <c r="F671" s="297"/>
      <c r="H671" s="17"/>
      <c r="I671" s="19">
        <f>10000+10000</f>
        <v>20000</v>
      </c>
      <c r="L671" s="17"/>
    </row>
    <row r="672" spans="1:12" ht="15.75" customHeight="1" x14ac:dyDescent="0.2">
      <c r="B672" s="20"/>
      <c r="C672" s="21"/>
      <c r="D672" s="21"/>
      <c r="E672" s="21"/>
      <c r="F672" s="21"/>
      <c r="G672" s="21"/>
      <c r="H672" s="22"/>
      <c r="I672" s="23"/>
      <c r="J672" s="21"/>
      <c r="K672" s="21"/>
      <c r="L672" s="22"/>
    </row>
    <row r="673" spans="1:12" ht="15.75" customHeight="1" x14ac:dyDescent="0.25">
      <c r="A673" s="1"/>
      <c r="B673" s="39"/>
      <c r="C673" s="1"/>
      <c r="D673" s="1"/>
      <c r="E673" s="1"/>
      <c r="F673" s="40" t="s">
        <v>5</v>
      </c>
      <c r="G673" s="40"/>
      <c r="H673" s="1"/>
      <c r="I673" s="41">
        <f>SUM(I668:I671)</f>
        <v>1202247</v>
      </c>
      <c r="J673" s="1"/>
      <c r="K673" s="1"/>
      <c r="L673" s="42"/>
    </row>
    <row r="674" spans="1:12" ht="15.75" customHeight="1" thickBot="1" x14ac:dyDescent="0.3">
      <c r="A674" s="1"/>
      <c r="B674" s="43"/>
      <c r="C674" s="44"/>
      <c r="D674" s="44"/>
      <c r="E674" s="44"/>
      <c r="F674" s="45"/>
      <c r="G674" s="45"/>
      <c r="H674" s="44"/>
      <c r="I674" s="46"/>
      <c r="J674" s="44"/>
      <c r="K674" s="44"/>
      <c r="L674" s="47"/>
    </row>
    <row r="675" spans="1:12" ht="14.25" customHeight="1" thickTop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45" customHeight="1" x14ac:dyDescent="0.2">
      <c r="A676" s="10" t="s">
        <v>2</v>
      </c>
      <c r="B676" s="279" t="s">
        <v>11</v>
      </c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</row>
    <row r="677" spans="1:12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8" customHeight="1" x14ac:dyDescent="0.2">
      <c r="A678" s="280" t="s">
        <v>12</v>
      </c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</row>
    <row r="679" spans="1:12" ht="21.75" hidden="1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20.25" customHeight="1" x14ac:dyDescent="0.25">
      <c r="A681" s="1"/>
      <c r="B681" s="1"/>
      <c r="C681" s="1"/>
      <c r="D681" s="1"/>
      <c r="E681" s="1"/>
      <c r="F681" s="1"/>
      <c r="G681" s="1"/>
      <c r="H681" s="4" t="s">
        <v>199</v>
      </c>
      <c r="J681" s="286" t="s">
        <v>273</v>
      </c>
      <c r="K681" s="286"/>
      <c r="L681" s="286"/>
    </row>
    <row r="682" spans="1:12" ht="12.75" customHeight="1" x14ac:dyDescent="0.25">
      <c r="A682" s="1"/>
      <c r="B682" s="1" t="s">
        <v>15</v>
      </c>
      <c r="C682" s="1"/>
      <c r="D682" s="1"/>
      <c r="E682" s="1"/>
      <c r="F682" s="1"/>
      <c r="G682" s="1"/>
      <c r="H682" s="4" t="s">
        <v>13</v>
      </c>
    </row>
    <row r="683" spans="1:12" ht="18.75" hidden="1" customHeight="1" x14ac:dyDescent="0.25">
      <c r="A683" s="1"/>
      <c r="B683" s="1" t="s">
        <v>18</v>
      </c>
      <c r="C683" s="1"/>
      <c r="D683" s="1"/>
      <c r="E683" s="1"/>
      <c r="F683" s="1"/>
      <c r="G683" s="1"/>
      <c r="H683" s="4" t="s">
        <v>14</v>
      </c>
    </row>
    <row r="684" spans="1:12" ht="16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hidden="1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9.5" customHeight="1" x14ac:dyDescent="0.25">
      <c r="A686" s="1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"/>
    </row>
    <row r="687" spans="1:12" ht="15.75" customHeight="1" x14ac:dyDescent="0.25">
      <c r="A687" s="1"/>
      <c r="K687" s="103"/>
      <c r="L687" s="1"/>
    </row>
    <row r="688" spans="1:12" ht="24.75" customHeight="1" x14ac:dyDescent="0.25">
      <c r="A688" s="1"/>
      <c r="B688" s="95" t="s">
        <v>77</v>
      </c>
      <c r="H688" s="37" t="s">
        <v>285</v>
      </c>
      <c r="I688" s="95"/>
      <c r="J688" s="92"/>
      <c r="K688" s="103"/>
      <c r="L688" s="1"/>
    </row>
    <row r="689" spans="1:11" ht="15.75" customHeight="1" x14ac:dyDescent="0.25">
      <c r="A689" s="1"/>
      <c r="B689" s="99" t="s">
        <v>27</v>
      </c>
      <c r="C689" s="57"/>
      <c r="H689" s="1" t="s">
        <v>290</v>
      </c>
      <c r="K689" s="103"/>
    </row>
    <row r="690" spans="1:11" ht="21" customHeight="1" x14ac:dyDescent="0.2"/>
    <row r="691" spans="1:11" ht="12.75" customHeight="1" x14ac:dyDescent="0.2"/>
    <row r="692" spans="1:11" ht="15.75" customHeight="1" x14ac:dyDescent="0.2"/>
    <row r="693" spans="1:11" ht="16.5" customHeight="1" x14ac:dyDescent="0.2"/>
    <row r="694" spans="1:11" ht="5.25" customHeight="1" x14ac:dyDescent="0.2"/>
    <row r="695" spans="1:11" ht="34.5" hidden="1" customHeight="1" x14ac:dyDescent="0.2"/>
    <row r="696" spans="1:11" ht="18.75" customHeight="1" x14ac:dyDescent="0.2"/>
    <row r="697" spans="1:11" ht="3.75" customHeight="1" x14ac:dyDescent="0.2"/>
    <row r="698" spans="1:11" ht="15.75" customHeight="1" x14ac:dyDescent="0.2"/>
    <row r="699" spans="1:11" ht="15.75" customHeight="1" x14ac:dyDescent="0.2"/>
    <row r="700" spans="1:11" ht="15" customHeight="1" x14ac:dyDescent="0.2"/>
    <row r="701" spans="1:11" ht="16.5" customHeight="1" x14ac:dyDescent="0.2"/>
    <row r="702" spans="1:11" ht="30.75" customHeight="1" x14ac:dyDescent="0.2"/>
    <row r="703" spans="1:11" ht="20.25" customHeight="1" x14ac:dyDescent="0.2"/>
    <row r="704" spans="1:11" ht="34.5" customHeight="1" x14ac:dyDescent="0.2"/>
    <row r="705" ht="15.75" customHeight="1" x14ac:dyDescent="0.2"/>
    <row r="706" ht="40.5" customHeight="1" x14ac:dyDescent="0.2"/>
    <row r="707" ht="15.75" customHeight="1" x14ac:dyDescent="0.2"/>
    <row r="708" ht="18.75" customHeight="1" x14ac:dyDescent="0.2"/>
    <row r="709" ht="12.75" customHeight="1" x14ac:dyDescent="0.2"/>
    <row r="710" ht="15.75" customHeight="1" x14ac:dyDescent="0.2"/>
    <row r="711" ht="15.75" customHeight="1" x14ac:dyDescent="0.2"/>
    <row r="712" ht="15.75" customHeight="1" x14ac:dyDescent="0.2"/>
    <row r="713" ht="45.75" customHeight="1" x14ac:dyDescent="0.2"/>
    <row r="714" ht="15" customHeight="1" x14ac:dyDescent="0.2"/>
    <row r="715" ht="15" customHeight="1" x14ac:dyDescent="0.2"/>
    <row r="716" ht="15.75" customHeight="1" x14ac:dyDescent="0.2"/>
    <row r="717" ht="24" customHeight="1" x14ac:dyDescent="0.2"/>
    <row r="718" ht="12.75" customHeight="1" x14ac:dyDescent="0.2"/>
    <row r="719" ht="15" customHeight="1" x14ac:dyDescent="0.2"/>
    <row r="720" ht="12.75" x14ac:dyDescent="0.2"/>
    <row r="721" ht="12.75" x14ac:dyDescent="0.2"/>
    <row r="722" ht="12.75" x14ac:dyDescent="0.2"/>
    <row r="723" ht="15.75" customHeight="1" x14ac:dyDescent="0.2"/>
    <row r="724" ht="12.75" hidden="1" x14ac:dyDescent="0.2"/>
    <row r="725" ht="37.5" customHeight="1" x14ac:dyDescent="0.2"/>
    <row r="726" ht="19.5" customHeight="1" x14ac:dyDescent="0.2"/>
    <row r="727" ht="22.5" customHeight="1" x14ac:dyDescent="0.2"/>
    <row r="728" ht="12.75" x14ac:dyDescent="0.2"/>
    <row r="729" ht="21.75" customHeight="1" x14ac:dyDescent="0.2"/>
    <row r="730" ht="12.75" x14ac:dyDescent="0.2"/>
    <row r="731" ht="18" customHeight="1" x14ac:dyDescent="0.2"/>
    <row r="732" ht="23.25" customHeight="1" x14ac:dyDescent="0.2"/>
    <row r="733" ht="24" customHeight="1" x14ac:dyDescent="0.2"/>
    <row r="734" ht="5.25" customHeight="1" x14ac:dyDescent="0.2"/>
    <row r="735" ht="17.25" customHeight="1" x14ac:dyDescent="0.2"/>
    <row r="736" ht="42.75" customHeight="1" x14ac:dyDescent="0.2"/>
    <row r="737" ht="12.75" x14ac:dyDescent="0.2"/>
    <row r="738" ht="20.25" customHeight="1" x14ac:dyDescent="0.2"/>
    <row r="739" ht="17.25" customHeight="1" x14ac:dyDescent="0.2"/>
    <row r="740" ht="12.75" x14ac:dyDescent="0.2"/>
    <row r="741" ht="12" customHeight="1" x14ac:dyDescent="0.2"/>
    <row r="742" ht="24.75" customHeight="1" x14ac:dyDescent="0.2"/>
    <row r="743" ht="13.5" customHeight="1" x14ac:dyDescent="0.2"/>
    <row r="744" ht="19.5" customHeight="1" x14ac:dyDescent="0.2"/>
    <row r="745" ht="17.25" customHeight="1" x14ac:dyDescent="0.2"/>
    <row r="746" ht="27" customHeight="1" x14ac:dyDescent="0.2"/>
    <row r="747" ht="9.75" customHeight="1" x14ac:dyDescent="0.2"/>
    <row r="748" ht="35.25" customHeight="1" x14ac:dyDescent="0.2"/>
    <row r="749" ht="16.5" customHeight="1" x14ac:dyDescent="0.2"/>
    <row r="750" ht="23.25" customHeight="1" x14ac:dyDescent="0.2"/>
    <row r="751" ht="22.5" customHeight="1" x14ac:dyDescent="0.2"/>
    <row r="752" ht="10.5" customHeight="1" x14ac:dyDescent="0.2"/>
    <row r="753" ht="12.75" x14ac:dyDescent="0.2"/>
    <row r="754" ht="14.25" customHeight="1" x14ac:dyDescent="0.2"/>
    <row r="755" ht="9.75" customHeight="1" x14ac:dyDescent="0.2"/>
    <row r="756" ht="12.75" x14ac:dyDescent="0.2"/>
    <row r="757" ht="45.75" customHeight="1" x14ac:dyDescent="0.2"/>
    <row r="758" ht="12.75" x14ac:dyDescent="0.2"/>
    <row r="759" s="99" customFormat="1" ht="21.75" customHeight="1" x14ac:dyDescent="0.2"/>
    <row r="760" ht="16.5" customHeight="1" x14ac:dyDescent="0.2"/>
    <row r="761" ht="12.75" x14ac:dyDescent="0.2"/>
    <row r="762" ht="18.75" customHeight="1" x14ac:dyDescent="0.2"/>
    <row r="763" ht="18" customHeight="1" x14ac:dyDescent="0.2"/>
    <row r="764" ht="12.75" x14ac:dyDescent="0.2"/>
    <row r="765" ht="12" customHeight="1" x14ac:dyDescent="0.2"/>
    <row r="766" ht="12.75" x14ac:dyDescent="0.2"/>
    <row r="767" ht="15.75" customHeight="1" x14ac:dyDescent="0.2"/>
    <row r="768" ht="20.25" customHeight="1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38.25" customHeight="1" x14ac:dyDescent="0.2"/>
    <row r="776" ht="15.75" customHeight="1" x14ac:dyDescent="0.2"/>
    <row r="777" ht="24.75" customHeight="1" x14ac:dyDescent="0.2"/>
    <row r="778" ht="24.75" customHeight="1" x14ac:dyDescent="0.2"/>
    <row r="779" ht="16.5" customHeight="1" x14ac:dyDescent="0.2"/>
    <row r="780" ht="18.75" customHeight="1" x14ac:dyDescent="0.2"/>
    <row r="781" ht="17.25" customHeight="1" x14ac:dyDescent="0.2"/>
    <row r="782" ht="12.75" x14ac:dyDescent="0.2"/>
    <row r="783" ht="15" customHeight="1" x14ac:dyDescent="0.2"/>
    <row r="784" ht="12.75" x14ac:dyDescent="0.2"/>
    <row r="785" ht="17.25" customHeight="1" x14ac:dyDescent="0.2"/>
    <row r="786" ht="12.75" x14ac:dyDescent="0.2"/>
    <row r="787" ht="18.75" customHeight="1" x14ac:dyDescent="0.2"/>
    <row r="788" ht="15.75" customHeight="1" x14ac:dyDescent="0.2"/>
    <row r="789" ht="14.25" customHeight="1" x14ac:dyDescent="0.2"/>
    <row r="790" ht="15" customHeight="1" x14ac:dyDescent="0.2"/>
    <row r="791" ht="32.25" customHeight="1" x14ac:dyDescent="0.2"/>
    <row r="792" ht="12.75" x14ac:dyDescent="0.2"/>
    <row r="793" ht="34.5" customHeight="1" x14ac:dyDescent="0.2"/>
    <row r="794" ht="12.75" x14ac:dyDescent="0.2"/>
    <row r="795" ht="25.5" customHeight="1" x14ac:dyDescent="0.2"/>
    <row r="796" ht="15.75" customHeight="1" x14ac:dyDescent="0.2"/>
    <row r="797" ht="12.75" x14ac:dyDescent="0.2"/>
    <row r="798" ht="29.25" customHeight="1" x14ac:dyDescent="0.2"/>
    <row r="799" ht="17.25" customHeight="1" x14ac:dyDescent="0.2"/>
    <row r="800" ht="8.25" customHeight="1" x14ac:dyDescent="0.2"/>
    <row r="801" ht="15.75" customHeight="1" x14ac:dyDescent="0.2"/>
    <row r="802" ht="46.5" customHeight="1" x14ac:dyDescent="0.2"/>
    <row r="803" ht="12.75" x14ac:dyDescent="0.2"/>
    <row r="804" ht="32.25" customHeight="1" x14ac:dyDescent="0.2"/>
    <row r="805" ht="14.25" customHeight="1" x14ac:dyDescent="0.2"/>
    <row r="806" ht="5.25" customHeight="1" x14ac:dyDescent="0.2"/>
    <row r="807" ht="17.25" customHeight="1" x14ac:dyDescent="0.2"/>
    <row r="808" ht="14.25" customHeight="1" x14ac:dyDescent="0.2"/>
    <row r="809" ht="12.75" x14ac:dyDescent="0.2"/>
    <row r="810" ht="12.75" x14ac:dyDescent="0.2"/>
    <row r="811" ht="12.75" x14ac:dyDescent="0.2"/>
    <row r="812" ht="21" customHeight="1" x14ac:dyDescent="0.2"/>
    <row r="813" ht="12.75" x14ac:dyDescent="0.2"/>
    <row r="814" ht="21" customHeight="1" x14ac:dyDescent="0.2"/>
    <row r="815" ht="12.75" x14ac:dyDescent="0.2"/>
    <row r="816" ht="12.75" x14ac:dyDescent="0.2"/>
    <row r="817" ht="57.75" customHeight="1" x14ac:dyDescent="0.2"/>
    <row r="818" ht="12.75" x14ac:dyDescent="0.2"/>
    <row r="819" ht="22.5" customHeight="1" x14ac:dyDescent="0.2"/>
    <row r="820" ht="19.5" customHeight="1" x14ac:dyDescent="0.2"/>
    <row r="821" ht="18.75" customHeight="1" x14ac:dyDescent="0.2"/>
    <row r="822" ht="14.25" customHeight="1" x14ac:dyDescent="0.2"/>
    <row r="823" ht="12.75" customHeight="1" x14ac:dyDescent="0.2"/>
    <row r="824" ht="20.25" customHeight="1" x14ac:dyDescent="0.2"/>
    <row r="825" ht="23.25" customHeight="1" x14ac:dyDescent="0.2"/>
    <row r="826" ht="12.75" x14ac:dyDescent="0.2"/>
    <row r="827" ht="15" customHeight="1" x14ac:dyDescent="0.2"/>
    <row r="828" ht="12.75" x14ac:dyDescent="0.2"/>
    <row r="829" ht="13.5" customHeight="1" x14ac:dyDescent="0.2"/>
    <row r="830" ht="19.5" customHeight="1" x14ac:dyDescent="0.2"/>
    <row r="831" ht="14.25" customHeight="1" x14ac:dyDescent="0.2"/>
    <row r="832" ht="15" customHeight="1" x14ac:dyDescent="0.2"/>
    <row r="833" s="76" customFormat="1" ht="12.75" customHeight="1" x14ac:dyDescent="0.2"/>
    <row r="834" s="76" customFormat="1" ht="15.75" customHeight="1" x14ac:dyDescent="0.2"/>
    <row r="835" ht="42" customHeight="1" x14ac:dyDescent="0.2"/>
    <row r="836" ht="9.75" customHeight="1" x14ac:dyDescent="0.2"/>
    <row r="837" ht="39.75" customHeight="1" x14ac:dyDescent="0.2"/>
    <row r="838" ht="22.5" customHeight="1" x14ac:dyDescent="0.2"/>
    <row r="839" ht="28.5" customHeight="1" x14ac:dyDescent="0.2"/>
    <row r="840" ht="19.5" customHeight="1" x14ac:dyDescent="0.2"/>
    <row r="841" ht="22.5" customHeight="1" x14ac:dyDescent="0.2"/>
    <row r="842" ht="36" customHeight="1" x14ac:dyDescent="0.2"/>
    <row r="843" ht="12.75" customHeight="1" x14ac:dyDescent="0.2"/>
    <row r="844" ht="9" customHeight="1" x14ac:dyDescent="0.2"/>
    <row r="845" ht="9.75" customHeight="1" x14ac:dyDescent="0.2"/>
    <row r="846" ht="47.25" customHeight="1" x14ac:dyDescent="0.2"/>
    <row r="847" ht="17.25" customHeight="1" x14ac:dyDescent="0.2"/>
    <row r="848" ht="15" customHeight="1" x14ac:dyDescent="0.2"/>
    <row r="849" ht="12.75" x14ac:dyDescent="0.2"/>
    <row r="850" ht="22.5" customHeight="1" x14ac:dyDescent="0.2"/>
    <row r="851" ht="12.75" x14ac:dyDescent="0.2"/>
    <row r="852" ht="18.75" customHeight="1" x14ac:dyDescent="0.2"/>
    <row r="853" ht="12.75" x14ac:dyDescent="0.2"/>
    <row r="854" ht="22.5" customHeight="1" x14ac:dyDescent="0.2"/>
    <row r="855" ht="12.75" x14ac:dyDescent="0.2"/>
    <row r="856" ht="20.25" customHeight="1" x14ac:dyDescent="0.2"/>
    <row r="857" ht="6" customHeight="1" x14ac:dyDescent="0.2"/>
    <row r="858" ht="12.75" x14ac:dyDescent="0.2"/>
    <row r="859" ht="18.75" customHeight="1" x14ac:dyDescent="0.2"/>
    <row r="860" ht="12.75" x14ac:dyDescent="0.2"/>
    <row r="861" ht="45" customHeight="1" x14ac:dyDescent="0.2"/>
    <row r="862" ht="12.75" x14ac:dyDescent="0.2"/>
    <row r="863" ht="15.75" customHeight="1" x14ac:dyDescent="0.2"/>
    <row r="864" ht="21" customHeight="1" x14ac:dyDescent="0.2"/>
    <row r="865" ht="18" customHeight="1" x14ac:dyDescent="0.2"/>
    <row r="866" ht="24" customHeight="1" x14ac:dyDescent="0.2"/>
    <row r="867" ht="12.75" x14ac:dyDescent="0.2"/>
    <row r="868" ht="18.75" customHeight="1" x14ac:dyDescent="0.2"/>
    <row r="869" ht="12.75" customHeight="1" x14ac:dyDescent="0.2"/>
    <row r="870" ht="18" customHeight="1" x14ac:dyDescent="0.2"/>
    <row r="871" ht="15" customHeight="1" x14ac:dyDescent="0.2"/>
    <row r="872" s="85" customFormat="1" ht="20.25" customHeight="1" x14ac:dyDescent="0.2"/>
    <row r="873" ht="15" customHeight="1" x14ac:dyDescent="0.2"/>
    <row r="874" ht="15" customHeight="1" x14ac:dyDescent="0.2"/>
    <row r="875" ht="12.75" x14ac:dyDescent="0.2"/>
    <row r="876" ht="21" customHeight="1" x14ac:dyDescent="0.2"/>
    <row r="877" ht="12.75" customHeight="1" x14ac:dyDescent="0.2"/>
    <row r="878" ht="21.75" customHeight="1" x14ac:dyDescent="0.2"/>
    <row r="879" ht="27" customHeight="1" x14ac:dyDescent="0.2"/>
    <row r="880" ht="38.25" customHeight="1" x14ac:dyDescent="0.2"/>
    <row r="881" ht="20.25" customHeight="1" x14ac:dyDescent="0.2"/>
    <row r="882" ht="18.75" customHeight="1" x14ac:dyDescent="0.2"/>
    <row r="883" ht="15.75" customHeight="1" x14ac:dyDescent="0.2"/>
    <row r="884" ht="15.75" customHeight="1" x14ac:dyDescent="0.2"/>
    <row r="885" ht="20.25" customHeight="1" x14ac:dyDescent="0.2"/>
    <row r="886" ht="33.75" customHeight="1" x14ac:dyDescent="0.2"/>
    <row r="887" ht="12.75" x14ac:dyDescent="0.2"/>
    <row r="888" ht="31.5" customHeight="1" x14ac:dyDescent="0.2"/>
    <row r="889" ht="24" customHeight="1" x14ac:dyDescent="0.2"/>
    <row r="890" ht="24" customHeight="1" x14ac:dyDescent="0.2"/>
    <row r="891" ht="24" customHeight="1" x14ac:dyDescent="0.2"/>
    <row r="892" ht="31.5" customHeight="1" x14ac:dyDescent="0.2"/>
    <row r="893" ht="12.75" x14ac:dyDescent="0.2"/>
    <row r="894" ht="17.25" customHeight="1" x14ac:dyDescent="0.2"/>
    <row r="895" ht="4.5" customHeight="1" x14ac:dyDescent="0.2"/>
    <row r="896" ht="26.25" customHeight="1" x14ac:dyDescent="0.2"/>
    <row r="897" ht="48.75" customHeight="1" x14ac:dyDescent="0.2"/>
    <row r="898" ht="12.75" x14ac:dyDescent="0.2"/>
    <row r="899" ht="21" customHeight="1" x14ac:dyDescent="0.2"/>
    <row r="900" ht="12.75" x14ac:dyDescent="0.2"/>
    <row r="901" ht="12.75" x14ac:dyDescent="0.2"/>
    <row r="902" ht="12.75" x14ac:dyDescent="0.2"/>
    <row r="903" ht="12.75" x14ac:dyDescent="0.2"/>
    <row r="904" ht="16.5" customHeight="1" x14ac:dyDescent="0.2"/>
    <row r="905" ht="12.75" x14ac:dyDescent="0.2"/>
    <row r="906" ht="12.75" x14ac:dyDescent="0.2"/>
    <row r="907" ht="12.75" x14ac:dyDescent="0.2"/>
    <row r="908" ht="58.5" customHeight="1" x14ac:dyDescent="0.2"/>
    <row r="909" ht="12.75" x14ac:dyDescent="0.2"/>
    <row r="910" ht="18" customHeight="1" x14ac:dyDescent="0.2"/>
    <row r="911" ht="12.75" x14ac:dyDescent="0.2"/>
    <row r="912" ht="12.75" customHeight="1" x14ac:dyDescent="0.2"/>
    <row r="913" ht="34.5" customHeight="1" x14ac:dyDescent="0.2"/>
    <row r="914" ht="3" customHeight="1" x14ac:dyDescent="0.2"/>
    <row r="915" ht="36" hidden="1" customHeight="1" x14ac:dyDescent="0.2"/>
    <row r="916" ht="22.5" customHeight="1" x14ac:dyDescent="0.2"/>
    <row r="917" ht="12.75" x14ac:dyDescent="0.2"/>
    <row r="918" ht="12.75" x14ac:dyDescent="0.2"/>
    <row r="919" ht="12.75" x14ac:dyDescent="0.2"/>
    <row r="920" ht="17.25" customHeight="1" x14ac:dyDescent="0.2"/>
    <row r="921" ht="48.75" customHeight="1" x14ac:dyDescent="0.2"/>
    <row r="922" ht="18" customHeight="1" x14ac:dyDescent="0.2"/>
    <row r="923" ht="21" customHeight="1" x14ac:dyDescent="0.2"/>
    <row r="924" ht="12.75" x14ac:dyDescent="0.2"/>
    <row r="925" ht="15" customHeight="1" x14ac:dyDescent="0.2"/>
    <row r="926" ht="21.75" customHeight="1" x14ac:dyDescent="0.2"/>
    <row r="927" ht="15" customHeight="1" x14ac:dyDescent="0.2"/>
    <row r="928" ht="15" customHeight="1" x14ac:dyDescent="0.2"/>
    <row r="929" ht="18.75" customHeight="1" x14ac:dyDescent="0.2"/>
    <row r="930" ht="31.5" customHeight="1" x14ac:dyDescent="0.2"/>
    <row r="931" ht="21.75" customHeight="1" x14ac:dyDescent="0.2"/>
    <row r="932" ht="12.75" x14ac:dyDescent="0.2"/>
    <row r="933" ht="14.25" customHeight="1" x14ac:dyDescent="0.2"/>
    <row r="934" ht="12.75" x14ac:dyDescent="0.2"/>
    <row r="935" ht="15" customHeight="1" x14ac:dyDescent="0.2"/>
    <row r="936" ht="12.75" x14ac:dyDescent="0.2"/>
    <row r="937" ht="26.25" customHeight="1" x14ac:dyDescent="0.2"/>
    <row r="938" ht="15" customHeight="1" x14ac:dyDescent="0.2"/>
    <row r="939" ht="36" customHeight="1" x14ac:dyDescent="0.2"/>
    <row r="940" ht="21" customHeight="1" x14ac:dyDescent="0.2"/>
    <row r="941" ht="21" customHeight="1" x14ac:dyDescent="0.2"/>
    <row r="942" ht="33.75" customHeight="1" x14ac:dyDescent="0.2"/>
    <row r="943" ht="12.75" x14ac:dyDescent="0.2"/>
    <row r="944" ht="23.25" customHeight="1" x14ac:dyDescent="0.2"/>
    <row r="945" ht="12.75" x14ac:dyDescent="0.2"/>
    <row r="946" ht="16.5" customHeight="1" x14ac:dyDescent="0.2"/>
    <row r="947" ht="21.75" customHeight="1" x14ac:dyDescent="0.2"/>
    <row r="948" ht="46.5" customHeight="1" x14ac:dyDescent="0.2"/>
    <row r="949" ht="12.75" x14ac:dyDescent="0.2"/>
    <row r="950" ht="22.5" customHeight="1" x14ac:dyDescent="0.2"/>
    <row r="951" ht="28.5" customHeight="1" x14ac:dyDescent="0.2"/>
    <row r="952" ht="20.25" customHeight="1" x14ac:dyDescent="0.2"/>
    <row r="953" ht="15" customHeight="1" x14ac:dyDescent="0.2"/>
    <row r="954" ht="12.75" x14ac:dyDescent="0.2"/>
    <row r="955" ht="12.75" x14ac:dyDescent="0.2"/>
    <row r="956" ht="12.75" x14ac:dyDescent="0.2"/>
    <row r="957" ht="12.75" x14ac:dyDescent="0.2"/>
    <row r="958" ht="28.5" customHeight="1" x14ac:dyDescent="0.2"/>
    <row r="959" ht="12.75" x14ac:dyDescent="0.2"/>
    <row r="960" ht="12.75" x14ac:dyDescent="0.2"/>
    <row r="961" ht="12.75" x14ac:dyDescent="0.2"/>
    <row r="962" ht="46.5" customHeight="1" x14ac:dyDescent="0.2"/>
    <row r="963" ht="12.75" x14ac:dyDescent="0.2"/>
    <row r="964" ht="32.25" customHeight="1" x14ac:dyDescent="0.2"/>
    <row r="965" ht="12.75" x14ac:dyDescent="0.2"/>
    <row r="966" ht="15" customHeight="1" x14ac:dyDescent="0.2"/>
    <row r="967" ht="22.5" customHeight="1" x14ac:dyDescent="0.2"/>
    <row r="968" ht="12.75" customHeight="1" x14ac:dyDescent="0.2"/>
    <row r="969" ht="18" customHeight="1" x14ac:dyDescent="0.2"/>
    <row r="970" ht="18" customHeight="1" x14ac:dyDescent="0.2"/>
    <row r="971" ht="12.75" x14ac:dyDescent="0.2"/>
    <row r="972" ht="21" customHeight="1" x14ac:dyDescent="0.2"/>
    <row r="973" ht="21" customHeight="1" x14ac:dyDescent="0.2"/>
    <row r="974" ht="15.75" customHeight="1" x14ac:dyDescent="0.2"/>
    <row r="975" ht="11.25" customHeight="1" x14ac:dyDescent="0.2"/>
    <row r="976" ht="23.25" customHeight="1" x14ac:dyDescent="0.2"/>
    <row r="977" ht="15" customHeight="1" x14ac:dyDescent="0.2"/>
    <row r="978" ht="17.25" customHeight="1" x14ac:dyDescent="0.2"/>
    <row r="979" ht="17.25" customHeight="1" x14ac:dyDescent="0.2"/>
    <row r="980" ht="37.5" customHeight="1" x14ac:dyDescent="0.2"/>
    <row r="981" ht="12.75" x14ac:dyDescent="0.2"/>
    <row r="982" ht="32.25" customHeight="1" x14ac:dyDescent="0.2"/>
    <row r="983" ht="23.25" customHeight="1" x14ac:dyDescent="0.2"/>
    <row r="984" ht="23.25" customHeight="1" x14ac:dyDescent="0.2"/>
    <row r="985" ht="13.5" customHeight="1" x14ac:dyDescent="0.2"/>
    <row r="986" ht="14.25" customHeight="1" x14ac:dyDescent="0.2"/>
    <row r="987" ht="30.75" customHeight="1" x14ac:dyDescent="0.2"/>
    <row r="988" ht="20.25" customHeight="1" x14ac:dyDescent="0.2"/>
    <row r="989" ht="10.5" customHeight="1" x14ac:dyDescent="0.2"/>
    <row r="990" ht="21" customHeight="1" x14ac:dyDescent="0.2"/>
    <row r="991" ht="49.5" customHeight="1" x14ac:dyDescent="0.2"/>
    <row r="992" ht="18" customHeight="1" x14ac:dyDescent="0.2"/>
    <row r="993" ht="16.5" customHeight="1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5.75" customHeight="1" x14ac:dyDescent="0.2"/>
    <row r="1000" ht="18" hidden="1" customHeight="1" x14ac:dyDescent="0.2"/>
    <row r="1001" ht="18" customHeight="1" x14ac:dyDescent="0.2"/>
    <row r="1002" ht="20.25" customHeight="1" x14ac:dyDescent="0.2"/>
    <row r="1003" ht="20.25" customHeight="1" x14ac:dyDescent="0.2"/>
    <row r="1004" ht="12.75" x14ac:dyDescent="0.2"/>
    <row r="1005" ht="15" customHeight="1" x14ac:dyDescent="0.2"/>
    <row r="1006" ht="12.75" x14ac:dyDescent="0.2"/>
    <row r="1007" ht="12.75" x14ac:dyDescent="0.2"/>
    <row r="1008" ht="12.75" x14ac:dyDescent="0.2"/>
    <row r="1009" ht="21.75" customHeight="1" x14ac:dyDescent="0.2"/>
    <row r="1010" ht="12.75" x14ac:dyDescent="0.2"/>
    <row r="1011" ht="39" customHeight="1" x14ac:dyDescent="0.2"/>
    <row r="1012" ht="12.75" x14ac:dyDescent="0.2"/>
    <row r="1013" ht="32.25" customHeight="1" x14ac:dyDescent="0.2"/>
    <row r="1014" ht="31.5" customHeight="1" x14ac:dyDescent="0.2"/>
    <row r="1015" ht="39.75" customHeight="1" x14ac:dyDescent="0.2"/>
    <row r="1016" ht="19.5" customHeight="1" x14ac:dyDescent="0.2"/>
    <row r="1017" ht="4.5" customHeight="1" x14ac:dyDescent="0.2"/>
    <row r="1018" ht="27" customHeight="1" x14ac:dyDescent="0.2"/>
    <row r="1019" ht="3.75" customHeight="1" x14ac:dyDescent="0.2"/>
    <row r="1020" ht="23.25" customHeight="1" x14ac:dyDescent="0.2"/>
    <row r="1021" ht="21" customHeight="1" x14ac:dyDescent="0.2"/>
    <row r="1022" ht="12" customHeight="1" x14ac:dyDescent="0.2"/>
    <row r="1023" ht="21.75" customHeight="1" x14ac:dyDescent="0.2"/>
    <row r="1024" ht="17.25" customHeight="1" x14ac:dyDescent="0.2"/>
    <row r="1025" ht="15" customHeight="1" x14ac:dyDescent="0.2"/>
    <row r="1026" ht="16.5" customHeight="1" x14ac:dyDescent="0.2"/>
    <row r="1027" ht="38.25" customHeight="1" x14ac:dyDescent="0.2"/>
    <row r="1028" ht="15" customHeight="1" x14ac:dyDescent="0.2"/>
    <row r="1029" ht="35.25" customHeight="1" x14ac:dyDescent="0.2"/>
    <row r="1030" ht="17.25" customHeight="1" x14ac:dyDescent="0.2"/>
    <row r="1031" ht="12" customHeight="1" x14ac:dyDescent="0.2"/>
    <row r="1032" ht="23.25" customHeight="1" x14ac:dyDescent="0.2"/>
    <row r="1033" s="99" customFormat="1" ht="21" customHeight="1" x14ac:dyDescent="0.2"/>
    <row r="1034" ht="30.75" customHeight="1" x14ac:dyDescent="0.2"/>
    <row r="1035" ht="12.75" x14ac:dyDescent="0.2"/>
    <row r="1036" ht="5.25" customHeight="1" x14ac:dyDescent="0.2"/>
    <row r="1037" ht="12.75" x14ac:dyDescent="0.2"/>
    <row r="1038" ht="45.75" customHeight="1" x14ac:dyDescent="0.2"/>
    <row r="1039" ht="12.75" x14ac:dyDescent="0.2"/>
    <row r="1040" ht="15" customHeight="1" x14ac:dyDescent="0.2"/>
    <row r="1041" ht="10.5" customHeight="1" x14ac:dyDescent="0.2"/>
    <row r="1042" ht="10.5" customHeight="1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7.25" customHeight="1" x14ac:dyDescent="0.2"/>
    <row r="1050" ht="17.25" customHeight="1" x14ac:dyDescent="0.2"/>
    <row r="1051" ht="12" customHeight="1" x14ac:dyDescent="0.2"/>
    <row r="1052" ht="12.75" x14ac:dyDescent="0.2"/>
    <row r="1053" ht="12.75" x14ac:dyDescent="0.2"/>
    <row r="1054" ht="28.5" customHeight="1" x14ac:dyDescent="0.2"/>
    <row r="1055" ht="12.75" x14ac:dyDescent="0.2"/>
    <row r="1056" ht="19.5" customHeight="1" x14ac:dyDescent="0.2"/>
    <row r="1057" ht="12.75" x14ac:dyDescent="0.2"/>
    <row r="1058" ht="14.25" customHeight="1" x14ac:dyDescent="0.2"/>
    <row r="1059" ht="12.75" customHeight="1" x14ac:dyDescent="0.2"/>
    <row r="1060" ht="12.75" x14ac:dyDescent="0.2"/>
    <row r="1061" ht="24.75" customHeight="1" x14ac:dyDescent="0.2"/>
    <row r="1062" ht="34.5" customHeight="1" x14ac:dyDescent="0.2"/>
    <row r="1063" ht="12.75" x14ac:dyDescent="0.2"/>
    <row r="1064" ht="37.5" customHeight="1" x14ac:dyDescent="0.2"/>
    <row r="1065" ht="25.5" customHeight="1" x14ac:dyDescent="0.2"/>
    <row r="1066" ht="35.25" customHeight="1" x14ac:dyDescent="0.2"/>
    <row r="1067" ht="27" customHeight="1" x14ac:dyDescent="0.2"/>
    <row r="1068" ht="18" customHeight="1" x14ac:dyDescent="0.2"/>
    <row r="1069" ht="12.75" x14ac:dyDescent="0.2"/>
    <row r="1070" ht="22.5" customHeight="1" x14ac:dyDescent="0.2"/>
    <row r="1071" ht="20.25" customHeight="1" x14ac:dyDescent="0.2"/>
    <row r="1072" ht="32.25" customHeight="1" x14ac:dyDescent="0.2"/>
    <row r="1073" ht="10.5" customHeight="1" x14ac:dyDescent="0.2"/>
    <row r="1074" ht="40.5" customHeight="1" x14ac:dyDescent="0.2"/>
    <row r="1075" ht="22.5" customHeight="1" x14ac:dyDescent="0.2"/>
    <row r="1076" ht="12.75" x14ac:dyDescent="0.2"/>
    <row r="1077" ht="18.75" customHeight="1" x14ac:dyDescent="0.2"/>
    <row r="1078" ht="23.25" customHeight="1" x14ac:dyDescent="0.2"/>
    <row r="1079" ht="35.25" customHeight="1" x14ac:dyDescent="0.2"/>
    <row r="1080" ht="21" customHeight="1" x14ac:dyDescent="0.2"/>
    <row r="1081" ht="3" customHeight="1" x14ac:dyDescent="0.2"/>
    <row r="1082" ht="9.75" customHeight="1" x14ac:dyDescent="0.2"/>
    <row r="1083" ht="50.25" customHeight="1" x14ac:dyDescent="0.2"/>
    <row r="1084" ht="12.75" x14ac:dyDescent="0.2"/>
    <row r="1085" ht="15" customHeight="1" x14ac:dyDescent="0.2"/>
    <row r="1086" ht="7.5" customHeight="1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30" customHeight="1" x14ac:dyDescent="0.2"/>
    <row r="1097" ht="12.75" x14ac:dyDescent="0.2"/>
    <row r="1098" ht="15.75" customHeight="1" x14ac:dyDescent="0.2"/>
    <row r="1099" ht="12.75" x14ac:dyDescent="0.2"/>
    <row r="1100" ht="12.75" x14ac:dyDescent="0.2"/>
    <row r="1101" ht="20.25" customHeight="1" x14ac:dyDescent="0.2"/>
    <row r="1102" ht="15" customHeight="1" x14ac:dyDescent="0.2"/>
    <row r="1103" ht="16.5" customHeight="1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6.5" customHeight="1" x14ac:dyDescent="0.2"/>
    <row r="1110" ht="12.75" x14ac:dyDescent="0.2"/>
    <row r="1111" ht="15" customHeight="1" x14ac:dyDescent="0.2"/>
    <row r="1112" ht="38.25" customHeight="1" x14ac:dyDescent="0.2"/>
    <row r="1113" ht="17.25" customHeight="1" x14ac:dyDescent="0.2"/>
    <row r="1114" ht="15.75" customHeight="1" x14ac:dyDescent="0.2"/>
    <row r="1115" ht="16.5" customHeight="1" x14ac:dyDescent="0.2"/>
    <row r="1116" ht="15.75" customHeight="1" x14ac:dyDescent="0.2"/>
    <row r="1117" ht="39.75" customHeight="1" x14ac:dyDescent="0.2"/>
    <row r="1118" ht="12.75" x14ac:dyDescent="0.2"/>
    <row r="1119" ht="37.5" customHeight="1" x14ac:dyDescent="0.2"/>
    <row r="1120" ht="27" customHeight="1" x14ac:dyDescent="0.2"/>
    <row r="1121" s="120" customFormat="1" ht="33.75" customHeight="1" x14ac:dyDescent="0.2"/>
    <row r="1122" ht="27" customHeight="1" x14ac:dyDescent="0.2"/>
    <row r="1123" ht="12.75" x14ac:dyDescent="0.2"/>
    <row r="1124" ht="12.75" x14ac:dyDescent="0.2"/>
    <row r="1125" ht="18" customHeight="1" x14ac:dyDescent="0.2"/>
    <row r="1126" ht="6.75" customHeight="1" x14ac:dyDescent="0.2"/>
    <row r="1127" ht="11.25" customHeight="1" x14ac:dyDescent="0.2"/>
    <row r="1128" ht="46.5" customHeight="1" x14ac:dyDescent="0.2"/>
    <row r="1129" ht="23.25" customHeight="1" x14ac:dyDescent="0.2"/>
    <row r="1130" ht="17.25" customHeight="1" x14ac:dyDescent="0.2"/>
    <row r="1131" ht="12.75" customHeight="1" x14ac:dyDescent="0.2"/>
    <row r="1132" ht="20.25" customHeight="1" x14ac:dyDescent="0.2"/>
    <row r="1133" ht="12" customHeight="1" x14ac:dyDescent="0.2"/>
    <row r="1134" ht="12.75" x14ac:dyDescent="0.2"/>
    <row r="1135" ht="12.75" x14ac:dyDescent="0.2"/>
    <row r="1136" ht="12.75" x14ac:dyDescent="0.2"/>
    <row r="1137" ht="12.75" x14ac:dyDescent="0.2"/>
    <row r="1138" ht="18" customHeight="1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35.25" customHeight="1" x14ac:dyDescent="0.2"/>
    <row r="1148" ht="12.75" x14ac:dyDescent="0.2"/>
    <row r="1149" ht="21" customHeight="1" x14ac:dyDescent="0.2"/>
    <row r="1150" ht="12.75" x14ac:dyDescent="0.2"/>
    <row r="1151" ht="20.25" customHeight="1" x14ac:dyDescent="0.2"/>
    <row r="1152" ht="28.5" customHeight="1" x14ac:dyDescent="0.2"/>
    <row r="1153" ht="21" customHeight="1" x14ac:dyDescent="0.2"/>
    <row r="1154" ht="12.75" x14ac:dyDescent="0.2"/>
    <row r="1155" ht="12.75" hidden="1" x14ac:dyDescent="0.2"/>
    <row r="1156" ht="12.75" x14ac:dyDescent="0.2"/>
    <row r="1157" ht="12.75" x14ac:dyDescent="0.2"/>
    <row r="1158" ht="12.75" x14ac:dyDescent="0.2"/>
    <row r="1159" ht="21" customHeight="1" x14ac:dyDescent="0.2"/>
    <row r="1160" ht="12.75" x14ac:dyDescent="0.2"/>
    <row r="1161" ht="15" customHeight="1" x14ac:dyDescent="0.2"/>
    <row r="1162" ht="6.75" customHeight="1" x14ac:dyDescent="0.2"/>
    <row r="1163" ht="30" customHeight="1" x14ac:dyDescent="0.2"/>
    <row r="1164" ht="19.5" customHeight="1" x14ac:dyDescent="0.2"/>
    <row r="1165" ht="33.75" customHeight="1" x14ac:dyDescent="0.2"/>
    <row r="1166" ht="27" customHeight="1" x14ac:dyDescent="0.2"/>
    <row r="1167" ht="28.5" customHeight="1" x14ac:dyDescent="0.2"/>
    <row r="1168" ht="12.75" x14ac:dyDescent="0.2"/>
    <row r="1169" ht="36" customHeight="1" x14ac:dyDescent="0.2"/>
    <row r="1170" ht="31.5" customHeight="1" x14ac:dyDescent="0.2"/>
    <row r="1171" ht="15.75" customHeight="1" x14ac:dyDescent="0.2"/>
    <row r="1172" ht="11.25" customHeight="1" x14ac:dyDescent="0.2"/>
    <row r="1173" ht="10.5" customHeight="1" x14ac:dyDescent="0.2"/>
    <row r="1174" ht="50.25" customHeight="1" x14ac:dyDescent="0.2"/>
    <row r="1175" ht="16.5" customHeight="1" x14ac:dyDescent="0.2"/>
    <row r="1176" ht="24" customHeight="1" x14ac:dyDescent="0.2"/>
    <row r="1177" ht="15" customHeight="1" x14ac:dyDescent="0.2"/>
    <row r="1178" ht="15" customHeight="1" x14ac:dyDescent="0.2"/>
    <row r="1179" ht="12.75" x14ac:dyDescent="0.2"/>
    <row r="1180" ht="18" customHeight="1" x14ac:dyDescent="0.2"/>
    <row r="1181" ht="12.75" x14ac:dyDescent="0.2"/>
    <row r="1182" ht="12.75" customHeight="1" x14ac:dyDescent="0.2"/>
    <row r="1183" ht="12.75" x14ac:dyDescent="0.2"/>
    <row r="1184" ht="10.5" customHeight="1" x14ac:dyDescent="0.2"/>
    <row r="1185" ht="10.5" customHeight="1" x14ac:dyDescent="0.2"/>
    <row r="1186" ht="12.75" x14ac:dyDescent="0.2"/>
    <row r="1187" ht="15" customHeight="1" x14ac:dyDescent="0.2"/>
    <row r="1188" ht="12.75" x14ac:dyDescent="0.2"/>
    <row r="1189" ht="15" customHeight="1" x14ac:dyDescent="0.2"/>
    <row r="1190" ht="12.75" x14ac:dyDescent="0.2"/>
    <row r="1191" ht="34.5" customHeight="1" x14ac:dyDescent="0.2"/>
    <row r="1192" ht="12.75" x14ac:dyDescent="0.2"/>
    <row r="1193" ht="15.75" customHeight="1" x14ac:dyDescent="0.2"/>
    <row r="1194" ht="12.75" x14ac:dyDescent="0.2"/>
    <row r="1195" ht="12.75" x14ac:dyDescent="0.2"/>
    <row r="1196" ht="18.75" customHeight="1" x14ac:dyDescent="0.2"/>
    <row r="1197" ht="12.75" x14ac:dyDescent="0.2"/>
    <row r="1198" ht="33" customHeight="1" x14ac:dyDescent="0.2"/>
    <row r="1199" ht="12.75" x14ac:dyDescent="0.2"/>
    <row r="1200" ht="12.75" x14ac:dyDescent="0.2"/>
    <row r="1201" ht="12.75" x14ac:dyDescent="0.2"/>
    <row r="1202" ht="12.75" x14ac:dyDescent="0.2"/>
    <row r="1203" ht="18.75" customHeight="1" x14ac:dyDescent="0.2"/>
    <row r="1204" ht="12.75" x14ac:dyDescent="0.2"/>
    <row r="1205" ht="15" customHeight="1" x14ac:dyDescent="0.2"/>
    <row r="1206" ht="12.75" x14ac:dyDescent="0.2"/>
    <row r="1207" ht="12.75" customHeight="1" x14ac:dyDescent="0.2"/>
    <row r="1208" ht="12.75" customHeight="1" x14ac:dyDescent="0.2"/>
    <row r="1209" ht="36" customHeight="1" x14ac:dyDescent="0.2"/>
    <row r="1210" ht="12.75" x14ac:dyDescent="0.2"/>
    <row r="1211" ht="31.5" customHeight="1" x14ac:dyDescent="0.2"/>
    <row r="1212" ht="21" customHeight="1" x14ac:dyDescent="0.2"/>
    <row r="1213" ht="22.5" customHeight="1" x14ac:dyDescent="0.2"/>
    <row r="1214" ht="34.5" customHeight="1" x14ac:dyDescent="0.2"/>
    <row r="1215" ht="3.75" customHeight="1" x14ac:dyDescent="0.2"/>
    <row r="1216" ht="19.5" customHeight="1" x14ac:dyDescent="0.2"/>
    <row r="1217" ht="21" customHeight="1" x14ac:dyDescent="0.2"/>
    <row r="1218" ht="13.5" customHeight="1" x14ac:dyDescent="0.2"/>
    <row r="1219" ht="19.5" customHeight="1" x14ac:dyDescent="0.2"/>
    <row r="1220" ht="46.5" customHeight="1" x14ac:dyDescent="0.2"/>
    <row r="1221" ht="12.75" x14ac:dyDescent="0.2"/>
    <row r="1222" ht="15" customHeight="1" x14ac:dyDescent="0.2"/>
    <row r="1223" ht="21" customHeight="1" x14ac:dyDescent="0.2"/>
    <row r="1224" ht="20.25" customHeight="1" x14ac:dyDescent="0.2"/>
    <row r="1225" ht="19.5" hidden="1" customHeight="1" x14ac:dyDescent="0.2"/>
    <row r="1226" ht="16.5" customHeight="1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24" customHeight="1" x14ac:dyDescent="0.2"/>
    <row r="1236" ht="12.75" x14ac:dyDescent="0.2"/>
    <row r="1237" ht="21" customHeight="1" x14ac:dyDescent="0.2"/>
    <row r="1238" ht="21" customHeight="1" x14ac:dyDescent="0.2"/>
    <row r="1239" ht="12.75" x14ac:dyDescent="0.2"/>
    <row r="1240" ht="12.75" x14ac:dyDescent="0.2"/>
    <row r="1241" ht="12.75" x14ac:dyDescent="0.2"/>
    <row r="1242" ht="31.5" customHeight="1" x14ac:dyDescent="0.2"/>
    <row r="1243" ht="12.75" x14ac:dyDescent="0.2"/>
    <row r="1244" ht="16.5" customHeight="1" x14ac:dyDescent="0.2"/>
    <row r="1245" ht="12.75" x14ac:dyDescent="0.2"/>
    <row r="1246" ht="12.75" x14ac:dyDescent="0.2"/>
    <row r="1247" ht="22.5" customHeight="1" x14ac:dyDescent="0.2"/>
    <row r="1248" ht="12.75" x14ac:dyDescent="0.2"/>
    <row r="1249" ht="15" customHeight="1" x14ac:dyDescent="0.2"/>
    <row r="1250" ht="15.75" customHeight="1" x14ac:dyDescent="0.2"/>
    <row r="1251" ht="13.5" customHeight="1" x14ac:dyDescent="0.2"/>
    <row r="1252" ht="13.5" customHeight="1" x14ac:dyDescent="0.2"/>
    <row r="1253" ht="16.5" customHeight="1" x14ac:dyDescent="0.2"/>
    <row r="1254" ht="31.5" customHeight="1" x14ac:dyDescent="0.2"/>
    <row r="1255" ht="13.5" customHeight="1" x14ac:dyDescent="0.2"/>
    <row r="1256" ht="36" customHeight="1" x14ac:dyDescent="0.2"/>
    <row r="1257" ht="21" customHeight="1" x14ac:dyDescent="0.2"/>
    <row r="1258" ht="27" customHeight="1" x14ac:dyDescent="0.2"/>
    <row r="1259" ht="12.75" x14ac:dyDescent="0.2"/>
    <row r="1260" ht="34.5" customHeight="1" x14ac:dyDescent="0.2"/>
    <row r="1261" ht="12.75" x14ac:dyDescent="0.2"/>
    <row r="1262" ht="19.5" customHeight="1" x14ac:dyDescent="0.2"/>
    <row r="1263" ht="12.75" customHeight="1" x14ac:dyDescent="0.2"/>
    <row r="1264" ht="17.25" customHeight="1" x14ac:dyDescent="0.2"/>
    <row r="1265" ht="46.5" customHeight="1" x14ac:dyDescent="0.2"/>
    <row r="1266" ht="21" customHeight="1" x14ac:dyDescent="0.2"/>
    <row r="1267" ht="19.5" customHeight="1" x14ac:dyDescent="0.2"/>
    <row r="1268" ht="21" customHeight="1" x14ac:dyDescent="0.2"/>
    <row r="1269" ht="14.25" customHeight="1" x14ac:dyDescent="0.2"/>
    <row r="1270" ht="12.75" x14ac:dyDescent="0.2"/>
    <row r="1271" ht="16.5" customHeight="1" x14ac:dyDescent="0.2"/>
    <row r="1272" ht="12.75" x14ac:dyDescent="0.2"/>
    <row r="1273" ht="12.75" customHeight="1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6.5" customHeight="1" x14ac:dyDescent="0.2"/>
    <row r="1281" ht="12.75" x14ac:dyDescent="0.2"/>
    <row r="1282" ht="20.25" customHeight="1" x14ac:dyDescent="0.2"/>
    <row r="1283" ht="12.75" x14ac:dyDescent="0.2"/>
    <row r="1284" ht="24.75" customHeight="1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8" customHeight="1" x14ac:dyDescent="0.2"/>
    <row r="1293" ht="17.25" customHeight="1" x14ac:dyDescent="0.2"/>
    <row r="1294" ht="18" customHeight="1" x14ac:dyDescent="0.2"/>
    <row r="1295" ht="13.5" customHeight="1" x14ac:dyDescent="0.2"/>
    <row r="1296" ht="18" customHeight="1" x14ac:dyDescent="0.2"/>
    <row r="1297" ht="17.25" customHeight="1" x14ac:dyDescent="0.2"/>
    <row r="1298" ht="41.25" customHeight="1" x14ac:dyDescent="0.2"/>
    <row r="1299" ht="15.75" customHeight="1" x14ac:dyDescent="0.2"/>
    <row r="1300" ht="35.25" customHeight="1" x14ac:dyDescent="0.2"/>
    <row r="1301" ht="18.75" customHeight="1" x14ac:dyDescent="0.2"/>
    <row r="1302" ht="35.25" customHeight="1" x14ac:dyDescent="0.2"/>
    <row r="1303" ht="24.75" customHeight="1" x14ac:dyDescent="0.2"/>
    <row r="1304" ht="28.5" customHeight="1" x14ac:dyDescent="0.2"/>
    <row r="1305" ht="21.75" customHeight="1" x14ac:dyDescent="0.2"/>
    <row r="1306" ht="18.75" customHeight="1" x14ac:dyDescent="0.2"/>
    <row r="1307" ht="17.25" customHeight="1" x14ac:dyDescent="0.2"/>
    <row r="1308" ht="21" customHeight="1" x14ac:dyDescent="0.2"/>
    <row r="1309" ht="45" customHeight="1" x14ac:dyDescent="0.2"/>
    <row r="1310" ht="17.25" customHeight="1" x14ac:dyDescent="0.2"/>
    <row r="1311" ht="23.25" customHeight="1" x14ac:dyDescent="0.2"/>
    <row r="1312" ht="18" customHeight="1" x14ac:dyDescent="0.2"/>
    <row r="1313" ht="11.25" customHeight="1" x14ac:dyDescent="0.2"/>
    <row r="1314" ht="18" customHeight="1" x14ac:dyDescent="0.2"/>
    <row r="1315" ht="12.75" customHeight="1" x14ac:dyDescent="0.2"/>
    <row r="1316" ht="13.5" customHeight="1" x14ac:dyDescent="0.2"/>
    <row r="1317" ht="19.5" customHeight="1" x14ac:dyDescent="0.2"/>
    <row r="1318" ht="22.5" customHeight="1" x14ac:dyDescent="0.2"/>
    <row r="1319" ht="12.75" x14ac:dyDescent="0.2"/>
    <row r="1320" ht="16.5" customHeight="1" x14ac:dyDescent="0.2"/>
    <row r="1321" ht="16.5" customHeight="1" x14ac:dyDescent="0.2"/>
    <row r="1322" ht="12.75" x14ac:dyDescent="0.2"/>
    <row r="1323" ht="27.75" customHeight="1" x14ac:dyDescent="0.2"/>
    <row r="1324" ht="12.75" x14ac:dyDescent="0.2"/>
    <row r="1325" ht="18.75" customHeight="1" x14ac:dyDescent="0.2"/>
    <row r="1326" ht="12.75" x14ac:dyDescent="0.2"/>
    <row r="1327" ht="18" customHeight="1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45.75" hidden="1" customHeight="1" x14ac:dyDescent="0.2"/>
    <row r="1336" ht="32.25" customHeight="1" x14ac:dyDescent="0.2"/>
    <row r="1337" ht="15" customHeight="1" x14ac:dyDescent="0.2"/>
    <row r="1338" ht="12.75" x14ac:dyDescent="0.2"/>
    <row r="1339" ht="12.75" x14ac:dyDescent="0.2"/>
    <row r="1340" ht="12.75" x14ac:dyDescent="0.2"/>
    <row r="1341" ht="41.25" customHeight="1" x14ac:dyDescent="0.2"/>
    <row r="1342" ht="15" customHeight="1" x14ac:dyDescent="0.2"/>
    <row r="1343" ht="39" customHeight="1" x14ac:dyDescent="0.2"/>
    <row r="1344" ht="19.5" customHeight="1" x14ac:dyDescent="0.2"/>
    <row r="1345" ht="23.25" customHeight="1" x14ac:dyDescent="0.2"/>
    <row r="1346" ht="30.75" customHeight="1" x14ac:dyDescent="0.2"/>
    <row r="1347" ht="27.75" customHeight="1" x14ac:dyDescent="0.2"/>
    <row r="1348" ht="12.75" x14ac:dyDescent="0.2"/>
    <row r="1349" ht="15.75" customHeight="1" x14ac:dyDescent="0.2"/>
    <row r="1350" ht="6" customHeight="1" x14ac:dyDescent="0.2"/>
    <row r="1351" ht="12.75" x14ac:dyDescent="0.2"/>
    <row r="1352" ht="48.75" customHeight="1" x14ac:dyDescent="0.2"/>
    <row r="1353" ht="20.25" customHeight="1" x14ac:dyDescent="0.2"/>
    <row r="1354" ht="21.75" customHeight="1" x14ac:dyDescent="0.2"/>
    <row r="1355" ht="18" customHeight="1" x14ac:dyDescent="0.2"/>
    <row r="1356" ht="12.75" x14ac:dyDescent="0.2"/>
    <row r="1357" ht="20.25" customHeight="1" x14ac:dyDescent="0.2"/>
    <row r="1358" ht="18" customHeight="1" x14ac:dyDescent="0.2"/>
    <row r="1359" ht="15" customHeight="1" x14ac:dyDescent="0.2"/>
    <row r="1360" ht="17.25" customHeight="1" x14ac:dyDescent="0.2"/>
    <row r="1361" ht="16.5" hidden="1" customHeight="1" x14ac:dyDescent="0.2"/>
    <row r="1362" ht="21" hidden="1" customHeight="1" x14ac:dyDescent="0.2"/>
    <row r="1363" ht="42" customHeight="1" x14ac:dyDescent="0.2"/>
    <row r="1364" ht="17.25" customHeight="1" x14ac:dyDescent="0.2"/>
    <row r="1365" ht="39.75" customHeight="1" x14ac:dyDescent="0.2"/>
    <row r="1366" ht="25.5" customHeight="1" x14ac:dyDescent="0.2"/>
    <row r="1367" ht="11.25" customHeight="1" x14ac:dyDescent="0.2"/>
    <row r="1368" ht="18.75" customHeight="1" x14ac:dyDescent="0.2"/>
    <row r="1369" ht="21.75" customHeight="1" x14ac:dyDescent="0.2"/>
    <row r="1370" ht="19.5" customHeight="1" x14ac:dyDescent="0.2"/>
    <row r="1371" ht="18" customHeight="1" x14ac:dyDescent="0.2"/>
    <row r="1372" ht="18" customHeight="1" x14ac:dyDescent="0.2"/>
    <row r="1373" ht="12.75" x14ac:dyDescent="0.2"/>
    <row r="1374" ht="24" customHeight="1" x14ac:dyDescent="0.2"/>
    <row r="1375" ht="12.75" x14ac:dyDescent="0.2"/>
    <row r="1376" ht="12.75" customHeight="1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21.75" customHeight="1" x14ac:dyDescent="0.2"/>
    <row r="1385" ht="29.25" customHeight="1" x14ac:dyDescent="0.2"/>
    <row r="1386" ht="15" customHeight="1" x14ac:dyDescent="0.2"/>
    <row r="1387" ht="33.75" customHeight="1" x14ac:dyDescent="0.2"/>
    <row r="1388" ht="43.5" customHeight="1" x14ac:dyDescent="0.2"/>
    <row r="1389" ht="12.75" x14ac:dyDescent="0.2"/>
    <row r="1390" ht="41.25" customHeight="1" x14ac:dyDescent="0.2"/>
    <row r="1391" ht="12.75" x14ac:dyDescent="0.2"/>
    <row r="1392" ht="22.5" customHeight="1" x14ac:dyDescent="0.2"/>
    <row r="1393" ht="18.75" customHeight="1" x14ac:dyDescent="0.2"/>
    <row r="1394" ht="16.5" customHeight="1" x14ac:dyDescent="0.2"/>
    <row r="1395" ht="12.75" x14ac:dyDescent="0.2"/>
    <row r="1396" ht="47.25" customHeight="1" x14ac:dyDescent="0.2"/>
    <row r="1397" ht="12" customHeight="1" x14ac:dyDescent="0.2"/>
    <row r="1398" ht="22.5" customHeight="1" x14ac:dyDescent="0.2"/>
    <row r="1399" ht="12.75" x14ac:dyDescent="0.2"/>
    <row r="1400" ht="24.75" customHeight="1" x14ac:dyDescent="0.2"/>
    <row r="1401" ht="12.75" x14ac:dyDescent="0.2"/>
    <row r="1402" ht="12.75" x14ac:dyDescent="0.2"/>
    <row r="1403" ht="12.75" x14ac:dyDescent="0.2"/>
    <row r="1404" ht="12.75" x14ac:dyDescent="0.2"/>
    <row r="1405" ht="17.25" customHeight="1" x14ac:dyDescent="0.2"/>
    <row r="1406" ht="29.25" hidden="1" customHeight="1" x14ac:dyDescent="0.2"/>
    <row r="1407" ht="14.25" customHeight="1" x14ac:dyDescent="0.2"/>
    <row r="1408" ht="36.75" customHeight="1" x14ac:dyDescent="0.2"/>
    <row r="1409" ht="14.25" customHeight="1" x14ac:dyDescent="0.2"/>
    <row r="1410" ht="39" customHeight="1" x14ac:dyDescent="0.2"/>
    <row r="1411" ht="25.5" customHeight="1" x14ac:dyDescent="0.2"/>
    <row r="1412" ht="18.75" customHeight="1" x14ac:dyDescent="0.2"/>
    <row r="1413" ht="12.75" x14ac:dyDescent="0.2"/>
    <row r="1414" ht="19.5" customHeight="1" x14ac:dyDescent="0.2"/>
    <row r="1415" ht="13.5" customHeight="1" x14ac:dyDescent="0.2"/>
    <row r="1416" ht="21" customHeight="1" x14ac:dyDescent="0.2"/>
    <row r="1417" ht="48" customHeight="1" x14ac:dyDescent="0.2"/>
    <row r="1418" ht="12.75" x14ac:dyDescent="0.2"/>
    <row r="1419" ht="21.75" customHeight="1" x14ac:dyDescent="0.2"/>
    <row r="1420" ht="12.75" x14ac:dyDescent="0.2"/>
    <row r="1421" ht="12.75" customHeight="1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21" customHeight="1" x14ac:dyDescent="0.2"/>
    <row r="1429" ht="30" customHeight="1" x14ac:dyDescent="0.2"/>
    <row r="1430" ht="29.25" customHeight="1" x14ac:dyDescent="0.2"/>
    <row r="1431" ht="21" customHeight="1" x14ac:dyDescent="0.2"/>
    <row r="1432" ht="33" customHeight="1" x14ac:dyDescent="0.2"/>
    <row r="1433" ht="21.75" customHeight="1" x14ac:dyDescent="0.2"/>
    <row r="1434" ht="29.25" customHeight="1" x14ac:dyDescent="0.2"/>
    <row r="1435" ht="24" customHeight="1" x14ac:dyDescent="0.2"/>
    <row r="1436" ht="12.75" x14ac:dyDescent="0.2"/>
    <row r="1437" ht="33.75" customHeight="1" x14ac:dyDescent="0.2"/>
    <row r="1438" ht="18" customHeight="1" x14ac:dyDescent="0.2"/>
    <row r="1439" ht="5.25" customHeight="1" x14ac:dyDescent="0.2"/>
    <row r="1440" ht="23.25" customHeight="1" x14ac:dyDescent="0.2"/>
    <row r="1441" ht="45" customHeight="1" x14ac:dyDescent="0.2"/>
    <row r="1442" ht="12.75" x14ac:dyDescent="0.2"/>
    <row r="1443" ht="18" customHeight="1" x14ac:dyDescent="0.2"/>
    <row r="1444" ht="21" customHeight="1" x14ac:dyDescent="0.2"/>
    <row r="1445" ht="14.25" customHeight="1" x14ac:dyDescent="0.2"/>
    <row r="1446" ht="16.5" customHeight="1" x14ac:dyDescent="0.2"/>
    <row r="1447" ht="12.75" x14ac:dyDescent="0.2"/>
    <row r="1448" ht="12.75" x14ac:dyDescent="0.2"/>
    <row r="1449" ht="12.75" x14ac:dyDescent="0.2"/>
    <row r="1450" ht="12.75" customHeight="1" x14ac:dyDescent="0.2"/>
    <row r="1451" ht="12.75" x14ac:dyDescent="0.2"/>
    <row r="1452" ht="12.75" x14ac:dyDescent="0.2"/>
    <row r="1453" ht="12.75" x14ac:dyDescent="0.2"/>
    <row r="1454" ht="25.5" customHeight="1" x14ac:dyDescent="0.2"/>
    <row r="1455" ht="18" customHeight="1" x14ac:dyDescent="0.2"/>
    <row r="1456" ht="15" customHeight="1" x14ac:dyDescent="0.2"/>
    <row r="1457" ht="13.5" customHeight="1" x14ac:dyDescent="0.2"/>
    <row r="1458" ht="12.75" customHeight="1" x14ac:dyDescent="0.2"/>
    <row r="1459" ht="12.75" x14ac:dyDescent="0.2"/>
    <row r="1460" ht="12.75" x14ac:dyDescent="0.2"/>
    <row r="1461" ht="18" customHeight="1" x14ac:dyDescent="0.2"/>
    <row r="1462" ht="12.75" x14ac:dyDescent="0.2"/>
    <row r="1463" ht="23.25" customHeight="1" x14ac:dyDescent="0.2"/>
    <row r="1464" ht="21.75" customHeight="1" x14ac:dyDescent="0.2"/>
    <row r="1465" ht="11.25" customHeight="1" x14ac:dyDescent="0.2"/>
    <row r="1466" ht="12.75" x14ac:dyDescent="0.2"/>
    <row r="1467" ht="19.5" customHeight="1" x14ac:dyDescent="0.2"/>
    <row r="1468" ht="12.75" x14ac:dyDescent="0.2"/>
    <row r="1469" ht="12.75" x14ac:dyDescent="0.2"/>
    <row r="1470" ht="12.75" x14ac:dyDescent="0.2"/>
    <row r="1471" ht="12.75" x14ac:dyDescent="0.2"/>
    <row r="1472" ht="14.25" customHeight="1" x14ac:dyDescent="0.2"/>
    <row r="1473" ht="12.75" x14ac:dyDescent="0.2"/>
    <row r="1474" ht="15" customHeight="1" x14ac:dyDescent="0.2"/>
    <row r="1475" ht="12.75" x14ac:dyDescent="0.2"/>
    <row r="1476" ht="12.75" x14ac:dyDescent="0.2"/>
    <row r="1477" ht="33" customHeight="1" x14ac:dyDescent="0.2"/>
    <row r="1478" ht="12.75" x14ac:dyDescent="0.2"/>
    <row r="1479" ht="34.5" customHeight="1" x14ac:dyDescent="0.2"/>
    <row r="1480" ht="12.75" x14ac:dyDescent="0.2"/>
    <row r="1481" ht="36" customHeight="1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customHeight="1" x14ac:dyDescent="0.2"/>
    <row r="1488" ht="50.25" customHeight="1" x14ac:dyDescent="0.2"/>
    <row r="1489" ht="21" customHeight="1" x14ac:dyDescent="0.2"/>
    <row r="1490" ht="18" customHeight="1" x14ac:dyDescent="0.2"/>
    <row r="1491" ht="14.25" customHeight="1" x14ac:dyDescent="0.2"/>
    <row r="1492" ht="17.25" customHeight="1" x14ac:dyDescent="0.2"/>
    <row r="1493" ht="17.25" customHeight="1" x14ac:dyDescent="0.2"/>
    <row r="1494" ht="12.75" customHeight="1" x14ac:dyDescent="0.2"/>
    <row r="1495" ht="18.75" customHeight="1" x14ac:dyDescent="0.2"/>
    <row r="1496" ht="12.75" x14ac:dyDescent="0.2"/>
    <row r="1497" ht="13.5" customHeight="1" x14ac:dyDescent="0.2"/>
    <row r="1498" ht="7.5" customHeight="1" x14ac:dyDescent="0.2"/>
    <row r="1499" ht="35.25" customHeight="1" x14ac:dyDescent="0.2"/>
    <row r="1500" ht="12.75" x14ac:dyDescent="0.2"/>
    <row r="1501" ht="19.5" customHeight="1" x14ac:dyDescent="0.2"/>
    <row r="1502" ht="12.75" x14ac:dyDescent="0.2"/>
    <row r="1503" ht="18.75" customHeight="1" x14ac:dyDescent="0.2"/>
    <row r="1504" ht="21" customHeight="1" x14ac:dyDescent="0.2"/>
    <row r="1505" ht="23.25" customHeight="1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5" customHeight="1" x14ac:dyDescent="0.2"/>
    <row r="1513" ht="15.75" customHeight="1" x14ac:dyDescent="0.2"/>
    <row r="1514" ht="12.75" x14ac:dyDescent="0.2"/>
    <row r="1515" ht="6" customHeight="1" x14ac:dyDescent="0.2"/>
    <row r="1516" ht="12.75" x14ac:dyDescent="0.2"/>
    <row r="1517" ht="14.25" customHeight="1" x14ac:dyDescent="0.2"/>
    <row r="1518" ht="12.75" x14ac:dyDescent="0.2"/>
    <row r="1519" ht="18" customHeight="1" x14ac:dyDescent="0.2"/>
    <row r="1520" ht="14.25" customHeight="1" x14ac:dyDescent="0.2"/>
    <row r="1521" ht="18.75" customHeight="1" x14ac:dyDescent="0.2"/>
    <row r="1522" ht="33.75" customHeight="1" x14ac:dyDescent="0.2"/>
    <row r="1523" ht="18.75" customHeight="1" x14ac:dyDescent="0.2"/>
    <row r="1524" ht="35.25" customHeight="1" x14ac:dyDescent="0.2"/>
    <row r="1525" ht="32.25" customHeight="1" x14ac:dyDescent="0.2"/>
    <row r="1526" ht="23.25" customHeight="1" x14ac:dyDescent="0.2"/>
    <row r="1527" ht="12.75" x14ac:dyDescent="0.2"/>
    <row r="1528" ht="30.75" customHeight="1" x14ac:dyDescent="0.2"/>
    <row r="1529" ht="12.75" x14ac:dyDescent="0.2"/>
    <row r="1530" ht="15" customHeight="1" x14ac:dyDescent="0.2"/>
    <row r="1531" ht="12.75" x14ac:dyDescent="0.2"/>
    <row r="1532" ht="12.75" x14ac:dyDescent="0.2"/>
    <row r="1533" ht="45.75" customHeight="1" x14ac:dyDescent="0.2"/>
    <row r="1534" ht="12.75" x14ac:dyDescent="0.2"/>
    <row r="1535" ht="19.5" customHeight="1" x14ac:dyDescent="0.2"/>
    <row r="1536" ht="12.75" x14ac:dyDescent="0.2"/>
    <row r="1537" ht="15.75" customHeight="1" x14ac:dyDescent="0.2"/>
    <row r="1538" ht="12.75" x14ac:dyDescent="0.2"/>
    <row r="1539" ht="12" customHeight="1" x14ac:dyDescent="0.2"/>
    <row r="1540" ht="12.75" x14ac:dyDescent="0.2"/>
    <row r="1541" ht="19.5" customHeight="1" x14ac:dyDescent="0.2"/>
    <row r="1542" ht="31.5" hidden="1" customHeight="1" x14ac:dyDescent="0.2"/>
    <row r="1543" ht="31.5" customHeight="1" x14ac:dyDescent="0.2"/>
    <row r="1544" ht="21" customHeight="1" x14ac:dyDescent="0.2"/>
    <row r="1545" ht="20.25" customHeight="1" x14ac:dyDescent="0.2"/>
    <row r="1546" ht="12.75" x14ac:dyDescent="0.2"/>
    <row r="1547" ht="12.75" x14ac:dyDescent="0.2"/>
    <row r="1548" ht="19.5" customHeight="1" x14ac:dyDescent="0.2"/>
    <row r="1549" ht="21.75" customHeight="1" x14ac:dyDescent="0.2"/>
    <row r="1550" ht="18.75" customHeight="1" x14ac:dyDescent="0.2"/>
    <row r="1551" ht="21.75" customHeight="1" x14ac:dyDescent="0.2"/>
    <row r="1552" ht="18" customHeight="1" x14ac:dyDescent="0.2"/>
    <row r="1553" ht="19.5" customHeight="1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4.25" customHeight="1" x14ac:dyDescent="0.2"/>
    <row r="1560" ht="19.5" customHeight="1" x14ac:dyDescent="0.2"/>
    <row r="1561" s="4" customFormat="1" ht="14.25" customHeight="1" x14ac:dyDescent="0.2"/>
    <row r="1562" ht="15" customHeight="1" x14ac:dyDescent="0.2"/>
    <row r="1563" ht="17.25" customHeight="1" x14ac:dyDescent="0.2"/>
    <row r="1564" ht="21.75" customHeight="1" x14ac:dyDescent="0.2"/>
    <row r="1565" ht="12.75" x14ac:dyDescent="0.2"/>
    <row r="1566" ht="35.25" customHeight="1" x14ac:dyDescent="0.2"/>
    <row r="1567" ht="14.25" customHeight="1" x14ac:dyDescent="0.2"/>
    <row r="1568" ht="36.75" customHeight="1" x14ac:dyDescent="0.2"/>
    <row r="1569" ht="12.75" x14ac:dyDescent="0.2"/>
    <row r="1570" ht="41.25" customHeight="1" x14ac:dyDescent="0.2"/>
    <row r="1571" ht="12.75" x14ac:dyDescent="0.2"/>
    <row r="1572" ht="12.75" customHeight="1" x14ac:dyDescent="0.2"/>
    <row r="1573" ht="12.75" x14ac:dyDescent="0.2"/>
    <row r="1574" ht="12.75" x14ac:dyDescent="0.2"/>
    <row r="1575" ht="12.75" x14ac:dyDescent="0.2"/>
    <row r="1576" ht="12.75" x14ac:dyDescent="0.2"/>
    <row r="1577" ht="35.25" customHeight="1" x14ac:dyDescent="0.2"/>
    <row r="1578" ht="33" customHeight="1" x14ac:dyDescent="0.2"/>
    <row r="1579" ht="31.5" customHeight="1" x14ac:dyDescent="0.2"/>
    <row r="1580" ht="24" customHeight="1" x14ac:dyDescent="0.2"/>
    <row r="1581" ht="12.75" x14ac:dyDescent="0.2"/>
    <row r="1582" ht="12.75" x14ac:dyDescent="0.2"/>
    <row r="1583" ht="12.75" x14ac:dyDescent="0.2"/>
    <row r="1584" ht="18.75" customHeight="1" x14ac:dyDescent="0.2"/>
    <row r="1585" ht="12.75" x14ac:dyDescent="0.2"/>
    <row r="1586" ht="40.5" customHeight="1" x14ac:dyDescent="0.2"/>
    <row r="1587" ht="12.75" x14ac:dyDescent="0.2"/>
    <row r="1588" ht="13.5" customHeight="1" x14ac:dyDescent="0.2"/>
    <row r="1589" ht="22.5" customHeight="1" x14ac:dyDescent="0.2"/>
    <row r="1590" ht="23.25" customHeight="1" x14ac:dyDescent="0.2"/>
    <row r="1591" s="76" customFormat="1" ht="16.5" customHeight="1" x14ac:dyDescent="0.2"/>
    <row r="1592" ht="15" customHeight="1" x14ac:dyDescent="0.2"/>
    <row r="1593" ht="12.75" x14ac:dyDescent="0.2"/>
    <row r="1594" ht="12.75" x14ac:dyDescent="0.2"/>
    <row r="1595" ht="12.75" x14ac:dyDescent="0.2"/>
    <row r="1596" ht="15" customHeight="1" x14ac:dyDescent="0.2"/>
    <row r="1597" ht="15.75" customHeight="1" x14ac:dyDescent="0.2"/>
    <row r="1598" ht="14.25" customHeight="1" x14ac:dyDescent="0.2"/>
    <row r="1599" ht="21.75" customHeight="1" x14ac:dyDescent="0.2"/>
    <row r="1600" ht="18" customHeight="1" x14ac:dyDescent="0.2"/>
    <row r="1601" ht="19.5" customHeight="1" x14ac:dyDescent="0.2"/>
    <row r="1602" ht="17.25" customHeight="1" x14ac:dyDescent="0.2"/>
    <row r="1603" ht="12.75" x14ac:dyDescent="0.2"/>
    <row r="1604" ht="12.75" x14ac:dyDescent="0.2"/>
    <row r="1605" ht="12.75" x14ac:dyDescent="0.2"/>
    <row r="1606" ht="13.5" customHeight="1" x14ac:dyDescent="0.2"/>
    <row r="1607" ht="12.75" x14ac:dyDescent="0.2"/>
    <row r="1608" ht="21" customHeight="1" x14ac:dyDescent="0.2"/>
    <row r="1609" ht="34.5" customHeight="1" x14ac:dyDescent="0.2"/>
    <row r="1610" ht="10.5" customHeight="1" x14ac:dyDescent="0.2"/>
    <row r="1611" ht="32.25" customHeight="1" x14ac:dyDescent="0.2"/>
    <row r="1612" ht="30" customHeight="1" x14ac:dyDescent="0.2"/>
    <row r="1613" ht="12.75" x14ac:dyDescent="0.2"/>
    <row r="1614" ht="25.5" customHeight="1" x14ac:dyDescent="0.2"/>
    <row r="1615" ht="12.75" x14ac:dyDescent="0.2"/>
    <row r="1616" ht="12.75" x14ac:dyDescent="0.2"/>
    <row r="1617" ht="15.75" customHeight="1" x14ac:dyDescent="0.2"/>
    <row r="1618" ht="12.75" x14ac:dyDescent="0.2"/>
    <row r="1619" ht="12.75" customHeight="1" x14ac:dyDescent="0.2"/>
    <row r="1620" ht="47.25" customHeight="1" x14ac:dyDescent="0.2"/>
    <row r="1621" ht="12.75" x14ac:dyDescent="0.2"/>
    <row r="1622" ht="15" customHeight="1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20.25" customHeight="1" x14ac:dyDescent="0.2"/>
    <row r="1632" ht="12.75" x14ac:dyDescent="0.2"/>
    <row r="1633" ht="26.25" customHeight="1" x14ac:dyDescent="0.2"/>
    <row r="1634" ht="21" customHeight="1" x14ac:dyDescent="0.2"/>
    <row r="1635" ht="38.25" customHeight="1" x14ac:dyDescent="0.2"/>
    <row r="1636" ht="25.5" customHeight="1" x14ac:dyDescent="0.2"/>
    <row r="1637" ht="15.75" customHeight="1" x14ac:dyDescent="0.2"/>
    <row r="1638" ht="21.75" customHeight="1" x14ac:dyDescent="0.2"/>
    <row r="1639" ht="12.75" x14ac:dyDescent="0.2"/>
    <row r="1640" ht="12.75" x14ac:dyDescent="0.2"/>
    <row r="1641" ht="12.75" x14ac:dyDescent="0.2"/>
    <row r="1642" ht="12.75" x14ac:dyDescent="0.2"/>
    <row r="1643" ht="24.75" customHeight="1" x14ac:dyDescent="0.2"/>
    <row r="1644" ht="12.75" x14ac:dyDescent="0.2"/>
    <row r="1645" ht="15" customHeight="1" x14ac:dyDescent="0.2"/>
    <row r="1646" ht="46.5" customHeight="1" x14ac:dyDescent="0.2"/>
    <row r="1647" ht="18.75" customHeight="1" x14ac:dyDescent="0.2"/>
    <row r="1648" ht="24" customHeight="1" x14ac:dyDescent="0.2"/>
    <row r="1649" ht="11.25" customHeight="1" x14ac:dyDescent="0.2"/>
    <row r="1650" ht="16.5" customHeight="1" x14ac:dyDescent="0.2"/>
    <row r="1651" ht="12.75" customHeight="1" x14ac:dyDescent="0.2"/>
    <row r="1652" ht="13.5" customHeight="1" x14ac:dyDescent="0.2"/>
    <row r="1653" ht="12.75" x14ac:dyDescent="0.2"/>
    <row r="1654" ht="19.5" customHeight="1" x14ac:dyDescent="0.2"/>
    <row r="1655" ht="12.75" x14ac:dyDescent="0.2"/>
    <row r="1656" ht="39" customHeight="1" x14ac:dyDescent="0.2"/>
    <row r="1657" ht="20.25" customHeight="1" x14ac:dyDescent="0.2"/>
    <row r="1658" ht="45" customHeight="1" x14ac:dyDescent="0.2"/>
    <row r="1659" ht="12.75" x14ac:dyDescent="0.2"/>
    <row r="1660" ht="21" customHeight="1" x14ac:dyDescent="0.2"/>
    <row r="1661" ht="12.75" x14ac:dyDescent="0.2"/>
    <row r="1662" ht="12.75" x14ac:dyDescent="0.2"/>
    <row r="1663" ht="42" customHeight="1" x14ac:dyDescent="0.2"/>
    <row r="1664" ht="12.75" x14ac:dyDescent="0.2"/>
    <row r="1665" ht="12.75" customHeight="1" x14ac:dyDescent="0.2"/>
    <row r="1666" ht="12.75" x14ac:dyDescent="0.2"/>
    <row r="1667" ht="50.25" customHeight="1" x14ac:dyDescent="0.2"/>
    <row r="1668" ht="12.75" customHeight="1" x14ac:dyDescent="0.2"/>
    <row r="1669" ht="15" customHeight="1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5.75" customHeight="1" x14ac:dyDescent="0.2"/>
    <row r="1681" ht="20.25" customHeight="1" x14ac:dyDescent="0.2"/>
    <row r="1682" ht="19.5" customHeight="1" x14ac:dyDescent="0.2"/>
    <row r="1683" ht="18.75" customHeight="1" x14ac:dyDescent="0.2"/>
    <row r="1684" ht="33.75" customHeight="1" x14ac:dyDescent="0.2"/>
    <row r="1685" ht="14.25" customHeight="1" x14ac:dyDescent="0.2"/>
    <row r="1686" ht="39.75" customHeight="1" x14ac:dyDescent="0.2"/>
    <row r="1687" ht="12.75" x14ac:dyDescent="0.2"/>
    <row r="1688" ht="18.75" customHeight="1" x14ac:dyDescent="0.2"/>
    <row r="1689" ht="12.75" x14ac:dyDescent="0.2"/>
    <row r="1690" ht="17.25" customHeight="1" x14ac:dyDescent="0.2"/>
    <row r="1691" ht="12.75" x14ac:dyDescent="0.2"/>
    <row r="1692" ht="22.5" customHeight="1" x14ac:dyDescent="0.2"/>
    <row r="1693" ht="12.75" customHeight="1" x14ac:dyDescent="0.2"/>
    <row r="1694" ht="28.5" customHeight="1" x14ac:dyDescent="0.2"/>
    <row r="1695" ht="10.5" customHeight="1" x14ac:dyDescent="0.2"/>
    <row r="1696" ht="25.5" customHeight="1" x14ac:dyDescent="0.2"/>
    <row r="1697" ht="20.25" customHeight="1" x14ac:dyDescent="0.2"/>
    <row r="1698" ht="19.5" customHeight="1" x14ac:dyDescent="0.2"/>
    <row r="1699" ht="20.25" customHeight="1" x14ac:dyDescent="0.2"/>
    <row r="1700" ht="14.25" customHeight="1" x14ac:dyDescent="0.2"/>
    <row r="1701" ht="12.75" x14ac:dyDescent="0.2"/>
    <row r="1702" ht="53.25" customHeight="1" x14ac:dyDescent="0.2"/>
    <row r="1703" ht="12.75" x14ac:dyDescent="0.2"/>
    <row r="1704" ht="36.75" customHeight="1" x14ac:dyDescent="0.2"/>
    <row r="1705" ht="12.75" x14ac:dyDescent="0.2"/>
    <row r="1706" ht="35.25" customHeight="1" x14ac:dyDescent="0.2"/>
    <row r="1707" ht="31.5" customHeight="1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54" customHeight="1" x14ac:dyDescent="0.2"/>
    <row r="1714" ht="12.75" x14ac:dyDescent="0.2"/>
    <row r="1715" ht="27.75" customHeight="1" x14ac:dyDescent="0.2"/>
    <row r="1716" ht="19.5" customHeight="1" x14ac:dyDescent="0.2"/>
    <row r="1717" ht="19.5" customHeight="1" x14ac:dyDescent="0.2"/>
    <row r="1718" ht="12.75" x14ac:dyDescent="0.2"/>
    <row r="1719" ht="12.75" x14ac:dyDescent="0.2"/>
    <row r="1720" ht="12.75" x14ac:dyDescent="0.2"/>
    <row r="1721" ht="12" customHeight="1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4.25" customHeight="1" x14ac:dyDescent="0.2"/>
    <row r="1730" ht="12.75" x14ac:dyDescent="0.2"/>
    <row r="1731" ht="21" customHeight="1" x14ac:dyDescent="0.2"/>
    <row r="1732" ht="22.5" customHeight="1" x14ac:dyDescent="0.2"/>
    <row r="1733" ht="20.25" customHeight="1" x14ac:dyDescent="0.2"/>
    <row r="1734" ht="18" customHeight="1" x14ac:dyDescent="0.2"/>
    <row r="1735" ht="33" customHeight="1" x14ac:dyDescent="0.2"/>
    <row r="1736" ht="12.75" x14ac:dyDescent="0.2"/>
    <row r="1737" ht="12.75" x14ac:dyDescent="0.2"/>
    <row r="1738" ht="12.75" x14ac:dyDescent="0.2"/>
    <row r="1739" ht="18.75" customHeight="1" x14ac:dyDescent="0.2"/>
    <row r="1740" ht="34.5" hidden="1" customHeight="1" x14ac:dyDescent="0.2"/>
    <row r="1741" ht="20.25" customHeight="1" x14ac:dyDescent="0.2"/>
    <row r="1742" ht="24" customHeight="1" x14ac:dyDescent="0.2"/>
    <row r="1743" ht="10.5" customHeight="1" x14ac:dyDescent="0.2"/>
    <row r="1744" ht="12.75" x14ac:dyDescent="0.2"/>
    <row r="1745" ht="12.75" customHeight="1" x14ac:dyDescent="0.2"/>
    <row r="1746" ht="12.75" x14ac:dyDescent="0.2"/>
    <row r="1747" ht="15" customHeight="1" x14ac:dyDescent="0.2"/>
    <row r="1748" ht="48.75" customHeight="1" x14ac:dyDescent="0.2"/>
    <row r="1749" ht="12.75" x14ac:dyDescent="0.2"/>
    <row r="1750" ht="39" customHeight="1" x14ac:dyDescent="0.2"/>
    <row r="1751" ht="25.5" customHeight="1" x14ac:dyDescent="0.2"/>
    <row r="1752" ht="35.25" customHeight="1" x14ac:dyDescent="0.2"/>
    <row r="1753" ht="26.25" customHeight="1" x14ac:dyDescent="0.2"/>
    <row r="1754" ht="12.75" customHeight="1" x14ac:dyDescent="0.2"/>
    <row r="1755" ht="12.75" x14ac:dyDescent="0.2"/>
    <row r="1756" ht="15" customHeight="1" x14ac:dyDescent="0.2"/>
    <row r="1757" ht="12.75" x14ac:dyDescent="0.2"/>
    <row r="1758" ht="15" customHeight="1" x14ac:dyDescent="0.2"/>
    <row r="1759" ht="52.5" customHeight="1" x14ac:dyDescent="0.2"/>
    <row r="1760" ht="12.75" x14ac:dyDescent="0.2"/>
    <row r="1761" ht="15" customHeight="1" x14ac:dyDescent="0.2"/>
    <row r="1762" ht="12.75" x14ac:dyDescent="0.2"/>
    <row r="1763" ht="15" customHeight="1" x14ac:dyDescent="0.2"/>
    <row r="1764" ht="12.75" x14ac:dyDescent="0.2"/>
    <row r="1765" ht="12.75" x14ac:dyDescent="0.2"/>
    <row r="1766" ht="16.5" customHeight="1" x14ac:dyDescent="0.2"/>
    <row r="1767" ht="15" customHeight="1" x14ac:dyDescent="0.2"/>
    <row r="1768" ht="12.75" x14ac:dyDescent="0.2"/>
    <row r="1769" ht="20.25" customHeight="1" x14ac:dyDescent="0.2"/>
    <row r="1770" ht="12.75" x14ac:dyDescent="0.2"/>
    <row r="1771" ht="15" customHeight="1" x14ac:dyDescent="0.2"/>
    <row r="1772" ht="12.75" x14ac:dyDescent="0.2"/>
    <row r="1773" ht="12.75" x14ac:dyDescent="0.2"/>
    <row r="1774" ht="13.5" customHeight="1" x14ac:dyDescent="0.2"/>
    <row r="1775" ht="12.75" x14ac:dyDescent="0.2"/>
    <row r="1776" ht="12.75" customHeight="1" x14ac:dyDescent="0.2"/>
    <row r="1777" ht="12.75" customHeight="1" x14ac:dyDescent="0.2"/>
    <row r="1778" ht="21.75" customHeight="1" x14ac:dyDescent="0.2"/>
    <row r="1779" ht="30" customHeight="1" x14ac:dyDescent="0.2"/>
    <row r="1780" ht="12.75" x14ac:dyDescent="0.2"/>
    <row r="1781" ht="21" customHeight="1" x14ac:dyDescent="0.2"/>
    <row r="1782" ht="12.75" x14ac:dyDescent="0.2"/>
    <row r="1783" ht="12.75" x14ac:dyDescent="0.2"/>
    <row r="1784" ht="12.75" x14ac:dyDescent="0.2"/>
    <row r="1785" ht="40.5" customHeight="1" x14ac:dyDescent="0.2"/>
    <row r="1786" ht="26.25" customHeight="1" x14ac:dyDescent="0.2"/>
    <row r="1787" ht="1.5" customHeight="1" x14ac:dyDescent="0.2"/>
    <row r="1788" ht="26.25" customHeight="1" x14ac:dyDescent="0.2"/>
    <row r="1789" ht="21.75" customHeight="1" x14ac:dyDescent="0.2"/>
    <row r="1790" ht="13.5" customHeight="1" x14ac:dyDescent="0.2"/>
    <row r="1791" ht="12.75" x14ac:dyDescent="0.2"/>
    <row r="1792" ht="12.75" x14ac:dyDescent="0.2"/>
    <row r="1793" ht="12.75" x14ac:dyDescent="0.2"/>
    <row r="1794" ht="12.75" x14ac:dyDescent="0.2"/>
    <row r="1795" ht="40.5" customHeight="1" x14ac:dyDescent="0.2"/>
    <row r="1796" ht="12.75" x14ac:dyDescent="0.2"/>
    <row r="1797" ht="45.75" customHeight="1" x14ac:dyDescent="0.2"/>
    <row r="1798" ht="12.75" x14ac:dyDescent="0.2"/>
    <row r="1799" ht="26.25" customHeight="1" x14ac:dyDescent="0.2"/>
    <row r="1800" ht="20.25" customHeight="1" x14ac:dyDescent="0.2"/>
    <row r="1801" ht="12.75" x14ac:dyDescent="0.2"/>
    <row r="1802" ht="12.75" x14ac:dyDescent="0.2"/>
    <row r="1803" ht="12.75" x14ac:dyDescent="0.2"/>
    <row r="1804" ht="12.75" x14ac:dyDescent="0.2"/>
    <row r="1805" ht="16.5" customHeight="1" x14ac:dyDescent="0.2"/>
    <row r="1806" ht="49.5" customHeight="1" x14ac:dyDescent="0.2"/>
    <row r="1807" ht="12.75" x14ac:dyDescent="0.2"/>
    <row r="1808" ht="21.75" customHeight="1" x14ac:dyDescent="0.2"/>
    <row r="1809" ht="12.75" x14ac:dyDescent="0.2"/>
    <row r="1810" ht="12.75" x14ac:dyDescent="0.2"/>
    <row r="1811" ht="12.75" x14ac:dyDescent="0.2"/>
    <row r="1812" ht="12.75" customHeight="1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6.5" customHeight="1" x14ac:dyDescent="0.2"/>
    <row r="1820" ht="15.75" customHeight="1" x14ac:dyDescent="0.2"/>
    <row r="1821" ht="15" customHeight="1" x14ac:dyDescent="0.2"/>
    <row r="1822" ht="23.25" customHeight="1" x14ac:dyDescent="0.2"/>
    <row r="1823" ht="12.75" x14ac:dyDescent="0.2"/>
    <row r="1824" ht="21" customHeight="1" x14ac:dyDescent="0.2"/>
    <row r="1825" ht="21" customHeight="1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4.25" customHeight="1" x14ac:dyDescent="0.2"/>
    <row r="1832" ht="21.75" customHeight="1" x14ac:dyDescent="0.2"/>
    <row r="1833" ht="15.75" customHeight="1" x14ac:dyDescent="0.2"/>
    <row r="1834" ht="16.5" customHeight="1" x14ac:dyDescent="0.2"/>
    <row r="1835" ht="15.75" customHeight="1" x14ac:dyDescent="0.2"/>
    <row r="1836" ht="13.5" customHeight="1" x14ac:dyDescent="0.2"/>
    <row r="1837" ht="22.5" customHeight="1" x14ac:dyDescent="0.2"/>
    <row r="1838" ht="31.5" customHeight="1" x14ac:dyDescent="0.2"/>
    <row r="1839" ht="12.75" x14ac:dyDescent="0.2"/>
    <row r="1840" ht="39" customHeight="1" x14ac:dyDescent="0.2"/>
    <row r="1841" ht="12.75" x14ac:dyDescent="0.2"/>
    <row r="1842" ht="27.75" customHeight="1" x14ac:dyDescent="0.2"/>
    <row r="1843" ht="26.25" customHeight="1" x14ac:dyDescent="0.2"/>
    <row r="1844" ht="20.25" customHeight="1" x14ac:dyDescent="0.2"/>
    <row r="1845" ht="12.75" x14ac:dyDescent="0.2"/>
    <row r="1846" ht="12.75" x14ac:dyDescent="0.2"/>
    <row r="1847" ht="12.75" customHeight="1" x14ac:dyDescent="0.2"/>
    <row r="1848" ht="18" customHeight="1" x14ac:dyDescent="0.2"/>
    <row r="1849" ht="46.5" customHeight="1" x14ac:dyDescent="0.2"/>
    <row r="1850" ht="12.75" x14ac:dyDescent="0.2"/>
    <row r="1851" ht="15" customHeight="1" x14ac:dyDescent="0.2"/>
    <row r="1852" ht="12.75" x14ac:dyDescent="0.2"/>
    <row r="1853" ht="12.75" x14ac:dyDescent="0.2"/>
    <row r="1854" ht="16.5" customHeight="1" x14ac:dyDescent="0.2"/>
    <row r="1855" ht="12.75" x14ac:dyDescent="0.2"/>
    <row r="1856" ht="14.25" customHeight="1" x14ac:dyDescent="0.2"/>
    <row r="1857" ht="12.75" x14ac:dyDescent="0.2"/>
    <row r="1858" ht="12.75" x14ac:dyDescent="0.2"/>
    <row r="1859" ht="12.75" x14ac:dyDescent="0.2"/>
    <row r="1860" ht="12" customHeight="1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53.25" customHeight="1" x14ac:dyDescent="0.2"/>
    <row r="1868" ht="9.75" customHeight="1" x14ac:dyDescent="0.2"/>
    <row r="1869" ht="15" customHeight="1" x14ac:dyDescent="0.2"/>
    <row r="1870" ht="23.25" customHeight="1" x14ac:dyDescent="0.2"/>
    <row r="1871" ht="23.25" customHeight="1" x14ac:dyDescent="0.2"/>
    <row r="1872" ht="22.5" customHeight="1" x14ac:dyDescent="0.2"/>
    <row r="1873" ht="13.5" customHeight="1" x14ac:dyDescent="0.2"/>
    <row r="1874" ht="12.75" x14ac:dyDescent="0.2"/>
    <row r="1875" ht="12.75" x14ac:dyDescent="0.2"/>
    <row r="1876" ht="12.75" x14ac:dyDescent="0.2"/>
    <row r="1877" ht="12.75" x14ac:dyDescent="0.2"/>
    <row r="1878" ht="15" customHeight="1" x14ac:dyDescent="0.2"/>
    <row r="1879" ht="21" customHeight="1" x14ac:dyDescent="0.2"/>
    <row r="1880" ht="15.75" customHeight="1" x14ac:dyDescent="0.2"/>
    <row r="1881" ht="15.75" customHeight="1" x14ac:dyDescent="0.2"/>
    <row r="1882" ht="17.25" customHeight="1" x14ac:dyDescent="0.2"/>
    <row r="1883" ht="20.25" customHeight="1" x14ac:dyDescent="0.2"/>
    <row r="1884" ht="30.75" customHeight="1" x14ac:dyDescent="0.2"/>
    <row r="1885" ht="12.75" x14ac:dyDescent="0.2"/>
    <row r="1886" ht="35.25" customHeight="1" x14ac:dyDescent="0.2"/>
    <row r="1887" ht="12.75" x14ac:dyDescent="0.2"/>
    <row r="1888" ht="12.75" x14ac:dyDescent="0.2"/>
    <row r="1889" ht="12.75" x14ac:dyDescent="0.2"/>
    <row r="1890" ht="12.75" x14ac:dyDescent="0.2"/>
    <row r="1891" ht="7.5" customHeight="1" x14ac:dyDescent="0.2"/>
    <row r="1892" ht="12.75" x14ac:dyDescent="0.2"/>
    <row r="1893" ht="12.75" x14ac:dyDescent="0.2"/>
    <row r="1894" ht="12.75" x14ac:dyDescent="0.2"/>
    <row r="1895" ht="12.75" x14ac:dyDescent="0.2"/>
    <row r="1896" ht="47.25" customHeight="1" x14ac:dyDescent="0.2"/>
    <row r="1897" ht="12.75" x14ac:dyDescent="0.2"/>
    <row r="1898" ht="37.5" customHeight="1" x14ac:dyDescent="0.2"/>
    <row r="1899" ht="12.75" x14ac:dyDescent="0.2"/>
    <row r="1900" ht="28.5" customHeight="1" x14ac:dyDescent="0.2"/>
    <row r="1901" ht="12.75" x14ac:dyDescent="0.2"/>
    <row r="1902" ht="27" customHeight="1" x14ac:dyDescent="0.2"/>
    <row r="1903" ht="12.75" x14ac:dyDescent="0.2"/>
    <row r="1904" ht="41.25" customHeight="1" x14ac:dyDescent="0.2"/>
    <row r="1905" ht="12.75" x14ac:dyDescent="0.2"/>
    <row r="1906" ht="12.75" x14ac:dyDescent="0.2"/>
    <row r="1907" ht="12.75" x14ac:dyDescent="0.2"/>
    <row r="1908" ht="12.75" x14ac:dyDescent="0.2"/>
    <row r="1909" ht="47.25" customHeight="1" x14ac:dyDescent="0.2"/>
    <row r="1910" ht="12.75" x14ac:dyDescent="0.2"/>
    <row r="1911" ht="24" customHeight="1" x14ac:dyDescent="0.2"/>
    <row r="1912" ht="12.75" x14ac:dyDescent="0.2"/>
    <row r="1913" ht="17.25" customHeight="1" x14ac:dyDescent="0.2"/>
    <row r="1914" ht="17.25" customHeight="1" x14ac:dyDescent="0.2"/>
    <row r="1915" ht="13.5" customHeight="1" x14ac:dyDescent="0.2"/>
    <row r="1916" ht="12.75" x14ac:dyDescent="0.2"/>
    <row r="1917" ht="38.25" customHeight="1" x14ac:dyDescent="0.2"/>
    <row r="1918" ht="12.75" hidden="1" x14ac:dyDescent="0.2"/>
    <row r="1919" ht="21.75" hidden="1" customHeight="1" x14ac:dyDescent="0.2"/>
    <row r="1920" ht="12.75" x14ac:dyDescent="0.2"/>
    <row r="1921" ht="24.75" customHeight="1" x14ac:dyDescent="0.2"/>
    <row r="1922" ht="20.25" customHeight="1" x14ac:dyDescent="0.2"/>
    <row r="1923" ht="12.75" x14ac:dyDescent="0.2"/>
    <row r="1924" ht="9" customHeight="1" x14ac:dyDescent="0.2"/>
    <row r="1925" ht="14.25" customHeight="1" x14ac:dyDescent="0.2"/>
    <row r="1926" ht="15" customHeight="1" x14ac:dyDescent="0.2"/>
    <row r="1927" ht="18.75" customHeight="1" x14ac:dyDescent="0.2"/>
    <row r="1928" ht="12.75" x14ac:dyDescent="0.2"/>
    <row r="1929" ht="36.75" customHeight="1" x14ac:dyDescent="0.2"/>
    <row r="1930" ht="19.5" customHeight="1" x14ac:dyDescent="0.2"/>
    <row r="1931" ht="19.5" customHeight="1" x14ac:dyDescent="0.2"/>
    <row r="1932" ht="18" customHeight="1" x14ac:dyDescent="0.2"/>
    <row r="1933" ht="22.5" customHeight="1" x14ac:dyDescent="0.2"/>
    <row r="1934" ht="12.75" customHeight="1" x14ac:dyDescent="0.2"/>
    <row r="1935" ht="12.75" x14ac:dyDescent="0.2"/>
    <row r="1936" ht="30.75" customHeight="1" x14ac:dyDescent="0.2"/>
    <row r="1937" ht="12.75" x14ac:dyDescent="0.2"/>
    <row r="1938" ht="12.75" x14ac:dyDescent="0.2"/>
    <row r="1939" ht="12.75" x14ac:dyDescent="0.2"/>
    <row r="1940" ht="12.75" x14ac:dyDescent="0.2"/>
    <row r="1941" ht="24" customHeight="1" x14ac:dyDescent="0.2"/>
    <row r="1942" ht="12.75" x14ac:dyDescent="0.2"/>
    <row r="1943" ht="12.75" x14ac:dyDescent="0.2"/>
    <row r="1944" ht="12.75" x14ac:dyDescent="0.2"/>
    <row r="1945" ht="33.75" customHeight="1" x14ac:dyDescent="0.2"/>
    <row r="1946" ht="12.75" x14ac:dyDescent="0.2"/>
    <row r="1947" ht="34.5" customHeight="1" x14ac:dyDescent="0.2"/>
    <row r="1948" ht="12.75" x14ac:dyDescent="0.2"/>
    <row r="1949" ht="32.25" customHeight="1" x14ac:dyDescent="0.2"/>
    <row r="1950" ht="30.75" customHeight="1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54" customHeight="1" x14ac:dyDescent="0.2"/>
    <row r="1957" ht="12.75" x14ac:dyDescent="0.2"/>
    <row r="1958" ht="15" customHeight="1" x14ac:dyDescent="0.2"/>
    <row r="1959" ht="12.75" x14ac:dyDescent="0.2"/>
    <row r="1960" ht="9.75" customHeight="1" x14ac:dyDescent="0.2"/>
    <row r="1961" ht="12.75" x14ac:dyDescent="0.2"/>
    <row r="1962" ht="15" customHeight="1" x14ac:dyDescent="0.2"/>
    <row r="1963" ht="12.75" x14ac:dyDescent="0.2"/>
    <row r="1964" ht="23.25" customHeight="1" x14ac:dyDescent="0.2"/>
    <row r="1965" ht="2.25" customHeight="1" x14ac:dyDescent="0.2"/>
    <row r="1966" ht="21" customHeight="1" x14ac:dyDescent="0.2"/>
    <row r="1967" ht="12.75" x14ac:dyDescent="0.2"/>
    <row r="1968" ht="16.5" customHeight="1" x14ac:dyDescent="0.2"/>
    <row r="1969" ht="16.5" customHeight="1" x14ac:dyDescent="0.2"/>
    <row r="1970" ht="7.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2.75" x14ac:dyDescent="0.2"/>
    <row r="1977" ht="48" customHeight="1" x14ac:dyDescent="0.2"/>
    <row r="1978" ht="12.75" x14ac:dyDescent="0.2"/>
    <row r="1979" ht="20.25" customHeight="1" x14ac:dyDescent="0.2"/>
    <row r="1980" ht="12.75" x14ac:dyDescent="0.2"/>
    <row r="1981" ht="23.25" customHeight="1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3.5" customHeight="1" x14ac:dyDescent="0.2"/>
    <row r="1988" ht="12.75" x14ac:dyDescent="0.2"/>
    <row r="1989" ht="19.5" customHeight="1" x14ac:dyDescent="0.2"/>
    <row r="1990" ht="12.75" x14ac:dyDescent="0.2"/>
    <row r="1991" ht="12.75" x14ac:dyDescent="0.2"/>
    <row r="1992" ht="12.75" x14ac:dyDescent="0.2"/>
    <row r="1993" ht="51.75" customHeight="1" x14ac:dyDescent="0.2"/>
    <row r="1994" ht="12.75" customHeight="1" x14ac:dyDescent="0.2"/>
    <row r="1995" ht="34.5" customHeight="1" x14ac:dyDescent="0.2"/>
    <row r="1996" ht="24" customHeight="1" x14ac:dyDescent="0.2"/>
    <row r="1997" ht="26.25" customHeight="1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54.75" customHeight="1" x14ac:dyDescent="0.2"/>
    <row r="2005" ht="12.75" x14ac:dyDescent="0.2"/>
    <row r="2006" ht="47.25" customHeight="1" x14ac:dyDescent="0.2"/>
    <row r="2007" ht="12.75" x14ac:dyDescent="0.2"/>
    <row r="2008" ht="15" customHeight="1" x14ac:dyDescent="0.2"/>
    <row r="2009" ht="12.75" x14ac:dyDescent="0.2"/>
    <row r="2010" ht="12.75" x14ac:dyDescent="0.2"/>
    <row r="2011" ht="16.5" customHeight="1" x14ac:dyDescent="0.2"/>
    <row r="2012" ht="15" customHeight="1" x14ac:dyDescent="0.2"/>
    <row r="2013" ht="15" customHeight="1" x14ac:dyDescent="0.2"/>
    <row r="2014" ht="12.75" x14ac:dyDescent="0.2"/>
    <row r="2015" ht="20.25" customHeight="1" x14ac:dyDescent="0.2"/>
    <row r="2016" ht="20.25" customHeight="1" x14ac:dyDescent="0.2"/>
    <row r="2017" ht="12.75" x14ac:dyDescent="0.2"/>
    <row r="2018" ht="12.75" x14ac:dyDescent="0.2"/>
    <row r="2019" ht="13.5" customHeight="1" x14ac:dyDescent="0.2"/>
    <row r="2020" ht="15" customHeight="1" x14ac:dyDescent="0.2"/>
    <row r="2021" ht="15" customHeight="1" x14ac:dyDescent="0.2"/>
    <row r="2022" ht="21.75" customHeight="1" x14ac:dyDescent="0.2"/>
    <row r="2023" ht="12.75" x14ac:dyDescent="0.2"/>
    <row r="2024" ht="21.75" customHeight="1" x14ac:dyDescent="0.2"/>
    <row r="2025" ht="12.75" x14ac:dyDescent="0.2"/>
    <row r="2026" ht="21.75" customHeight="1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9.5" customHeight="1" x14ac:dyDescent="0.2"/>
    <row r="2035" ht="12.75" x14ac:dyDescent="0.2"/>
    <row r="2036" ht="33" customHeight="1" x14ac:dyDescent="0.2"/>
    <row r="2037" ht="12.75" x14ac:dyDescent="0.2"/>
    <row r="2038" ht="12.75" x14ac:dyDescent="0.2"/>
    <row r="2039" ht="12.75" x14ac:dyDescent="0.2"/>
    <row r="2040" ht="17.25" customHeight="1" x14ac:dyDescent="0.2"/>
    <row r="2041" ht="12.75" x14ac:dyDescent="0.2"/>
    <row r="2042" ht="35.25" customHeight="1" x14ac:dyDescent="0.2"/>
    <row r="2043" ht="29.25" customHeight="1" x14ac:dyDescent="0.2"/>
    <row r="2044" ht="38.25" customHeight="1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7.25" customHeight="1" x14ac:dyDescent="0.2"/>
    <row r="2053" ht="45" customHeight="1" x14ac:dyDescent="0.2"/>
    <row r="2054" ht="12.75" x14ac:dyDescent="0.2"/>
    <row r="2055" ht="15" customHeight="1" x14ac:dyDescent="0.2"/>
    <row r="2056" ht="12.75" x14ac:dyDescent="0.2"/>
    <row r="2057" ht="12.75" x14ac:dyDescent="0.2"/>
    <row r="2058" ht="15.75" customHeight="1" x14ac:dyDescent="0.2"/>
    <row r="2059" ht="12.75" x14ac:dyDescent="0.2"/>
    <row r="2060" ht="12.75" customHeight="1" x14ac:dyDescent="0.2"/>
    <row r="2061" ht="17.25" customHeight="1" x14ac:dyDescent="0.2"/>
    <row r="2062" ht="21.75" customHeight="1" x14ac:dyDescent="0.2"/>
    <row r="2063" ht="12.75" x14ac:dyDescent="0.2"/>
    <row r="2064" ht="12.75" x14ac:dyDescent="0.2"/>
    <row r="2065" ht="19.5" customHeight="1" x14ac:dyDescent="0.2"/>
    <row r="2066" ht="19.5" customHeight="1" x14ac:dyDescent="0.2"/>
    <row r="2067" ht="12" customHeight="1" x14ac:dyDescent="0.2"/>
    <row r="2068" ht="14.25" customHeight="1" x14ac:dyDescent="0.2"/>
    <row r="2069" ht="12.75" x14ac:dyDescent="0.2"/>
    <row r="2070" ht="12.75" x14ac:dyDescent="0.2"/>
    <row r="2071" ht="21.75" customHeight="1" x14ac:dyDescent="0.2"/>
    <row r="2072" ht="36" customHeight="1" x14ac:dyDescent="0.2"/>
    <row r="2073" ht="24" customHeight="1" x14ac:dyDescent="0.2"/>
    <row r="2074" ht="23.25" customHeight="1" x14ac:dyDescent="0.2"/>
    <row r="2075" ht="15.75" customHeight="1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5.75" customHeight="1" x14ac:dyDescent="0.2"/>
    <row r="2082" ht="12.75" x14ac:dyDescent="0.2"/>
    <row r="2083" ht="12.75" x14ac:dyDescent="0.2"/>
    <row r="2084" ht="21" customHeight="1" x14ac:dyDescent="0.2"/>
    <row r="2085" ht="21" customHeight="1" x14ac:dyDescent="0.2"/>
    <row r="2086" ht="12.75" x14ac:dyDescent="0.2"/>
    <row r="2087" ht="12.75" x14ac:dyDescent="0.2"/>
    <row r="2088" ht="39.75" customHeight="1" x14ac:dyDescent="0.2"/>
    <row r="2089" ht="12.75" x14ac:dyDescent="0.2"/>
    <row r="2090" ht="36" customHeight="1" x14ac:dyDescent="0.2"/>
    <row r="2091" ht="12.75" x14ac:dyDescent="0.2"/>
    <row r="2092" ht="34.5" customHeight="1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50.25" customHeight="1" x14ac:dyDescent="0.2"/>
    <row r="2100" ht="12.75" x14ac:dyDescent="0.2"/>
    <row r="2101" ht="15" customHeight="1" x14ac:dyDescent="0.2"/>
    <row r="2102" ht="12.75" x14ac:dyDescent="0.2"/>
    <row r="2103" ht="48" customHeight="1" x14ac:dyDescent="0.2"/>
    <row r="2104" ht="19.5" customHeight="1" x14ac:dyDescent="0.2"/>
    <row r="2105" ht="15" customHeight="1" x14ac:dyDescent="0.2"/>
    <row r="2106" ht="12.75" customHeight="1" x14ac:dyDescent="0.2"/>
    <row r="2107" ht="23.25" customHeight="1" x14ac:dyDescent="0.2"/>
    <row r="2108" ht="15.75" customHeight="1" x14ac:dyDescent="0.2"/>
    <row r="2109" ht="13.5" customHeight="1" x14ac:dyDescent="0.2"/>
    <row r="2110" ht="12.75" x14ac:dyDescent="0.2"/>
    <row r="2111" ht="12.75" x14ac:dyDescent="0.2"/>
    <row r="2112" ht="14.25" customHeight="1" x14ac:dyDescent="0.2"/>
    <row r="2113" ht="15" customHeight="1" x14ac:dyDescent="0.2"/>
    <row r="2115" ht="17.25" customHeight="1" x14ac:dyDescent="0.2"/>
    <row r="2116" ht="20.25" customHeight="1" x14ac:dyDescent="0.2"/>
    <row r="2117" ht="17.25" customHeight="1" x14ac:dyDescent="0.2"/>
    <row r="2118" ht="12.75" x14ac:dyDescent="0.2"/>
    <row r="2119" ht="51" customHeight="1" x14ac:dyDescent="0.2"/>
    <row r="2120" ht="12.75" x14ac:dyDescent="0.2"/>
    <row r="2121" ht="13.5" customHeight="1" x14ac:dyDescent="0.2"/>
    <row r="2122" ht="12.75" x14ac:dyDescent="0.2"/>
    <row r="2123" ht="18" customHeight="1" x14ac:dyDescent="0.2"/>
    <row r="2124" ht="12.75" x14ac:dyDescent="0.2"/>
    <row r="2125" ht="12.75" x14ac:dyDescent="0.2"/>
    <row r="2126" ht="12.75" x14ac:dyDescent="0.2"/>
    <row r="2127" ht="17.25" customHeight="1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40.5" customHeight="1" x14ac:dyDescent="0.2"/>
    <row r="2136" ht="12.75" x14ac:dyDescent="0.2"/>
    <row r="2137" ht="32.25" customHeight="1" x14ac:dyDescent="0.2"/>
    <row r="2138" ht="25.5" customHeight="1" x14ac:dyDescent="0.2"/>
    <row r="2139" ht="12.75" x14ac:dyDescent="0.2"/>
    <row r="2140" ht="12.75" x14ac:dyDescent="0.2"/>
    <row r="2141" ht="44.25" customHeight="1" x14ac:dyDescent="0.2"/>
    <row r="2142" ht="12.75" x14ac:dyDescent="0.2"/>
    <row r="2143" ht="12.75" x14ac:dyDescent="0.2"/>
    <row r="2144" ht="12.75" x14ac:dyDescent="0.2"/>
    <row r="2145" ht="12.75" x14ac:dyDescent="0.2"/>
    <row r="2146" ht="48" customHeight="1" x14ac:dyDescent="0.2"/>
    <row r="2147" ht="12.75" x14ac:dyDescent="0.2"/>
    <row r="2148" ht="44.25" customHeight="1" x14ac:dyDescent="0.2"/>
    <row r="2149" ht="19.5" customHeight="1" x14ac:dyDescent="0.2"/>
    <row r="2150" ht="15" customHeight="1" x14ac:dyDescent="0.2"/>
    <row r="2151" ht="20.25" customHeight="1" x14ac:dyDescent="0.2"/>
    <row r="2152" ht="12.75" x14ac:dyDescent="0.2"/>
    <row r="2153" ht="21" customHeight="1" x14ac:dyDescent="0.2"/>
    <row r="2154" ht="12.75" x14ac:dyDescent="0.2"/>
    <row r="2155" ht="21" customHeight="1" x14ac:dyDescent="0.2"/>
    <row r="2156" ht="18.75" customHeight="1" x14ac:dyDescent="0.2"/>
    <row r="2157" ht="19.5" customHeight="1" x14ac:dyDescent="0.2"/>
    <row r="2158" ht="12.75" x14ac:dyDescent="0.2"/>
    <row r="2159" ht="12.75" x14ac:dyDescent="0.2"/>
    <row r="2160" ht="12" customHeight="1" x14ac:dyDescent="0.2"/>
    <row r="2161" ht="13.5" customHeight="1" x14ac:dyDescent="0.2"/>
    <row r="2163" ht="19.5" customHeight="1" x14ac:dyDescent="0.2"/>
    <row r="2164" ht="19.5" customHeight="1" x14ac:dyDescent="0.2"/>
    <row r="2165" ht="12.75" x14ac:dyDescent="0.2"/>
    <row r="2166" ht="25.5" customHeight="1" x14ac:dyDescent="0.2"/>
    <row r="2167" ht="46.5" customHeight="1" x14ac:dyDescent="0.2"/>
    <row r="2168" ht="18.75" customHeight="1" x14ac:dyDescent="0.2"/>
    <row r="2169" ht="25.5" customHeight="1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22.5" customHeight="1" x14ac:dyDescent="0.2"/>
    <row r="2176" ht="12.75" x14ac:dyDescent="0.2"/>
    <row r="2177" ht="12.75" x14ac:dyDescent="0.2"/>
    <row r="2178" ht="12.75" x14ac:dyDescent="0.2"/>
    <row r="2179" ht="46.5" customHeight="1" x14ac:dyDescent="0.2"/>
    <row r="2180" ht="12.75" x14ac:dyDescent="0.2"/>
    <row r="2181" ht="12.75" x14ac:dyDescent="0.2"/>
    <row r="2182" ht="12.75" x14ac:dyDescent="0.2"/>
    <row r="2183" ht="47.25" customHeight="1" x14ac:dyDescent="0.2"/>
    <row r="2184" ht="12.75" x14ac:dyDescent="0.2"/>
    <row r="2185" ht="36.75" customHeight="1" x14ac:dyDescent="0.2"/>
    <row r="2186" ht="24" customHeight="1" x14ac:dyDescent="0.2"/>
    <row r="2187" ht="38.25" customHeight="1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53.25" customHeight="1" x14ac:dyDescent="0.2"/>
    <row r="2195" ht="12.75" x14ac:dyDescent="0.2"/>
    <row r="2196" ht="15" customHeight="1" x14ac:dyDescent="0.2"/>
    <row r="2197" ht="20.25" customHeight="1" x14ac:dyDescent="0.2"/>
    <row r="2198" ht="47.25" customHeight="1" x14ac:dyDescent="0.2"/>
    <row r="2199" ht="18.75" customHeight="1" x14ac:dyDescent="0.2"/>
    <row r="2200" ht="15" customHeight="1" x14ac:dyDescent="0.2"/>
    <row r="2201" ht="20.25" customHeight="1" x14ac:dyDescent="0.2"/>
    <row r="2202" ht="20.25" customHeight="1" x14ac:dyDescent="0.2"/>
    <row r="2203" ht="20.25" customHeight="1" x14ac:dyDescent="0.2"/>
    <row r="2204" ht="15.75" customHeight="1" x14ac:dyDescent="0.2"/>
    <row r="2205" ht="12.75" x14ac:dyDescent="0.2"/>
    <row r="2206" ht="12.75" x14ac:dyDescent="0.2"/>
    <row r="2207" ht="13.5" customHeight="1" x14ac:dyDescent="0.2"/>
    <row r="2208" ht="13.5" customHeight="1" x14ac:dyDescent="0.2"/>
    <row r="2210" ht="50.25" customHeight="1" x14ac:dyDescent="0.2"/>
    <row r="2211" ht="12" customHeight="1" x14ac:dyDescent="0.2"/>
    <row r="2212" ht="21" customHeight="1" x14ac:dyDescent="0.2"/>
    <row r="2213" ht="12.75" x14ac:dyDescent="0.2"/>
    <row r="2214" ht="18" customHeight="1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31.5" customHeight="1" x14ac:dyDescent="0.2"/>
    <row r="2229" ht="12.75" x14ac:dyDescent="0.2"/>
    <row r="2230" ht="24.75" customHeight="1" x14ac:dyDescent="0.2"/>
    <row r="2231" ht="12.75" x14ac:dyDescent="0.2"/>
    <row r="2232" ht="12.75" x14ac:dyDescent="0.2"/>
    <row r="2233" ht="12.75" x14ac:dyDescent="0.2"/>
    <row r="2234" ht="26.25" customHeight="1" x14ac:dyDescent="0.2"/>
    <row r="2235" ht="12.75" x14ac:dyDescent="0.2"/>
    <row r="2236" ht="26.25" customHeight="1" x14ac:dyDescent="0.2"/>
    <row r="2237" ht="12.75" x14ac:dyDescent="0.2"/>
    <row r="2238" ht="12.75" x14ac:dyDescent="0.2"/>
    <row r="2239" ht="12.75" x14ac:dyDescent="0.2"/>
    <row r="2240" ht="22.5" customHeight="1" x14ac:dyDescent="0.2"/>
    <row r="2241" ht="12.75" x14ac:dyDescent="0.2"/>
    <row r="2242" ht="12.75" x14ac:dyDescent="0.2"/>
    <row r="2243" ht="12.75" x14ac:dyDescent="0.2"/>
    <row r="2244" ht="39" customHeight="1" x14ac:dyDescent="0.2"/>
    <row r="2245" ht="12.75" x14ac:dyDescent="0.2"/>
    <row r="2246" ht="37.5" customHeight="1" x14ac:dyDescent="0.2"/>
    <row r="2247" ht="22.5" customHeight="1" x14ac:dyDescent="0.2"/>
    <row r="2248" ht="19.5" customHeight="1" x14ac:dyDescent="0.2"/>
    <row r="2249" ht="19.5" customHeight="1" x14ac:dyDescent="0.2"/>
    <row r="2250" ht="19.5" customHeight="1" x14ac:dyDescent="0.2"/>
    <row r="2251" ht="12.75" x14ac:dyDescent="0.2"/>
    <row r="2252" ht="12.75" x14ac:dyDescent="0.2"/>
    <row r="2253" ht="12.75" x14ac:dyDescent="0.2"/>
    <row r="2254" ht="15" customHeight="1" x14ac:dyDescent="0.2"/>
    <row r="2255" ht="52.5" customHeight="1" x14ac:dyDescent="0.2"/>
    <row r="2256" ht="20.25" customHeight="1" x14ac:dyDescent="0.2"/>
    <row r="2257" ht="30" customHeight="1" x14ac:dyDescent="0.2"/>
    <row r="2259" ht="18" customHeight="1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41.25" customHeight="1" x14ac:dyDescent="0.2"/>
    <row r="2277" ht="12.75" x14ac:dyDescent="0.2"/>
    <row r="2278" ht="15" customHeight="1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45" customHeight="1" x14ac:dyDescent="0.2"/>
    <row r="2289" ht="12.75" x14ac:dyDescent="0.2"/>
    <row r="2290" ht="12.75" x14ac:dyDescent="0.2"/>
    <row r="2291" ht="12.75" x14ac:dyDescent="0.2"/>
    <row r="2292" ht="47.25" customHeight="1" x14ac:dyDescent="0.2"/>
    <row r="2293" ht="12" customHeight="1" x14ac:dyDescent="0.2"/>
    <row r="2294" ht="46.5" customHeight="1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6.5" customHeight="1" x14ac:dyDescent="0.2"/>
    <row r="2301" ht="12.75" x14ac:dyDescent="0.2"/>
    <row r="2302" ht="16.5" customHeight="1" x14ac:dyDescent="0.2"/>
    <row r="2303" ht="45" customHeight="1" x14ac:dyDescent="0.2"/>
    <row r="2304" ht="16.5" customHeight="1" x14ac:dyDescent="0.2"/>
    <row r="2305" ht="23.25" customHeight="1" x14ac:dyDescent="0.2"/>
    <row r="2306" ht="16.5" customHeight="1" x14ac:dyDescent="0.2"/>
    <row r="2307" ht="16.5" customHeight="1" x14ac:dyDescent="0.2"/>
    <row r="2308" ht="16.5" customHeight="1" x14ac:dyDescent="0.2"/>
    <row r="2309" ht="16.5" customHeight="1" x14ac:dyDescent="0.2"/>
    <row r="2310" ht="16.5" customHeight="1" x14ac:dyDescent="0.2"/>
    <row r="2311" ht="16.5" customHeight="1" x14ac:dyDescent="0.2"/>
    <row r="2312" ht="16.5" customHeight="1" x14ac:dyDescent="0.2"/>
    <row r="2313" ht="16.5" customHeight="1" x14ac:dyDescent="0.2"/>
    <row r="2314" ht="16.5" customHeight="1" x14ac:dyDescent="0.2"/>
    <row r="2315" ht="16.5" customHeight="1" x14ac:dyDescent="0.2"/>
    <row r="2316" ht="16.5" customHeight="1" x14ac:dyDescent="0.2"/>
    <row r="2317" ht="16.5" customHeight="1" x14ac:dyDescent="0.2"/>
    <row r="2318" ht="16.5" customHeight="1" x14ac:dyDescent="0.2"/>
    <row r="2319" ht="16.5" customHeight="1" x14ac:dyDescent="0.2"/>
    <row r="2320" ht="16.5" customHeight="1" x14ac:dyDescent="0.2"/>
    <row r="2321" ht="48.75" customHeight="1" x14ac:dyDescent="0.2"/>
    <row r="2322" ht="16.5" customHeight="1" x14ac:dyDescent="0.2"/>
    <row r="2323" ht="40.5" customHeight="1" x14ac:dyDescent="0.2"/>
    <row r="2324" ht="16.5" customHeight="1" x14ac:dyDescent="0.2"/>
    <row r="2325" ht="16.5" customHeight="1" x14ac:dyDescent="0.2"/>
    <row r="2326" ht="16.5" customHeight="1" x14ac:dyDescent="0.2"/>
    <row r="2327" ht="16.5" customHeight="1" x14ac:dyDescent="0.2"/>
    <row r="2328" ht="16.5" customHeight="1" x14ac:dyDescent="0.2"/>
    <row r="2329" ht="16.5" customHeight="1" x14ac:dyDescent="0.2"/>
    <row r="2330" ht="16.5" customHeight="1" x14ac:dyDescent="0.2"/>
    <row r="2331" ht="16.5" customHeight="1" x14ac:dyDescent="0.2"/>
    <row r="2332" ht="16.5" customHeight="1" x14ac:dyDescent="0.2"/>
    <row r="2333" ht="21" customHeight="1" x14ac:dyDescent="0.2"/>
    <row r="2334" ht="16.5" customHeight="1" x14ac:dyDescent="0.2"/>
    <row r="2335" ht="16.5" customHeight="1" x14ac:dyDescent="0.2"/>
    <row r="2336" ht="16.5" customHeight="1" x14ac:dyDescent="0.2"/>
    <row r="2337" ht="39" customHeight="1" x14ac:dyDescent="0.2"/>
    <row r="2338" ht="20.25" customHeight="1" x14ac:dyDescent="0.2"/>
    <row r="2339" ht="39" customHeight="1" x14ac:dyDescent="0.2"/>
    <row r="2340" ht="26.25" customHeight="1" x14ac:dyDescent="0.2"/>
    <row r="2341" ht="45" customHeight="1" x14ac:dyDescent="0.2"/>
    <row r="2342" ht="16.5" customHeight="1" x14ac:dyDescent="0.2"/>
    <row r="2343" ht="16.5" customHeight="1" x14ac:dyDescent="0.2"/>
    <row r="2344" ht="18.75" customHeight="1" x14ac:dyDescent="0.2"/>
    <row r="2345" ht="16.5" customHeight="1" x14ac:dyDescent="0.2"/>
    <row r="2346" ht="16.5" customHeight="1" x14ac:dyDescent="0.2"/>
    <row r="2347" ht="16.5" customHeight="1" x14ac:dyDescent="0.2"/>
    <row r="2348" ht="54.75" customHeight="1" x14ac:dyDescent="0.2"/>
    <row r="2349" ht="16.5" customHeight="1" x14ac:dyDescent="0.2"/>
    <row r="2350" ht="16.5" customHeight="1" x14ac:dyDescent="0.2"/>
    <row r="2351" ht="16.5" customHeight="1" x14ac:dyDescent="0.2"/>
    <row r="2352" ht="19.5" customHeight="1" x14ac:dyDescent="0.2"/>
    <row r="2353" ht="16.5" customHeight="1" x14ac:dyDescent="0.2"/>
    <row r="2354" ht="16.5" customHeight="1" x14ac:dyDescent="0.2"/>
    <row r="2355" ht="16.5" customHeight="1" x14ac:dyDescent="0.2"/>
    <row r="2356" ht="16.5" customHeight="1" x14ac:dyDescent="0.2"/>
    <row r="2357" ht="16.5" customHeight="1" x14ac:dyDescent="0.2"/>
    <row r="2358" ht="16.5" customHeight="1" x14ac:dyDescent="0.2"/>
    <row r="2359" ht="16.5" customHeight="1" x14ac:dyDescent="0.2"/>
    <row r="2360" ht="16.5" customHeight="1" x14ac:dyDescent="0.2"/>
    <row r="2361" ht="16.5" customHeight="1" x14ac:dyDescent="0.2"/>
    <row r="2362" ht="16.5" customHeight="1" x14ac:dyDescent="0.2"/>
    <row r="2363" ht="16.5" customHeight="1" x14ac:dyDescent="0.2"/>
    <row r="2364" ht="16.5" customHeight="1" x14ac:dyDescent="0.2"/>
    <row r="2365" ht="16.5" customHeight="1" x14ac:dyDescent="0.2"/>
    <row r="2366" ht="16.5" customHeight="1" x14ac:dyDescent="0.2"/>
    <row r="2367" ht="45" customHeight="1" x14ac:dyDescent="0.2"/>
    <row r="2368" ht="16.5" customHeight="1" x14ac:dyDescent="0.2"/>
    <row r="2369" ht="33" customHeight="1" x14ac:dyDescent="0.2"/>
    <row r="2370" ht="16.5" customHeight="1" x14ac:dyDescent="0.2"/>
    <row r="2371" ht="30.75" customHeight="1" x14ac:dyDescent="0.2"/>
    <row r="2372" ht="16.5" customHeight="1" x14ac:dyDescent="0.2"/>
    <row r="2373" ht="16.5" customHeight="1" x14ac:dyDescent="0.2"/>
    <row r="2374" ht="16.5" customHeight="1" x14ac:dyDescent="0.2"/>
    <row r="2375" ht="16.5" customHeight="1" x14ac:dyDescent="0.2"/>
    <row r="2376" ht="16.5" customHeight="1" x14ac:dyDescent="0.2"/>
    <row r="2377" ht="16.5" customHeight="1" x14ac:dyDescent="0.2"/>
    <row r="2378" ht="16.5" customHeight="1" x14ac:dyDescent="0.2"/>
    <row r="2379" ht="45.75" customHeight="1" x14ac:dyDescent="0.2"/>
    <row r="2380" ht="16.5" customHeight="1" x14ac:dyDescent="0.2"/>
    <row r="2381" ht="16.5" customHeight="1" x14ac:dyDescent="0.2"/>
    <row r="2382" ht="16.5" customHeight="1" x14ac:dyDescent="0.2"/>
    <row r="2383" ht="37.5" customHeight="1" x14ac:dyDescent="0.2"/>
    <row r="2384" ht="11.25" customHeight="1" x14ac:dyDescent="0.2"/>
    <row r="2385" ht="37.5" customHeight="1" x14ac:dyDescent="0.2"/>
    <row r="2386" ht="25.5" customHeight="1" x14ac:dyDescent="0.2"/>
    <row r="2387" ht="40.5" customHeight="1" x14ac:dyDescent="0.2"/>
    <row r="2388" ht="21" hidden="1" customHeight="1" x14ac:dyDescent="0.2"/>
    <row r="2389" ht="41.25" customHeight="1" x14ac:dyDescent="0.2"/>
    <row r="2390" ht="24.75" customHeight="1" x14ac:dyDescent="0.2"/>
    <row r="2391" ht="16.5" customHeight="1" x14ac:dyDescent="0.2"/>
    <row r="2392" ht="16.5" customHeight="1" x14ac:dyDescent="0.2"/>
    <row r="2393" ht="15" customHeight="1" x14ac:dyDescent="0.2"/>
    <row r="2394" ht="49.5" customHeight="1" x14ac:dyDescent="0.2"/>
    <row r="2395" ht="15" customHeight="1" x14ac:dyDescent="0.2"/>
    <row r="2396" ht="15" customHeight="1" x14ac:dyDescent="0.2"/>
    <row r="2397" ht="15" customHeight="1" x14ac:dyDescent="0.2"/>
    <row r="2398" ht="15" customHeight="1" x14ac:dyDescent="0.2"/>
    <row r="2399" ht="15" customHeight="1" x14ac:dyDescent="0.2"/>
    <row r="2400" ht="13.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40.5" customHeight="1" x14ac:dyDescent="0.2"/>
    <row r="2416" ht="15" customHeight="1" x14ac:dyDescent="0.2"/>
    <row r="2417" ht="33.75" customHeight="1" x14ac:dyDescent="0.2"/>
    <row r="2418" ht="1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44.2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45" customHeight="1" x14ac:dyDescent="0.2"/>
    <row r="2444" ht="15" customHeight="1" x14ac:dyDescent="0.2"/>
    <row r="2445" ht="37.5" customHeight="1" x14ac:dyDescent="0.2"/>
    <row r="2446" ht="37.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57.7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34.5" customHeight="1" x14ac:dyDescent="0.2"/>
    <row r="2465" ht="15" customHeight="1" x14ac:dyDescent="0.2"/>
    <row r="2466" ht="38.2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4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42.75" customHeight="1" x14ac:dyDescent="0.2"/>
    <row r="2501" ht="15" customHeight="1" x14ac:dyDescent="0.2"/>
    <row r="2502" ht="41.2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48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15" customHeight="1" x14ac:dyDescent="0.2"/>
    <row r="2549" ht="15" customHeight="1" x14ac:dyDescent="0.2"/>
    <row r="2550" ht="15" customHeight="1" x14ac:dyDescent="0.2"/>
    <row r="2551" ht="15" customHeight="1" x14ac:dyDescent="0.2"/>
    <row r="2552" ht="37.5" customHeight="1" x14ac:dyDescent="0.2"/>
    <row r="2553" ht="15" customHeight="1" x14ac:dyDescent="0.2"/>
    <row r="2554" ht="42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49.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15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9" ht="30" customHeight="1" x14ac:dyDescent="0.2"/>
    <row r="2590" ht="16.5" customHeight="1" x14ac:dyDescent="0.2"/>
    <row r="2591" ht="19.5" customHeight="1" x14ac:dyDescent="0.2"/>
    <row r="2592" ht="30" customHeight="1" x14ac:dyDescent="0.2"/>
    <row r="2593" ht="30" customHeight="1" x14ac:dyDescent="0.2"/>
    <row r="2594" ht="30" customHeight="1" x14ac:dyDescent="0.2"/>
    <row r="2595" ht="30" customHeight="1" x14ac:dyDescent="0.2"/>
    <row r="2596" ht="7.5" customHeight="1" x14ac:dyDescent="0.2"/>
    <row r="2597" ht="9.75" customHeight="1" x14ac:dyDescent="0.2"/>
    <row r="2598" ht="30" customHeight="1" x14ac:dyDescent="0.2"/>
    <row r="2599" ht="30" customHeight="1" x14ac:dyDescent="0.2"/>
    <row r="2600" ht="10.5" customHeight="1" x14ac:dyDescent="0.2"/>
    <row r="2601" ht="18.75" customHeight="1" x14ac:dyDescent="0.2"/>
    <row r="2602" ht="16.5" customHeight="1" x14ac:dyDescent="0.2"/>
    <row r="2603" ht="17.25" customHeight="1" x14ac:dyDescent="0.2"/>
    <row r="2604" ht="30" customHeight="1" x14ac:dyDescent="0.2"/>
    <row r="2605" ht="30" customHeight="1" x14ac:dyDescent="0.2"/>
    <row r="2606" ht="14.25" customHeight="1" x14ac:dyDescent="0.2"/>
    <row r="2607" ht="30" customHeight="1" x14ac:dyDescent="0.2"/>
    <row r="2608" ht="30" customHeight="1" x14ac:dyDescent="0.2"/>
    <row r="2609" ht="44.25" customHeight="1" x14ac:dyDescent="0.2"/>
    <row r="2610" ht="26.25" customHeight="1" x14ac:dyDescent="0.2"/>
    <row r="2611" ht="13.5" customHeight="1" x14ac:dyDescent="0.2"/>
    <row r="2612" ht="6" customHeight="1" x14ac:dyDescent="0.2"/>
    <row r="2613" ht="13.5" hidden="1" customHeight="1" x14ac:dyDescent="0.2"/>
    <row r="2614" ht="30" customHeight="1" x14ac:dyDescent="0.2"/>
    <row r="2615" ht="21" customHeight="1" x14ac:dyDescent="0.2"/>
    <row r="2616" ht="12" customHeight="1" x14ac:dyDescent="0.2"/>
    <row r="2617" ht="30" customHeight="1" x14ac:dyDescent="0.2"/>
    <row r="2618" ht="50.25" customHeight="1" x14ac:dyDescent="0.2"/>
    <row r="2619" ht="30" customHeight="1" x14ac:dyDescent="0.2"/>
    <row r="2620" ht="18" customHeight="1" x14ac:dyDescent="0.2"/>
    <row r="2621" ht="15" customHeight="1" x14ac:dyDescent="0.2"/>
    <row r="2622" ht="15" customHeight="1" x14ac:dyDescent="0.2"/>
    <row r="2623" ht="15" customHeight="1" x14ac:dyDescent="0.2"/>
    <row r="2624" ht="15" customHeight="1" x14ac:dyDescent="0.2"/>
    <row r="2625" ht="15" customHeight="1" x14ac:dyDescent="0.2"/>
    <row r="2626" ht="15" customHeight="1" x14ac:dyDescent="0.2"/>
    <row r="2627" ht="30" customHeight="1" x14ac:dyDescent="0.2"/>
    <row r="2628" ht="30" customHeight="1" x14ac:dyDescent="0.2"/>
    <row r="2629" ht="30" customHeight="1" x14ac:dyDescent="0.2"/>
    <row r="2630" ht="30" customHeight="1" x14ac:dyDescent="0.2"/>
    <row r="2631" ht="30" customHeight="1" x14ac:dyDescent="0.2"/>
    <row r="2632" ht="30" customHeight="1" x14ac:dyDescent="0.2"/>
    <row r="2633" ht="15" customHeight="1" x14ac:dyDescent="0.2"/>
    <row r="2634" ht="15" customHeight="1" x14ac:dyDescent="0.2"/>
    <row r="2635" ht="15" customHeight="1" x14ac:dyDescent="0.2"/>
    <row r="2636" ht="15" customHeight="1" x14ac:dyDescent="0.2"/>
    <row r="2637" ht="15" customHeight="1" x14ac:dyDescent="0.2"/>
    <row r="2638" ht="15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15" customHeight="1" x14ac:dyDescent="0.2"/>
    <row r="2646" ht="15" customHeight="1" x14ac:dyDescent="0.2"/>
    <row r="2647" ht="15" customHeight="1" x14ac:dyDescent="0.2"/>
    <row r="2648" ht="15" customHeight="1" x14ac:dyDescent="0.2"/>
    <row r="2649" ht="35.25" customHeight="1" x14ac:dyDescent="0.2"/>
    <row r="2650" ht="15" customHeight="1" x14ac:dyDescent="0.2"/>
    <row r="2651" ht="36.75" customHeight="1" x14ac:dyDescent="0.2"/>
    <row r="2652" ht="25.5" customHeight="1" x14ac:dyDescent="0.2"/>
    <row r="2653" ht="33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48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15" customHeight="1" x14ac:dyDescent="0.2"/>
    <row r="2668" ht="15" customHeight="1" x14ac:dyDescent="0.2"/>
    <row r="2669" ht="15" customHeight="1" x14ac:dyDescent="0.2"/>
    <row r="2670" ht="15" customHeight="1" x14ac:dyDescent="0.2"/>
    <row r="2671" ht="15" customHeight="1" x14ac:dyDescent="0.2"/>
    <row r="2672" ht="15" customHeight="1" x14ac:dyDescent="0.2"/>
    <row r="2673" ht="15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15" customHeight="1" x14ac:dyDescent="0.2"/>
    <row r="2681" ht="30" customHeight="1" x14ac:dyDescent="0.2"/>
    <row r="2682" ht="30" customHeight="1" x14ac:dyDescent="0.2"/>
    <row r="2683" ht="30" customHeight="1" x14ac:dyDescent="0.2"/>
    <row r="2684" ht="30" customHeight="1" x14ac:dyDescent="0.2"/>
    <row r="2685" ht="30" customHeight="1" x14ac:dyDescent="0.2"/>
    <row r="2686" ht="30" customHeight="1" x14ac:dyDescent="0.2"/>
    <row r="2687" ht="30" customHeight="1" x14ac:dyDescent="0.2"/>
    <row r="2688" ht="30" customHeight="1" x14ac:dyDescent="0.2"/>
    <row r="2689" ht="30" customHeight="1" x14ac:dyDescent="0.2"/>
    <row r="2690" ht="30" customHeight="1" x14ac:dyDescent="0.2"/>
    <row r="2691" ht="30" customHeight="1" x14ac:dyDescent="0.2"/>
    <row r="2692" ht="30" customHeight="1" x14ac:dyDescent="0.2"/>
    <row r="2693" ht="30" customHeight="1" x14ac:dyDescent="0.2"/>
    <row r="2694" ht="30" customHeight="1" x14ac:dyDescent="0.2"/>
    <row r="2695" ht="30" customHeight="1" x14ac:dyDescent="0.2"/>
    <row r="2696" ht="30" customHeight="1" x14ac:dyDescent="0.2"/>
    <row r="2697" ht="30" customHeight="1" x14ac:dyDescent="0.2"/>
    <row r="2698" ht="30" customHeight="1" x14ac:dyDescent="0.2"/>
    <row r="2699" ht="30" customHeight="1" x14ac:dyDescent="0.2"/>
    <row r="2700" ht="30" customHeight="1" x14ac:dyDescent="0.2"/>
    <row r="2701" ht="30" customHeight="1" x14ac:dyDescent="0.2"/>
    <row r="2702" ht="30" customHeight="1" x14ac:dyDescent="0.2"/>
    <row r="2703" ht="30" customHeight="1" x14ac:dyDescent="0.2"/>
    <row r="2704" ht="30" customHeight="1" x14ac:dyDescent="0.2"/>
    <row r="2705" ht="30" customHeight="1" x14ac:dyDescent="0.2"/>
    <row r="2706" ht="30" customHeight="1" x14ac:dyDescent="0.2"/>
    <row r="2707" ht="30" customHeight="1" x14ac:dyDescent="0.2"/>
    <row r="2708" ht="30" customHeight="1" x14ac:dyDescent="0.2"/>
    <row r="2709" ht="30" customHeight="1" x14ac:dyDescent="0.2"/>
    <row r="2710" ht="30" customHeight="1" x14ac:dyDescent="0.2"/>
    <row r="2711" ht="30" customHeight="1" x14ac:dyDescent="0.2"/>
    <row r="2712" ht="30" customHeight="1" x14ac:dyDescent="0.2"/>
    <row r="2713" ht="30" customHeight="1" x14ac:dyDescent="0.2"/>
    <row r="2714" ht="30" customHeight="1" x14ac:dyDescent="0.2"/>
    <row r="2715" ht="30" customHeight="1" x14ac:dyDescent="0.2"/>
    <row r="2716" ht="30" customHeight="1" x14ac:dyDescent="0.2"/>
    <row r="2717" ht="30" customHeight="1" x14ac:dyDescent="0.2"/>
    <row r="2718" ht="30" customHeight="1" x14ac:dyDescent="0.2"/>
    <row r="2719" ht="30" customHeight="1" x14ac:dyDescent="0.2"/>
    <row r="2720" ht="30" customHeight="1" x14ac:dyDescent="0.2"/>
    <row r="2721" ht="30" customHeight="1" x14ac:dyDescent="0.2"/>
    <row r="2722" ht="30" customHeight="1" x14ac:dyDescent="0.2"/>
    <row r="2723" ht="30" customHeight="1" x14ac:dyDescent="0.2"/>
    <row r="2724" ht="30" customHeight="1" x14ac:dyDescent="0.2"/>
    <row r="2725" ht="30" customHeight="1" x14ac:dyDescent="0.2"/>
    <row r="2726" ht="30" customHeight="1" x14ac:dyDescent="0.2"/>
    <row r="2727" ht="30" customHeight="1" x14ac:dyDescent="0.2"/>
    <row r="2728" ht="30" customHeight="1" x14ac:dyDescent="0.2"/>
    <row r="2729" ht="30" customHeight="1" x14ac:dyDescent="0.2"/>
    <row r="2730" ht="30" customHeight="1" x14ac:dyDescent="0.2"/>
    <row r="2731" ht="30" customHeight="1" x14ac:dyDescent="0.2"/>
    <row r="2732" ht="30" customHeight="1" x14ac:dyDescent="0.2"/>
    <row r="2733" ht="30" customHeight="1" x14ac:dyDescent="0.2"/>
    <row r="2734" ht="30" customHeight="1" x14ac:dyDescent="0.2"/>
    <row r="2735" ht="30" customHeight="1" x14ac:dyDescent="0.2"/>
    <row r="2736" ht="30" customHeight="1" x14ac:dyDescent="0.2"/>
    <row r="2737" ht="30" customHeight="1" x14ac:dyDescent="0.2"/>
    <row r="2738" ht="30" customHeight="1" x14ac:dyDescent="0.2"/>
    <row r="2739" ht="30" customHeight="1" x14ac:dyDescent="0.2"/>
  </sheetData>
  <mergeCells count="128">
    <mergeCell ref="A678:L678"/>
    <mergeCell ref="J681:L681"/>
    <mergeCell ref="C671:F671"/>
    <mergeCell ref="A654:L654"/>
    <mergeCell ref="A664:L664"/>
    <mergeCell ref="B666:L666"/>
    <mergeCell ref="C670:D670"/>
    <mergeCell ref="G670:H670"/>
    <mergeCell ref="C668:F668"/>
    <mergeCell ref="G333:H333"/>
    <mergeCell ref="B389:L389"/>
    <mergeCell ref="A391:L391"/>
    <mergeCell ref="J394:L394"/>
    <mergeCell ref="A341:L341"/>
    <mergeCell ref="J344:L344"/>
    <mergeCell ref="A368:L368"/>
    <mergeCell ref="A413:L413"/>
    <mergeCell ref="B676:L676"/>
    <mergeCell ref="G383:H383"/>
    <mergeCell ref="A540:L540"/>
    <mergeCell ref="J543:L543"/>
    <mergeCell ref="A517:L517"/>
    <mergeCell ref="A527:L527"/>
    <mergeCell ref="B529:L529"/>
    <mergeCell ref="C531:F531"/>
    <mergeCell ref="C532:D532"/>
    <mergeCell ref="F532:H532"/>
    <mergeCell ref="J633:L633"/>
    <mergeCell ref="B618:L618"/>
    <mergeCell ref="C622:D622"/>
    <mergeCell ref="G622:H622"/>
    <mergeCell ref="B628:L628"/>
    <mergeCell ref="A562:L562"/>
    <mergeCell ref="B289:L289"/>
    <mergeCell ref="A291:L291"/>
    <mergeCell ref="J294:L294"/>
    <mergeCell ref="A318:L318"/>
    <mergeCell ref="C578:D578"/>
    <mergeCell ref="D421:H421"/>
    <mergeCell ref="A423:L423"/>
    <mergeCell ref="C427:F427"/>
    <mergeCell ref="C428:D428"/>
    <mergeCell ref="F428:H428"/>
    <mergeCell ref="B434:L434"/>
    <mergeCell ref="A436:L436"/>
    <mergeCell ref="J439:L439"/>
    <mergeCell ref="A471:L471"/>
    <mergeCell ref="A481:L481"/>
    <mergeCell ref="B483:L483"/>
    <mergeCell ref="C485:F485"/>
    <mergeCell ref="C486:D486"/>
    <mergeCell ref="F486:H486"/>
    <mergeCell ref="B492:L492"/>
    <mergeCell ref="A494:L494"/>
    <mergeCell ref="J497:L497"/>
    <mergeCell ref="B425:L425"/>
    <mergeCell ref="B538:L538"/>
    <mergeCell ref="G283:H283"/>
    <mergeCell ref="C382:F382"/>
    <mergeCell ref="A328:L328"/>
    <mergeCell ref="B330:L330"/>
    <mergeCell ref="C332:F332"/>
    <mergeCell ref="B339:L339"/>
    <mergeCell ref="A378:L378"/>
    <mergeCell ref="B380:L380"/>
    <mergeCell ref="F72:H72"/>
    <mergeCell ref="A268:L268"/>
    <mergeCell ref="D276:H276"/>
    <mergeCell ref="A278:L278"/>
    <mergeCell ref="B280:L280"/>
    <mergeCell ref="C282:F282"/>
    <mergeCell ref="A80:L80"/>
    <mergeCell ref="J83:L83"/>
    <mergeCell ref="A175:L175"/>
    <mergeCell ref="C135:F135"/>
    <mergeCell ref="A144:L144"/>
    <mergeCell ref="J147:L147"/>
    <mergeCell ref="A165:L165"/>
    <mergeCell ref="B177:L177"/>
    <mergeCell ref="C179:F179"/>
    <mergeCell ref="C180:D180"/>
    <mergeCell ref="A9:L9"/>
    <mergeCell ref="D17:H17"/>
    <mergeCell ref="A19:L19"/>
    <mergeCell ref="B21:L21"/>
    <mergeCell ref="C23:F23"/>
    <mergeCell ref="C24:D24"/>
    <mergeCell ref="F24:H24"/>
    <mergeCell ref="B78:L78"/>
    <mergeCell ref="B142:L142"/>
    <mergeCell ref="A121:L121"/>
    <mergeCell ref="D129:H129"/>
    <mergeCell ref="A131:L131"/>
    <mergeCell ref="B133:L133"/>
    <mergeCell ref="B30:L30"/>
    <mergeCell ref="A32:L32"/>
    <mergeCell ref="J35:L35"/>
    <mergeCell ref="A57:L57"/>
    <mergeCell ref="A67:L67"/>
    <mergeCell ref="B69:L69"/>
    <mergeCell ref="C71:F71"/>
    <mergeCell ref="C72:D72"/>
    <mergeCell ref="C136:D136"/>
    <mergeCell ref="F136:H136"/>
    <mergeCell ref="F180:H180"/>
    <mergeCell ref="B186:L186"/>
    <mergeCell ref="A188:L188"/>
    <mergeCell ref="B232:L232"/>
    <mergeCell ref="A234:L234"/>
    <mergeCell ref="J237:L237"/>
    <mergeCell ref="J191:L191"/>
    <mergeCell ref="A211:L211"/>
    <mergeCell ref="A221:L221"/>
    <mergeCell ref="B223:L223"/>
    <mergeCell ref="C225:F225"/>
    <mergeCell ref="C226:D226"/>
    <mergeCell ref="F226:H226"/>
    <mergeCell ref="A572:L572"/>
    <mergeCell ref="B574:L574"/>
    <mergeCell ref="C576:F576"/>
    <mergeCell ref="A630:L630"/>
    <mergeCell ref="B584:L584"/>
    <mergeCell ref="A586:L586"/>
    <mergeCell ref="J589:L589"/>
    <mergeCell ref="A606:L606"/>
    <mergeCell ref="A616:L616"/>
    <mergeCell ref="C620:F620"/>
    <mergeCell ref="G578:H578"/>
  </mergeCells>
  <pageMargins left="0.5" right="0.2" top="0.75" bottom="1" header="0.5" footer="0.5"/>
  <pageSetup paperSize="5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757"/>
  <sheetViews>
    <sheetView topLeftCell="A584"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2851562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9.140625" style="4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4.25" customHeight="1" x14ac:dyDescent="0.2"/>
    <row r="2" spans="1:12" ht="12" customHeight="1" x14ac:dyDescent="0.2"/>
    <row r="3" spans="1:12" ht="13.5" customHeight="1" x14ac:dyDescent="0.25">
      <c r="A3" s="3" t="s">
        <v>22</v>
      </c>
    </row>
    <row r="4" spans="1:12" ht="15" customHeight="1" x14ac:dyDescent="0.2">
      <c r="A4" s="122" t="s">
        <v>20</v>
      </c>
    </row>
    <row r="5" spans="1:12" ht="15" customHeight="1" x14ac:dyDescent="0.2">
      <c r="A5" s="122" t="s">
        <v>21</v>
      </c>
    </row>
    <row r="6" spans="1:12" ht="27" customHeight="1" x14ac:dyDescent="0.2"/>
    <row r="7" spans="1:12" ht="22.5" customHeight="1" x14ac:dyDescent="0.2"/>
    <row r="8" spans="1:12" ht="13.5" customHeight="1" x14ac:dyDescent="0.2"/>
    <row r="9" spans="1:12" ht="30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27.7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2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" customHeight="1" x14ac:dyDescent="0.25">
      <c r="A12" s="1"/>
      <c r="B12" s="1"/>
    </row>
    <row r="13" spans="1:12" ht="15" customHeight="1" x14ac:dyDescent="0.25">
      <c r="A13" s="1" t="s">
        <v>7</v>
      </c>
      <c r="B13" s="1"/>
    </row>
    <row r="14" spans="1:12" ht="13.5" customHeight="1" x14ac:dyDescent="0.25">
      <c r="A14" s="1"/>
      <c r="B14" s="1"/>
    </row>
    <row r="15" spans="1:12" ht="15" customHeight="1" x14ac:dyDescent="0.25">
      <c r="A15" s="1" t="s">
        <v>8</v>
      </c>
      <c r="C15" s="9" t="s">
        <v>1</v>
      </c>
      <c r="D15" s="92" t="s">
        <v>77</v>
      </c>
      <c r="E15" s="76"/>
      <c r="F15" s="76"/>
      <c r="G15" s="76"/>
      <c r="H15" s="76"/>
    </row>
    <row r="16" spans="1:12" ht="13.5" customHeight="1" x14ac:dyDescent="0.25">
      <c r="A16" s="1" t="s">
        <v>9</v>
      </c>
      <c r="C16" s="9" t="s">
        <v>1</v>
      </c>
      <c r="D16" s="57" t="s">
        <v>201</v>
      </c>
      <c r="E16" s="76"/>
      <c r="F16" s="76"/>
      <c r="G16" s="76"/>
      <c r="H16" s="76"/>
    </row>
    <row r="17" spans="1:12" s="76" customFormat="1" ht="15" customHeight="1" x14ac:dyDescent="0.2">
      <c r="A17" s="50" t="s">
        <v>10</v>
      </c>
      <c r="C17" s="91" t="s">
        <v>1</v>
      </c>
      <c r="D17" s="314" t="s">
        <v>233</v>
      </c>
      <c r="E17" s="314"/>
      <c r="F17" s="314"/>
      <c r="G17" s="314"/>
      <c r="H17" s="314"/>
    </row>
    <row r="18" spans="1:12" ht="11.25" customHeight="1" x14ac:dyDescent="0.25">
      <c r="A18" s="1"/>
      <c r="B18" s="1"/>
      <c r="D18" s="1"/>
    </row>
    <row r="19" spans="1:12" ht="32.25" customHeight="1" x14ac:dyDescent="0.2">
      <c r="A19" s="277" t="s">
        <v>244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</row>
    <row r="20" spans="1:12" ht="17.25" customHeight="1" x14ac:dyDescent="0.25">
      <c r="A20" s="1"/>
      <c r="B20" s="1"/>
    </row>
    <row r="21" spans="1:12" ht="36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26.2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34.5" customHeight="1" x14ac:dyDescent="0.2">
      <c r="A23" s="50"/>
      <c r="B23" s="100">
        <v>1</v>
      </c>
      <c r="C23" s="284" t="s">
        <v>230</v>
      </c>
      <c r="D23" s="285"/>
      <c r="E23" s="285"/>
      <c r="F23" s="285"/>
      <c r="G23" s="76"/>
      <c r="H23" s="79"/>
      <c r="I23" s="56">
        <v>250000</v>
      </c>
      <c r="J23" s="76"/>
      <c r="K23" s="76"/>
      <c r="L23" s="79"/>
    </row>
    <row r="24" spans="1:12" ht="26.25" customHeight="1" x14ac:dyDescent="0.25">
      <c r="A24" s="50"/>
      <c r="B24" s="96"/>
      <c r="C24" s="321"/>
      <c r="D24" s="297"/>
      <c r="E24" s="127"/>
      <c r="F24" s="319"/>
      <c r="G24" s="297"/>
      <c r="H24" s="320"/>
      <c r="I24" s="56"/>
      <c r="J24" s="50"/>
      <c r="K24" s="1"/>
      <c r="L24" s="17"/>
    </row>
    <row r="25" spans="1:12" ht="18" customHeight="1" x14ac:dyDescent="0.2">
      <c r="B25" s="16"/>
      <c r="H25" s="17"/>
      <c r="I25" s="19"/>
      <c r="L25" s="17"/>
    </row>
    <row r="26" spans="1:12" ht="15" customHeight="1" x14ac:dyDescent="0.2">
      <c r="B26" s="20"/>
      <c r="C26" s="21"/>
      <c r="D26" s="21"/>
      <c r="E26" s="21"/>
      <c r="F26" s="21"/>
      <c r="G26" s="21"/>
      <c r="H26" s="22"/>
      <c r="I26" s="23"/>
      <c r="J26" s="21"/>
      <c r="K26" s="21"/>
      <c r="L26" s="22"/>
    </row>
    <row r="27" spans="1:12" ht="12.75" customHeight="1" x14ac:dyDescent="0.25">
      <c r="A27" s="1"/>
      <c r="B27" s="39"/>
      <c r="C27" s="1"/>
      <c r="D27" s="1"/>
      <c r="E27" s="1"/>
      <c r="F27" s="40" t="s">
        <v>5</v>
      </c>
      <c r="G27" s="40"/>
      <c r="H27" s="1"/>
      <c r="I27" s="41">
        <f>SUM(I23:I24)</f>
        <v>250000</v>
      </c>
      <c r="J27" s="1"/>
      <c r="K27" s="1"/>
      <c r="L27" s="42"/>
    </row>
    <row r="28" spans="1:12" ht="6.75" customHeight="1" thickBot="1" x14ac:dyDescent="0.3">
      <c r="A28" s="1"/>
      <c r="B28" s="43"/>
      <c r="C28" s="44"/>
      <c r="D28" s="44"/>
      <c r="E28" s="44"/>
      <c r="F28" s="45"/>
      <c r="G28" s="45"/>
      <c r="H28" s="44"/>
      <c r="I28" s="46"/>
      <c r="J28" s="44"/>
      <c r="K28" s="44"/>
      <c r="L28" s="47"/>
    </row>
    <row r="29" spans="1:12" ht="18" customHeight="1" thickTop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51.75" customHeight="1" x14ac:dyDescent="0.2">
      <c r="A30" s="10" t="s">
        <v>2</v>
      </c>
      <c r="B30" s="279" t="s">
        <v>11</v>
      </c>
      <c r="C30" s="279"/>
      <c r="D30" s="279"/>
      <c r="E30" s="279"/>
      <c r="F30" s="279"/>
      <c r="G30" s="279"/>
      <c r="H30" s="279"/>
      <c r="I30" s="279"/>
      <c r="J30" s="279"/>
      <c r="K30" s="279"/>
      <c r="L30" s="279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9.5" customHeight="1" x14ac:dyDescent="0.2">
      <c r="A32" s="280" t="s">
        <v>12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</row>
    <row r="33" spans="1:12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4" t="s">
        <v>199</v>
      </c>
      <c r="J35" s="286" t="s">
        <v>245</v>
      </c>
      <c r="K35" s="286"/>
      <c r="L35" s="286"/>
    </row>
    <row r="36" spans="1:12" ht="15" x14ac:dyDescent="0.25">
      <c r="A36" s="1"/>
      <c r="B36" s="1" t="s">
        <v>15</v>
      </c>
      <c r="C36" s="1"/>
      <c r="D36" s="1"/>
      <c r="E36" s="1"/>
      <c r="F36" s="1"/>
      <c r="G36" s="1"/>
      <c r="H36" s="4" t="s">
        <v>13</v>
      </c>
    </row>
    <row r="37" spans="1:12" ht="15" x14ac:dyDescent="0.25">
      <c r="A37" s="1"/>
      <c r="B37" s="1" t="s">
        <v>18</v>
      </c>
      <c r="C37" s="1"/>
      <c r="D37" s="1"/>
      <c r="E37" s="1"/>
      <c r="F37" s="1"/>
      <c r="G37" s="1"/>
      <c r="H37" s="4" t="s">
        <v>14</v>
      </c>
    </row>
    <row r="38" spans="1:12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75" customHeight="1" x14ac:dyDescent="0.25">
      <c r="A40" s="1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"/>
    </row>
    <row r="41" spans="1:12" ht="15" x14ac:dyDescent="0.25">
      <c r="A41" s="1"/>
      <c r="K41" s="103"/>
      <c r="L41" s="1"/>
    </row>
    <row r="42" spans="1:12" ht="15" x14ac:dyDescent="0.25">
      <c r="A42" s="1"/>
      <c r="B42" s="95" t="s">
        <v>77</v>
      </c>
      <c r="H42" s="95" t="s">
        <v>77</v>
      </c>
      <c r="I42" s="95"/>
      <c r="J42" s="92"/>
      <c r="K42" s="103"/>
      <c r="L42" s="1"/>
    </row>
    <row r="43" spans="1:12" ht="15" x14ac:dyDescent="0.25">
      <c r="A43" s="1"/>
      <c r="B43" s="99" t="s">
        <v>27</v>
      </c>
      <c r="C43" s="57"/>
      <c r="H43" s="99" t="s">
        <v>27</v>
      </c>
      <c r="K43" s="103"/>
    </row>
    <row r="44" spans="1:12" ht="12.75" x14ac:dyDescent="0.2"/>
    <row r="45" spans="1:12" ht="12.75" x14ac:dyDescent="0.2"/>
    <row r="46" spans="1:12" ht="12.75" x14ac:dyDescent="0.2"/>
    <row r="47" spans="1:12" ht="14.25" customHeight="1" x14ac:dyDescent="0.2"/>
    <row r="48" spans="1:12" ht="14.25" customHeight="1" x14ac:dyDescent="0.2"/>
    <row r="49" spans="1:12" ht="15" customHeight="1" x14ac:dyDescent="0.2"/>
    <row r="50" spans="1:12" ht="15" customHeight="1" x14ac:dyDescent="0.2"/>
    <row r="51" spans="1:12" ht="18.75" customHeight="1" x14ac:dyDescent="0.25">
      <c r="A51" s="3" t="s">
        <v>22</v>
      </c>
    </row>
    <row r="52" spans="1:12" ht="15" customHeight="1" x14ac:dyDescent="0.2">
      <c r="A52" s="122" t="s">
        <v>20</v>
      </c>
    </row>
    <row r="53" spans="1:12" ht="15" customHeight="1" x14ac:dyDescent="0.2">
      <c r="A53" s="122" t="s">
        <v>21</v>
      </c>
    </row>
    <row r="54" spans="1:12" ht="15" customHeight="1" x14ac:dyDescent="0.2"/>
    <row r="55" spans="1:12" ht="18.75" customHeight="1" x14ac:dyDescent="0.2"/>
    <row r="56" spans="1:12" ht="15" customHeight="1" x14ac:dyDescent="0.2"/>
    <row r="57" spans="1:12" ht="15" customHeight="1" x14ac:dyDescent="0.3">
      <c r="A57" s="276" t="s">
        <v>6</v>
      </c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</row>
    <row r="58" spans="1:12" ht="30.75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 ht="18.75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 ht="12.75" customHeight="1" x14ac:dyDescent="0.25">
      <c r="A60" s="1"/>
      <c r="B60" s="1"/>
    </row>
    <row r="61" spans="1:12" ht="16.5" customHeight="1" x14ac:dyDescent="0.25">
      <c r="A61" s="1" t="s">
        <v>7</v>
      </c>
      <c r="B61" s="1"/>
    </row>
    <row r="62" spans="1:12" ht="18.75" customHeight="1" x14ac:dyDescent="0.25">
      <c r="A62" s="1"/>
      <c r="B62" s="1"/>
    </row>
    <row r="63" spans="1:12" ht="14.25" customHeight="1" x14ac:dyDescent="0.25">
      <c r="A63" s="1" t="s">
        <v>8</v>
      </c>
      <c r="C63" s="9" t="s">
        <v>1</v>
      </c>
      <c r="D63" s="123" t="s">
        <v>78</v>
      </c>
      <c r="E63" s="76"/>
      <c r="F63" s="76"/>
      <c r="G63" s="76"/>
      <c r="H63" s="76"/>
    </row>
    <row r="64" spans="1:12" ht="12.75" customHeight="1" x14ac:dyDescent="0.25">
      <c r="A64" s="1" t="s">
        <v>9</v>
      </c>
      <c r="C64" s="9" t="s">
        <v>1</v>
      </c>
      <c r="D64" s="76" t="s">
        <v>234</v>
      </c>
      <c r="E64" s="76"/>
      <c r="F64" s="76"/>
      <c r="G64" s="76"/>
      <c r="H64" s="76"/>
    </row>
    <row r="65" spans="1:12" ht="20.25" customHeight="1" x14ac:dyDescent="0.2">
      <c r="A65" s="50" t="s">
        <v>10</v>
      </c>
      <c r="B65" s="76"/>
      <c r="C65" s="91" t="s">
        <v>1</v>
      </c>
      <c r="D65" s="50" t="s">
        <v>235</v>
      </c>
      <c r="E65" s="76"/>
      <c r="F65" s="76"/>
      <c r="G65" s="76"/>
      <c r="H65" s="76"/>
      <c r="I65" s="76"/>
      <c r="J65" s="76"/>
      <c r="K65" s="76"/>
      <c r="L65" s="76"/>
    </row>
    <row r="66" spans="1:12" ht="13.5" customHeight="1" x14ac:dyDescent="0.25">
      <c r="A66" s="1"/>
      <c r="B66" s="1"/>
      <c r="D66" s="1"/>
    </row>
    <row r="67" spans="1:12" ht="35.25" customHeight="1" x14ac:dyDescent="0.2">
      <c r="A67" s="277" t="s">
        <v>244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</row>
    <row r="68" spans="1:12" ht="15" customHeight="1" x14ac:dyDescent="0.25">
      <c r="A68" s="1"/>
      <c r="B68" s="1"/>
    </row>
    <row r="69" spans="1:12" ht="31.5" customHeight="1" thickBot="1" x14ac:dyDescent="0.25">
      <c r="A69" s="10" t="s">
        <v>0</v>
      </c>
      <c r="B69" s="278" t="s">
        <v>91</v>
      </c>
      <c r="C69" s="278"/>
      <c r="D69" s="278"/>
      <c r="E69" s="278"/>
      <c r="F69" s="278"/>
      <c r="G69" s="278"/>
      <c r="H69" s="278"/>
      <c r="I69" s="278"/>
      <c r="J69" s="278"/>
      <c r="K69" s="278"/>
      <c r="L69" s="278"/>
    </row>
    <row r="70" spans="1:12" ht="27" customHeight="1" thickTop="1" x14ac:dyDescent="0.25">
      <c r="A70" s="1"/>
      <c r="B70" s="11" t="s">
        <v>3</v>
      </c>
      <c r="C70" s="12" t="s">
        <v>4</v>
      </c>
      <c r="D70" s="13"/>
      <c r="E70" s="13"/>
      <c r="F70" s="13"/>
      <c r="G70" s="13"/>
      <c r="H70" s="14"/>
      <c r="I70" s="15" t="s">
        <v>5</v>
      </c>
      <c r="J70" s="12" t="s">
        <v>17</v>
      </c>
      <c r="K70" s="13"/>
      <c r="L70" s="14"/>
    </row>
    <row r="71" spans="1:12" ht="24" customHeight="1" x14ac:dyDescent="0.2">
      <c r="A71" s="50"/>
      <c r="B71" s="100">
        <v>1</v>
      </c>
      <c r="C71" s="284" t="s">
        <v>230</v>
      </c>
      <c r="D71" s="285"/>
      <c r="E71" s="285"/>
      <c r="F71" s="285"/>
      <c r="G71" s="76"/>
      <c r="H71" s="79"/>
      <c r="I71" s="56">
        <v>250000</v>
      </c>
      <c r="J71" s="76"/>
      <c r="K71" s="76"/>
      <c r="L71" s="79"/>
    </row>
    <row r="72" spans="1:12" ht="27.75" customHeight="1" x14ac:dyDescent="0.25">
      <c r="A72" s="50"/>
      <c r="B72" s="96"/>
      <c r="C72" s="321"/>
      <c r="D72" s="297"/>
      <c r="E72" s="127"/>
      <c r="F72" s="319"/>
      <c r="G72" s="297"/>
      <c r="H72" s="320"/>
      <c r="I72" s="56"/>
      <c r="J72" s="50"/>
      <c r="K72" s="1"/>
      <c r="L72" s="17"/>
    </row>
    <row r="73" spans="1:12" ht="29.25" customHeight="1" x14ac:dyDescent="0.2">
      <c r="B73" s="16"/>
      <c r="H73" s="17"/>
      <c r="I73" s="19"/>
      <c r="L73" s="17"/>
    </row>
    <row r="74" spans="1:12" ht="12.75" x14ac:dyDescent="0.2">
      <c r="B74" s="20"/>
      <c r="C74" s="21"/>
      <c r="D74" s="21"/>
      <c r="E74" s="21"/>
      <c r="F74" s="21"/>
      <c r="G74" s="21"/>
      <c r="H74" s="22"/>
      <c r="I74" s="23"/>
      <c r="J74" s="21"/>
      <c r="K74" s="21"/>
      <c r="L74" s="22"/>
    </row>
    <row r="75" spans="1:12" ht="15" x14ac:dyDescent="0.25">
      <c r="A75" s="1"/>
      <c r="B75" s="39"/>
      <c r="C75" s="1"/>
      <c r="D75" s="1"/>
      <c r="E75" s="1"/>
      <c r="F75" s="40" t="s">
        <v>5</v>
      </c>
      <c r="G75" s="40"/>
      <c r="H75" s="1"/>
      <c r="I75" s="41">
        <f>SUM(I71:I72)</f>
        <v>250000</v>
      </c>
      <c r="J75" s="1"/>
      <c r="K75" s="1"/>
      <c r="L75" s="42"/>
    </row>
    <row r="76" spans="1:12" ht="6.75" customHeight="1" thickBot="1" x14ac:dyDescent="0.3">
      <c r="A76" s="1"/>
      <c r="B76" s="43"/>
      <c r="C76" s="44"/>
      <c r="D76" s="44"/>
      <c r="E76" s="44"/>
      <c r="F76" s="45"/>
      <c r="G76" s="45"/>
      <c r="H76" s="44"/>
      <c r="I76" s="46"/>
      <c r="J76" s="44"/>
      <c r="K76" s="44"/>
      <c r="L76" s="47"/>
    </row>
    <row r="77" spans="1:12" ht="15.75" thickTop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46.5" customHeight="1" x14ac:dyDescent="0.2">
      <c r="A78" s="10" t="s">
        <v>2</v>
      </c>
      <c r="B78" s="279" t="s">
        <v>11</v>
      </c>
      <c r="C78" s="279"/>
      <c r="D78" s="279"/>
      <c r="E78" s="279"/>
      <c r="F78" s="279"/>
      <c r="G78" s="279"/>
      <c r="H78" s="279"/>
      <c r="I78" s="279"/>
      <c r="J78" s="279"/>
      <c r="K78" s="279"/>
      <c r="L78" s="279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">
      <c r="A80" s="280" t="s">
        <v>12</v>
      </c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</row>
    <row r="81" spans="1:12" ht="1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customHeight="1" x14ac:dyDescent="0.25">
      <c r="A83" s="1"/>
      <c r="B83" s="1"/>
      <c r="C83" s="1"/>
      <c r="D83" s="1"/>
      <c r="E83" s="1"/>
      <c r="F83" s="1"/>
      <c r="G83" s="1"/>
      <c r="H83" s="4" t="s">
        <v>199</v>
      </c>
      <c r="J83" s="286" t="s">
        <v>245</v>
      </c>
      <c r="K83" s="286"/>
      <c r="L83" s="286"/>
    </row>
    <row r="84" spans="1:12" ht="15" x14ac:dyDescent="0.25">
      <c r="A84" s="1"/>
      <c r="B84" s="1" t="s">
        <v>15</v>
      </c>
      <c r="C84" s="1"/>
      <c r="D84" s="1"/>
      <c r="E84" s="1"/>
      <c r="F84" s="1"/>
      <c r="G84" s="1"/>
      <c r="H84" s="4" t="s">
        <v>13</v>
      </c>
    </row>
    <row r="85" spans="1:12" ht="15" customHeight="1" x14ac:dyDescent="0.25">
      <c r="A85" s="1"/>
      <c r="B85" s="1" t="s">
        <v>18</v>
      </c>
      <c r="C85" s="1"/>
      <c r="D85" s="1"/>
      <c r="E85" s="1"/>
      <c r="F85" s="1"/>
      <c r="G85" s="1"/>
      <c r="H85" s="4" t="s">
        <v>14</v>
      </c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21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"/>
    </row>
    <row r="89" spans="1:12" ht="15" x14ac:dyDescent="0.25">
      <c r="A89" s="1"/>
      <c r="K89" s="103"/>
      <c r="L89" s="1"/>
    </row>
    <row r="90" spans="1:12" ht="15" x14ac:dyDescent="0.25">
      <c r="A90" s="1"/>
      <c r="B90" s="95" t="s">
        <v>77</v>
      </c>
      <c r="H90" s="95" t="s">
        <v>78</v>
      </c>
      <c r="I90" s="95"/>
      <c r="J90" s="92"/>
      <c r="K90" s="103"/>
      <c r="L90" s="1"/>
    </row>
    <row r="91" spans="1:12" ht="15" x14ac:dyDescent="0.25">
      <c r="A91" s="1"/>
      <c r="B91" s="99" t="s">
        <v>27</v>
      </c>
      <c r="C91" s="57"/>
      <c r="H91" s="99" t="s">
        <v>79</v>
      </c>
      <c r="K91" s="103"/>
    </row>
    <row r="92" spans="1:12" ht="12.75" x14ac:dyDescent="0.2"/>
    <row r="93" spans="1:12" ht="12.75" x14ac:dyDescent="0.2"/>
    <row r="94" spans="1:12" ht="12.75" x14ac:dyDescent="0.2"/>
    <row r="95" spans="1:12" ht="12.75" x14ac:dyDescent="0.2"/>
    <row r="96" spans="1:12" ht="12.75" x14ac:dyDescent="0.2"/>
    <row r="97" spans="1:12" ht="18" customHeight="1" x14ac:dyDescent="0.2"/>
    <row r="98" spans="1:12" ht="23.25" customHeight="1" x14ac:dyDescent="0.2"/>
    <row r="99" spans="1:12" ht="18.75" customHeight="1" x14ac:dyDescent="0.25">
      <c r="A99" s="3" t="s">
        <v>22</v>
      </c>
    </row>
    <row r="100" spans="1:12" ht="14.25" customHeight="1" x14ac:dyDescent="0.2">
      <c r="A100" s="122" t="s">
        <v>20</v>
      </c>
    </row>
    <row r="101" spans="1:12" ht="21" customHeight="1" x14ac:dyDescent="0.2">
      <c r="A101" s="122" t="s">
        <v>21</v>
      </c>
    </row>
    <row r="102" spans="1:12" ht="15" customHeight="1" x14ac:dyDescent="0.2"/>
    <row r="103" spans="1:12" ht="18.75" customHeight="1" x14ac:dyDescent="0.2"/>
    <row r="104" spans="1:12" ht="14.25" customHeight="1" x14ac:dyDescent="0.2"/>
    <row r="105" spans="1:12" ht="18.75" x14ac:dyDescent="0.3">
      <c r="A105" s="276" t="s">
        <v>6</v>
      </c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</row>
    <row r="106" spans="1:12" ht="17.25" customHeight="1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</row>
    <row r="107" spans="1:12" ht="28.5" customHeight="1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</row>
    <row r="108" spans="1:12" ht="13.5" customHeight="1" x14ac:dyDescent="0.25">
      <c r="A108" s="1"/>
      <c r="B108" s="1"/>
    </row>
    <row r="109" spans="1:12" ht="23.25" customHeight="1" x14ac:dyDescent="0.25">
      <c r="A109" s="1" t="s">
        <v>7</v>
      </c>
      <c r="B109" s="1"/>
    </row>
    <row r="110" spans="1:12" ht="19.5" customHeight="1" x14ac:dyDescent="0.25">
      <c r="A110" s="1"/>
      <c r="B110" s="1"/>
    </row>
    <row r="111" spans="1:12" ht="14.25" customHeight="1" x14ac:dyDescent="0.25">
      <c r="A111" s="1" t="s">
        <v>8</v>
      </c>
      <c r="C111" s="9" t="s">
        <v>1</v>
      </c>
      <c r="D111" s="67" t="s">
        <v>120</v>
      </c>
      <c r="E111" s="76"/>
      <c r="F111" s="76"/>
      <c r="G111" s="76"/>
      <c r="H111" s="76"/>
    </row>
    <row r="112" spans="1:12" ht="13.5" customHeight="1" x14ac:dyDescent="0.25">
      <c r="A112" s="1" t="s">
        <v>9</v>
      </c>
      <c r="C112" s="9" t="s">
        <v>1</v>
      </c>
      <c r="D112" s="68" t="s">
        <v>202</v>
      </c>
      <c r="E112" s="76"/>
      <c r="F112" s="76"/>
      <c r="G112" s="76"/>
      <c r="H112" s="76"/>
    </row>
    <row r="113" spans="1:12" ht="15.75" customHeight="1" x14ac:dyDescent="0.2">
      <c r="A113" s="50" t="s">
        <v>10</v>
      </c>
      <c r="B113" s="76"/>
      <c r="C113" s="91" t="s">
        <v>1</v>
      </c>
      <c r="D113" s="50" t="s">
        <v>81</v>
      </c>
      <c r="E113" s="76"/>
      <c r="F113" s="76"/>
      <c r="G113" s="76"/>
      <c r="H113" s="76"/>
      <c r="I113" s="76"/>
      <c r="J113" s="76"/>
      <c r="K113" s="76"/>
      <c r="L113" s="76"/>
    </row>
    <row r="114" spans="1:12" ht="18.75" customHeight="1" x14ac:dyDescent="0.25">
      <c r="A114" s="1"/>
      <c r="B114" s="1"/>
      <c r="D114" s="1"/>
    </row>
    <row r="115" spans="1:12" ht="47.25" customHeight="1" x14ac:dyDescent="0.2">
      <c r="A115" s="277" t="s">
        <v>244</v>
      </c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</row>
    <row r="116" spans="1:12" ht="17.25" customHeight="1" x14ac:dyDescent="0.25">
      <c r="A116" s="1"/>
      <c r="B116" s="1"/>
    </row>
    <row r="117" spans="1:12" ht="31.5" customHeight="1" thickBot="1" x14ac:dyDescent="0.25">
      <c r="A117" s="10" t="s">
        <v>0</v>
      </c>
      <c r="B117" s="278" t="s">
        <v>91</v>
      </c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</row>
    <row r="118" spans="1:12" ht="26.25" customHeight="1" thickTop="1" x14ac:dyDescent="0.25">
      <c r="A118" s="1"/>
      <c r="B118" s="11" t="s">
        <v>3</v>
      </c>
      <c r="C118" s="12" t="s">
        <v>4</v>
      </c>
      <c r="D118" s="13"/>
      <c r="E118" s="13"/>
      <c r="F118" s="13"/>
      <c r="G118" s="13"/>
      <c r="H118" s="14"/>
      <c r="I118" s="15" t="s">
        <v>5</v>
      </c>
      <c r="J118" s="12" t="s">
        <v>17</v>
      </c>
      <c r="K118" s="13"/>
      <c r="L118" s="14"/>
    </row>
    <row r="119" spans="1:12" ht="25.5" customHeight="1" x14ac:dyDescent="0.2">
      <c r="A119" s="50"/>
      <c r="B119" s="100">
        <v>1</v>
      </c>
      <c r="C119" s="284" t="s">
        <v>230</v>
      </c>
      <c r="D119" s="285"/>
      <c r="E119" s="285"/>
      <c r="F119" s="285"/>
      <c r="G119" s="76"/>
      <c r="H119" s="79"/>
      <c r="I119" s="56">
        <v>250000</v>
      </c>
      <c r="J119" s="76"/>
      <c r="K119" s="76"/>
      <c r="L119" s="79"/>
    </row>
    <row r="120" spans="1:12" ht="22.5" customHeight="1" x14ac:dyDescent="0.25">
      <c r="A120" s="50"/>
      <c r="B120" s="96"/>
      <c r="C120" s="321"/>
      <c r="D120" s="297"/>
      <c r="E120" s="127"/>
      <c r="F120" s="319"/>
      <c r="G120" s="297"/>
      <c r="H120" s="320"/>
      <c r="I120" s="56"/>
      <c r="J120" s="50"/>
      <c r="K120" s="1"/>
      <c r="L120" s="17"/>
    </row>
    <row r="121" spans="1:12" ht="12.75" customHeight="1" x14ac:dyDescent="0.2">
      <c r="B121" s="16"/>
      <c r="H121" s="17"/>
      <c r="I121" s="19"/>
      <c r="L121" s="17"/>
    </row>
    <row r="122" spans="1:12" ht="36" customHeight="1" x14ac:dyDescent="0.2">
      <c r="B122" s="20"/>
      <c r="C122" s="21"/>
      <c r="D122" s="21"/>
      <c r="E122" s="21"/>
      <c r="F122" s="21"/>
      <c r="G122" s="21"/>
      <c r="H122" s="22"/>
      <c r="I122" s="23"/>
      <c r="J122" s="21"/>
      <c r="K122" s="21"/>
      <c r="L122" s="22"/>
    </row>
    <row r="123" spans="1:12" ht="21" customHeight="1" x14ac:dyDescent="0.25">
      <c r="A123" s="1"/>
      <c r="B123" s="39"/>
      <c r="C123" s="1"/>
      <c r="D123" s="1"/>
      <c r="E123" s="1"/>
      <c r="F123" s="40" t="s">
        <v>5</v>
      </c>
      <c r="G123" s="40"/>
      <c r="H123" s="1"/>
      <c r="I123" s="41">
        <f>SUM(I119:I120)</f>
        <v>250000</v>
      </c>
      <c r="J123" s="1"/>
      <c r="K123" s="1"/>
      <c r="L123" s="42"/>
    </row>
    <row r="124" spans="1:12" ht="15.75" customHeight="1" thickBot="1" x14ac:dyDescent="0.3">
      <c r="A124" s="1"/>
      <c r="B124" s="43"/>
      <c r="C124" s="44"/>
      <c r="D124" s="44"/>
      <c r="E124" s="44"/>
      <c r="F124" s="45"/>
      <c r="G124" s="45"/>
      <c r="H124" s="44"/>
      <c r="I124" s="46"/>
      <c r="J124" s="44"/>
      <c r="K124" s="44"/>
      <c r="L124" s="47"/>
    </row>
    <row r="125" spans="1:12" ht="15" customHeight="1" thickTop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47.25" customHeight="1" x14ac:dyDescent="0.2">
      <c r="A126" s="10" t="s">
        <v>2</v>
      </c>
      <c r="B126" s="279" t="s">
        <v>11</v>
      </c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</row>
    <row r="127" spans="1:12" ht="1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customHeight="1" x14ac:dyDescent="0.2">
      <c r="A128" s="280" t="s">
        <v>12</v>
      </c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</row>
    <row r="129" spans="1:12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 customHeight="1" x14ac:dyDescent="0.25">
      <c r="A131" s="1"/>
      <c r="B131" s="1"/>
      <c r="C131" s="1"/>
      <c r="D131" s="1"/>
      <c r="E131" s="1"/>
      <c r="F131" s="1"/>
      <c r="G131" s="1"/>
      <c r="H131" s="4" t="s">
        <v>199</v>
      </c>
      <c r="J131" s="286" t="s">
        <v>245</v>
      </c>
      <c r="K131" s="286"/>
      <c r="L131" s="286"/>
    </row>
    <row r="132" spans="1:12" ht="15" x14ac:dyDescent="0.25">
      <c r="A132" s="1"/>
      <c r="B132" s="1" t="s">
        <v>15</v>
      </c>
      <c r="C132" s="1"/>
      <c r="D132" s="1"/>
      <c r="E132" s="1"/>
      <c r="F132" s="1"/>
      <c r="G132" s="1"/>
      <c r="H132" s="4" t="s">
        <v>13</v>
      </c>
    </row>
    <row r="133" spans="1:12" ht="15" x14ac:dyDescent="0.25">
      <c r="A133" s="1"/>
      <c r="B133" s="1" t="s">
        <v>18</v>
      </c>
      <c r="C133" s="1"/>
      <c r="D133" s="1"/>
      <c r="E133" s="1"/>
      <c r="F133" s="1"/>
      <c r="G133" s="1"/>
      <c r="H133" s="4" t="s">
        <v>14</v>
      </c>
    </row>
    <row r="134" spans="1:12" ht="24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" x14ac:dyDescent="0.25">
      <c r="A136" s="1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"/>
    </row>
    <row r="137" spans="1:12" ht="15" customHeight="1" x14ac:dyDescent="0.25">
      <c r="A137" s="1"/>
      <c r="K137" s="103"/>
      <c r="L137" s="1"/>
    </row>
    <row r="138" spans="1:12" ht="15" x14ac:dyDescent="0.25">
      <c r="A138" s="1"/>
      <c r="B138" s="95" t="s">
        <v>77</v>
      </c>
      <c r="H138" s="117" t="s">
        <v>120</v>
      </c>
      <c r="I138" s="95"/>
      <c r="J138" s="92"/>
      <c r="K138" s="103"/>
      <c r="L138" s="1"/>
    </row>
    <row r="139" spans="1:12" ht="15" x14ac:dyDescent="0.25">
      <c r="A139" s="1"/>
      <c r="B139" s="99" t="s">
        <v>27</v>
      </c>
      <c r="C139" s="57"/>
      <c r="H139" s="76" t="s">
        <v>108</v>
      </c>
      <c r="K139" s="103"/>
    </row>
    <row r="140" spans="1:12" ht="12.75" x14ac:dyDescent="0.2"/>
    <row r="141" spans="1:12" ht="14.25" customHeight="1" x14ac:dyDescent="0.2"/>
    <row r="142" spans="1:12" ht="17.25" customHeight="1" x14ac:dyDescent="0.2"/>
    <row r="143" spans="1:12" ht="16.5" customHeight="1" x14ac:dyDescent="0.2"/>
    <row r="144" spans="1:12" ht="21" customHeight="1" x14ac:dyDescent="0.2"/>
    <row r="145" spans="1:12" ht="15.75" customHeight="1" x14ac:dyDescent="0.25">
      <c r="A145" s="3" t="s">
        <v>22</v>
      </c>
    </row>
    <row r="146" spans="1:12" ht="20.25" customHeight="1" x14ac:dyDescent="0.2">
      <c r="A146" s="122" t="s">
        <v>20</v>
      </c>
    </row>
    <row r="147" spans="1:12" ht="18.75" customHeight="1" x14ac:dyDescent="0.2">
      <c r="A147" s="122" t="s">
        <v>21</v>
      </c>
    </row>
    <row r="148" spans="1:12" s="76" customFormat="1" ht="23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7.25" customHeight="1" x14ac:dyDescent="0.2"/>
    <row r="150" spans="1:12" ht="12.75" x14ac:dyDescent="0.2"/>
    <row r="151" spans="1:12" ht="18.75" x14ac:dyDescent="0.3">
      <c r="A151" s="276" t="s">
        <v>6</v>
      </c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6"/>
    </row>
    <row r="152" spans="1:12" ht="18.75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</row>
    <row r="153" spans="1:12" ht="18.75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</row>
    <row r="154" spans="1:12" ht="15" x14ac:dyDescent="0.25">
      <c r="A154" s="1"/>
      <c r="B154" s="1"/>
    </row>
    <row r="155" spans="1:12" ht="16.5" customHeight="1" x14ac:dyDescent="0.25">
      <c r="A155" s="1" t="s">
        <v>7</v>
      </c>
      <c r="B155" s="1"/>
    </row>
    <row r="156" spans="1:12" ht="15.75" customHeight="1" x14ac:dyDescent="0.25">
      <c r="A156" s="1"/>
      <c r="B156" s="1"/>
    </row>
    <row r="157" spans="1:12" ht="18.75" customHeight="1" x14ac:dyDescent="0.25">
      <c r="A157" s="1" t="s">
        <v>8</v>
      </c>
      <c r="C157" s="9" t="s">
        <v>1</v>
      </c>
      <c r="D157" s="92" t="s">
        <v>77</v>
      </c>
      <c r="E157" s="76"/>
      <c r="F157" s="76"/>
      <c r="G157" s="76"/>
      <c r="H157" s="76"/>
    </row>
    <row r="158" spans="1:12" ht="14.25" customHeight="1" x14ac:dyDescent="0.25">
      <c r="A158" s="1" t="s">
        <v>9</v>
      </c>
      <c r="C158" s="9" t="s">
        <v>1</v>
      </c>
      <c r="D158" s="57" t="s">
        <v>201</v>
      </c>
      <c r="E158" s="76"/>
      <c r="F158" s="76"/>
      <c r="G158" s="76"/>
      <c r="H158" s="76"/>
    </row>
    <row r="159" spans="1:12" ht="16.5" customHeight="1" x14ac:dyDescent="0.2">
      <c r="A159" s="50" t="s">
        <v>10</v>
      </c>
      <c r="B159" s="76"/>
      <c r="C159" s="91" t="s">
        <v>1</v>
      </c>
      <c r="D159" s="314" t="s">
        <v>233</v>
      </c>
      <c r="E159" s="314"/>
      <c r="F159" s="314"/>
      <c r="G159" s="314"/>
      <c r="H159" s="314"/>
      <c r="I159" s="76"/>
      <c r="J159" s="76"/>
      <c r="K159" s="76"/>
      <c r="L159" s="76"/>
    </row>
    <row r="160" spans="1:12" ht="21" customHeight="1" x14ac:dyDescent="0.25">
      <c r="A160" s="1"/>
      <c r="B160" s="1"/>
      <c r="D160" s="1"/>
    </row>
    <row r="161" spans="1:12" ht="31.5" customHeight="1" x14ac:dyDescent="0.2">
      <c r="A161" s="277" t="s">
        <v>246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</row>
    <row r="162" spans="1:12" ht="15.75" customHeight="1" x14ac:dyDescent="0.25">
      <c r="A162" s="1"/>
      <c r="B162" s="1"/>
    </row>
    <row r="163" spans="1:12" ht="33.75" customHeight="1" thickBot="1" x14ac:dyDescent="0.25">
      <c r="A163" s="10" t="s">
        <v>0</v>
      </c>
      <c r="B163" s="278" t="s">
        <v>91</v>
      </c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</row>
    <row r="164" spans="1:12" ht="17.25" customHeight="1" thickTop="1" x14ac:dyDescent="0.25">
      <c r="A164" s="1"/>
      <c r="B164" s="11" t="s">
        <v>3</v>
      </c>
      <c r="C164" s="12" t="s">
        <v>4</v>
      </c>
      <c r="D164" s="13"/>
      <c r="E164" s="13"/>
      <c r="F164" s="13"/>
      <c r="G164" s="13"/>
      <c r="H164" s="14"/>
      <c r="I164" s="15" t="s">
        <v>5</v>
      </c>
      <c r="J164" s="12" t="s">
        <v>17</v>
      </c>
      <c r="K164" s="13"/>
      <c r="L164" s="14"/>
    </row>
    <row r="165" spans="1:12" ht="30" customHeight="1" x14ac:dyDescent="0.2">
      <c r="A165" s="50"/>
      <c r="B165" s="100">
        <v>1</v>
      </c>
      <c r="C165" s="284" t="s">
        <v>230</v>
      </c>
      <c r="D165" s="285"/>
      <c r="E165" s="285"/>
      <c r="F165" s="285"/>
      <c r="G165" s="76"/>
      <c r="H165" s="79"/>
      <c r="I165" s="56">
        <v>250000</v>
      </c>
      <c r="J165" s="76"/>
      <c r="K165" s="76"/>
      <c r="L165" s="79"/>
    </row>
    <row r="166" spans="1:12" ht="26.25" customHeight="1" x14ac:dyDescent="0.25">
      <c r="A166" s="50"/>
      <c r="B166" s="96"/>
      <c r="C166" s="321"/>
      <c r="D166" s="297"/>
      <c r="E166" s="127"/>
      <c r="F166" s="319"/>
      <c r="G166" s="297"/>
      <c r="H166" s="320"/>
      <c r="I166" s="56"/>
      <c r="J166" s="50"/>
      <c r="K166" s="1"/>
      <c r="L166" s="17"/>
    </row>
    <row r="167" spans="1:12" ht="22.5" customHeight="1" x14ac:dyDescent="0.2">
      <c r="B167" s="16"/>
      <c r="H167" s="17"/>
      <c r="I167" s="19"/>
      <c r="L167" s="17"/>
    </row>
    <row r="168" spans="1:12" ht="14.25" customHeight="1" x14ac:dyDescent="0.2">
      <c r="B168" s="20"/>
      <c r="C168" s="21"/>
      <c r="D168" s="21"/>
      <c r="E168" s="21"/>
      <c r="F168" s="21"/>
      <c r="G168" s="21"/>
      <c r="H168" s="22"/>
      <c r="I168" s="23"/>
      <c r="J168" s="21"/>
      <c r="K168" s="21"/>
      <c r="L168" s="22"/>
    </row>
    <row r="169" spans="1:12" ht="13.5" customHeight="1" x14ac:dyDescent="0.25">
      <c r="A169" s="1"/>
      <c r="B169" s="39"/>
      <c r="C169" s="1"/>
      <c r="D169" s="1"/>
      <c r="E169" s="1"/>
      <c r="F169" s="40" t="s">
        <v>5</v>
      </c>
      <c r="G169" s="40"/>
      <c r="H169" s="1"/>
      <c r="I169" s="41">
        <f>SUM(I165:I166)</f>
        <v>250000</v>
      </c>
      <c r="J169" s="1"/>
      <c r="K169" s="1"/>
      <c r="L169" s="42"/>
    </row>
    <row r="170" spans="1:12" ht="12" customHeight="1" thickBot="1" x14ac:dyDescent="0.3">
      <c r="A170" s="1"/>
      <c r="B170" s="43"/>
      <c r="C170" s="44"/>
      <c r="D170" s="44"/>
      <c r="E170" s="44"/>
      <c r="F170" s="45"/>
      <c r="G170" s="45"/>
      <c r="H170" s="44"/>
      <c r="I170" s="46"/>
      <c r="J170" s="44"/>
      <c r="K170" s="44"/>
      <c r="L170" s="47"/>
    </row>
    <row r="171" spans="1:12" ht="19.5" customHeight="1" thickTop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47.25" customHeight="1" x14ac:dyDescent="0.2">
      <c r="A172" s="10" t="s">
        <v>2</v>
      </c>
      <c r="B172" s="279" t="s">
        <v>11</v>
      </c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</row>
    <row r="173" spans="1:12" ht="16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s="76" customFormat="1" ht="15" x14ac:dyDescent="0.2">
      <c r="A174" s="280" t="s">
        <v>12</v>
      </c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</row>
    <row r="175" spans="1:12" ht="18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" x14ac:dyDescent="0.25">
      <c r="A177" s="1"/>
      <c r="B177" s="1"/>
      <c r="C177" s="1"/>
      <c r="D177" s="1"/>
      <c r="E177" s="1"/>
      <c r="F177" s="1"/>
      <c r="G177" s="1"/>
      <c r="H177" s="4" t="s">
        <v>199</v>
      </c>
      <c r="J177" s="286" t="s">
        <v>245</v>
      </c>
      <c r="K177" s="286"/>
      <c r="L177" s="286"/>
    </row>
    <row r="178" spans="1:12" ht="15" x14ac:dyDescent="0.25">
      <c r="A178" s="1"/>
      <c r="B178" s="1" t="s">
        <v>15</v>
      </c>
      <c r="C178" s="1"/>
      <c r="D178" s="1"/>
      <c r="E178" s="1"/>
      <c r="F178" s="1"/>
      <c r="G178" s="1"/>
      <c r="H178" s="4" t="s">
        <v>13</v>
      </c>
    </row>
    <row r="179" spans="1:12" ht="15" customHeight="1" x14ac:dyDescent="0.25">
      <c r="A179" s="1"/>
      <c r="B179" s="1" t="s">
        <v>18</v>
      </c>
      <c r="C179" s="1"/>
      <c r="D179" s="1"/>
      <c r="E179" s="1"/>
      <c r="F179" s="1"/>
      <c r="G179" s="1"/>
      <c r="H179" s="4" t="s">
        <v>14</v>
      </c>
    </row>
    <row r="180" spans="1:12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" x14ac:dyDescent="0.25">
      <c r="A182" s="1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"/>
    </row>
    <row r="183" spans="1:12" ht="15" customHeight="1" x14ac:dyDescent="0.25">
      <c r="A183" s="1"/>
      <c r="K183" s="103"/>
      <c r="L183" s="1"/>
    </row>
    <row r="184" spans="1:12" ht="15" x14ac:dyDescent="0.25">
      <c r="A184" s="1"/>
      <c r="B184" s="95" t="s">
        <v>77</v>
      </c>
      <c r="H184" s="95" t="s">
        <v>77</v>
      </c>
      <c r="I184" s="95"/>
      <c r="J184" s="92"/>
      <c r="K184" s="103"/>
      <c r="L184" s="1"/>
    </row>
    <row r="185" spans="1:12" ht="15" x14ac:dyDescent="0.25">
      <c r="A185" s="1"/>
      <c r="B185" s="99" t="s">
        <v>27</v>
      </c>
      <c r="C185" s="57"/>
      <c r="H185" s="99" t="s">
        <v>27</v>
      </c>
      <c r="K185" s="103"/>
    </row>
    <row r="186" spans="1:12" ht="12.75" x14ac:dyDescent="0.2"/>
    <row r="187" spans="1:12" ht="16.5" customHeight="1" x14ac:dyDescent="0.2"/>
    <row r="188" spans="1:12" ht="15.75" customHeight="1" x14ac:dyDescent="0.2"/>
    <row r="189" spans="1:12" ht="14.25" customHeight="1" x14ac:dyDescent="0.2"/>
    <row r="190" spans="1:12" ht="12.75" x14ac:dyDescent="0.2"/>
    <row r="191" spans="1:12" ht="18.75" customHeight="1" x14ac:dyDescent="0.25">
      <c r="A191" s="3" t="s">
        <v>22</v>
      </c>
    </row>
    <row r="192" spans="1:12" ht="19.5" customHeight="1" x14ac:dyDescent="0.2">
      <c r="A192" s="122" t="s">
        <v>20</v>
      </c>
    </row>
    <row r="193" spans="1:12" ht="15.75" customHeight="1" x14ac:dyDescent="0.2">
      <c r="A193" s="122" t="s">
        <v>21</v>
      </c>
    </row>
    <row r="194" spans="1:12" ht="20.25" customHeight="1" x14ac:dyDescent="0.2"/>
    <row r="195" spans="1:12" ht="17.25" customHeight="1" x14ac:dyDescent="0.2"/>
    <row r="196" spans="1:12" ht="18" customHeight="1" x14ac:dyDescent="0.2"/>
    <row r="197" spans="1:12" ht="22.5" customHeight="1" x14ac:dyDescent="0.3">
      <c r="A197" s="276" t="s">
        <v>6</v>
      </c>
      <c r="B197" s="276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</row>
    <row r="198" spans="1:12" ht="14.25" customHeigh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</row>
    <row r="199" spans="1:12" ht="18.75" customHeigh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</row>
    <row r="200" spans="1:12" ht="15" x14ac:dyDescent="0.25">
      <c r="A200" s="1"/>
      <c r="B200" s="1"/>
    </row>
    <row r="201" spans="1:12" s="76" customFormat="1" ht="17.25" customHeight="1" x14ac:dyDescent="0.25">
      <c r="A201" s="1" t="s">
        <v>7</v>
      </c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7.25" customHeight="1" x14ac:dyDescent="0.25">
      <c r="A202" s="1"/>
      <c r="B202" s="1"/>
    </row>
    <row r="203" spans="1:12" ht="17.25" customHeight="1" x14ac:dyDescent="0.25">
      <c r="A203" s="1" t="s">
        <v>8</v>
      </c>
      <c r="C203" s="9" t="s">
        <v>1</v>
      </c>
      <c r="D203" s="123" t="s">
        <v>78</v>
      </c>
      <c r="E203" s="76"/>
      <c r="F203" s="76"/>
      <c r="G203" s="76"/>
      <c r="H203" s="76"/>
    </row>
    <row r="204" spans="1:12" ht="18" customHeight="1" x14ac:dyDescent="0.25">
      <c r="A204" s="1" t="s">
        <v>9</v>
      </c>
      <c r="C204" s="9" t="s">
        <v>1</v>
      </c>
      <c r="D204" s="76" t="s">
        <v>234</v>
      </c>
      <c r="E204" s="76"/>
      <c r="F204" s="76"/>
      <c r="G204" s="76"/>
      <c r="H204" s="76"/>
    </row>
    <row r="205" spans="1:12" ht="17.25" customHeight="1" x14ac:dyDescent="0.2">
      <c r="A205" s="50" t="s">
        <v>10</v>
      </c>
      <c r="B205" s="76"/>
      <c r="C205" s="91" t="s">
        <v>1</v>
      </c>
      <c r="D205" s="50" t="s">
        <v>235</v>
      </c>
      <c r="E205" s="76"/>
      <c r="F205" s="76"/>
      <c r="G205" s="76"/>
      <c r="H205" s="76"/>
      <c r="I205" s="76"/>
      <c r="J205" s="76"/>
      <c r="K205" s="76"/>
      <c r="L205" s="76"/>
    </row>
    <row r="206" spans="1:12" ht="17.25" customHeight="1" x14ac:dyDescent="0.25">
      <c r="A206" s="1"/>
      <c r="B206" s="1"/>
      <c r="D206" s="1"/>
    </row>
    <row r="207" spans="1:12" ht="33" customHeight="1" x14ac:dyDescent="0.2">
      <c r="A207" s="277" t="s">
        <v>246</v>
      </c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</row>
    <row r="208" spans="1:12" ht="15" x14ac:dyDescent="0.25">
      <c r="A208" s="1"/>
      <c r="B208" s="1"/>
    </row>
    <row r="209" spans="1:12" ht="38.25" customHeight="1" thickBot="1" x14ac:dyDescent="0.25">
      <c r="A209" s="10" t="s">
        <v>0</v>
      </c>
      <c r="B209" s="278" t="s">
        <v>91</v>
      </c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</row>
    <row r="210" spans="1:12" ht="14.25" customHeight="1" thickTop="1" x14ac:dyDescent="0.25">
      <c r="A210" s="1"/>
      <c r="B210" s="11" t="s">
        <v>3</v>
      </c>
      <c r="C210" s="12" t="s">
        <v>4</v>
      </c>
      <c r="D210" s="13"/>
      <c r="E210" s="13"/>
      <c r="F210" s="13"/>
      <c r="G210" s="13"/>
      <c r="H210" s="14"/>
      <c r="I210" s="15" t="s">
        <v>5</v>
      </c>
      <c r="J210" s="12" t="s">
        <v>17</v>
      </c>
      <c r="K210" s="13"/>
      <c r="L210" s="14"/>
    </row>
    <row r="211" spans="1:12" ht="26.25" customHeight="1" x14ac:dyDescent="0.2">
      <c r="A211" s="50"/>
      <c r="B211" s="100">
        <v>1</v>
      </c>
      <c r="C211" s="284" t="s">
        <v>230</v>
      </c>
      <c r="D211" s="285"/>
      <c r="E211" s="285"/>
      <c r="F211" s="285"/>
      <c r="G211" s="76"/>
      <c r="H211" s="79"/>
      <c r="I211" s="56">
        <v>250000</v>
      </c>
      <c r="J211" s="76"/>
      <c r="K211" s="76"/>
      <c r="L211" s="79"/>
    </row>
    <row r="212" spans="1:12" ht="18" customHeight="1" x14ac:dyDescent="0.25">
      <c r="A212" s="50"/>
      <c r="B212" s="96"/>
      <c r="C212" s="321"/>
      <c r="D212" s="297"/>
      <c r="E212" s="127"/>
      <c r="F212" s="319"/>
      <c r="G212" s="297"/>
      <c r="H212" s="320"/>
      <c r="I212" s="56"/>
      <c r="J212" s="50"/>
      <c r="K212" s="1"/>
      <c r="L212" s="17"/>
    </row>
    <row r="213" spans="1:12" ht="39.75" customHeight="1" x14ac:dyDescent="0.2">
      <c r="B213" s="16"/>
      <c r="H213" s="17"/>
      <c r="I213" s="19"/>
      <c r="L213" s="17"/>
    </row>
    <row r="214" spans="1:12" ht="33" customHeight="1" x14ac:dyDescent="0.2">
      <c r="B214" s="20"/>
      <c r="C214" s="21"/>
      <c r="D214" s="21"/>
      <c r="E214" s="21"/>
      <c r="F214" s="21"/>
      <c r="G214" s="21"/>
      <c r="H214" s="22"/>
      <c r="I214" s="23"/>
      <c r="J214" s="21"/>
      <c r="K214" s="21"/>
      <c r="L214" s="22"/>
    </row>
    <row r="215" spans="1:12" ht="18.75" customHeight="1" x14ac:dyDescent="0.25">
      <c r="A215" s="1"/>
      <c r="B215" s="39"/>
      <c r="C215" s="1"/>
      <c r="D215" s="1"/>
      <c r="E215" s="1"/>
      <c r="F215" s="40" t="s">
        <v>5</v>
      </c>
      <c r="G215" s="40"/>
      <c r="H215" s="1"/>
      <c r="I215" s="41">
        <f>SUM(I211:I212)</f>
        <v>250000</v>
      </c>
      <c r="J215" s="1"/>
      <c r="K215" s="1"/>
      <c r="L215" s="42"/>
    </row>
    <row r="216" spans="1:12" ht="9.75" customHeight="1" thickBot="1" x14ac:dyDescent="0.3">
      <c r="A216" s="1"/>
      <c r="B216" s="43"/>
      <c r="C216" s="44"/>
      <c r="D216" s="44"/>
      <c r="E216" s="44"/>
      <c r="F216" s="45"/>
      <c r="G216" s="45"/>
      <c r="H216" s="44"/>
      <c r="I216" s="46"/>
      <c r="J216" s="44"/>
      <c r="K216" s="44"/>
      <c r="L216" s="47"/>
    </row>
    <row r="217" spans="1:12" ht="15.75" customHeight="1" thickTop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47.25" customHeight="1" x14ac:dyDescent="0.2">
      <c r="A218" s="10" t="s">
        <v>2</v>
      </c>
      <c r="B218" s="279" t="s">
        <v>11</v>
      </c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</row>
    <row r="219" spans="1:12" ht="1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20.25" customHeight="1" x14ac:dyDescent="0.2">
      <c r="A220" s="280" t="s">
        <v>12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</row>
    <row r="221" spans="1:12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0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8" customHeight="1" x14ac:dyDescent="0.25">
      <c r="A223" s="1"/>
      <c r="B223" s="1"/>
      <c r="C223" s="1"/>
      <c r="D223" s="1"/>
      <c r="E223" s="1"/>
      <c r="F223" s="1"/>
      <c r="G223" s="1"/>
      <c r="H223" s="4" t="s">
        <v>199</v>
      </c>
      <c r="J223" s="286" t="s">
        <v>245</v>
      </c>
      <c r="K223" s="286"/>
      <c r="L223" s="286"/>
    </row>
    <row r="224" spans="1:12" ht="13.5" customHeight="1" x14ac:dyDescent="0.25">
      <c r="A224" s="1"/>
      <c r="B224" s="1" t="s">
        <v>15</v>
      </c>
      <c r="C224" s="1"/>
      <c r="D224" s="1"/>
      <c r="E224" s="1"/>
      <c r="F224" s="1"/>
      <c r="G224" s="1"/>
      <c r="H224" s="4" t="s">
        <v>13</v>
      </c>
    </row>
    <row r="225" spans="1:12" ht="15" customHeight="1" x14ac:dyDescent="0.25">
      <c r="A225" s="1"/>
      <c r="B225" s="1" t="s">
        <v>18</v>
      </c>
      <c r="C225" s="1"/>
      <c r="D225" s="1"/>
      <c r="E225" s="1"/>
      <c r="F225" s="1"/>
      <c r="G225" s="1"/>
      <c r="H225" s="4" t="s">
        <v>14</v>
      </c>
    </row>
    <row r="226" spans="1:12" ht="24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" customHeight="1" x14ac:dyDescent="0.25">
      <c r="A228" s="1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"/>
    </row>
    <row r="229" spans="1:12" ht="15" x14ac:dyDescent="0.25">
      <c r="A229" s="1"/>
      <c r="K229" s="103"/>
      <c r="L229" s="1"/>
    </row>
    <row r="230" spans="1:12" ht="14.25" customHeight="1" x14ac:dyDescent="0.25">
      <c r="A230" s="1"/>
      <c r="B230" s="95" t="s">
        <v>77</v>
      </c>
      <c r="H230" s="95" t="s">
        <v>78</v>
      </c>
      <c r="I230" s="95"/>
      <c r="J230" s="92"/>
      <c r="K230" s="103"/>
      <c r="L230" s="1"/>
    </row>
    <row r="231" spans="1:12" ht="15" x14ac:dyDescent="0.25">
      <c r="A231" s="1"/>
      <c r="B231" s="99" t="s">
        <v>27</v>
      </c>
      <c r="C231" s="57"/>
      <c r="H231" s="99" t="s">
        <v>79</v>
      </c>
      <c r="K231" s="103"/>
    </row>
    <row r="232" spans="1:12" ht="12.75" x14ac:dyDescent="0.2"/>
    <row r="233" spans="1:12" ht="12.75" x14ac:dyDescent="0.2"/>
    <row r="234" spans="1:12" ht="19.5" customHeight="1" x14ac:dyDescent="0.2"/>
    <row r="235" spans="1:12" ht="15.75" customHeight="1" x14ac:dyDescent="0.25">
      <c r="A235" s="3" t="s">
        <v>22</v>
      </c>
    </row>
    <row r="236" spans="1:12" ht="23.25" customHeight="1" x14ac:dyDescent="0.2">
      <c r="A236" s="122" t="s">
        <v>20</v>
      </c>
    </row>
    <row r="237" spans="1:12" ht="19.5" customHeight="1" x14ac:dyDescent="0.2">
      <c r="A237" s="122" t="s">
        <v>21</v>
      </c>
    </row>
    <row r="238" spans="1:12" ht="18.75" customHeight="1" x14ac:dyDescent="0.2"/>
    <row r="239" spans="1:12" s="119" customFormat="1" ht="18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2.75" x14ac:dyDescent="0.2"/>
    <row r="241" spans="1:12" ht="22.5" customHeight="1" x14ac:dyDescent="0.3">
      <c r="A241" s="276" t="s">
        <v>6</v>
      </c>
      <c r="B241" s="276"/>
      <c r="C241" s="276"/>
      <c r="D241" s="276"/>
      <c r="E241" s="276"/>
      <c r="F241" s="276"/>
      <c r="G241" s="276"/>
      <c r="H241" s="276"/>
      <c r="I241" s="276"/>
      <c r="J241" s="276"/>
      <c r="K241" s="276"/>
      <c r="L241" s="276"/>
    </row>
    <row r="242" spans="1:12" ht="19.5" customHeight="1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</row>
    <row r="243" spans="1:12" ht="19.5" customHeight="1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</row>
    <row r="244" spans="1:12" ht="16.5" customHeight="1" x14ac:dyDescent="0.25">
      <c r="A244" s="1"/>
      <c r="B244" s="1"/>
    </row>
    <row r="245" spans="1:12" ht="13.5" customHeight="1" x14ac:dyDescent="0.25">
      <c r="A245" s="1" t="s">
        <v>7</v>
      </c>
      <c r="B245" s="1"/>
    </row>
    <row r="246" spans="1:12" ht="12.75" customHeight="1" x14ac:dyDescent="0.25">
      <c r="A246" s="1"/>
      <c r="B246" s="1"/>
    </row>
    <row r="247" spans="1:12" ht="22.5" customHeight="1" x14ac:dyDescent="0.25">
      <c r="A247" s="1" t="s">
        <v>8</v>
      </c>
      <c r="C247" s="9" t="s">
        <v>1</v>
      </c>
      <c r="D247" s="92" t="s">
        <v>96</v>
      </c>
      <c r="E247" s="76"/>
      <c r="F247" s="76"/>
      <c r="G247" s="76"/>
      <c r="H247" s="76"/>
    </row>
    <row r="248" spans="1:12" ht="15.75" customHeight="1" x14ac:dyDescent="0.25">
      <c r="A248" s="1" t="s">
        <v>9</v>
      </c>
      <c r="C248" s="9" t="s">
        <v>1</v>
      </c>
      <c r="D248" s="57" t="s">
        <v>200</v>
      </c>
      <c r="E248" s="76"/>
      <c r="F248" s="76"/>
      <c r="G248" s="76"/>
      <c r="H248" s="76"/>
    </row>
    <row r="249" spans="1:12" ht="19.5" customHeight="1" x14ac:dyDescent="0.2">
      <c r="A249" s="50" t="s">
        <v>10</v>
      </c>
      <c r="B249" s="76"/>
      <c r="C249" s="91" t="s">
        <v>1</v>
      </c>
      <c r="D249" s="50" t="s">
        <v>203</v>
      </c>
      <c r="E249" s="76"/>
      <c r="F249" s="76"/>
      <c r="G249" s="76"/>
      <c r="H249" s="76"/>
      <c r="I249" s="76"/>
      <c r="J249" s="76"/>
      <c r="K249" s="76"/>
      <c r="L249" s="76"/>
    </row>
    <row r="250" spans="1:12" ht="20.25" customHeight="1" x14ac:dyDescent="0.25">
      <c r="A250" s="1"/>
      <c r="B250" s="1"/>
      <c r="D250" s="1"/>
    </row>
    <row r="251" spans="1:12" ht="33" customHeight="1" x14ac:dyDescent="0.2">
      <c r="A251" s="277" t="s">
        <v>246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</row>
    <row r="252" spans="1:12" ht="16.5" customHeight="1" x14ac:dyDescent="0.25">
      <c r="A252" s="1"/>
      <c r="B252" s="1"/>
    </row>
    <row r="253" spans="1:12" ht="31.5" customHeight="1" thickBot="1" x14ac:dyDescent="0.25">
      <c r="A253" s="10" t="s">
        <v>0</v>
      </c>
      <c r="B253" s="278" t="s">
        <v>91</v>
      </c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</row>
    <row r="254" spans="1:12" ht="18.75" customHeight="1" thickTop="1" x14ac:dyDescent="0.25">
      <c r="A254" s="1"/>
      <c r="B254" s="11" t="s">
        <v>3</v>
      </c>
      <c r="C254" s="12" t="s">
        <v>4</v>
      </c>
      <c r="D254" s="13"/>
      <c r="E254" s="13"/>
      <c r="F254" s="13"/>
      <c r="G254" s="13"/>
      <c r="H254" s="14"/>
      <c r="I254" s="15" t="s">
        <v>5</v>
      </c>
      <c r="J254" s="12" t="s">
        <v>17</v>
      </c>
      <c r="K254" s="13"/>
      <c r="L254" s="14"/>
    </row>
    <row r="255" spans="1:12" ht="24.75" customHeight="1" x14ac:dyDescent="0.2">
      <c r="A255" s="50"/>
      <c r="B255" s="100">
        <v>1</v>
      </c>
      <c r="C255" s="284" t="s">
        <v>230</v>
      </c>
      <c r="D255" s="285"/>
      <c r="E255" s="285"/>
      <c r="F255" s="285"/>
      <c r="G255" s="76"/>
      <c r="H255" s="79"/>
      <c r="I255" s="56">
        <v>250000</v>
      </c>
      <c r="J255" s="76"/>
      <c r="K255" s="76"/>
      <c r="L255" s="79"/>
    </row>
    <row r="256" spans="1:12" ht="33" customHeight="1" x14ac:dyDescent="0.25">
      <c r="A256" s="50"/>
      <c r="B256" s="96"/>
      <c r="C256" s="321"/>
      <c r="D256" s="297"/>
      <c r="E256" s="127"/>
      <c r="F256" s="319"/>
      <c r="G256" s="297"/>
      <c r="H256" s="320"/>
      <c r="I256" s="56"/>
      <c r="J256" s="50"/>
      <c r="K256" s="1"/>
      <c r="L256" s="17"/>
    </row>
    <row r="257" spans="1:12" ht="33.75" customHeight="1" x14ac:dyDescent="0.2">
      <c r="B257" s="16"/>
      <c r="H257" s="17"/>
      <c r="I257" s="19"/>
      <c r="L257" s="17"/>
    </row>
    <row r="258" spans="1:12" ht="12" customHeight="1" x14ac:dyDescent="0.2">
      <c r="B258" s="20"/>
      <c r="C258" s="21"/>
      <c r="D258" s="21"/>
      <c r="E258" s="21"/>
      <c r="F258" s="21"/>
      <c r="G258" s="21"/>
      <c r="H258" s="22"/>
      <c r="I258" s="23"/>
      <c r="J258" s="21"/>
      <c r="K258" s="21"/>
      <c r="L258" s="22"/>
    </row>
    <row r="259" spans="1:12" ht="20.25" customHeight="1" x14ac:dyDescent="0.25">
      <c r="A259" s="1"/>
      <c r="B259" s="39"/>
      <c r="C259" s="1"/>
      <c r="D259" s="1"/>
      <c r="E259" s="1"/>
      <c r="F259" s="40" t="s">
        <v>5</v>
      </c>
      <c r="G259" s="40"/>
      <c r="H259" s="1"/>
      <c r="I259" s="41">
        <f>SUM(I255:I256)</f>
        <v>250000</v>
      </c>
      <c r="J259" s="1"/>
      <c r="K259" s="1"/>
      <c r="L259" s="42"/>
    </row>
    <row r="260" spans="1:12" ht="9" customHeight="1" thickBot="1" x14ac:dyDescent="0.3">
      <c r="A260" s="1"/>
      <c r="B260" s="43"/>
      <c r="C260" s="44"/>
      <c r="D260" s="44"/>
      <c r="E260" s="44"/>
      <c r="F260" s="45"/>
      <c r="G260" s="45"/>
      <c r="H260" s="44"/>
      <c r="I260" s="46"/>
      <c r="J260" s="44"/>
      <c r="K260" s="44"/>
      <c r="L260" s="47"/>
    </row>
    <row r="261" spans="1:12" ht="15.75" customHeight="1" thickTop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47.25" customHeight="1" x14ac:dyDescent="0.2">
      <c r="A262" s="10" t="s">
        <v>2</v>
      </c>
      <c r="B262" s="279" t="s">
        <v>11</v>
      </c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</row>
    <row r="263" spans="1:12" ht="22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" x14ac:dyDescent="0.2">
      <c r="A264" s="280" t="s">
        <v>12</v>
      </c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</row>
    <row r="265" spans="1:12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" x14ac:dyDescent="0.25">
      <c r="A267" s="1"/>
      <c r="B267" s="1"/>
      <c r="C267" s="1"/>
      <c r="D267" s="1"/>
      <c r="E267" s="1"/>
      <c r="F267" s="1"/>
      <c r="G267" s="1"/>
      <c r="H267" s="4" t="s">
        <v>199</v>
      </c>
      <c r="J267" s="286" t="s">
        <v>245</v>
      </c>
      <c r="K267" s="286"/>
      <c r="L267" s="286"/>
    </row>
    <row r="268" spans="1:12" ht="12.75" customHeight="1" x14ac:dyDescent="0.25">
      <c r="A268" s="1"/>
      <c r="B268" s="1" t="s">
        <v>15</v>
      </c>
      <c r="C268" s="1"/>
      <c r="D268" s="1"/>
      <c r="E268" s="1"/>
      <c r="F268" s="1"/>
      <c r="G268" s="1"/>
      <c r="H268" s="4" t="s">
        <v>13</v>
      </c>
    </row>
    <row r="269" spans="1:12" ht="15" x14ac:dyDescent="0.25">
      <c r="A269" s="1"/>
      <c r="B269" s="1" t="s">
        <v>18</v>
      </c>
      <c r="C269" s="1"/>
      <c r="D269" s="1"/>
      <c r="E269" s="1"/>
      <c r="F269" s="1"/>
      <c r="G269" s="1"/>
      <c r="H269" s="4" t="s">
        <v>14</v>
      </c>
    </row>
    <row r="270" spans="1:12" ht="18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22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7.5" customHeight="1" x14ac:dyDescent="0.25">
      <c r="A272" s="1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"/>
    </row>
    <row r="273" spans="1:12" ht="15" x14ac:dyDescent="0.25">
      <c r="A273" s="1"/>
      <c r="K273" s="103"/>
      <c r="L273" s="1"/>
    </row>
    <row r="274" spans="1:12" ht="18" customHeight="1" x14ac:dyDescent="0.25">
      <c r="A274" s="1"/>
      <c r="B274" s="95" t="s">
        <v>77</v>
      </c>
      <c r="H274" s="95" t="s">
        <v>96</v>
      </c>
      <c r="I274" s="95"/>
      <c r="J274" s="92"/>
      <c r="K274" s="103"/>
      <c r="L274" s="1"/>
    </row>
    <row r="275" spans="1:12" ht="12" customHeight="1" x14ac:dyDescent="0.25">
      <c r="A275" s="1"/>
      <c r="B275" s="99" t="s">
        <v>27</v>
      </c>
      <c r="C275" s="57"/>
      <c r="H275" s="99" t="s">
        <v>100</v>
      </c>
      <c r="K275" s="103"/>
    </row>
    <row r="276" spans="1:12" ht="15" customHeight="1" x14ac:dyDescent="0.2"/>
    <row r="277" spans="1:12" ht="17.25" customHeight="1" x14ac:dyDescent="0.2"/>
    <row r="278" spans="1:12" ht="9" customHeight="1" x14ac:dyDescent="0.2"/>
    <row r="279" spans="1:12" ht="21" customHeight="1" x14ac:dyDescent="0.2"/>
    <row r="280" spans="1:12" ht="18.75" customHeight="1" x14ac:dyDescent="0.2"/>
    <row r="281" spans="1:12" ht="15.75" customHeight="1" x14ac:dyDescent="0.2"/>
    <row r="282" spans="1:12" ht="23.25" customHeight="1" x14ac:dyDescent="0.2"/>
    <row r="283" spans="1:12" ht="10.5" customHeight="1" x14ac:dyDescent="0.2"/>
    <row r="284" spans="1:12" ht="28.5" hidden="1" customHeight="1" x14ac:dyDescent="0.2"/>
    <row r="285" spans="1:12" ht="24" customHeight="1" x14ac:dyDescent="0.2"/>
    <row r="286" spans="1:12" ht="19.5" customHeight="1" x14ac:dyDescent="0.2"/>
    <row r="287" spans="1:12" ht="15" customHeight="1" x14ac:dyDescent="0.2"/>
    <row r="288" spans="1:12" ht="45" customHeight="1" x14ac:dyDescent="0.25">
      <c r="A288" s="3" t="s">
        <v>22</v>
      </c>
    </row>
    <row r="289" spans="1:12" ht="21" customHeight="1" x14ac:dyDescent="0.2">
      <c r="A289" s="122" t="s">
        <v>20</v>
      </c>
    </row>
    <row r="290" spans="1:12" ht="24" customHeight="1" x14ac:dyDescent="0.2">
      <c r="A290" s="122" t="s">
        <v>21</v>
      </c>
    </row>
    <row r="291" spans="1:12" ht="16.5" customHeight="1" x14ac:dyDescent="0.2"/>
    <row r="292" spans="1:12" ht="13.5" customHeight="1" x14ac:dyDescent="0.2"/>
    <row r="293" spans="1:12" ht="12.75" x14ac:dyDescent="0.2"/>
    <row r="294" spans="1:12" ht="18.75" x14ac:dyDescent="0.3">
      <c r="A294" s="276" t="s">
        <v>6</v>
      </c>
      <c r="B294" s="276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</row>
    <row r="295" spans="1:12" ht="15.75" customHeight="1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</row>
    <row r="296" spans="1:12" ht="15" customHeight="1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</row>
    <row r="297" spans="1:12" ht="18" customHeight="1" x14ac:dyDescent="0.25">
      <c r="A297" s="1"/>
      <c r="B297" s="1"/>
    </row>
    <row r="298" spans="1:12" ht="15.75" customHeight="1" x14ac:dyDescent="0.25">
      <c r="A298" s="1" t="s">
        <v>7</v>
      </c>
      <c r="B298" s="1"/>
    </row>
    <row r="299" spans="1:12" ht="11.25" customHeight="1" x14ac:dyDescent="0.25">
      <c r="A299" s="1"/>
      <c r="B299" s="1"/>
    </row>
    <row r="300" spans="1:12" ht="23.25" customHeight="1" x14ac:dyDescent="0.25">
      <c r="A300" s="1" t="s">
        <v>8</v>
      </c>
      <c r="C300" s="9" t="s">
        <v>1</v>
      </c>
      <c r="D300" s="92" t="s">
        <v>77</v>
      </c>
      <c r="E300" s="76"/>
      <c r="F300" s="76"/>
      <c r="G300" s="76"/>
      <c r="H300" s="76"/>
    </row>
    <row r="301" spans="1:12" ht="18" customHeight="1" x14ac:dyDescent="0.25">
      <c r="A301" s="1" t="s">
        <v>9</v>
      </c>
      <c r="C301" s="9" t="s">
        <v>1</v>
      </c>
      <c r="D301" s="57" t="s">
        <v>201</v>
      </c>
      <c r="E301" s="76"/>
      <c r="F301" s="76"/>
      <c r="G301" s="76"/>
      <c r="H301" s="76"/>
    </row>
    <row r="302" spans="1:12" ht="13.5" customHeight="1" x14ac:dyDescent="0.2">
      <c r="A302" s="50" t="s">
        <v>10</v>
      </c>
      <c r="B302" s="76"/>
      <c r="C302" s="91" t="s">
        <v>1</v>
      </c>
      <c r="D302" s="314" t="s">
        <v>233</v>
      </c>
      <c r="E302" s="314"/>
      <c r="F302" s="314"/>
      <c r="G302" s="314"/>
      <c r="H302" s="314"/>
      <c r="I302" s="76"/>
      <c r="J302" s="76"/>
      <c r="K302" s="76"/>
      <c r="L302" s="76"/>
    </row>
    <row r="303" spans="1:12" ht="15" customHeight="1" x14ac:dyDescent="0.25">
      <c r="A303" s="1"/>
      <c r="B303" s="1"/>
      <c r="D303" s="1"/>
    </row>
    <row r="304" spans="1:12" ht="39.75" customHeight="1" x14ac:dyDescent="0.2">
      <c r="A304" s="277" t="s">
        <v>247</v>
      </c>
      <c r="B304" s="277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</row>
    <row r="305" spans="1:12" ht="15" x14ac:dyDescent="0.25">
      <c r="A305" s="1"/>
      <c r="B305" s="1"/>
    </row>
    <row r="306" spans="1:12" ht="39" customHeight="1" thickBot="1" x14ac:dyDescent="0.25">
      <c r="A306" s="10" t="s">
        <v>0</v>
      </c>
      <c r="B306" s="278" t="s">
        <v>91</v>
      </c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</row>
    <row r="307" spans="1:12" ht="18" customHeight="1" thickTop="1" x14ac:dyDescent="0.25">
      <c r="A307" s="1"/>
      <c r="B307" s="11" t="s">
        <v>3</v>
      </c>
      <c r="C307" s="12" t="s">
        <v>4</v>
      </c>
      <c r="D307" s="13"/>
      <c r="E307" s="13"/>
      <c r="F307" s="13"/>
      <c r="G307" s="13"/>
      <c r="H307" s="14"/>
      <c r="I307" s="15" t="s">
        <v>5</v>
      </c>
      <c r="J307" s="12" t="s">
        <v>17</v>
      </c>
      <c r="K307" s="13"/>
      <c r="L307" s="14"/>
    </row>
    <row r="308" spans="1:12" ht="46.5" customHeight="1" x14ac:dyDescent="0.2">
      <c r="A308" s="50"/>
      <c r="B308" s="100">
        <v>1</v>
      </c>
      <c r="C308" s="284" t="s">
        <v>230</v>
      </c>
      <c r="D308" s="285"/>
      <c r="E308" s="285"/>
      <c r="F308" s="285"/>
      <c r="G308" s="76"/>
      <c r="H308" s="79"/>
      <c r="I308" s="56">
        <v>250000</v>
      </c>
      <c r="J308" s="76"/>
      <c r="K308" s="76"/>
      <c r="L308" s="79"/>
    </row>
    <row r="309" spans="1:12" ht="18" customHeight="1" x14ac:dyDescent="0.25">
      <c r="A309" s="50"/>
      <c r="B309" s="96"/>
      <c r="C309" s="321"/>
      <c r="D309" s="297"/>
      <c r="E309" s="127"/>
      <c r="F309" s="319"/>
      <c r="G309" s="297"/>
      <c r="H309" s="320"/>
      <c r="I309" s="56"/>
      <c r="J309" s="50"/>
      <c r="K309" s="1"/>
      <c r="L309" s="17"/>
    </row>
    <row r="310" spans="1:12" ht="13.5" customHeight="1" x14ac:dyDescent="0.2">
      <c r="B310" s="16"/>
      <c r="H310" s="17"/>
      <c r="I310" s="19"/>
      <c r="L310" s="17"/>
    </row>
    <row r="311" spans="1:12" ht="31.5" customHeight="1" x14ac:dyDescent="0.2">
      <c r="B311" s="20"/>
      <c r="C311" s="21"/>
      <c r="D311" s="21"/>
      <c r="E311" s="21"/>
      <c r="F311" s="21"/>
      <c r="G311" s="21"/>
      <c r="H311" s="22"/>
      <c r="I311" s="23"/>
      <c r="J311" s="21"/>
      <c r="K311" s="21"/>
      <c r="L311" s="22"/>
    </row>
    <row r="312" spans="1:12" ht="24" customHeight="1" x14ac:dyDescent="0.25">
      <c r="A312" s="1"/>
      <c r="B312" s="39"/>
      <c r="C312" s="1"/>
      <c r="D312" s="1"/>
      <c r="E312" s="1"/>
      <c r="F312" s="40" t="s">
        <v>5</v>
      </c>
      <c r="G312" s="40"/>
      <c r="H312" s="1"/>
      <c r="I312" s="41">
        <f>SUM(I308:I309)</f>
        <v>250000</v>
      </c>
      <c r="J312" s="1"/>
      <c r="K312" s="1"/>
      <c r="L312" s="42"/>
    </row>
    <row r="313" spans="1:12" ht="7.5" customHeight="1" thickBot="1" x14ac:dyDescent="0.3">
      <c r="A313" s="1"/>
      <c r="B313" s="43"/>
      <c r="C313" s="44"/>
      <c r="D313" s="44"/>
      <c r="E313" s="44"/>
      <c r="F313" s="45"/>
      <c r="G313" s="45"/>
      <c r="H313" s="44"/>
      <c r="I313" s="46"/>
      <c r="J313" s="44"/>
      <c r="K313" s="44"/>
      <c r="L313" s="47"/>
    </row>
    <row r="314" spans="1:12" ht="15.75" thickTop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48" customHeight="1" x14ac:dyDescent="0.2">
      <c r="A315" s="10" t="s">
        <v>2</v>
      </c>
      <c r="B315" s="279" t="s">
        <v>11</v>
      </c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</row>
    <row r="316" spans="1:12" ht="17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20.25" customHeight="1" x14ac:dyDescent="0.2">
      <c r="A317" s="280" t="s">
        <v>12</v>
      </c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</row>
    <row r="318" spans="1:12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9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" x14ac:dyDescent="0.25">
      <c r="A320" s="1"/>
      <c r="B320" s="1"/>
      <c r="C320" s="1"/>
      <c r="D320" s="1"/>
      <c r="E320" s="1"/>
      <c r="F320" s="1"/>
      <c r="G320" s="1"/>
      <c r="H320" s="4" t="s">
        <v>199</v>
      </c>
      <c r="J320" s="286" t="s">
        <v>245</v>
      </c>
      <c r="K320" s="286"/>
      <c r="L320" s="286"/>
    </row>
    <row r="321" spans="1:12" ht="14.25" customHeight="1" x14ac:dyDescent="0.25">
      <c r="A321" s="1"/>
      <c r="B321" s="1" t="s">
        <v>15</v>
      </c>
      <c r="C321" s="1"/>
      <c r="D321" s="1"/>
      <c r="E321" s="1"/>
      <c r="F321" s="1"/>
      <c r="G321" s="1"/>
      <c r="H321" s="4" t="s">
        <v>13</v>
      </c>
    </row>
    <row r="322" spans="1:12" ht="15" x14ac:dyDescent="0.25">
      <c r="A322" s="1"/>
      <c r="B322" s="1" t="s">
        <v>18</v>
      </c>
      <c r="C322" s="1"/>
      <c r="D322" s="1"/>
      <c r="E322" s="1"/>
      <c r="F322" s="1"/>
      <c r="G322" s="1"/>
      <c r="H322" s="4" t="s">
        <v>14</v>
      </c>
    </row>
    <row r="323" spans="1:12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27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5">
      <c r="A325" s="1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"/>
    </row>
    <row r="326" spans="1:12" ht="19.5" customHeight="1" x14ac:dyDescent="0.25">
      <c r="A326" s="1"/>
      <c r="K326" s="103"/>
      <c r="L326" s="1"/>
    </row>
    <row r="327" spans="1:12" ht="15" x14ac:dyDescent="0.25">
      <c r="A327" s="1"/>
      <c r="B327" s="95" t="s">
        <v>77</v>
      </c>
      <c r="H327" s="95" t="s">
        <v>77</v>
      </c>
      <c r="I327" s="95"/>
      <c r="J327" s="92"/>
      <c r="K327" s="103"/>
      <c r="L327" s="1"/>
    </row>
    <row r="328" spans="1:12" ht="15" x14ac:dyDescent="0.25">
      <c r="A328" s="1"/>
      <c r="B328" s="99" t="s">
        <v>27</v>
      </c>
      <c r="C328" s="57"/>
      <c r="H328" s="99" t="s">
        <v>27</v>
      </c>
      <c r="K328" s="103"/>
    </row>
    <row r="329" spans="1:12" ht="18" customHeight="1" x14ac:dyDescent="0.2"/>
    <row r="330" spans="1:12" ht="15.75" customHeight="1" x14ac:dyDescent="0.2"/>
    <row r="331" spans="1:12" ht="19.5" customHeight="1" x14ac:dyDescent="0.2"/>
    <row r="332" spans="1:12" ht="18" customHeight="1" x14ac:dyDescent="0.25">
      <c r="A332" s="3" t="s">
        <v>22</v>
      </c>
    </row>
    <row r="333" spans="1:12" ht="15.75" x14ac:dyDescent="0.2">
      <c r="A333" s="122" t="s">
        <v>20</v>
      </c>
    </row>
    <row r="334" spans="1:12" ht="16.5" customHeight="1" x14ac:dyDescent="0.2">
      <c r="A334" s="122" t="s">
        <v>21</v>
      </c>
    </row>
    <row r="335" spans="1:12" ht="42.75" customHeight="1" x14ac:dyDescent="0.2"/>
    <row r="336" spans="1:12" ht="12.75" x14ac:dyDescent="0.2"/>
    <row r="337" spans="1:12" ht="15" customHeight="1" x14ac:dyDescent="0.2"/>
    <row r="338" spans="1:12" ht="18.75" x14ac:dyDescent="0.3">
      <c r="A338" s="276" t="s">
        <v>6</v>
      </c>
      <c r="B338" s="276"/>
      <c r="C338" s="276"/>
      <c r="D338" s="276"/>
      <c r="E338" s="276"/>
      <c r="F338" s="276"/>
      <c r="G338" s="276"/>
      <c r="H338" s="276"/>
      <c r="I338" s="276"/>
      <c r="J338" s="276"/>
      <c r="K338" s="276"/>
      <c r="L338" s="276"/>
    </row>
    <row r="339" spans="1:12" ht="18.75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</row>
    <row r="340" spans="1:12" ht="18.75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</row>
    <row r="341" spans="1:12" ht="15" x14ac:dyDescent="0.25">
      <c r="A341" s="1"/>
      <c r="B341" s="1"/>
    </row>
    <row r="342" spans="1:12" ht="15" x14ac:dyDescent="0.25">
      <c r="A342" s="1" t="s">
        <v>7</v>
      </c>
      <c r="B342" s="1"/>
    </row>
    <row r="343" spans="1:12" ht="15" x14ac:dyDescent="0.25">
      <c r="A343" s="1"/>
      <c r="B343" s="1"/>
    </row>
    <row r="344" spans="1:12" ht="12" customHeight="1" x14ac:dyDescent="0.25">
      <c r="A344" s="1" t="s">
        <v>8</v>
      </c>
      <c r="C344" s="9" t="s">
        <v>1</v>
      </c>
      <c r="D344" s="92" t="s">
        <v>96</v>
      </c>
      <c r="E344" s="76"/>
      <c r="F344" s="76"/>
      <c r="G344" s="76"/>
      <c r="H344" s="76"/>
    </row>
    <row r="345" spans="1:12" ht="12" customHeight="1" x14ac:dyDescent="0.25">
      <c r="A345" s="1" t="s">
        <v>9</v>
      </c>
      <c r="C345" s="9" t="s">
        <v>1</v>
      </c>
      <c r="D345" s="57" t="s">
        <v>200</v>
      </c>
      <c r="E345" s="76"/>
      <c r="F345" s="76"/>
      <c r="G345" s="76"/>
      <c r="H345" s="76"/>
    </row>
    <row r="346" spans="1:12" ht="16.5" customHeight="1" x14ac:dyDescent="0.2">
      <c r="A346" s="50" t="s">
        <v>10</v>
      </c>
      <c r="B346" s="76"/>
      <c r="C346" s="91" t="s">
        <v>1</v>
      </c>
      <c r="D346" s="50" t="s">
        <v>203</v>
      </c>
      <c r="E346" s="76"/>
      <c r="F346" s="76"/>
      <c r="G346" s="76"/>
      <c r="H346" s="76"/>
      <c r="I346" s="76"/>
      <c r="J346" s="76"/>
      <c r="K346" s="76"/>
      <c r="L346" s="76"/>
    </row>
    <row r="347" spans="1:12" ht="16.5" customHeight="1" x14ac:dyDescent="0.25">
      <c r="A347" s="1"/>
      <c r="B347" s="1"/>
      <c r="D347" s="1"/>
    </row>
    <row r="348" spans="1:12" ht="37.5" customHeight="1" x14ac:dyDescent="0.2">
      <c r="A348" s="277" t="s">
        <v>247</v>
      </c>
      <c r="B348" s="277"/>
      <c r="C348" s="277"/>
      <c r="D348" s="277"/>
      <c r="E348" s="277"/>
      <c r="F348" s="277"/>
      <c r="G348" s="277"/>
      <c r="H348" s="277"/>
      <c r="I348" s="277"/>
      <c r="J348" s="277"/>
      <c r="K348" s="277"/>
      <c r="L348" s="277"/>
    </row>
    <row r="349" spans="1:12" ht="15" customHeight="1" x14ac:dyDescent="0.25">
      <c r="A349" s="1"/>
      <c r="B349" s="1"/>
    </row>
    <row r="350" spans="1:12" ht="32.25" customHeight="1" thickBot="1" x14ac:dyDescent="0.25">
      <c r="A350" s="10" t="s">
        <v>0</v>
      </c>
      <c r="B350" s="278" t="s">
        <v>91</v>
      </c>
      <c r="C350" s="278"/>
      <c r="D350" s="278"/>
      <c r="E350" s="278"/>
      <c r="F350" s="278"/>
      <c r="G350" s="278"/>
      <c r="H350" s="278"/>
      <c r="I350" s="278"/>
      <c r="J350" s="278"/>
      <c r="K350" s="278"/>
      <c r="L350" s="278"/>
    </row>
    <row r="351" spans="1:12" ht="15.75" thickTop="1" x14ac:dyDescent="0.25">
      <c r="A351" s="1"/>
      <c r="B351" s="11" t="s">
        <v>3</v>
      </c>
      <c r="C351" s="12" t="s">
        <v>4</v>
      </c>
      <c r="D351" s="13"/>
      <c r="E351" s="13"/>
      <c r="F351" s="13"/>
      <c r="G351" s="13"/>
      <c r="H351" s="14"/>
      <c r="I351" s="15" t="s">
        <v>5</v>
      </c>
      <c r="J351" s="12" t="s">
        <v>17</v>
      </c>
      <c r="K351" s="13"/>
      <c r="L351" s="14"/>
    </row>
    <row r="352" spans="1:12" ht="29.1" customHeight="1" x14ac:dyDescent="0.2">
      <c r="A352" s="50"/>
      <c r="B352" s="100">
        <v>1</v>
      </c>
      <c r="C352" s="284" t="s">
        <v>230</v>
      </c>
      <c r="D352" s="285"/>
      <c r="E352" s="285"/>
      <c r="F352" s="285"/>
      <c r="G352" s="76"/>
      <c r="H352" s="79"/>
      <c r="I352" s="56">
        <v>250000</v>
      </c>
      <c r="J352" s="76"/>
      <c r="K352" s="76"/>
      <c r="L352" s="79"/>
    </row>
    <row r="353" spans="1:12" ht="20.100000000000001" customHeight="1" x14ac:dyDescent="0.25">
      <c r="A353" s="50"/>
      <c r="B353" s="96"/>
      <c r="C353" s="321"/>
      <c r="D353" s="297"/>
      <c r="E353" s="127"/>
      <c r="F353" s="319"/>
      <c r="G353" s="297"/>
      <c r="H353" s="320"/>
      <c r="I353" s="56"/>
      <c r="J353" s="50"/>
      <c r="K353" s="1"/>
      <c r="L353" s="17"/>
    </row>
    <row r="354" spans="1:12" ht="15.75" customHeight="1" x14ac:dyDescent="0.2">
      <c r="B354" s="16"/>
      <c r="H354" s="17"/>
      <c r="I354" s="19"/>
      <c r="L354" s="17"/>
    </row>
    <row r="355" spans="1:12" ht="12.75" x14ac:dyDescent="0.2">
      <c r="B355" s="20"/>
      <c r="C355" s="21"/>
      <c r="D355" s="21"/>
      <c r="E355" s="21"/>
      <c r="F355" s="21"/>
      <c r="G355" s="21"/>
      <c r="H355" s="22"/>
      <c r="I355" s="23"/>
      <c r="J355" s="21"/>
      <c r="K355" s="21"/>
      <c r="L355" s="22"/>
    </row>
    <row r="356" spans="1:12" ht="15" x14ac:dyDescent="0.25">
      <c r="A356" s="1"/>
      <c r="B356" s="39"/>
      <c r="C356" s="1"/>
      <c r="D356" s="1"/>
      <c r="E356" s="1"/>
      <c r="F356" s="40" t="s">
        <v>5</v>
      </c>
      <c r="G356" s="40"/>
      <c r="H356" s="1"/>
      <c r="I356" s="41">
        <f>SUM(I352:I353)</f>
        <v>250000</v>
      </c>
      <c r="J356" s="1"/>
      <c r="K356" s="1"/>
      <c r="L356" s="42"/>
    </row>
    <row r="357" spans="1:12" ht="12" customHeight="1" thickBot="1" x14ac:dyDescent="0.3">
      <c r="A357" s="1"/>
      <c r="B357" s="43"/>
      <c r="C357" s="44"/>
      <c r="D357" s="44"/>
      <c r="E357" s="44"/>
      <c r="F357" s="45"/>
      <c r="G357" s="45"/>
      <c r="H357" s="44"/>
      <c r="I357" s="46"/>
      <c r="J357" s="44"/>
      <c r="K357" s="44"/>
      <c r="L357" s="47"/>
    </row>
    <row r="358" spans="1:12" ht="15.75" thickTop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47.25" customHeight="1" x14ac:dyDescent="0.2">
      <c r="A359" s="10" t="s">
        <v>2</v>
      </c>
      <c r="B359" s="279" t="s">
        <v>11</v>
      </c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</row>
    <row r="360" spans="1:12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" x14ac:dyDescent="0.2">
      <c r="A361" s="280" t="s">
        <v>12</v>
      </c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</row>
    <row r="362" spans="1:12" ht="25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" x14ac:dyDescent="0.25">
      <c r="A364" s="1"/>
      <c r="B364" s="1"/>
      <c r="C364" s="1"/>
      <c r="D364" s="1"/>
      <c r="E364" s="1"/>
      <c r="F364" s="1"/>
      <c r="G364" s="1"/>
      <c r="H364" s="4" t="s">
        <v>199</v>
      </c>
      <c r="J364" s="286" t="s">
        <v>245</v>
      </c>
      <c r="K364" s="286"/>
      <c r="L364" s="286"/>
    </row>
    <row r="365" spans="1:12" ht="15" customHeight="1" x14ac:dyDescent="0.25">
      <c r="A365" s="1"/>
      <c r="B365" s="1" t="s">
        <v>15</v>
      </c>
      <c r="C365" s="1"/>
      <c r="D365" s="1"/>
      <c r="E365" s="1"/>
      <c r="F365" s="1"/>
      <c r="G365" s="1"/>
      <c r="H365" s="4" t="s">
        <v>13</v>
      </c>
    </row>
    <row r="366" spans="1:12" ht="15" x14ac:dyDescent="0.25">
      <c r="A366" s="1"/>
      <c r="B366" s="1" t="s">
        <v>18</v>
      </c>
      <c r="C366" s="1"/>
      <c r="D366" s="1"/>
      <c r="E366" s="1"/>
      <c r="F366" s="1"/>
      <c r="G366" s="1"/>
      <c r="H366" s="4" t="s">
        <v>14</v>
      </c>
    </row>
    <row r="367" spans="1:12" ht="1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25">
      <c r="A369" s="1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"/>
    </row>
    <row r="370" spans="1:12" ht="22.5" customHeight="1" x14ac:dyDescent="0.25">
      <c r="A370" s="1"/>
      <c r="K370" s="103"/>
      <c r="L370" s="1"/>
    </row>
    <row r="371" spans="1:12" ht="15" x14ac:dyDescent="0.25">
      <c r="A371" s="1"/>
      <c r="B371" s="95" t="s">
        <v>77</v>
      </c>
      <c r="H371" s="95" t="s">
        <v>96</v>
      </c>
      <c r="I371" s="95"/>
      <c r="J371" s="92"/>
      <c r="K371" s="103"/>
      <c r="L371" s="1"/>
    </row>
    <row r="372" spans="1:12" ht="23.25" customHeight="1" x14ac:dyDescent="0.25">
      <c r="A372" s="1"/>
      <c r="B372" s="99" t="s">
        <v>27</v>
      </c>
      <c r="C372" s="57"/>
      <c r="H372" s="99" t="s">
        <v>100</v>
      </c>
      <c r="K372" s="103"/>
    </row>
    <row r="373" spans="1:12" ht="18.75" customHeight="1" x14ac:dyDescent="0.2"/>
    <row r="374" spans="1:12" ht="23.25" customHeight="1" x14ac:dyDescent="0.2"/>
    <row r="375" spans="1:12" ht="37.5" customHeight="1" x14ac:dyDescent="0.2"/>
    <row r="376" spans="1:12" ht="18.75" customHeight="1" x14ac:dyDescent="0.2"/>
    <row r="377" spans="1:12" ht="12.75" x14ac:dyDescent="0.2"/>
    <row r="378" spans="1:12" ht="13.5" customHeight="1" x14ac:dyDescent="0.2"/>
    <row r="379" spans="1:12" ht="21" customHeight="1" x14ac:dyDescent="0.25">
      <c r="A379" s="3" t="s">
        <v>22</v>
      </c>
    </row>
    <row r="380" spans="1:12" ht="16.5" customHeight="1" x14ac:dyDescent="0.2">
      <c r="A380" s="122" t="s">
        <v>20</v>
      </c>
    </row>
    <row r="381" spans="1:12" ht="15.75" customHeight="1" x14ac:dyDescent="0.2">
      <c r="A381" s="122" t="s">
        <v>21</v>
      </c>
    </row>
    <row r="382" spans="1:12" ht="16.5" customHeight="1" x14ac:dyDescent="0.2"/>
    <row r="383" spans="1:12" ht="21" customHeight="1" x14ac:dyDescent="0.2"/>
    <row r="384" spans="1:12" ht="15" customHeight="1" x14ac:dyDescent="0.2"/>
    <row r="385" spans="1:12" ht="18.75" x14ac:dyDescent="0.3">
      <c r="A385" s="276" t="s">
        <v>6</v>
      </c>
      <c r="B385" s="276"/>
      <c r="C385" s="276"/>
      <c r="D385" s="276"/>
      <c r="E385" s="276"/>
      <c r="F385" s="276"/>
      <c r="G385" s="276"/>
      <c r="H385" s="276"/>
      <c r="I385" s="276"/>
      <c r="J385" s="276"/>
      <c r="K385" s="276"/>
      <c r="L385" s="276"/>
    </row>
    <row r="386" spans="1:12" ht="13.5" customHeight="1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</row>
    <row r="387" spans="1:12" ht="18.75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</row>
    <row r="388" spans="1:12" ht="15" customHeight="1" x14ac:dyDescent="0.25">
      <c r="A388" s="1"/>
      <c r="B388" s="1"/>
    </row>
    <row r="389" spans="1:12" ht="14.25" customHeight="1" x14ac:dyDescent="0.25">
      <c r="A389" s="1" t="s">
        <v>7</v>
      </c>
      <c r="B389" s="1"/>
    </row>
    <row r="390" spans="1:12" ht="15" customHeight="1" x14ac:dyDescent="0.25">
      <c r="A390" s="1"/>
      <c r="B390" s="1"/>
    </row>
    <row r="391" spans="1:12" ht="15" customHeight="1" x14ac:dyDescent="0.25">
      <c r="A391" s="1" t="s">
        <v>8</v>
      </c>
      <c r="C391" s="9" t="s">
        <v>1</v>
      </c>
      <c r="D391" s="126" t="s">
        <v>64</v>
      </c>
      <c r="E391" s="76"/>
      <c r="F391" s="76"/>
      <c r="G391" s="76"/>
      <c r="H391" s="76"/>
    </row>
    <row r="392" spans="1:12" ht="18" customHeight="1" x14ac:dyDescent="0.25">
      <c r="A392" s="1" t="s">
        <v>9</v>
      </c>
      <c r="C392" s="9" t="s">
        <v>1</v>
      </c>
      <c r="D392" s="119" t="s">
        <v>236</v>
      </c>
      <c r="E392" s="76"/>
      <c r="F392" s="76"/>
      <c r="G392" s="76"/>
      <c r="H392" s="76"/>
    </row>
    <row r="393" spans="1:12" ht="16.5" customHeight="1" x14ac:dyDescent="0.2">
      <c r="A393" s="50" t="s">
        <v>10</v>
      </c>
      <c r="B393" s="76"/>
      <c r="C393" s="91" t="s">
        <v>1</v>
      </c>
      <c r="D393" s="124" t="s">
        <v>235</v>
      </c>
      <c r="E393" s="76"/>
      <c r="F393" s="76"/>
      <c r="G393" s="76"/>
      <c r="H393" s="76"/>
      <c r="I393" s="76"/>
      <c r="J393" s="76"/>
      <c r="K393" s="76"/>
      <c r="L393" s="76"/>
    </row>
    <row r="394" spans="1:12" ht="15" customHeight="1" x14ac:dyDescent="0.25">
      <c r="A394" s="1"/>
      <c r="B394" s="1"/>
      <c r="D394" s="1"/>
    </row>
    <row r="395" spans="1:12" ht="30" customHeight="1" x14ac:dyDescent="0.2">
      <c r="A395" s="277" t="s">
        <v>247</v>
      </c>
      <c r="B395" s="277"/>
      <c r="C395" s="277"/>
      <c r="D395" s="277"/>
      <c r="E395" s="277"/>
      <c r="F395" s="277"/>
      <c r="G395" s="277"/>
      <c r="H395" s="277"/>
      <c r="I395" s="277"/>
      <c r="J395" s="277"/>
      <c r="K395" s="277"/>
      <c r="L395" s="277"/>
    </row>
    <row r="396" spans="1:12" ht="15" x14ac:dyDescent="0.25">
      <c r="A396" s="1"/>
      <c r="B396" s="1"/>
    </row>
    <row r="397" spans="1:12" ht="32.25" customHeight="1" thickBot="1" x14ac:dyDescent="0.25">
      <c r="A397" s="10" t="s">
        <v>0</v>
      </c>
      <c r="B397" s="278" t="s">
        <v>91</v>
      </c>
      <c r="C397" s="278"/>
      <c r="D397" s="278"/>
      <c r="E397" s="278"/>
      <c r="F397" s="278"/>
      <c r="G397" s="278"/>
      <c r="H397" s="278"/>
      <c r="I397" s="278"/>
      <c r="J397" s="278"/>
      <c r="K397" s="278"/>
      <c r="L397" s="278"/>
    </row>
    <row r="398" spans="1:12" ht="15.75" thickTop="1" x14ac:dyDescent="0.25">
      <c r="A398" s="1"/>
      <c r="B398" s="11" t="s">
        <v>3</v>
      </c>
      <c r="C398" s="12" t="s">
        <v>4</v>
      </c>
      <c r="D398" s="13"/>
      <c r="E398" s="13"/>
      <c r="F398" s="13"/>
      <c r="G398" s="13"/>
      <c r="H398" s="14"/>
      <c r="I398" s="15" t="s">
        <v>5</v>
      </c>
      <c r="J398" s="12" t="s">
        <v>17</v>
      </c>
      <c r="K398" s="13"/>
      <c r="L398" s="14"/>
    </row>
    <row r="399" spans="1:12" ht="24" customHeight="1" x14ac:dyDescent="0.2">
      <c r="A399" s="50"/>
      <c r="B399" s="100">
        <v>1</v>
      </c>
      <c r="C399" s="284" t="s">
        <v>230</v>
      </c>
      <c r="D399" s="285"/>
      <c r="E399" s="285"/>
      <c r="F399" s="285"/>
      <c r="G399" s="76"/>
      <c r="H399" s="79"/>
      <c r="I399" s="56">
        <v>250000</v>
      </c>
      <c r="J399" s="76"/>
      <c r="K399" s="76"/>
      <c r="L399" s="79"/>
    </row>
    <row r="400" spans="1:12" ht="15" x14ac:dyDescent="0.25">
      <c r="A400" s="50"/>
      <c r="B400" s="96"/>
      <c r="C400" s="321"/>
      <c r="D400" s="297"/>
      <c r="E400" s="127"/>
      <c r="F400" s="319"/>
      <c r="G400" s="297"/>
      <c r="H400" s="320"/>
      <c r="I400" s="56"/>
      <c r="J400" s="50"/>
      <c r="K400" s="1"/>
      <c r="L400" s="17"/>
    </row>
    <row r="401" spans="1:12" ht="12.75" x14ac:dyDescent="0.2">
      <c r="B401" s="16"/>
      <c r="H401" s="17"/>
      <c r="I401" s="19"/>
      <c r="L401" s="17"/>
    </row>
    <row r="402" spans="1:12" ht="36.75" customHeight="1" x14ac:dyDescent="0.2">
      <c r="B402" s="20"/>
      <c r="C402" s="21"/>
      <c r="D402" s="21"/>
      <c r="E402" s="21"/>
      <c r="F402" s="21"/>
      <c r="G402" s="21"/>
      <c r="H402" s="22"/>
      <c r="I402" s="23"/>
      <c r="J402" s="21"/>
      <c r="K402" s="21"/>
      <c r="L402" s="22"/>
    </row>
    <row r="403" spans="1:12" ht="15" x14ac:dyDescent="0.25">
      <c r="A403" s="1"/>
      <c r="B403" s="39"/>
      <c r="C403" s="1"/>
      <c r="D403" s="1"/>
      <c r="E403" s="1"/>
      <c r="F403" s="40" t="s">
        <v>5</v>
      </c>
      <c r="G403" s="40"/>
      <c r="H403" s="1"/>
      <c r="I403" s="41">
        <f>SUM(I399:I400)</f>
        <v>250000</v>
      </c>
      <c r="J403" s="1"/>
      <c r="K403" s="1"/>
      <c r="L403" s="42"/>
    </row>
    <row r="404" spans="1:12" ht="7.5" customHeight="1" thickBot="1" x14ac:dyDescent="0.3">
      <c r="A404" s="1"/>
      <c r="B404" s="43"/>
      <c r="C404" s="44"/>
      <c r="D404" s="44"/>
      <c r="E404" s="44"/>
      <c r="F404" s="45"/>
      <c r="G404" s="45"/>
      <c r="H404" s="44"/>
      <c r="I404" s="46"/>
      <c r="J404" s="44"/>
      <c r="K404" s="44"/>
      <c r="L404" s="47"/>
    </row>
    <row r="405" spans="1:12" ht="14.25" customHeight="1" thickTop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48.75" customHeight="1" x14ac:dyDescent="0.2">
      <c r="A406" s="10" t="s">
        <v>2</v>
      </c>
      <c r="B406" s="279" t="s">
        <v>11</v>
      </c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</row>
    <row r="407" spans="1:1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7.25" customHeight="1" x14ac:dyDescent="0.2">
      <c r="A408" s="280" t="s">
        <v>12</v>
      </c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</row>
    <row r="409" spans="1:12" ht="16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9.5" customHeight="1" x14ac:dyDescent="0.25">
      <c r="A411" s="1"/>
      <c r="B411" s="1"/>
      <c r="C411" s="1"/>
      <c r="D411" s="1"/>
      <c r="E411" s="1"/>
      <c r="F411" s="1"/>
      <c r="G411" s="1"/>
      <c r="H411" s="4" t="s">
        <v>199</v>
      </c>
      <c r="J411" s="286" t="s">
        <v>245</v>
      </c>
      <c r="K411" s="286"/>
      <c r="L411" s="286"/>
    </row>
    <row r="412" spans="1:12" ht="16.5" customHeight="1" x14ac:dyDescent="0.25">
      <c r="A412" s="1"/>
      <c r="B412" s="1" t="s">
        <v>15</v>
      </c>
      <c r="C412" s="1"/>
      <c r="D412" s="1"/>
      <c r="E412" s="1"/>
      <c r="F412" s="1"/>
      <c r="G412" s="1"/>
      <c r="H412" s="4" t="s">
        <v>13</v>
      </c>
    </row>
    <row r="413" spans="1:12" ht="15" x14ac:dyDescent="0.25">
      <c r="A413" s="1"/>
      <c r="B413" s="1" t="s">
        <v>18</v>
      </c>
      <c r="C413" s="1"/>
      <c r="D413" s="1"/>
      <c r="E413" s="1"/>
      <c r="F413" s="1"/>
      <c r="G413" s="1"/>
      <c r="H413" s="4" t="s">
        <v>14</v>
      </c>
    </row>
    <row r="414" spans="1:12" ht="32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21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9.75" customHeight="1" x14ac:dyDescent="0.25">
      <c r="A416" s="1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"/>
    </row>
    <row r="417" spans="1:12" ht="15" customHeight="1" x14ac:dyDescent="0.25">
      <c r="A417" s="1"/>
      <c r="K417" s="103"/>
      <c r="L417" s="1"/>
    </row>
    <row r="418" spans="1:12" ht="15" x14ac:dyDescent="0.25">
      <c r="A418" s="1"/>
      <c r="B418" s="95" t="s">
        <v>77</v>
      </c>
      <c r="H418" s="95" t="s">
        <v>64</v>
      </c>
      <c r="I418" s="95"/>
      <c r="J418" s="92"/>
      <c r="K418" s="103"/>
      <c r="L418" s="1"/>
    </row>
    <row r="419" spans="1:12" ht="27" customHeight="1" x14ac:dyDescent="0.25">
      <c r="A419" s="1"/>
      <c r="B419" s="99" t="s">
        <v>27</v>
      </c>
      <c r="C419" s="57"/>
      <c r="H419" s="99" t="s">
        <v>46</v>
      </c>
      <c r="K419" s="103"/>
    </row>
    <row r="420" spans="1:12" ht="21" customHeight="1" x14ac:dyDescent="0.2"/>
    <row r="421" spans="1:12" ht="7.5" customHeight="1" x14ac:dyDescent="0.2"/>
    <row r="422" spans="1:12" ht="15" customHeight="1" x14ac:dyDescent="0.2"/>
    <row r="423" spans="1:12" ht="45" customHeight="1" x14ac:dyDescent="0.25">
      <c r="A423" s="3" t="s">
        <v>22</v>
      </c>
    </row>
    <row r="424" spans="1:12" ht="13.5" customHeight="1" x14ac:dyDescent="0.2">
      <c r="A424" s="122" t="s">
        <v>20</v>
      </c>
    </row>
    <row r="425" spans="1:12" ht="21.75" customHeight="1" x14ac:dyDescent="0.2">
      <c r="A425" s="122" t="s">
        <v>21</v>
      </c>
    </row>
    <row r="426" spans="1:12" ht="21.75" customHeight="1" x14ac:dyDescent="0.2"/>
    <row r="427" spans="1:12" ht="3.75" customHeight="1" x14ac:dyDescent="0.2"/>
    <row r="428" spans="1:12" ht="17.25" customHeight="1" x14ac:dyDescent="0.2"/>
    <row r="429" spans="1:12" ht="24" customHeight="1" x14ac:dyDescent="0.3">
      <c r="A429" s="276" t="s">
        <v>6</v>
      </c>
      <c r="B429" s="276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</row>
    <row r="430" spans="1:12" ht="12.75" customHeight="1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</row>
    <row r="431" spans="1:12" ht="19.5" customHeight="1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</row>
    <row r="432" spans="1:12" ht="15" x14ac:dyDescent="0.25">
      <c r="A432" s="1"/>
      <c r="B432" s="1"/>
    </row>
    <row r="433" spans="1:12" ht="15" x14ac:dyDescent="0.25">
      <c r="A433" s="1" t="s">
        <v>7</v>
      </c>
      <c r="B433" s="1"/>
    </row>
    <row r="434" spans="1:12" ht="15" customHeight="1" x14ac:dyDescent="0.25">
      <c r="A434" s="1"/>
      <c r="B434" s="1"/>
    </row>
    <row r="435" spans="1:12" ht="15" x14ac:dyDescent="0.25">
      <c r="A435" s="1" t="s">
        <v>8</v>
      </c>
      <c r="C435" s="9" t="s">
        <v>1</v>
      </c>
      <c r="D435" s="92" t="s">
        <v>77</v>
      </c>
      <c r="E435" s="76"/>
      <c r="F435" s="76"/>
      <c r="G435" s="76"/>
      <c r="H435" s="76"/>
    </row>
    <row r="436" spans="1:12" ht="16.5" customHeight="1" x14ac:dyDescent="0.25">
      <c r="A436" s="1" t="s">
        <v>9</v>
      </c>
      <c r="C436" s="9" t="s">
        <v>1</v>
      </c>
      <c r="D436" s="57" t="s">
        <v>201</v>
      </c>
      <c r="E436" s="76"/>
      <c r="F436" s="76"/>
      <c r="G436" s="76"/>
      <c r="H436" s="76"/>
    </row>
    <row r="437" spans="1:12" ht="17.25" customHeight="1" x14ac:dyDescent="0.2">
      <c r="A437" s="50" t="s">
        <v>10</v>
      </c>
      <c r="B437" s="76"/>
      <c r="C437" s="91" t="s">
        <v>1</v>
      </c>
      <c r="D437" s="314" t="s">
        <v>233</v>
      </c>
      <c r="E437" s="314"/>
      <c r="F437" s="314"/>
      <c r="G437" s="314"/>
      <c r="H437" s="314"/>
      <c r="I437" s="76"/>
      <c r="J437" s="76"/>
      <c r="K437" s="76"/>
      <c r="L437" s="76"/>
    </row>
    <row r="438" spans="1:12" ht="21" customHeight="1" x14ac:dyDescent="0.25">
      <c r="A438" s="1"/>
      <c r="B438" s="1"/>
      <c r="D438" s="1"/>
    </row>
    <row r="439" spans="1:12" ht="28.5" customHeight="1" x14ac:dyDescent="0.2">
      <c r="A439" s="277" t="s">
        <v>248</v>
      </c>
      <c r="B439" s="277"/>
      <c r="C439" s="277"/>
      <c r="D439" s="277"/>
      <c r="E439" s="277"/>
      <c r="F439" s="277"/>
      <c r="G439" s="277"/>
      <c r="H439" s="277"/>
      <c r="I439" s="277"/>
      <c r="J439" s="277"/>
      <c r="K439" s="277"/>
      <c r="L439" s="277"/>
    </row>
    <row r="440" spans="1:12" ht="14.25" customHeight="1" x14ac:dyDescent="0.25">
      <c r="A440" s="1"/>
      <c r="B440" s="1"/>
    </row>
    <row r="441" spans="1:12" ht="37.5" customHeight="1" thickBot="1" x14ac:dyDescent="0.25">
      <c r="A441" s="10" t="s">
        <v>0</v>
      </c>
      <c r="B441" s="278" t="s">
        <v>91</v>
      </c>
      <c r="C441" s="278"/>
      <c r="D441" s="278"/>
      <c r="E441" s="278"/>
      <c r="F441" s="278"/>
      <c r="G441" s="278"/>
      <c r="H441" s="278"/>
      <c r="I441" s="278"/>
      <c r="J441" s="278"/>
      <c r="K441" s="278"/>
      <c r="L441" s="278"/>
    </row>
    <row r="442" spans="1:12" ht="15.75" thickTop="1" x14ac:dyDescent="0.25">
      <c r="A442" s="1"/>
      <c r="B442" s="11" t="s">
        <v>3</v>
      </c>
      <c r="C442" s="12" t="s">
        <v>4</v>
      </c>
      <c r="D442" s="13"/>
      <c r="E442" s="13"/>
      <c r="F442" s="13"/>
      <c r="G442" s="13"/>
      <c r="H442" s="14"/>
      <c r="I442" s="15" t="s">
        <v>5</v>
      </c>
      <c r="J442" s="12" t="s">
        <v>17</v>
      </c>
      <c r="K442" s="13"/>
      <c r="L442" s="14"/>
    </row>
    <row r="443" spans="1:12" ht="31.5" customHeight="1" x14ac:dyDescent="0.2">
      <c r="A443" s="50"/>
      <c r="B443" s="100">
        <v>1</v>
      </c>
      <c r="C443" s="284" t="s">
        <v>230</v>
      </c>
      <c r="D443" s="285"/>
      <c r="E443" s="285"/>
      <c r="F443" s="285"/>
      <c r="G443" s="76"/>
      <c r="H443" s="79"/>
      <c r="I443" s="56">
        <v>250000</v>
      </c>
      <c r="J443" s="76"/>
      <c r="K443" s="76"/>
      <c r="L443" s="79"/>
    </row>
    <row r="444" spans="1:12" s="76" customFormat="1" ht="15" x14ac:dyDescent="0.25">
      <c r="A444" s="50"/>
      <c r="B444" s="96"/>
      <c r="C444" s="321"/>
      <c r="D444" s="297"/>
      <c r="E444" s="127"/>
      <c r="F444" s="319"/>
      <c r="G444" s="297"/>
      <c r="H444" s="320"/>
      <c r="I444" s="56"/>
      <c r="J444" s="50"/>
      <c r="K444" s="1"/>
      <c r="L444" s="17"/>
    </row>
    <row r="445" spans="1:12" s="76" customFormat="1" ht="24.75" customHeight="1" x14ac:dyDescent="0.2">
      <c r="A445" s="4"/>
      <c r="B445" s="16"/>
      <c r="C445" s="4"/>
      <c r="D445" s="4"/>
      <c r="E445" s="4"/>
      <c r="F445" s="4"/>
      <c r="G445" s="4"/>
      <c r="H445" s="17"/>
      <c r="I445" s="19"/>
      <c r="J445" s="4"/>
      <c r="K445" s="4"/>
      <c r="L445" s="17"/>
    </row>
    <row r="446" spans="1:12" s="76" customFormat="1" ht="10.5" customHeight="1" x14ac:dyDescent="0.2">
      <c r="A446" s="4"/>
      <c r="B446" s="20"/>
      <c r="C446" s="21"/>
      <c r="D446" s="21"/>
      <c r="E446" s="21"/>
      <c r="F446" s="21"/>
      <c r="G446" s="21"/>
      <c r="H446" s="22"/>
      <c r="I446" s="23"/>
      <c r="J446" s="21"/>
      <c r="K446" s="21"/>
      <c r="L446" s="22"/>
    </row>
    <row r="447" spans="1:12" ht="12.75" customHeight="1" x14ac:dyDescent="0.25">
      <c r="A447" s="1"/>
      <c r="B447" s="39"/>
      <c r="C447" s="1"/>
      <c r="D447" s="1"/>
      <c r="E447" s="1"/>
      <c r="F447" s="40" t="s">
        <v>5</v>
      </c>
      <c r="G447" s="40"/>
      <c r="H447" s="1"/>
      <c r="I447" s="41">
        <f>SUM(I443:I444)</f>
        <v>250000</v>
      </c>
      <c r="J447" s="1"/>
      <c r="K447" s="1"/>
      <c r="L447" s="42"/>
    </row>
    <row r="448" spans="1:12" ht="3.75" customHeight="1" thickBot="1" x14ac:dyDescent="0.3">
      <c r="A448" s="1"/>
      <c r="B448" s="43"/>
      <c r="C448" s="44"/>
      <c r="D448" s="44"/>
      <c r="E448" s="44"/>
      <c r="F448" s="45"/>
      <c r="G448" s="45"/>
      <c r="H448" s="44"/>
      <c r="I448" s="46"/>
      <c r="J448" s="44"/>
      <c r="K448" s="44"/>
      <c r="L448" s="47"/>
    </row>
    <row r="449" spans="1:12" ht="15.75" thickTop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49.5" customHeight="1" x14ac:dyDescent="0.2">
      <c r="A450" s="10" t="s">
        <v>2</v>
      </c>
      <c r="B450" s="279" t="s">
        <v>11</v>
      </c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</row>
    <row r="451" spans="1:12" ht="10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2">
      <c r="A452" s="280" t="s">
        <v>12</v>
      </c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</row>
    <row r="453" spans="1:12" ht="9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6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2" customHeight="1" x14ac:dyDescent="0.25">
      <c r="A455" s="1"/>
      <c r="B455" s="1"/>
      <c r="C455" s="1"/>
      <c r="D455" s="1"/>
      <c r="E455" s="1"/>
      <c r="F455" s="1"/>
      <c r="G455" s="1"/>
      <c r="H455" s="4" t="s">
        <v>199</v>
      </c>
      <c r="J455" s="286" t="s">
        <v>245</v>
      </c>
      <c r="K455" s="286"/>
      <c r="L455" s="286"/>
    </row>
    <row r="456" spans="1:12" ht="17.25" customHeight="1" x14ac:dyDescent="0.25">
      <c r="A456" s="1"/>
      <c r="B456" s="1" t="s">
        <v>15</v>
      </c>
      <c r="C456" s="1"/>
      <c r="D456" s="1"/>
      <c r="E456" s="1"/>
      <c r="F456" s="1"/>
      <c r="G456" s="1"/>
      <c r="H456" s="4" t="s">
        <v>13</v>
      </c>
    </row>
    <row r="457" spans="1:12" ht="16.5" customHeight="1" x14ac:dyDescent="0.25">
      <c r="A457" s="1"/>
      <c r="B457" s="1" t="s">
        <v>18</v>
      </c>
      <c r="C457" s="1"/>
      <c r="D457" s="1"/>
      <c r="E457" s="1"/>
      <c r="F457" s="1"/>
      <c r="G457" s="1"/>
      <c r="H457" s="4" t="s">
        <v>14</v>
      </c>
    </row>
    <row r="458" spans="1:12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9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" x14ac:dyDescent="0.25">
      <c r="A460" s="1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"/>
    </row>
    <row r="461" spans="1:12" ht="12.75" customHeight="1" x14ac:dyDescent="0.25">
      <c r="A461" s="1"/>
      <c r="K461" s="103"/>
      <c r="L461" s="1"/>
    </row>
    <row r="462" spans="1:12" ht="15" x14ac:dyDescent="0.25">
      <c r="A462" s="1"/>
      <c r="B462" s="95" t="s">
        <v>77</v>
      </c>
      <c r="H462" s="95" t="s">
        <v>77</v>
      </c>
      <c r="I462" s="95"/>
      <c r="J462" s="92"/>
      <c r="K462" s="103"/>
      <c r="L462" s="1"/>
    </row>
    <row r="463" spans="1:12" ht="15" customHeight="1" x14ac:dyDescent="0.25">
      <c r="A463" s="1"/>
      <c r="B463" s="99" t="s">
        <v>27</v>
      </c>
      <c r="C463" s="57"/>
      <c r="H463" s="99" t="s">
        <v>27</v>
      </c>
      <c r="K463" s="103"/>
    </row>
    <row r="464" spans="1:12" ht="12.75" x14ac:dyDescent="0.2"/>
    <row r="465" spans="1:12" ht="17.25" customHeight="1" x14ac:dyDescent="0.2"/>
    <row r="466" spans="1:12" ht="22.5" customHeight="1" x14ac:dyDescent="0.2"/>
    <row r="467" spans="1:12" ht="16.5" customHeight="1" x14ac:dyDescent="0.2"/>
    <row r="468" spans="1:12" ht="16.5" customHeight="1" x14ac:dyDescent="0.2"/>
    <row r="469" spans="1:12" ht="16.5" customHeight="1" x14ac:dyDescent="0.2"/>
    <row r="470" spans="1:12" ht="48" customHeight="1" x14ac:dyDescent="0.25">
      <c r="A470" s="3" t="s">
        <v>22</v>
      </c>
    </row>
    <row r="471" spans="1:12" ht="18" customHeight="1" x14ac:dyDescent="0.2">
      <c r="A471" s="122" t="s">
        <v>20</v>
      </c>
    </row>
    <row r="472" spans="1:12" ht="23.25" customHeight="1" x14ac:dyDescent="0.2">
      <c r="A472" s="122" t="s">
        <v>21</v>
      </c>
    </row>
    <row r="473" spans="1:12" ht="9.75" customHeight="1" x14ac:dyDescent="0.2"/>
    <row r="474" spans="1:12" ht="15.75" customHeight="1" x14ac:dyDescent="0.2"/>
    <row r="475" spans="1:12" ht="12.75" customHeight="1" x14ac:dyDescent="0.2"/>
    <row r="476" spans="1:12" ht="18.75" x14ac:dyDescent="0.3">
      <c r="A476" s="276" t="s">
        <v>6</v>
      </c>
      <c r="B476" s="276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</row>
    <row r="477" spans="1:12" ht="18.75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</row>
    <row r="478" spans="1:12" ht="18.75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</row>
    <row r="479" spans="1:12" ht="15" x14ac:dyDescent="0.25">
      <c r="A479" s="1"/>
      <c r="B479" s="1"/>
    </row>
    <row r="480" spans="1:12" ht="15" x14ac:dyDescent="0.25">
      <c r="A480" s="1" t="s">
        <v>7</v>
      </c>
      <c r="B480" s="1"/>
    </row>
    <row r="481" spans="1:12" ht="15" x14ac:dyDescent="0.25">
      <c r="A481" s="1"/>
      <c r="B481" s="1"/>
    </row>
    <row r="482" spans="1:12" ht="15" x14ac:dyDescent="0.25">
      <c r="A482" s="1" t="s">
        <v>8</v>
      </c>
      <c r="C482" s="9" t="s">
        <v>1</v>
      </c>
      <c r="D482" s="92" t="s">
        <v>96</v>
      </c>
      <c r="E482" s="76"/>
      <c r="F482" s="76"/>
      <c r="G482" s="76"/>
      <c r="H482" s="76"/>
    </row>
    <row r="483" spans="1:12" ht="15.75" customHeight="1" x14ac:dyDescent="0.25">
      <c r="A483" s="1" t="s">
        <v>9</v>
      </c>
      <c r="C483" s="9" t="s">
        <v>1</v>
      </c>
      <c r="D483" s="57" t="s">
        <v>200</v>
      </c>
      <c r="E483" s="76"/>
      <c r="F483" s="76"/>
      <c r="G483" s="76"/>
      <c r="H483" s="76"/>
    </row>
    <row r="484" spans="1:12" ht="20.25" customHeight="1" x14ac:dyDescent="0.2">
      <c r="A484" s="50" t="s">
        <v>10</v>
      </c>
      <c r="B484" s="76"/>
      <c r="C484" s="91" t="s">
        <v>1</v>
      </c>
      <c r="D484" s="50" t="s">
        <v>203</v>
      </c>
      <c r="E484" s="76"/>
      <c r="F484" s="76"/>
      <c r="G484" s="76"/>
      <c r="H484" s="76"/>
      <c r="I484" s="76"/>
      <c r="J484" s="76"/>
      <c r="K484" s="76"/>
      <c r="L484" s="76"/>
    </row>
    <row r="485" spans="1:12" ht="13.5" customHeight="1" x14ac:dyDescent="0.25">
      <c r="A485" s="1"/>
      <c r="B485" s="1"/>
      <c r="D485" s="1"/>
    </row>
    <row r="486" spans="1:12" ht="36.75" customHeight="1" x14ac:dyDescent="0.2">
      <c r="A486" s="277" t="s">
        <v>248</v>
      </c>
      <c r="B486" s="277"/>
      <c r="C486" s="277"/>
      <c r="D486" s="277"/>
      <c r="E486" s="277"/>
      <c r="F486" s="277"/>
      <c r="G486" s="277"/>
      <c r="H486" s="277"/>
      <c r="I486" s="277"/>
      <c r="J486" s="277"/>
      <c r="K486" s="277"/>
      <c r="L486" s="277"/>
    </row>
    <row r="487" spans="1:12" ht="11.25" customHeight="1" x14ac:dyDescent="0.25">
      <c r="A487" s="1"/>
      <c r="B487" s="1"/>
    </row>
    <row r="488" spans="1:12" ht="37.5" customHeight="1" thickBot="1" x14ac:dyDescent="0.25">
      <c r="A488" s="10" t="s">
        <v>0</v>
      </c>
      <c r="B488" s="278" t="s">
        <v>91</v>
      </c>
      <c r="C488" s="278"/>
      <c r="D488" s="278"/>
      <c r="E488" s="278"/>
      <c r="F488" s="278"/>
      <c r="G488" s="278"/>
      <c r="H488" s="278"/>
      <c r="I488" s="278"/>
      <c r="J488" s="278"/>
      <c r="K488" s="278"/>
      <c r="L488" s="278"/>
    </row>
    <row r="489" spans="1:12" ht="15" customHeight="1" thickTop="1" x14ac:dyDescent="0.25">
      <c r="A489" s="1"/>
      <c r="B489" s="11" t="s">
        <v>3</v>
      </c>
      <c r="C489" s="12" t="s">
        <v>4</v>
      </c>
      <c r="D489" s="13"/>
      <c r="E489" s="13"/>
      <c r="F489" s="13"/>
      <c r="G489" s="13"/>
      <c r="H489" s="14"/>
      <c r="I489" s="15" t="s">
        <v>5</v>
      </c>
      <c r="J489" s="12" t="s">
        <v>17</v>
      </c>
      <c r="K489" s="13"/>
      <c r="L489" s="14"/>
    </row>
    <row r="490" spans="1:12" ht="15.75" customHeight="1" x14ac:dyDescent="0.2">
      <c r="A490" s="50"/>
      <c r="B490" s="100">
        <v>1</v>
      </c>
      <c r="C490" s="284" t="s">
        <v>230</v>
      </c>
      <c r="D490" s="285"/>
      <c r="E490" s="285"/>
      <c r="F490" s="285"/>
      <c r="G490" s="76"/>
      <c r="H490" s="79"/>
      <c r="I490" s="56">
        <v>250000</v>
      </c>
      <c r="J490" s="76"/>
      <c r="K490" s="76"/>
      <c r="L490" s="79"/>
    </row>
    <row r="491" spans="1:12" ht="23.25" customHeight="1" x14ac:dyDescent="0.25">
      <c r="A491" s="50"/>
      <c r="B491" s="96"/>
      <c r="C491" s="321"/>
      <c r="D491" s="297"/>
      <c r="E491" s="127"/>
      <c r="F491" s="319"/>
      <c r="G491" s="297"/>
      <c r="H491" s="320"/>
      <c r="I491" s="56"/>
      <c r="J491" s="50"/>
      <c r="K491" s="1"/>
      <c r="L491" s="17"/>
    </row>
    <row r="492" spans="1:12" ht="16.5" customHeight="1" x14ac:dyDescent="0.2">
      <c r="B492" s="16"/>
      <c r="H492" s="17"/>
      <c r="I492" s="19"/>
      <c r="L492" s="17"/>
    </row>
    <row r="493" spans="1:12" ht="20.100000000000001" customHeight="1" x14ac:dyDescent="0.2">
      <c r="B493" s="20"/>
      <c r="C493" s="21"/>
      <c r="D493" s="21"/>
      <c r="E493" s="21"/>
      <c r="F493" s="21"/>
      <c r="G493" s="21"/>
      <c r="H493" s="22"/>
      <c r="I493" s="23"/>
      <c r="J493" s="21"/>
      <c r="K493" s="21"/>
      <c r="L493" s="22"/>
    </row>
    <row r="494" spans="1:12" ht="12.75" customHeight="1" x14ac:dyDescent="0.25">
      <c r="A494" s="1"/>
      <c r="B494" s="39"/>
      <c r="C494" s="1"/>
      <c r="D494" s="1"/>
      <c r="E494" s="1"/>
      <c r="F494" s="40" t="s">
        <v>5</v>
      </c>
      <c r="G494" s="40"/>
      <c r="H494" s="1"/>
      <c r="I494" s="41">
        <f>SUM(I490:I491)</f>
        <v>250000</v>
      </c>
      <c r="J494" s="1"/>
      <c r="K494" s="1"/>
      <c r="L494" s="42"/>
    </row>
    <row r="495" spans="1:12" ht="15.75" thickBot="1" x14ac:dyDescent="0.3">
      <c r="A495" s="1"/>
      <c r="B495" s="43"/>
      <c r="C495" s="44"/>
      <c r="D495" s="44"/>
      <c r="E495" s="44"/>
      <c r="F495" s="45"/>
      <c r="G495" s="45"/>
      <c r="H495" s="44"/>
      <c r="I495" s="46"/>
      <c r="J495" s="44"/>
      <c r="K495" s="44"/>
      <c r="L495" s="47"/>
    </row>
    <row r="496" spans="1:12" ht="15.75" thickTop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51.75" customHeight="1" x14ac:dyDescent="0.2">
      <c r="A497" s="10" t="s">
        <v>2</v>
      </c>
      <c r="B497" s="279" t="s">
        <v>11</v>
      </c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</row>
    <row r="498" spans="1:12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" x14ac:dyDescent="0.2">
      <c r="A499" s="280" t="s">
        <v>12</v>
      </c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</row>
    <row r="500" spans="1:12" ht="1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1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2" customHeight="1" x14ac:dyDescent="0.25">
      <c r="A502" s="1"/>
      <c r="B502" s="1"/>
      <c r="C502" s="1"/>
      <c r="D502" s="1"/>
      <c r="E502" s="1"/>
      <c r="F502" s="1"/>
      <c r="G502" s="1"/>
      <c r="H502" s="4" t="s">
        <v>199</v>
      </c>
      <c r="J502" s="286" t="s">
        <v>245</v>
      </c>
      <c r="K502" s="286"/>
      <c r="L502" s="286"/>
    </row>
    <row r="503" spans="1:12" ht="14.25" customHeight="1" x14ac:dyDescent="0.25">
      <c r="A503" s="1"/>
      <c r="B503" s="1" t="s">
        <v>15</v>
      </c>
      <c r="C503" s="1"/>
      <c r="D503" s="1"/>
      <c r="E503" s="1"/>
      <c r="F503" s="1"/>
      <c r="G503" s="1"/>
      <c r="H503" s="4" t="s">
        <v>13</v>
      </c>
    </row>
    <row r="504" spans="1:12" ht="15" x14ac:dyDescent="0.25">
      <c r="A504" s="1"/>
      <c r="B504" s="1" t="s">
        <v>18</v>
      </c>
      <c r="C504" s="1"/>
      <c r="D504" s="1"/>
      <c r="E504" s="1"/>
      <c r="F504" s="1"/>
      <c r="G504" s="1"/>
      <c r="H504" s="4" t="s">
        <v>14</v>
      </c>
    </row>
    <row r="505" spans="1:12" ht="26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24" hidden="1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" hidden="1" customHeight="1" x14ac:dyDescent="0.25">
      <c r="A507" s="1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"/>
    </row>
    <row r="508" spans="1:12" ht="15" x14ac:dyDescent="0.25">
      <c r="A508" s="1"/>
      <c r="K508" s="103"/>
      <c r="L508" s="1"/>
    </row>
    <row r="509" spans="1:12" ht="15" x14ac:dyDescent="0.25">
      <c r="A509" s="1"/>
      <c r="B509" s="95" t="s">
        <v>77</v>
      </c>
      <c r="H509" s="95" t="s">
        <v>96</v>
      </c>
      <c r="I509" s="95"/>
      <c r="J509" s="92"/>
      <c r="K509" s="103"/>
      <c r="L509" s="1"/>
    </row>
    <row r="510" spans="1:12" ht="13.5" customHeight="1" x14ac:dyDescent="0.25">
      <c r="A510" s="1"/>
      <c r="B510" s="99" t="s">
        <v>27</v>
      </c>
      <c r="C510" s="57"/>
      <c r="H510" s="99" t="s">
        <v>100</v>
      </c>
      <c r="K510" s="103"/>
    </row>
    <row r="511" spans="1:12" ht="18.75" customHeight="1" x14ac:dyDescent="0.2"/>
    <row r="512" spans="1:12" ht="45" customHeight="1" x14ac:dyDescent="0.2"/>
    <row r="513" spans="1:12" ht="15" customHeight="1" x14ac:dyDescent="0.2"/>
    <row r="514" spans="1:12" ht="23.25" customHeight="1" x14ac:dyDescent="0.25">
      <c r="A514" s="3" t="s">
        <v>22</v>
      </c>
    </row>
    <row r="515" spans="1:12" ht="15" customHeight="1" x14ac:dyDescent="0.2">
      <c r="A515" s="122" t="s">
        <v>20</v>
      </c>
    </row>
    <row r="516" spans="1:12" ht="13.5" customHeight="1" x14ac:dyDescent="0.2">
      <c r="A516" s="122" t="s">
        <v>21</v>
      </c>
    </row>
    <row r="517" spans="1:12" ht="12.75" x14ac:dyDescent="0.2"/>
    <row r="518" spans="1:12" ht="13.5" customHeight="1" x14ac:dyDescent="0.2"/>
    <row r="519" spans="1:12" ht="12.75" x14ac:dyDescent="0.2"/>
    <row r="520" spans="1:12" ht="17.25" customHeight="1" x14ac:dyDescent="0.3">
      <c r="A520" s="276" t="s">
        <v>6</v>
      </c>
      <c r="B520" s="276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</row>
    <row r="521" spans="1:12" ht="18.75" hidden="1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</row>
    <row r="522" spans="1:12" ht="16.5" customHeight="1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</row>
    <row r="523" spans="1:12" ht="21" customHeight="1" x14ac:dyDescent="0.25">
      <c r="A523" s="1"/>
      <c r="B523" s="1"/>
    </row>
    <row r="524" spans="1:12" ht="15" customHeight="1" x14ac:dyDescent="0.25">
      <c r="A524" s="1" t="s">
        <v>7</v>
      </c>
      <c r="B524" s="1"/>
    </row>
    <row r="525" spans="1:12" ht="15" x14ac:dyDescent="0.25">
      <c r="A525" s="1"/>
      <c r="B525" s="1"/>
    </row>
    <row r="526" spans="1:12" ht="15" x14ac:dyDescent="0.25">
      <c r="A526" s="1" t="s">
        <v>8</v>
      </c>
      <c r="C526" s="9" t="s">
        <v>1</v>
      </c>
      <c r="D526" s="126" t="s">
        <v>64</v>
      </c>
      <c r="E526" s="76"/>
      <c r="F526" s="76"/>
      <c r="G526" s="76"/>
      <c r="H526" s="76"/>
    </row>
    <row r="527" spans="1:12" ht="12.75" customHeight="1" x14ac:dyDescent="0.25">
      <c r="A527" s="1" t="s">
        <v>9</v>
      </c>
      <c r="C527" s="9" t="s">
        <v>1</v>
      </c>
      <c r="D527" s="119" t="s">
        <v>236</v>
      </c>
      <c r="E527" s="76"/>
      <c r="F527" s="76"/>
      <c r="G527" s="76"/>
      <c r="H527" s="76"/>
    </row>
    <row r="528" spans="1:12" ht="28.5" customHeight="1" x14ac:dyDescent="0.2">
      <c r="A528" s="50" t="s">
        <v>10</v>
      </c>
      <c r="B528" s="76"/>
      <c r="C528" s="91" t="s">
        <v>1</v>
      </c>
      <c r="D528" s="124" t="s">
        <v>235</v>
      </c>
      <c r="E528" s="76"/>
      <c r="F528" s="76"/>
      <c r="G528" s="76"/>
      <c r="H528" s="76"/>
      <c r="I528" s="76"/>
      <c r="J528" s="76"/>
      <c r="K528" s="76"/>
      <c r="L528" s="76"/>
    </row>
    <row r="529" spans="1:12" ht="11.25" customHeight="1" x14ac:dyDescent="0.25">
      <c r="A529" s="1"/>
      <c r="B529" s="1"/>
      <c r="D529" s="1"/>
    </row>
    <row r="530" spans="1:12" ht="39.75" customHeight="1" x14ac:dyDescent="0.2">
      <c r="A530" s="277" t="s">
        <v>248</v>
      </c>
      <c r="B530" s="277"/>
      <c r="C530" s="277"/>
      <c r="D530" s="277"/>
      <c r="E530" s="277"/>
      <c r="F530" s="277"/>
      <c r="G530" s="277"/>
      <c r="H530" s="277"/>
      <c r="I530" s="277"/>
      <c r="J530" s="277"/>
      <c r="K530" s="277"/>
      <c r="L530" s="277"/>
    </row>
    <row r="531" spans="1:12" ht="18" customHeight="1" x14ac:dyDescent="0.25">
      <c r="A531" s="1"/>
      <c r="B531" s="1"/>
    </row>
    <row r="532" spans="1:12" ht="33" customHeight="1" thickBot="1" x14ac:dyDescent="0.25">
      <c r="A532" s="10" t="s">
        <v>0</v>
      </c>
      <c r="B532" s="278" t="s">
        <v>91</v>
      </c>
      <c r="C532" s="278"/>
      <c r="D532" s="278"/>
      <c r="E532" s="278"/>
      <c r="F532" s="278"/>
      <c r="G532" s="278"/>
      <c r="H532" s="278"/>
      <c r="I532" s="278"/>
      <c r="J532" s="278"/>
      <c r="K532" s="278"/>
      <c r="L532" s="278"/>
    </row>
    <row r="533" spans="1:12" ht="15.75" thickTop="1" x14ac:dyDescent="0.25">
      <c r="A533" s="1"/>
      <c r="B533" s="11" t="s">
        <v>3</v>
      </c>
      <c r="C533" s="12" t="s">
        <v>4</v>
      </c>
      <c r="D533" s="13"/>
      <c r="E533" s="13"/>
      <c r="F533" s="13"/>
      <c r="G533" s="13"/>
      <c r="H533" s="14"/>
      <c r="I533" s="15" t="s">
        <v>5</v>
      </c>
      <c r="J533" s="12" t="s">
        <v>17</v>
      </c>
      <c r="K533" s="13"/>
      <c r="L533" s="14"/>
    </row>
    <row r="534" spans="1:12" ht="15" customHeight="1" x14ac:dyDescent="0.2">
      <c r="A534" s="50"/>
      <c r="B534" s="100">
        <v>1</v>
      </c>
      <c r="C534" s="284" t="s">
        <v>230</v>
      </c>
      <c r="D534" s="285"/>
      <c r="E534" s="285"/>
      <c r="F534" s="285"/>
      <c r="G534" s="76"/>
      <c r="H534" s="79"/>
      <c r="I534" s="56">
        <v>250000</v>
      </c>
      <c r="J534" s="76"/>
      <c r="K534" s="76"/>
      <c r="L534" s="79"/>
    </row>
    <row r="535" spans="1:12" ht="24.75" customHeight="1" x14ac:dyDescent="0.25">
      <c r="A535" s="50"/>
      <c r="B535" s="96"/>
      <c r="C535" s="321"/>
      <c r="D535" s="297"/>
      <c r="E535" s="127"/>
      <c r="F535" s="319"/>
      <c r="G535" s="297"/>
      <c r="H535" s="320"/>
      <c r="I535" s="56"/>
      <c r="J535" s="50"/>
      <c r="K535" s="1"/>
      <c r="L535" s="17"/>
    </row>
    <row r="536" spans="1:12" ht="12.75" x14ac:dyDescent="0.2">
      <c r="B536" s="16"/>
      <c r="H536" s="17"/>
      <c r="I536" s="19"/>
      <c r="L536" s="17"/>
    </row>
    <row r="537" spans="1:12" ht="12.75" x14ac:dyDescent="0.2">
      <c r="B537" s="20"/>
      <c r="C537" s="21"/>
      <c r="D537" s="21"/>
      <c r="E537" s="21"/>
      <c r="F537" s="21"/>
      <c r="G537" s="21"/>
      <c r="H537" s="22"/>
      <c r="I537" s="23"/>
      <c r="J537" s="21"/>
      <c r="K537" s="21"/>
      <c r="L537" s="22"/>
    </row>
    <row r="538" spans="1:12" ht="18" customHeight="1" x14ac:dyDescent="0.25">
      <c r="A538" s="1"/>
      <c r="B538" s="39"/>
      <c r="C538" s="1"/>
      <c r="D538" s="1"/>
      <c r="E538" s="1"/>
      <c r="F538" s="40" t="s">
        <v>5</v>
      </c>
      <c r="G538" s="40"/>
      <c r="H538" s="1"/>
      <c r="I538" s="41">
        <f>SUM(I534:I535)</f>
        <v>250000</v>
      </c>
      <c r="J538" s="1"/>
      <c r="K538" s="1"/>
      <c r="L538" s="42"/>
    </row>
    <row r="539" spans="1:12" ht="9" customHeight="1" thickBot="1" x14ac:dyDescent="0.3">
      <c r="A539" s="1"/>
      <c r="B539" s="43"/>
      <c r="C539" s="44"/>
      <c r="D539" s="44"/>
      <c r="E539" s="44"/>
      <c r="F539" s="45"/>
      <c r="G539" s="45"/>
      <c r="H539" s="44"/>
      <c r="I539" s="46"/>
      <c r="J539" s="44"/>
      <c r="K539" s="44"/>
      <c r="L539" s="47"/>
    </row>
    <row r="540" spans="1:12" ht="25.5" customHeight="1" thickTop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54" customHeight="1" x14ac:dyDescent="0.2">
      <c r="A541" s="10" t="s">
        <v>2</v>
      </c>
      <c r="B541" s="279" t="s">
        <v>11</v>
      </c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</row>
    <row r="542" spans="1:12" ht="5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" x14ac:dyDescent="0.2">
      <c r="A543" s="280" t="s">
        <v>12</v>
      </c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</row>
    <row r="544" spans="1:1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6.5" customHeight="1" x14ac:dyDescent="0.25">
      <c r="A546" s="1"/>
      <c r="B546" s="1"/>
      <c r="C546" s="1"/>
      <c r="D546" s="1"/>
      <c r="E546" s="1"/>
      <c r="F546" s="1"/>
      <c r="G546" s="1"/>
      <c r="H546" s="4" t="s">
        <v>199</v>
      </c>
      <c r="J546" s="286" t="s">
        <v>245</v>
      </c>
      <c r="K546" s="286"/>
      <c r="L546" s="286"/>
    </row>
    <row r="547" spans="1:12" ht="15.75" customHeight="1" x14ac:dyDescent="0.25">
      <c r="A547" s="1"/>
      <c r="B547" s="1" t="s">
        <v>15</v>
      </c>
      <c r="C547" s="1"/>
      <c r="D547" s="1"/>
      <c r="E547" s="1"/>
      <c r="F547" s="1"/>
      <c r="G547" s="1"/>
      <c r="H547" s="4" t="s">
        <v>13</v>
      </c>
    </row>
    <row r="548" spans="1:12" ht="15" x14ac:dyDescent="0.25">
      <c r="A548" s="1"/>
      <c r="B548" s="1" t="s">
        <v>18</v>
      </c>
      <c r="C548" s="1"/>
      <c r="D548" s="1"/>
      <c r="E548" s="1"/>
      <c r="F548" s="1"/>
      <c r="G548" s="1"/>
      <c r="H548" s="4" t="s">
        <v>14</v>
      </c>
    </row>
    <row r="549" spans="1:12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3.5" customHeight="1" x14ac:dyDescent="0.25">
      <c r="A551" s="1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"/>
    </row>
    <row r="552" spans="1:12" ht="15" x14ac:dyDescent="0.25">
      <c r="A552" s="1"/>
      <c r="K552" s="103"/>
      <c r="L552" s="1"/>
    </row>
    <row r="553" spans="1:12" ht="15" x14ac:dyDescent="0.25">
      <c r="A553" s="1"/>
      <c r="B553" s="95" t="s">
        <v>77</v>
      </c>
      <c r="H553" s="95" t="s">
        <v>64</v>
      </c>
      <c r="I553" s="95"/>
      <c r="J553" s="92"/>
      <c r="K553" s="103"/>
      <c r="L553" s="1"/>
    </row>
    <row r="554" spans="1:12" ht="31.5" customHeight="1" x14ac:dyDescent="0.25">
      <c r="A554" s="1"/>
      <c r="B554" s="99" t="s">
        <v>27</v>
      </c>
      <c r="C554" s="57"/>
      <c r="H554" s="99" t="s">
        <v>46</v>
      </c>
      <c r="K554" s="103"/>
    </row>
    <row r="555" spans="1:12" ht="15" customHeight="1" x14ac:dyDescent="0.2"/>
    <row r="556" spans="1:12" ht="32.25" customHeight="1" x14ac:dyDescent="0.2"/>
    <row r="557" spans="1:12" ht="15" customHeight="1" x14ac:dyDescent="0.2"/>
    <row r="558" spans="1:12" ht="12.75" x14ac:dyDescent="0.2"/>
    <row r="559" spans="1:12" ht="19.5" customHeight="1" x14ac:dyDescent="0.2"/>
    <row r="560" spans="1:12" ht="28.5" customHeight="1" x14ac:dyDescent="0.2"/>
    <row r="561" spans="1:12" ht="15.75" customHeight="1" x14ac:dyDescent="0.2"/>
    <row r="562" spans="1:12" ht="16.5" customHeight="1" x14ac:dyDescent="0.2"/>
    <row r="563" spans="1:12" ht="14.25" customHeight="1" x14ac:dyDescent="0.2"/>
    <row r="564" spans="1:12" ht="13.5" customHeight="1" x14ac:dyDescent="0.2"/>
    <row r="565" spans="1:12" ht="16.5" customHeight="1" x14ac:dyDescent="0.25">
      <c r="A565" s="3" t="s">
        <v>22</v>
      </c>
    </row>
    <row r="566" spans="1:12" ht="16.5" customHeight="1" x14ac:dyDescent="0.2">
      <c r="A566" s="122" t="s">
        <v>20</v>
      </c>
    </row>
    <row r="567" spans="1:12" ht="15" customHeight="1" x14ac:dyDescent="0.2">
      <c r="A567" s="122" t="s">
        <v>21</v>
      </c>
    </row>
    <row r="568" spans="1:12" ht="18.75" customHeight="1" x14ac:dyDescent="0.2"/>
    <row r="569" spans="1:12" ht="12" customHeight="1" x14ac:dyDescent="0.2"/>
    <row r="570" spans="1:12" ht="15.75" customHeight="1" x14ac:dyDescent="0.2"/>
    <row r="571" spans="1:12" ht="15.75" customHeight="1" x14ac:dyDescent="0.3">
      <c r="A571" s="276" t="s">
        <v>6</v>
      </c>
      <c r="B571" s="276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</row>
    <row r="572" spans="1:12" ht="18.75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</row>
    <row r="573" spans="1:12" ht="18.75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</row>
    <row r="574" spans="1:12" ht="15" customHeight="1" x14ac:dyDescent="0.25">
      <c r="A574" s="1"/>
      <c r="B574" s="1"/>
    </row>
    <row r="575" spans="1:12" ht="15" x14ac:dyDescent="0.25">
      <c r="A575" s="1" t="s">
        <v>7</v>
      </c>
      <c r="B575" s="1"/>
    </row>
    <row r="576" spans="1:12" ht="18" customHeight="1" x14ac:dyDescent="0.25">
      <c r="A576" s="1"/>
      <c r="B576" s="1"/>
    </row>
    <row r="577" spans="1:12" ht="17.25" customHeight="1" x14ac:dyDescent="0.25">
      <c r="A577" s="1" t="s">
        <v>8</v>
      </c>
      <c r="C577" s="9" t="s">
        <v>1</v>
      </c>
      <c r="D577" s="40" t="s">
        <v>107</v>
      </c>
      <c r="E577" s="76"/>
      <c r="F577" s="76"/>
      <c r="G577" s="76"/>
      <c r="H577" s="76"/>
    </row>
    <row r="578" spans="1:12" ht="16.5" customHeight="1" x14ac:dyDescent="0.25">
      <c r="A578" s="1" t="s">
        <v>9</v>
      </c>
      <c r="C578" s="9" t="s">
        <v>1</v>
      </c>
      <c r="D578" s="7" t="s">
        <v>249</v>
      </c>
      <c r="E578" s="76"/>
      <c r="F578" s="76"/>
      <c r="G578" s="76"/>
      <c r="H578" s="76"/>
    </row>
    <row r="579" spans="1:12" ht="24" customHeight="1" x14ac:dyDescent="0.25">
      <c r="A579" s="50" t="s">
        <v>10</v>
      </c>
      <c r="B579" s="76"/>
      <c r="C579" s="91" t="s">
        <v>1</v>
      </c>
      <c r="D579" s="1" t="s">
        <v>250</v>
      </c>
      <c r="E579" s="76"/>
      <c r="F579" s="76"/>
      <c r="G579" s="76"/>
      <c r="H579" s="76"/>
      <c r="I579" s="76"/>
      <c r="J579" s="76"/>
      <c r="K579" s="76"/>
      <c r="L579" s="76"/>
    </row>
    <row r="580" spans="1:12" ht="14.25" customHeight="1" x14ac:dyDescent="0.25">
      <c r="A580" s="1"/>
      <c r="B580" s="1"/>
      <c r="D580" s="1"/>
    </row>
    <row r="581" spans="1:12" ht="29.25" customHeight="1" x14ac:dyDescent="0.2">
      <c r="A581" s="277" t="s">
        <v>248</v>
      </c>
      <c r="B581" s="277"/>
      <c r="C581" s="277"/>
      <c r="D581" s="277"/>
      <c r="E581" s="277"/>
      <c r="F581" s="277"/>
      <c r="G581" s="277"/>
      <c r="H581" s="277"/>
      <c r="I581" s="277"/>
      <c r="J581" s="277"/>
      <c r="K581" s="277"/>
      <c r="L581" s="277"/>
    </row>
    <row r="582" spans="1:12" ht="15" x14ac:dyDescent="0.25">
      <c r="A582" s="1"/>
      <c r="B582" s="1"/>
    </row>
    <row r="583" spans="1:12" ht="32.25" customHeight="1" thickBot="1" x14ac:dyDescent="0.25">
      <c r="A583" s="10" t="s">
        <v>0</v>
      </c>
      <c r="B583" s="278" t="s">
        <v>91</v>
      </c>
      <c r="C583" s="278"/>
      <c r="D583" s="278"/>
      <c r="E583" s="278"/>
      <c r="F583" s="278"/>
      <c r="G583" s="278"/>
      <c r="H583" s="278"/>
      <c r="I583" s="278"/>
      <c r="J583" s="278"/>
      <c r="K583" s="278"/>
      <c r="L583" s="278"/>
    </row>
    <row r="584" spans="1:12" s="76" customFormat="1" ht="15.75" thickTop="1" x14ac:dyDescent="0.25">
      <c r="A584" s="1"/>
      <c r="B584" s="11" t="s">
        <v>3</v>
      </c>
      <c r="C584" s="12" t="s">
        <v>4</v>
      </c>
      <c r="D584" s="13"/>
      <c r="E584" s="13"/>
      <c r="F584" s="13"/>
      <c r="G584" s="13"/>
      <c r="H584" s="14"/>
      <c r="I584" s="15" t="s">
        <v>5</v>
      </c>
      <c r="J584" s="12" t="s">
        <v>17</v>
      </c>
      <c r="K584" s="13"/>
      <c r="L584" s="14"/>
    </row>
    <row r="585" spans="1:12" s="76" customFormat="1" ht="15" x14ac:dyDescent="0.2">
      <c r="A585" s="50"/>
      <c r="B585" s="100">
        <v>1</v>
      </c>
      <c r="C585" s="284" t="s">
        <v>230</v>
      </c>
      <c r="D585" s="285"/>
      <c r="E585" s="285"/>
      <c r="F585" s="285"/>
      <c r="H585" s="79"/>
      <c r="I585" s="56">
        <v>250000</v>
      </c>
      <c r="L585" s="79"/>
    </row>
    <row r="586" spans="1:12" s="76" customFormat="1" ht="17.25" customHeight="1" x14ac:dyDescent="0.25">
      <c r="A586" s="50"/>
      <c r="B586" s="96"/>
      <c r="C586" s="321"/>
      <c r="D586" s="297"/>
      <c r="E586" s="127"/>
      <c r="F586" s="319"/>
      <c r="G586" s="297"/>
      <c r="H586" s="320"/>
      <c r="I586" s="56"/>
      <c r="J586" s="50"/>
      <c r="K586" s="1"/>
      <c r="L586" s="17"/>
    </row>
    <row r="587" spans="1:12" ht="23.25" customHeight="1" x14ac:dyDescent="0.2">
      <c r="B587" s="16"/>
      <c r="H587" s="17"/>
      <c r="I587" s="19"/>
      <c r="L587" s="17"/>
    </row>
    <row r="588" spans="1:12" ht="14.25" customHeight="1" x14ac:dyDescent="0.2">
      <c r="B588" s="20"/>
      <c r="C588" s="21"/>
      <c r="D588" s="21"/>
      <c r="E588" s="21"/>
      <c r="F588" s="21"/>
      <c r="G588" s="21"/>
      <c r="H588" s="22"/>
      <c r="I588" s="23"/>
      <c r="J588" s="21"/>
      <c r="K588" s="21"/>
      <c r="L588" s="22"/>
    </row>
    <row r="589" spans="1:12" ht="20.25" customHeight="1" x14ac:dyDescent="0.25">
      <c r="A589" s="1"/>
      <c r="B589" s="39"/>
      <c r="C589" s="1"/>
      <c r="D589" s="1"/>
      <c r="E589" s="1"/>
      <c r="F589" s="40" t="s">
        <v>5</v>
      </c>
      <c r="G589" s="40"/>
      <c r="H589" s="1"/>
      <c r="I589" s="41">
        <f>SUM(I585:I586)</f>
        <v>250000</v>
      </c>
      <c r="J589" s="1"/>
      <c r="K589" s="1"/>
      <c r="L589" s="42"/>
    </row>
    <row r="590" spans="1:12" ht="15.75" customHeight="1" thickBot="1" x14ac:dyDescent="0.3">
      <c r="A590" s="1"/>
      <c r="B590" s="43"/>
      <c r="C590" s="44"/>
      <c r="D590" s="44"/>
      <c r="E590" s="44"/>
      <c r="F590" s="45"/>
      <c r="G590" s="45"/>
      <c r="H590" s="44"/>
      <c r="I590" s="46"/>
      <c r="J590" s="44"/>
      <c r="K590" s="44"/>
      <c r="L590" s="47"/>
    </row>
    <row r="591" spans="1:12" ht="15" customHeight="1" thickTop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49.5" customHeight="1" x14ac:dyDescent="0.2">
      <c r="A592" s="10" t="s">
        <v>2</v>
      </c>
      <c r="B592" s="279" t="s">
        <v>11</v>
      </c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</row>
    <row r="593" spans="1:12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6.5" customHeight="1" x14ac:dyDescent="0.2">
      <c r="A594" s="280" t="s">
        <v>12</v>
      </c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</row>
    <row r="595" spans="1:12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7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21.75" customHeight="1" x14ac:dyDescent="0.25">
      <c r="A597" s="1"/>
      <c r="B597" s="1"/>
      <c r="C597" s="1"/>
      <c r="D597" s="1"/>
      <c r="E597" s="1"/>
      <c r="F597" s="1"/>
      <c r="G597" s="1"/>
      <c r="H597" s="4" t="s">
        <v>199</v>
      </c>
      <c r="J597" s="286" t="s">
        <v>245</v>
      </c>
      <c r="K597" s="286"/>
      <c r="L597" s="286"/>
    </row>
    <row r="598" spans="1:12" ht="15" x14ac:dyDescent="0.25">
      <c r="A598" s="1"/>
      <c r="B598" s="1" t="s">
        <v>15</v>
      </c>
      <c r="C598" s="1"/>
      <c r="D598" s="1"/>
      <c r="E598" s="1"/>
      <c r="F598" s="1"/>
      <c r="G598" s="1"/>
      <c r="H598" s="4" t="s">
        <v>13</v>
      </c>
    </row>
    <row r="599" spans="1:12" ht="18" customHeight="1" x14ac:dyDescent="0.25">
      <c r="A599" s="1"/>
      <c r="B599" s="1" t="s">
        <v>18</v>
      </c>
      <c r="C599" s="1"/>
      <c r="D599" s="1"/>
      <c r="E599" s="1"/>
      <c r="F599" s="1"/>
      <c r="G599" s="1"/>
      <c r="H599" s="4" t="s">
        <v>14</v>
      </c>
    </row>
    <row r="600" spans="1:12" ht="1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21.75" hidden="1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8.25" customHeight="1" x14ac:dyDescent="0.25">
      <c r="A602" s="1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"/>
    </row>
    <row r="603" spans="1:12" ht="30.75" customHeight="1" x14ac:dyDescent="0.25">
      <c r="A603" s="1"/>
      <c r="K603" s="103"/>
      <c r="L603" s="1"/>
    </row>
    <row r="604" spans="1:12" ht="15" x14ac:dyDescent="0.25">
      <c r="A604" s="1"/>
      <c r="B604" s="95" t="s">
        <v>77</v>
      </c>
      <c r="H604" s="95" t="s">
        <v>107</v>
      </c>
      <c r="I604" s="95"/>
      <c r="J604" s="92"/>
      <c r="K604" s="103"/>
      <c r="L604" s="1"/>
    </row>
    <row r="605" spans="1:12" ht="35.25" customHeight="1" x14ac:dyDescent="0.25">
      <c r="A605" s="1"/>
      <c r="B605" s="99" t="s">
        <v>27</v>
      </c>
      <c r="C605" s="57"/>
      <c r="H605" s="99" t="s">
        <v>72</v>
      </c>
      <c r="K605" s="103"/>
    </row>
    <row r="606" spans="1:12" ht="12.75" x14ac:dyDescent="0.2"/>
    <row r="607" spans="1:12" ht="15" customHeight="1" x14ac:dyDescent="0.2"/>
    <row r="608" spans="1:12" ht="12.75" x14ac:dyDescent="0.2"/>
    <row r="609" spans="1:12" ht="18" customHeight="1" x14ac:dyDescent="0.2"/>
    <row r="610" spans="1:12" ht="44.25" customHeight="1" x14ac:dyDescent="0.25">
      <c r="A610" s="3" t="s">
        <v>22</v>
      </c>
    </row>
    <row r="611" spans="1:12" ht="15.75" customHeight="1" x14ac:dyDescent="0.2">
      <c r="A611" s="122" t="s">
        <v>20</v>
      </c>
    </row>
    <row r="612" spans="1:12" ht="19.5" customHeight="1" x14ac:dyDescent="0.2">
      <c r="A612" s="122" t="s">
        <v>21</v>
      </c>
    </row>
    <row r="613" spans="1:12" ht="19.5" customHeight="1" x14ac:dyDescent="0.2"/>
    <row r="614" spans="1:12" ht="48" customHeight="1" x14ac:dyDescent="0.2"/>
    <row r="615" spans="1:12" ht="13.5" customHeight="1" x14ac:dyDescent="0.2"/>
    <row r="616" spans="1:12" ht="19.5" customHeight="1" x14ac:dyDescent="0.3">
      <c r="A616" s="276" t="s">
        <v>6</v>
      </c>
      <c r="B616" s="276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</row>
    <row r="617" spans="1:12" ht="16.5" customHeight="1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</row>
    <row r="618" spans="1:12" ht="18" customHeight="1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</row>
    <row r="619" spans="1:12" ht="17.25" customHeight="1" x14ac:dyDescent="0.25">
      <c r="A619" s="1"/>
      <c r="B619" s="1"/>
    </row>
    <row r="620" spans="1:12" ht="15" x14ac:dyDescent="0.25">
      <c r="A620" s="1" t="s">
        <v>7</v>
      </c>
      <c r="B620" s="1"/>
    </row>
    <row r="621" spans="1:12" ht="15" customHeight="1" x14ac:dyDescent="0.25">
      <c r="A621" s="1"/>
      <c r="B621" s="1"/>
    </row>
    <row r="622" spans="1:12" ht="16.5" customHeight="1" x14ac:dyDescent="0.25">
      <c r="A622" s="1" t="s">
        <v>8</v>
      </c>
      <c r="C622" s="9" t="s">
        <v>1</v>
      </c>
      <c r="D622" s="67" t="s">
        <v>120</v>
      </c>
      <c r="E622" s="76"/>
      <c r="F622" s="76"/>
      <c r="G622" s="76"/>
      <c r="H622" s="76"/>
    </row>
    <row r="623" spans="1:12" ht="16.5" customHeight="1" x14ac:dyDescent="0.25">
      <c r="A623" s="1" t="s">
        <v>9</v>
      </c>
      <c r="C623" s="9" t="s">
        <v>1</v>
      </c>
      <c r="D623" s="68" t="s">
        <v>202</v>
      </c>
      <c r="E623" s="76"/>
      <c r="F623" s="76"/>
      <c r="G623" s="76"/>
      <c r="H623" s="76"/>
    </row>
    <row r="624" spans="1:12" ht="20.25" customHeight="1" x14ac:dyDescent="0.2">
      <c r="A624" s="50" t="s">
        <v>10</v>
      </c>
      <c r="B624" s="76"/>
      <c r="C624" s="91" t="s">
        <v>1</v>
      </c>
      <c r="D624" s="50" t="s">
        <v>81</v>
      </c>
      <c r="E624" s="76"/>
      <c r="F624" s="76"/>
      <c r="G624" s="76"/>
      <c r="H624" s="76"/>
      <c r="I624" s="76"/>
      <c r="J624" s="76"/>
      <c r="K624" s="76"/>
      <c r="L624" s="76"/>
    </row>
    <row r="625" spans="1:12" ht="15" customHeight="1" x14ac:dyDescent="0.25">
      <c r="A625" s="1"/>
      <c r="B625" s="1"/>
      <c r="D625" s="1"/>
    </row>
    <row r="626" spans="1:12" ht="30.75" customHeight="1" x14ac:dyDescent="0.2">
      <c r="A626" s="277" t="s">
        <v>248</v>
      </c>
      <c r="B626" s="277"/>
      <c r="C626" s="277"/>
      <c r="D626" s="277"/>
      <c r="E626" s="277"/>
      <c r="F626" s="277"/>
      <c r="G626" s="277"/>
      <c r="H626" s="277"/>
      <c r="I626" s="277"/>
      <c r="J626" s="277"/>
      <c r="K626" s="277"/>
      <c r="L626" s="277"/>
    </row>
    <row r="627" spans="1:12" ht="10.5" customHeight="1" x14ac:dyDescent="0.25">
      <c r="A627" s="1"/>
      <c r="B627" s="1"/>
    </row>
    <row r="628" spans="1:12" ht="33.75" customHeight="1" thickBot="1" x14ac:dyDescent="0.25">
      <c r="A628" s="10" t="s">
        <v>0</v>
      </c>
      <c r="B628" s="278" t="s">
        <v>91</v>
      </c>
      <c r="C628" s="278"/>
      <c r="D628" s="278"/>
      <c r="E628" s="278"/>
      <c r="F628" s="278"/>
      <c r="G628" s="278"/>
      <c r="H628" s="278"/>
      <c r="I628" s="278"/>
      <c r="J628" s="278"/>
      <c r="K628" s="278"/>
      <c r="L628" s="278"/>
    </row>
    <row r="629" spans="1:12" ht="13.5" customHeight="1" thickTop="1" x14ac:dyDescent="0.25">
      <c r="A629" s="1"/>
      <c r="B629" s="11" t="s">
        <v>3</v>
      </c>
      <c r="C629" s="12" t="s">
        <v>4</v>
      </c>
      <c r="D629" s="13"/>
      <c r="E629" s="13"/>
      <c r="F629" s="13"/>
      <c r="G629" s="13"/>
      <c r="H629" s="14"/>
      <c r="I629" s="15" t="s">
        <v>5</v>
      </c>
      <c r="J629" s="12" t="s">
        <v>17</v>
      </c>
      <c r="K629" s="13"/>
      <c r="L629" s="14"/>
    </row>
    <row r="630" spans="1:12" ht="24.75" customHeight="1" x14ac:dyDescent="0.2">
      <c r="A630" s="50"/>
      <c r="B630" s="100">
        <v>1</v>
      </c>
      <c r="C630" s="284" t="s">
        <v>230</v>
      </c>
      <c r="D630" s="285"/>
      <c r="E630" s="285"/>
      <c r="F630" s="285"/>
      <c r="G630" s="76"/>
      <c r="H630" s="79"/>
      <c r="I630" s="56">
        <v>250000</v>
      </c>
      <c r="J630" s="76"/>
      <c r="K630" s="76"/>
      <c r="L630" s="79"/>
    </row>
    <row r="631" spans="1:12" ht="15" x14ac:dyDescent="0.25">
      <c r="A631" s="50"/>
      <c r="B631" s="96"/>
      <c r="C631" s="321"/>
      <c r="D631" s="297"/>
      <c r="E631" s="127"/>
      <c r="F631" s="319"/>
      <c r="G631" s="297"/>
      <c r="H631" s="320"/>
      <c r="I631" s="56"/>
      <c r="J631" s="50"/>
      <c r="K631" s="1"/>
      <c r="L631" s="17"/>
    </row>
    <row r="632" spans="1:12" ht="50.25" customHeight="1" x14ac:dyDescent="0.2">
      <c r="B632" s="16"/>
      <c r="H632" s="17"/>
      <c r="I632" s="19"/>
      <c r="L632" s="17"/>
    </row>
    <row r="633" spans="1:12" ht="12.75" x14ac:dyDescent="0.2">
      <c r="B633" s="20"/>
      <c r="C633" s="21"/>
      <c r="D633" s="21"/>
      <c r="E633" s="21"/>
      <c r="F633" s="21"/>
      <c r="G633" s="21"/>
      <c r="H633" s="22"/>
      <c r="I633" s="23"/>
      <c r="J633" s="21"/>
      <c r="K633" s="21"/>
      <c r="L633" s="22"/>
    </row>
    <row r="634" spans="1:12" ht="15" x14ac:dyDescent="0.25">
      <c r="A634" s="1"/>
      <c r="B634" s="39"/>
      <c r="C634" s="1"/>
      <c r="D634" s="1"/>
      <c r="E634" s="1"/>
      <c r="F634" s="40" t="s">
        <v>5</v>
      </c>
      <c r="G634" s="40"/>
      <c r="H634" s="1"/>
      <c r="I634" s="41">
        <f>SUM(I630:I631)</f>
        <v>250000</v>
      </c>
      <c r="J634" s="1"/>
      <c r="K634" s="1"/>
      <c r="L634" s="42"/>
    </row>
    <row r="635" spans="1:12" ht="3.75" customHeight="1" thickBot="1" x14ac:dyDescent="0.3">
      <c r="A635" s="1"/>
      <c r="B635" s="43"/>
      <c r="C635" s="44"/>
      <c r="D635" s="44"/>
      <c r="E635" s="44"/>
      <c r="F635" s="45"/>
      <c r="G635" s="45"/>
      <c r="H635" s="44"/>
      <c r="I635" s="46"/>
      <c r="J635" s="44"/>
      <c r="K635" s="44"/>
      <c r="L635" s="47"/>
    </row>
    <row r="636" spans="1:12" ht="22.5" customHeight="1" thickTop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51.75" customHeight="1" x14ac:dyDescent="0.2">
      <c r="A637" s="10" t="s">
        <v>2</v>
      </c>
      <c r="B637" s="279" t="s">
        <v>11</v>
      </c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</row>
    <row r="638" spans="1:1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" customHeight="1" x14ac:dyDescent="0.2">
      <c r="A639" s="280" t="s">
        <v>12</v>
      </c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</row>
    <row r="640" spans="1:12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" x14ac:dyDescent="0.25">
      <c r="A642" s="1"/>
      <c r="B642" s="1"/>
      <c r="C642" s="1"/>
      <c r="D642" s="1"/>
      <c r="E642" s="1"/>
      <c r="F642" s="1"/>
      <c r="G642" s="1"/>
      <c r="H642" s="4" t="s">
        <v>199</v>
      </c>
      <c r="J642" s="286" t="s">
        <v>245</v>
      </c>
      <c r="K642" s="286"/>
      <c r="L642" s="286"/>
    </row>
    <row r="643" spans="1:12" ht="15" x14ac:dyDescent="0.25">
      <c r="A643" s="1"/>
      <c r="B643" s="1" t="s">
        <v>15</v>
      </c>
      <c r="C643" s="1"/>
      <c r="D643" s="1"/>
      <c r="E643" s="1"/>
      <c r="F643" s="1"/>
      <c r="G643" s="1"/>
      <c r="H643" s="4" t="s">
        <v>13</v>
      </c>
    </row>
    <row r="644" spans="1:12" ht="15" x14ac:dyDescent="0.25">
      <c r="A644" s="1"/>
      <c r="B644" s="1" t="s">
        <v>18</v>
      </c>
      <c r="C644" s="1"/>
      <c r="D644" s="1"/>
      <c r="E644" s="1"/>
      <c r="F644" s="1"/>
      <c r="G644" s="1"/>
      <c r="H644" s="4" t="s">
        <v>14</v>
      </c>
    </row>
    <row r="645" spans="1:12" ht="17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3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8" customHeight="1" x14ac:dyDescent="0.25">
      <c r="A647" s="1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"/>
    </row>
    <row r="648" spans="1:12" ht="13.5" customHeight="1" x14ac:dyDescent="0.25">
      <c r="A648" s="1"/>
      <c r="K648" s="103"/>
      <c r="L648" s="1"/>
    </row>
    <row r="649" spans="1:12" ht="21" customHeight="1" x14ac:dyDescent="0.25">
      <c r="A649" s="1"/>
      <c r="B649" s="95" t="s">
        <v>77</v>
      </c>
      <c r="H649" s="128" t="s">
        <v>120</v>
      </c>
      <c r="I649" s="95"/>
      <c r="J649" s="92"/>
      <c r="K649" s="103"/>
      <c r="L649" s="1"/>
    </row>
    <row r="650" spans="1:12" ht="21" customHeight="1" x14ac:dyDescent="0.25">
      <c r="A650" s="1"/>
      <c r="B650" s="99" t="s">
        <v>27</v>
      </c>
      <c r="C650" s="57"/>
      <c r="H650" s="99" t="s">
        <v>108</v>
      </c>
      <c r="K650" s="103"/>
    </row>
    <row r="651" spans="1:12" ht="12.75" x14ac:dyDescent="0.2"/>
    <row r="652" spans="1:12" ht="12.75" x14ac:dyDescent="0.2"/>
    <row r="653" spans="1:12" ht="12.75" x14ac:dyDescent="0.2"/>
    <row r="654" spans="1:12" ht="12.75" x14ac:dyDescent="0.2"/>
    <row r="655" spans="1:12" ht="22.5" customHeight="1" x14ac:dyDescent="0.2"/>
    <row r="656" spans="1:12" ht="22.5" customHeight="1" x14ac:dyDescent="0.2"/>
    <row r="657" spans="1:12" ht="30" customHeight="1" x14ac:dyDescent="0.25">
      <c r="A657" s="3" t="s">
        <v>22</v>
      </c>
    </row>
    <row r="658" spans="1:12" ht="21.75" customHeight="1" x14ac:dyDescent="0.2">
      <c r="A658" s="122" t="s">
        <v>20</v>
      </c>
    </row>
    <row r="659" spans="1:12" ht="15.75" x14ac:dyDescent="0.2">
      <c r="A659" s="122" t="s">
        <v>21</v>
      </c>
    </row>
    <row r="660" spans="1:12" ht="12.75" customHeight="1" x14ac:dyDescent="0.2"/>
    <row r="661" spans="1:12" ht="13.5" customHeight="1" x14ac:dyDescent="0.2"/>
    <row r="662" spans="1:12" ht="12.75" x14ac:dyDescent="0.2"/>
    <row r="663" spans="1:12" ht="17.25" customHeight="1" x14ac:dyDescent="0.3">
      <c r="A663" s="276" t="s">
        <v>6</v>
      </c>
      <c r="B663" s="276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</row>
    <row r="664" spans="1:12" ht="22.5" customHeight="1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</row>
    <row r="665" spans="1:12" ht="14.25" customHeight="1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</row>
    <row r="666" spans="1:12" ht="46.5" hidden="1" customHeight="1" x14ac:dyDescent="0.25">
      <c r="A666" s="1"/>
      <c r="B666" s="1"/>
    </row>
    <row r="667" spans="1:12" ht="24" customHeight="1" x14ac:dyDescent="0.25">
      <c r="A667" s="1" t="s">
        <v>7</v>
      </c>
      <c r="B667" s="1"/>
    </row>
    <row r="668" spans="1:12" ht="13.5" customHeight="1" x14ac:dyDescent="0.25">
      <c r="A668" s="1"/>
      <c r="B668" s="1"/>
    </row>
    <row r="669" spans="1:12" ht="16.5" customHeight="1" x14ac:dyDescent="0.25">
      <c r="A669" s="1" t="s">
        <v>8</v>
      </c>
      <c r="C669" s="9" t="s">
        <v>1</v>
      </c>
      <c r="D669" s="123" t="s">
        <v>78</v>
      </c>
      <c r="E669" s="76"/>
      <c r="F669" s="76"/>
      <c r="G669" s="76"/>
      <c r="H669" s="76"/>
    </row>
    <row r="670" spans="1:12" ht="13.5" customHeight="1" x14ac:dyDescent="0.25">
      <c r="A670" s="1" t="s">
        <v>9</v>
      </c>
      <c r="C670" s="9" t="s">
        <v>1</v>
      </c>
      <c r="D670" s="76" t="s">
        <v>234</v>
      </c>
      <c r="E670" s="76"/>
      <c r="F670" s="76"/>
      <c r="G670" s="76"/>
      <c r="H670" s="76"/>
    </row>
    <row r="671" spans="1:12" ht="19.5" customHeight="1" x14ac:dyDescent="0.2">
      <c r="A671" s="50" t="s">
        <v>10</v>
      </c>
      <c r="B671" s="76"/>
      <c r="C671" s="91" t="s">
        <v>1</v>
      </c>
      <c r="D671" s="50" t="s">
        <v>235</v>
      </c>
      <c r="E671" s="76"/>
      <c r="F671" s="76"/>
      <c r="G671" s="76"/>
      <c r="H671" s="76"/>
      <c r="I671" s="76"/>
      <c r="J671" s="76"/>
      <c r="K671" s="76"/>
      <c r="L671" s="76"/>
    </row>
    <row r="672" spans="1:12" ht="15" customHeight="1" x14ac:dyDescent="0.25">
      <c r="A672" s="1"/>
      <c r="B672" s="1"/>
      <c r="D672" s="1"/>
    </row>
    <row r="673" spans="1:12" ht="36" customHeight="1" x14ac:dyDescent="0.2">
      <c r="A673" s="277" t="s">
        <v>248</v>
      </c>
      <c r="B673" s="277"/>
      <c r="C673" s="277"/>
      <c r="D673" s="277"/>
      <c r="E673" s="277"/>
      <c r="F673" s="277"/>
      <c r="G673" s="277"/>
      <c r="H673" s="277"/>
      <c r="I673" s="277"/>
      <c r="J673" s="277"/>
      <c r="K673" s="277"/>
      <c r="L673" s="277"/>
    </row>
    <row r="674" spans="1:12" ht="14.25" customHeight="1" x14ac:dyDescent="0.25">
      <c r="A674" s="1"/>
      <c r="B674" s="1"/>
    </row>
    <row r="675" spans="1:12" ht="35.25" customHeight="1" thickBot="1" x14ac:dyDescent="0.25">
      <c r="A675" s="10" t="s">
        <v>0</v>
      </c>
      <c r="B675" s="278" t="s">
        <v>91</v>
      </c>
      <c r="C675" s="278"/>
      <c r="D675" s="278"/>
      <c r="E675" s="278"/>
      <c r="F675" s="278"/>
      <c r="G675" s="278"/>
      <c r="H675" s="278"/>
      <c r="I675" s="278"/>
      <c r="J675" s="278"/>
      <c r="K675" s="278"/>
      <c r="L675" s="278"/>
    </row>
    <row r="676" spans="1:12" ht="24" customHeight="1" thickTop="1" x14ac:dyDescent="0.25">
      <c r="A676" s="1"/>
      <c r="B676" s="11" t="s">
        <v>3</v>
      </c>
      <c r="C676" s="12" t="s">
        <v>4</v>
      </c>
      <c r="D676" s="13"/>
      <c r="E676" s="13"/>
      <c r="F676" s="13"/>
      <c r="G676" s="13"/>
      <c r="H676" s="14"/>
      <c r="I676" s="15" t="s">
        <v>5</v>
      </c>
      <c r="J676" s="12" t="s">
        <v>17</v>
      </c>
      <c r="K676" s="13"/>
      <c r="L676" s="14"/>
    </row>
    <row r="677" spans="1:12" ht="18.75" customHeight="1" x14ac:dyDescent="0.2">
      <c r="A677" s="50"/>
      <c r="B677" s="100">
        <v>1</v>
      </c>
      <c r="C677" s="284" t="s">
        <v>230</v>
      </c>
      <c r="D677" s="285"/>
      <c r="E677" s="285"/>
      <c r="F677" s="285"/>
      <c r="G677" s="76"/>
      <c r="H677" s="79"/>
      <c r="I677" s="56">
        <v>250000</v>
      </c>
      <c r="J677" s="76"/>
      <c r="K677" s="76"/>
      <c r="L677" s="79"/>
    </row>
    <row r="678" spans="1:12" ht="24" customHeight="1" x14ac:dyDescent="0.25">
      <c r="A678" s="50"/>
      <c r="B678" s="96">
        <v>2</v>
      </c>
      <c r="C678" s="321" t="s">
        <v>238</v>
      </c>
      <c r="D678" s="297"/>
      <c r="E678" s="127">
        <v>622000</v>
      </c>
      <c r="F678" s="319" t="s">
        <v>239</v>
      </c>
      <c r="G678" s="297"/>
      <c r="H678" s="320"/>
      <c r="I678" s="56">
        <f>E678*30/100</f>
        <v>186600</v>
      </c>
      <c r="J678" s="50" t="s">
        <v>240</v>
      </c>
      <c r="K678" s="1"/>
      <c r="L678" s="17"/>
    </row>
    <row r="679" spans="1:12" ht="15" customHeight="1" x14ac:dyDescent="0.2">
      <c r="B679" s="16"/>
      <c r="H679" s="17"/>
      <c r="I679" s="19"/>
      <c r="L679" s="17"/>
    </row>
    <row r="680" spans="1:12" ht="15.75" customHeight="1" x14ac:dyDescent="0.2">
      <c r="B680" s="20"/>
      <c r="C680" s="21"/>
      <c r="D680" s="21"/>
      <c r="E680" s="21"/>
      <c r="F680" s="21"/>
      <c r="G680" s="21"/>
      <c r="H680" s="22"/>
      <c r="I680" s="23"/>
      <c r="J680" s="21"/>
      <c r="K680" s="21"/>
      <c r="L680" s="22"/>
    </row>
    <row r="681" spans="1:12" ht="15" customHeight="1" x14ac:dyDescent="0.25">
      <c r="A681" s="1"/>
      <c r="B681" s="39"/>
      <c r="C681" s="1"/>
      <c r="D681" s="1"/>
      <c r="E681" s="1"/>
      <c r="F681" s="40" t="s">
        <v>5</v>
      </c>
      <c r="G681" s="40"/>
      <c r="H681" s="1"/>
      <c r="I681" s="41">
        <f>SUM(I677:I678)</f>
        <v>436600</v>
      </c>
      <c r="J681" s="1"/>
      <c r="K681" s="1"/>
      <c r="L681" s="42"/>
    </row>
    <row r="682" spans="1:12" ht="18" customHeight="1" thickBot="1" x14ac:dyDescent="0.3">
      <c r="A682" s="1"/>
      <c r="B682" s="43"/>
      <c r="C682" s="44"/>
      <c r="D682" s="44"/>
      <c r="E682" s="44"/>
      <c r="F682" s="45"/>
      <c r="G682" s="45"/>
      <c r="H682" s="44"/>
      <c r="I682" s="46"/>
      <c r="J682" s="44"/>
      <c r="K682" s="44"/>
      <c r="L682" s="47"/>
    </row>
    <row r="683" spans="1:12" ht="18" customHeight="1" thickTop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56.25" customHeight="1" x14ac:dyDescent="0.2">
      <c r="A684" s="10" t="s">
        <v>2</v>
      </c>
      <c r="B684" s="279" t="s">
        <v>11</v>
      </c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</row>
    <row r="685" spans="1:12" ht="20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9.5" customHeight="1" x14ac:dyDescent="0.2">
      <c r="A686" s="280" t="s">
        <v>12</v>
      </c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</row>
    <row r="687" spans="1:12" ht="8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25">
      <c r="A689" s="1"/>
      <c r="B689" s="1"/>
      <c r="C689" s="1"/>
      <c r="D689" s="1"/>
      <c r="E689" s="1"/>
      <c r="F689" s="1"/>
      <c r="G689" s="1"/>
      <c r="H689" s="4" t="s">
        <v>199</v>
      </c>
      <c r="J689" s="286" t="s">
        <v>245</v>
      </c>
      <c r="K689" s="286"/>
      <c r="L689" s="286"/>
    </row>
    <row r="690" spans="1:12" ht="15.75" customHeight="1" x14ac:dyDescent="0.25">
      <c r="A690" s="1"/>
      <c r="B690" s="1" t="s">
        <v>15</v>
      </c>
      <c r="C690" s="1"/>
      <c r="D690" s="1"/>
      <c r="E690" s="1"/>
      <c r="F690" s="1"/>
      <c r="G690" s="1"/>
      <c r="H690" s="4" t="s">
        <v>13</v>
      </c>
    </row>
    <row r="691" spans="1:12" ht="15.75" customHeight="1" x14ac:dyDescent="0.25">
      <c r="A691" s="1"/>
      <c r="B691" s="1" t="s">
        <v>18</v>
      </c>
      <c r="C691" s="1"/>
      <c r="D691" s="1"/>
      <c r="E691" s="1"/>
      <c r="F691" s="1"/>
      <c r="G691" s="1"/>
      <c r="H691" s="4" t="s">
        <v>14</v>
      </c>
    </row>
    <row r="692" spans="1:1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5">
      <c r="A694" s="1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"/>
    </row>
    <row r="695" spans="1:12" ht="7.5" customHeight="1" x14ac:dyDescent="0.25">
      <c r="A695" s="1"/>
      <c r="K695" s="103"/>
      <c r="L695" s="1"/>
    </row>
    <row r="696" spans="1:12" ht="23.25" customHeight="1" x14ac:dyDescent="0.25">
      <c r="A696" s="1"/>
      <c r="B696" s="95" t="s">
        <v>77</v>
      </c>
      <c r="H696" s="95" t="s">
        <v>78</v>
      </c>
      <c r="I696" s="95"/>
      <c r="J696" s="92"/>
      <c r="K696" s="103"/>
      <c r="L696" s="1"/>
    </row>
    <row r="697" spans="1:12" ht="21.75" customHeight="1" x14ac:dyDescent="0.25">
      <c r="A697" s="1"/>
      <c r="B697" s="99" t="s">
        <v>27</v>
      </c>
      <c r="C697" s="57"/>
      <c r="H697" s="99" t="s">
        <v>79</v>
      </c>
      <c r="K697" s="103"/>
    </row>
    <row r="698" spans="1:12" ht="15.75" customHeight="1" x14ac:dyDescent="0.2"/>
    <row r="699" spans="1:12" ht="20.25" customHeight="1" x14ac:dyDescent="0.2"/>
    <row r="700" spans="1:12" ht="16.5" customHeight="1" x14ac:dyDescent="0.2"/>
    <row r="701" spans="1:12" ht="18.75" hidden="1" customHeight="1" x14ac:dyDescent="0.2"/>
    <row r="702" spans="1:12" ht="22.5" customHeight="1" x14ac:dyDescent="0.2"/>
    <row r="703" spans="1:12" ht="15.75" customHeight="1" x14ac:dyDescent="0.2"/>
    <row r="704" spans="1:12" ht="19.5" customHeight="1" x14ac:dyDescent="0.25">
      <c r="A704" s="3" t="s">
        <v>22</v>
      </c>
    </row>
    <row r="705" spans="1:12" ht="15.75" customHeight="1" x14ac:dyDescent="0.2">
      <c r="A705" s="122" t="s">
        <v>20</v>
      </c>
    </row>
    <row r="706" spans="1:12" ht="24.75" customHeight="1" x14ac:dyDescent="0.2">
      <c r="A706" s="122" t="s">
        <v>21</v>
      </c>
    </row>
    <row r="707" spans="1:12" ht="15.75" customHeight="1" x14ac:dyDescent="0.2"/>
    <row r="708" spans="1:12" ht="21" customHeight="1" x14ac:dyDescent="0.2"/>
    <row r="709" spans="1:12" ht="12.75" customHeight="1" x14ac:dyDescent="0.2"/>
    <row r="710" spans="1:12" ht="15.75" customHeight="1" x14ac:dyDescent="0.3">
      <c r="A710" s="276" t="s">
        <v>6</v>
      </c>
      <c r="B710" s="276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</row>
    <row r="711" spans="1:12" ht="16.5" customHeight="1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</row>
    <row r="712" spans="1:12" ht="5.25" customHeight="1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</row>
    <row r="713" spans="1:12" ht="34.5" hidden="1" customHeight="1" x14ac:dyDescent="0.25">
      <c r="A713" s="1"/>
      <c r="B713" s="1"/>
    </row>
    <row r="714" spans="1:12" ht="18.75" customHeight="1" x14ac:dyDescent="0.25">
      <c r="A714" s="1" t="s">
        <v>7</v>
      </c>
      <c r="B714" s="1"/>
    </row>
    <row r="715" spans="1:12" ht="3.75" customHeight="1" x14ac:dyDescent="0.25">
      <c r="A715" s="1"/>
      <c r="B715" s="1"/>
    </row>
    <row r="716" spans="1:12" ht="15.75" customHeight="1" x14ac:dyDescent="0.25">
      <c r="A716" s="1" t="s">
        <v>8</v>
      </c>
      <c r="C716" s="9" t="s">
        <v>1</v>
      </c>
      <c r="D716" s="92" t="s">
        <v>96</v>
      </c>
      <c r="E716" s="76"/>
      <c r="F716" s="76"/>
      <c r="G716" s="76"/>
      <c r="H716" s="76"/>
    </row>
    <row r="717" spans="1:12" ht="15.75" customHeight="1" x14ac:dyDescent="0.25">
      <c r="A717" s="1" t="s">
        <v>9</v>
      </c>
      <c r="C717" s="9" t="s">
        <v>1</v>
      </c>
      <c r="D717" s="57" t="s">
        <v>200</v>
      </c>
      <c r="E717" s="76"/>
      <c r="F717" s="76"/>
      <c r="G717" s="76"/>
      <c r="H717" s="76"/>
    </row>
    <row r="718" spans="1:12" ht="15" customHeight="1" x14ac:dyDescent="0.2">
      <c r="A718" s="50" t="s">
        <v>10</v>
      </c>
      <c r="B718" s="76"/>
      <c r="C718" s="91" t="s">
        <v>1</v>
      </c>
      <c r="D718" s="50" t="s">
        <v>203</v>
      </c>
      <c r="E718" s="76"/>
      <c r="F718" s="76"/>
      <c r="G718" s="76"/>
      <c r="H718" s="76"/>
      <c r="I718" s="76"/>
      <c r="J718" s="76"/>
      <c r="K718" s="76"/>
      <c r="L718" s="76"/>
    </row>
    <row r="719" spans="1:12" ht="16.5" customHeight="1" x14ac:dyDescent="0.25">
      <c r="A719" s="1"/>
      <c r="B719" s="1"/>
      <c r="D719" s="1"/>
    </row>
    <row r="720" spans="1:12" ht="30.75" customHeight="1" x14ac:dyDescent="0.2">
      <c r="A720" s="277" t="s">
        <v>251</v>
      </c>
      <c r="B720" s="277"/>
      <c r="C720" s="277"/>
      <c r="D720" s="277"/>
      <c r="E720" s="277"/>
      <c r="F720" s="277"/>
      <c r="G720" s="277"/>
      <c r="H720" s="277"/>
      <c r="I720" s="277"/>
      <c r="J720" s="277"/>
      <c r="K720" s="277"/>
      <c r="L720" s="277"/>
    </row>
    <row r="721" spans="1:12" ht="20.25" customHeight="1" x14ac:dyDescent="0.25">
      <c r="A721" s="1"/>
      <c r="B721" s="1"/>
    </row>
    <row r="722" spans="1:12" ht="34.5" customHeight="1" thickBot="1" x14ac:dyDescent="0.25">
      <c r="A722" s="10" t="s">
        <v>0</v>
      </c>
      <c r="B722" s="278" t="s">
        <v>91</v>
      </c>
      <c r="C722" s="278"/>
      <c r="D722" s="278"/>
      <c r="E722" s="278"/>
      <c r="F722" s="278"/>
      <c r="G722" s="278"/>
      <c r="H722" s="278"/>
      <c r="I722" s="278"/>
      <c r="J722" s="278"/>
      <c r="K722" s="278"/>
      <c r="L722" s="278"/>
    </row>
    <row r="723" spans="1:12" ht="15.75" customHeight="1" thickTop="1" x14ac:dyDescent="0.25">
      <c r="A723" s="1"/>
      <c r="B723" s="11" t="s">
        <v>3</v>
      </c>
      <c r="C723" s="12" t="s">
        <v>4</v>
      </c>
      <c r="D723" s="13"/>
      <c r="E723" s="13"/>
      <c r="F723" s="13"/>
      <c r="G723" s="13"/>
      <c r="H723" s="14"/>
      <c r="I723" s="15" t="s">
        <v>5</v>
      </c>
      <c r="J723" s="12" t="s">
        <v>17</v>
      </c>
      <c r="K723" s="13"/>
      <c r="L723" s="14"/>
    </row>
    <row r="724" spans="1:12" ht="40.5" customHeight="1" x14ac:dyDescent="0.2">
      <c r="A724" s="50"/>
      <c r="B724" s="100">
        <v>1</v>
      </c>
      <c r="C724" s="284" t="s">
        <v>252</v>
      </c>
      <c r="D724" s="285"/>
      <c r="E724" s="285"/>
      <c r="F724" s="285"/>
      <c r="G724" s="76"/>
      <c r="H724" s="79"/>
      <c r="I724" s="56">
        <v>275000</v>
      </c>
      <c r="J724" s="76"/>
      <c r="K724" s="76"/>
      <c r="L724" s="79"/>
    </row>
    <row r="725" spans="1:12" ht="15.75" customHeight="1" x14ac:dyDescent="0.25">
      <c r="A725" s="50"/>
      <c r="B725" s="96"/>
      <c r="C725" s="321"/>
      <c r="D725" s="297"/>
      <c r="E725" s="127"/>
      <c r="F725" s="319"/>
      <c r="G725" s="297"/>
      <c r="H725" s="320"/>
      <c r="I725" s="56"/>
      <c r="J725" s="50"/>
      <c r="K725" s="1"/>
      <c r="L725" s="17"/>
    </row>
    <row r="726" spans="1:12" ht="18.75" customHeight="1" x14ac:dyDescent="0.2">
      <c r="B726" s="16"/>
      <c r="H726" s="17"/>
      <c r="I726" s="19"/>
      <c r="L726" s="17"/>
    </row>
    <row r="727" spans="1:12" ht="12.75" customHeight="1" x14ac:dyDescent="0.2">
      <c r="B727" s="20"/>
      <c r="C727" s="21"/>
      <c r="D727" s="21"/>
      <c r="E727" s="21"/>
      <c r="F727" s="21"/>
      <c r="G727" s="21"/>
      <c r="H727" s="22"/>
      <c r="I727" s="23"/>
      <c r="J727" s="21"/>
      <c r="K727" s="21"/>
      <c r="L727" s="22"/>
    </row>
    <row r="728" spans="1:12" ht="15.75" customHeight="1" x14ac:dyDescent="0.25">
      <c r="A728" s="1"/>
      <c r="B728" s="39"/>
      <c r="C728" s="1"/>
      <c r="D728" s="1"/>
      <c r="E728" s="1"/>
      <c r="F728" s="40" t="s">
        <v>5</v>
      </c>
      <c r="G728" s="40"/>
      <c r="H728" s="1"/>
      <c r="I728" s="41">
        <f>SUM(I724:I725)</f>
        <v>275000</v>
      </c>
      <c r="J728" s="1"/>
      <c r="K728" s="1"/>
      <c r="L728" s="42"/>
    </row>
    <row r="729" spans="1:12" ht="15.75" customHeight="1" thickBot="1" x14ac:dyDescent="0.3">
      <c r="A729" s="1"/>
      <c r="B729" s="43"/>
      <c r="C729" s="44"/>
      <c r="D729" s="44"/>
      <c r="E729" s="44"/>
      <c r="F729" s="45"/>
      <c r="G729" s="45"/>
      <c r="H729" s="44"/>
      <c r="I729" s="46"/>
      <c r="J729" s="44"/>
      <c r="K729" s="44"/>
      <c r="L729" s="47"/>
    </row>
    <row r="730" spans="1:12" ht="15.75" customHeight="1" thickTop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45.75" customHeight="1" x14ac:dyDescent="0.2">
      <c r="A731" s="10" t="s">
        <v>2</v>
      </c>
      <c r="B731" s="279" t="s">
        <v>11</v>
      </c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</row>
    <row r="732" spans="1:12" ht="1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" x14ac:dyDescent="0.2">
      <c r="A733" s="280" t="s">
        <v>12</v>
      </c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</row>
    <row r="734" spans="1:1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24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2.75" customHeight="1" x14ac:dyDescent="0.25">
      <c r="A736" s="1"/>
      <c r="B736" s="1"/>
      <c r="C736" s="1"/>
      <c r="D736" s="1"/>
      <c r="E736" s="1"/>
      <c r="F736" s="1"/>
      <c r="G736" s="1"/>
      <c r="H736" s="4" t="s">
        <v>199</v>
      </c>
      <c r="J736" s="286" t="s">
        <v>254</v>
      </c>
      <c r="K736" s="286"/>
      <c r="L736" s="286"/>
    </row>
    <row r="737" spans="1:12" ht="15" customHeight="1" x14ac:dyDescent="0.25">
      <c r="A737" s="1"/>
      <c r="B737" s="1" t="s">
        <v>15</v>
      </c>
      <c r="C737" s="1"/>
      <c r="D737" s="1"/>
      <c r="E737" s="1"/>
      <c r="F737" s="1"/>
      <c r="G737" s="1"/>
      <c r="H737" s="4" t="s">
        <v>13</v>
      </c>
    </row>
    <row r="738" spans="1:12" ht="15" x14ac:dyDescent="0.25">
      <c r="A738" s="1"/>
      <c r="B738" s="1" t="s">
        <v>18</v>
      </c>
      <c r="C738" s="1"/>
      <c r="D738" s="1"/>
      <c r="E738" s="1"/>
      <c r="F738" s="1"/>
      <c r="G738" s="1"/>
      <c r="H738" s="4" t="s">
        <v>14</v>
      </c>
    </row>
    <row r="739" spans="1:12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25">
      <c r="A741" s="1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"/>
    </row>
    <row r="742" spans="1:12" ht="15" hidden="1" x14ac:dyDescent="0.25">
      <c r="A742" s="1"/>
      <c r="K742" s="103"/>
      <c r="L742" s="1"/>
    </row>
    <row r="743" spans="1:12" ht="37.5" customHeight="1" x14ac:dyDescent="0.25">
      <c r="A743" s="1"/>
      <c r="B743" s="95" t="s">
        <v>77</v>
      </c>
      <c r="H743" s="95" t="s">
        <v>96</v>
      </c>
      <c r="I743" s="95"/>
      <c r="J743" s="92"/>
      <c r="K743" s="103"/>
      <c r="L743" s="1"/>
    </row>
    <row r="744" spans="1:12" ht="19.5" customHeight="1" x14ac:dyDescent="0.25">
      <c r="A744" s="1"/>
      <c r="B744" s="99" t="s">
        <v>27</v>
      </c>
      <c r="C744" s="57"/>
      <c r="H744" s="99" t="s">
        <v>100</v>
      </c>
      <c r="K744" s="103"/>
    </row>
    <row r="745" spans="1:12" ht="22.5" customHeight="1" x14ac:dyDescent="0.2"/>
    <row r="746" spans="1:12" ht="12.75" x14ac:dyDescent="0.2"/>
    <row r="747" spans="1:12" ht="21.75" customHeight="1" x14ac:dyDescent="0.2"/>
    <row r="748" spans="1:12" ht="15.75" x14ac:dyDescent="0.25">
      <c r="A748" s="3" t="s">
        <v>22</v>
      </c>
    </row>
    <row r="749" spans="1:12" ht="18" customHeight="1" x14ac:dyDescent="0.2">
      <c r="A749" s="122" t="s">
        <v>20</v>
      </c>
    </row>
    <row r="750" spans="1:12" ht="23.25" customHeight="1" x14ac:dyDescent="0.2">
      <c r="A750" s="122" t="s">
        <v>21</v>
      </c>
    </row>
    <row r="751" spans="1:12" ht="24" customHeight="1" x14ac:dyDescent="0.2"/>
    <row r="752" spans="1:12" ht="5.25" customHeight="1" x14ac:dyDescent="0.2"/>
    <row r="753" spans="1:12" ht="17.25" customHeight="1" x14ac:dyDescent="0.2"/>
    <row r="754" spans="1:12" ht="42.75" customHeight="1" x14ac:dyDescent="0.3">
      <c r="A754" s="276" t="s">
        <v>6</v>
      </c>
      <c r="B754" s="276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</row>
    <row r="755" spans="1:12" ht="18.75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</row>
    <row r="756" spans="1:12" ht="20.25" customHeight="1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</row>
    <row r="757" spans="1:12" ht="17.25" customHeight="1" x14ac:dyDescent="0.25">
      <c r="A757" s="1"/>
      <c r="B757" s="1"/>
    </row>
    <row r="758" spans="1:12" ht="15" x14ac:dyDescent="0.25">
      <c r="A758" s="1" t="s">
        <v>7</v>
      </c>
      <c r="B758" s="1"/>
    </row>
    <row r="759" spans="1:12" ht="12" customHeight="1" x14ac:dyDescent="0.25">
      <c r="A759" s="1"/>
      <c r="B759" s="1"/>
    </row>
    <row r="760" spans="1:12" ht="24.75" customHeight="1" x14ac:dyDescent="0.25">
      <c r="A760" s="1" t="s">
        <v>8</v>
      </c>
      <c r="C760" s="9" t="s">
        <v>1</v>
      </c>
      <c r="D760" s="92" t="s">
        <v>77</v>
      </c>
      <c r="E760" s="76"/>
      <c r="F760" s="76"/>
      <c r="G760" s="76"/>
      <c r="H760" s="76"/>
    </row>
    <row r="761" spans="1:12" ht="13.5" customHeight="1" x14ac:dyDescent="0.25">
      <c r="A761" s="1" t="s">
        <v>9</v>
      </c>
      <c r="C761" s="9" t="s">
        <v>1</v>
      </c>
      <c r="D761" s="57" t="s">
        <v>201</v>
      </c>
      <c r="E761" s="76"/>
      <c r="F761" s="76"/>
      <c r="G761" s="76"/>
      <c r="H761" s="76"/>
    </row>
    <row r="762" spans="1:12" ht="19.5" customHeight="1" x14ac:dyDescent="0.2">
      <c r="A762" s="50" t="s">
        <v>10</v>
      </c>
      <c r="B762" s="76"/>
      <c r="C762" s="91" t="s">
        <v>1</v>
      </c>
      <c r="D762" s="314" t="s">
        <v>233</v>
      </c>
      <c r="E762" s="314"/>
      <c r="F762" s="314"/>
      <c r="G762" s="314"/>
      <c r="H762" s="314"/>
      <c r="I762" s="76"/>
      <c r="J762" s="76"/>
      <c r="K762" s="76"/>
      <c r="L762" s="76"/>
    </row>
    <row r="763" spans="1:12" ht="17.25" customHeight="1" x14ac:dyDescent="0.25">
      <c r="A763" s="1"/>
      <c r="B763" s="1"/>
      <c r="D763" s="1"/>
    </row>
    <row r="764" spans="1:12" ht="27" customHeight="1" x14ac:dyDescent="0.2">
      <c r="A764" s="277" t="s">
        <v>251</v>
      </c>
      <c r="B764" s="277"/>
      <c r="C764" s="277"/>
      <c r="D764" s="277"/>
      <c r="E764" s="277"/>
      <c r="F764" s="277"/>
      <c r="G764" s="277"/>
      <c r="H764" s="277"/>
      <c r="I764" s="277"/>
      <c r="J764" s="277"/>
      <c r="K764" s="277"/>
      <c r="L764" s="277"/>
    </row>
    <row r="765" spans="1:12" ht="9.75" customHeight="1" x14ac:dyDescent="0.25">
      <c r="A765" s="1"/>
      <c r="B765" s="1"/>
    </row>
    <row r="766" spans="1:12" ht="35.25" customHeight="1" thickBot="1" x14ac:dyDescent="0.25">
      <c r="A766" s="10" t="s">
        <v>0</v>
      </c>
      <c r="B766" s="278" t="s">
        <v>91</v>
      </c>
      <c r="C766" s="278"/>
      <c r="D766" s="278"/>
      <c r="E766" s="278"/>
      <c r="F766" s="278"/>
      <c r="G766" s="278"/>
      <c r="H766" s="278"/>
      <c r="I766" s="278"/>
      <c r="J766" s="278"/>
      <c r="K766" s="278"/>
      <c r="L766" s="278"/>
    </row>
    <row r="767" spans="1:12" ht="16.5" customHeight="1" thickTop="1" x14ac:dyDescent="0.25">
      <c r="A767" s="1"/>
      <c r="B767" s="11" t="s">
        <v>3</v>
      </c>
      <c r="C767" s="12" t="s">
        <v>4</v>
      </c>
      <c r="D767" s="13"/>
      <c r="E767" s="13"/>
      <c r="F767" s="13"/>
      <c r="G767" s="13"/>
      <c r="H767" s="14"/>
      <c r="I767" s="15" t="s">
        <v>5</v>
      </c>
      <c r="J767" s="12" t="s">
        <v>17</v>
      </c>
      <c r="K767" s="13"/>
      <c r="L767" s="14"/>
    </row>
    <row r="768" spans="1:12" ht="23.25" customHeight="1" x14ac:dyDescent="0.2">
      <c r="A768" s="50"/>
      <c r="B768" s="100">
        <v>1</v>
      </c>
      <c r="C768" s="284" t="s">
        <v>252</v>
      </c>
      <c r="D768" s="285"/>
      <c r="E768" s="285"/>
      <c r="F768" s="285"/>
      <c r="G768" s="76"/>
      <c r="H768" s="79"/>
      <c r="I768" s="56">
        <v>275000</v>
      </c>
      <c r="J768" s="76"/>
      <c r="K768" s="76"/>
      <c r="L768" s="79"/>
    </row>
    <row r="769" spans="1:12" ht="22.5" customHeight="1" x14ac:dyDescent="0.25">
      <c r="A769" s="50"/>
      <c r="B769" s="96"/>
      <c r="C769" s="321"/>
      <c r="D769" s="297"/>
      <c r="E769" s="127"/>
      <c r="F769" s="319"/>
      <c r="G769" s="297"/>
      <c r="H769" s="320"/>
      <c r="I769" s="56"/>
      <c r="J769" s="50"/>
      <c r="K769" s="1"/>
      <c r="L769" s="17"/>
    </row>
    <row r="770" spans="1:12" ht="10.5" customHeight="1" x14ac:dyDescent="0.2">
      <c r="B770" s="16"/>
      <c r="H770" s="17"/>
      <c r="I770" s="19"/>
      <c r="L770" s="17"/>
    </row>
    <row r="771" spans="1:12" ht="12.75" x14ac:dyDescent="0.2">
      <c r="B771" s="20"/>
      <c r="C771" s="21"/>
      <c r="D771" s="21"/>
      <c r="E771" s="21"/>
      <c r="F771" s="21"/>
      <c r="G771" s="21"/>
      <c r="H771" s="22"/>
      <c r="I771" s="23"/>
      <c r="J771" s="21"/>
      <c r="K771" s="21"/>
      <c r="L771" s="22"/>
    </row>
    <row r="772" spans="1:12" ht="14.25" customHeight="1" x14ac:dyDescent="0.25">
      <c r="A772" s="1"/>
      <c r="B772" s="39"/>
      <c r="C772" s="1"/>
      <c r="D772" s="1"/>
      <c r="E772" s="1"/>
      <c r="F772" s="40" t="s">
        <v>5</v>
      </c>
      <c r="G772" s="40"/>
      <c r="H772" s="1"/>
      <c r="I772" s="41">
        <f>SUM(I768:I769)</f>
        <v>275000</v>
      </c>
      <c r="J772" s="1"/>
      <c r="K772" s="1"/>
      <c r="L772" s="42"/>
    </row>
    <row r="773" spans="1:12" ht="9.75" customHeight="1" thickBot="1" x14ac:dyDescent="0.3">
      <c r="A773" s="1"/>
      <c r="B773" s="43"/>
      <c r="C773" s="44"/>
      <c r="D773" s="44"/>
      <c r="E773" s="44"/>
      <c r="F773" s="45"/>
      <c r="G773" s="45"/>
      <c r="H773" s="44"/>
      <c r="I773" s="46"/>
      <c r="J773" s="44"/>
      <c r="K773" s="44"/>
      <c r="L773" s="47"/>
    </row>
    <row r="774" spans="1:12" ht="15.75" thickTop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45.75" customHeight="1" x14ac:dyDescent="0.2">
      <c r="A775" s="10" t="s">
        <v>2</v>
      </c>
      <c r="B775" s="279" t="s">
        <v>11</v>
      </c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</row>
    <row r="776" spans="1:12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s="99" customFormat="1" ht="21.75" customHeight="1" x14ac:dyDescent="0.2">
      <c r="A777" s="280" t="s">
        <v>12</v>
      </c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</row>
    <row r="778" spans="1:12" ht="16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8.75" customHeight="1" x14ac:dyDescent="0.25">
      <c r="A780" s="1"/>
      <c r="B780" s="1"/>
      <c r="C780" s="1"/>
      <c r="D780" s="1"/>
      <c r="E780" s="1"/>
      <c r="F780" s="1"/>
      <c r="G780" s="1"/>
      <c r="H780" s="4" t="s">
        <v>199</v>
      </c>
      <c r="J780" s="286" t="s">
        <v>254</v>
      </c>
      <c r="K780" s="286"/>
      <c r="L780" s="286"/>
    </row>
    <row r="781" spans="1:12" ht="18" customHeight="1" x14ac:dyDescent="0.25">
      <c r="A781" s="1"/>
      <c r="B781" s="1" t="s">
        <v>15</v>
      </c>
      <c r="C781" s="1"/>
      <c r="D781" s="1"/>
      <c r="E781" s="1"/>
      <c r="F781" s="1"/>
      <c r="G781" s="1"/>
      <c r="H781" s="4" t="s">
        <v>13</v>
      </c>
    </row>
    <row r="782" spans="1:12" ht="15" x14ac:dyDescent="0.25">
      <c r="A782" s="1"/>
      <c r="B782" s="1" t="s">
        <v>18</v>
      </c>
      <c r="C782" s="1"/>
      <c r="D782" s="1"/>
      <c r="E782" s="1"/>
      <c r="F782" s="1"/>
      <c r="G782" s="1"/>
      <c r="H782" s="4" t="s">
        <v>14</v>
      </c>
    </row>
    <row r="783" spans="1:12" ht="1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25">
      <c r="A785" s="1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"/>
    </row>
    <row r="786" spans="1:12" ht="20.25" customHeight="1" x14ac:dyDescent="0.25">
      <c r="A786" s="1"/>
      <c r="K786" s="103"/>
      <c r="L786" s="1"/>
    </row>
    <row r="787" spans="1:12" ht="15" x14ac:dyDescent="0.25">
      <c r="A787" s="1"/>
      <c r="B787" s="95" t="s">
        <v>77</v>
      </c>
      <c r="H787" s="95" t="s">
        <v>77</v>
      </c>
      <c r="I787" s="95"/>
      <c r="J787" s="92"/>
      <c r="K787" s="103"/>
      <c r="L787" s="1"/>
    </row>
    <row r="788" spans="1:12" ht="15" x14ac:dyDescent="0.25">
      <c r="A788" s="1"/>
      <c r="B788" s="99" t="s">
        <v>27</v>
      </c>
      <c r="C788" s="57"/>
      <c r="H788" s="99" t="s">
        <v>27</v>
      </c>
      <c r="K788" s="103"/>
    </row>
    <row r="789" spans="1:12" ht="12.75" x14ac:dyDescent="0.2"/>
    <row r="790" spans="1:12" ht="12.75" x14ac:dyDescent="0.2"/>
    <row r="791" spans="1:12" ht="12.75" x14ac:dyDescent="0.2"/>
    <row r="792" spans="1:12" ht="12.75" x14ac:dyDescent="0.2"/>
    <row r="793" spans="1:12" ht="38.25" customHeight="1" x14ac:dyDescent="0.25">
      <c r="A793" s="3" t="s">
        <v>22</v>
      </c>
    </row>
    <row r="794" spans="1:12" ht="15.75" customHeight="1" x14ac:dyDescent="0.2">
      <c r="A794" s="122" t="s">
        <v>20</v>
      </c>
    </row>
    <row r="795" spans="1:12" ht="24.75" customHeight="1" x14ac:dyDescent="0.2">
      <c r="A795" s="122" t="s">
        <v>21</v>
      </c>
    </row>
    <row r="796" spans="1:12" ht="24.75" customHeight="1" x14ac:dyDescent="0.2"/>
    <row r="797" spans="1:12" ht="16.5" customHeight="1" x14ac:dyDescent="0.2"/>
    <row r="798" spans="1:12" ht="18.75" customHeight="1" x14ac:dyDescent="0.2"/>
    <row r="799" spans="1:12" ht="17.25" customHeight="1" x14ac:dyDescent="0.3">
      <c r="A799" s="276" t="s">
        <v>6</v>
      </c>
      <c r="B799" s="276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</row>
    <row r="800" spans="1:12" ht="18.75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</row>
    <row r="801" spans="1:12" ht="15" customHeight="1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</row>
    <row r="802" spans="1:12" ht="15" x14ac:dyDescent="0.25">
      <c r="A802" s="1"/>
      <c r="B802" s="1"/>
    </row>
    <row r="803" spans="1:12" ht="17.25" customHeight="1" x14ac:dyDescent="0.25">
      <c r="A803" s="1" t="s">
        <v>7</v>
      </c>
      <c r="B803" s="1"/>
    </row>
    <row r="804" spans="1:12" ht="15" x14ac:dyDescent="0.25">
      <c r="A804" s="1"/>
      <c r="B804" s="1"/>
    </row>
    <row r="805" spans="1:12" ht="18.75" customHeight="1" x14ac:dyDescent="0.25">
      <c r="A805" s="1" t="s">
        <v>8</v>
      </c>
      <c r="C805" s="9" t="s">
        <v>1</v>
      </c>
      <c r="D805" s="92" t="s">
        <v>96</v>
      </c>
      <c r="E805" s="76"/>
      <c r="F805" s="76"/>
      <c r="G805" s="76"/>
      <c r="H805" s="76"/>
    </row>
    <row r="806" spans="1:12" ht="15.75" customHeight="1" x14ac:dyDescent="0.25">
      <c r="A806" s="1" t="s">
        <v>9</v>
      </c>
      <c r="C806" s="9" t="s">
        <v>1</v>
      </c>
      <c r="D806" s="57" t="s">
        <v>200</v>
      </c>
      <c r="E806" s="76"/>
      <c r="F806" s="76"/>
      <c r="G806" s="76"/>
      <c r="H806" s="76"/>
    </row>
    <row r="807" spans="1:12" ht="14.25" customHeight="1" x14ac:dyDescent="0.2">
      <c r="A807" s="50" t="s">
        <v>10</v>
      </c>
      <c r="B807" s="76"/>
      <c r="C807" s="91" t="s">
        <v>1</v>
      </c>
      <c r="D807" s="50" t="s">
        <v>203</v>
      </c>
      <c r="E807" s="76"/>
      <c r="F807" s="76"/>
      <c r="G807" s="76"/>
      <c r="H807" s="76"/>
      <c r="I807" s="76"/>
      <c r="J807" s="76"/>
      <c r="K807" s="76"/>
      <c r="L807" s="76"/>
    </row>
    <row r="808" spans="1:12" ht="15" customHeight="1" x14ac:dyDescent="0.25">
      <c r="A808" s="1"/>
      <c r="B808" s="1"/>
      <c r="D808" s="1"/>
    </row>
    <row r="809" spans="1:12" ht="32.25" customHeight="1" x14ac:dyDescent="0.2">
      <c r="A809" s="277" t="s">
        <v>253</v>
      </c>
      <c r="B809" s="277"/>
      <c r="C809" s="277"/>
      <c r="D809" s="277"/>
      <c r="E809" s="277"/>
      <c r="F809" s="277"/>
      <c r="G809" s="277"/>
      <c r="H809" s="277"/>
      <c r="I809" s="277"/>
      <c r="J809" s="277"/>
      <c r="K809" s="277"/>
      <c r="L809" s="277"/>
    </row>
    <row r="810" spans="1:12" ht="15" x14ac:dyDescent="0.25">
      <c r="A810" s="1"/>
      <c r="B810" s="1"/>
    </row>
    <row r="811" spans="1:12" ht="34.5" customHeight="1" thickBot="1" x14ac:dyDescent="0.25">
      <c r="A811" s="10" t="s">
        <v>0</v>
      </c>
      <c r="B811" s="278" t="s">
        <v>91</v>
      </c>
      <c r="C811" s="278"/>
      <c r="D811" s="278"/>
      <c r="E811" s="278"/>
      <c r="F811" s="278"/>
      <c r="G811" s="278"/>
      <c r="H811" s="278"/>
      <c r="I811" s="278"/>
      <c r="J811" s="278"/>
      <c r="K811" s="278"/>
      <c r="L811" s="278"/>
    </row>
    <row r="812" spans="1:12" ht="15.75" thickTop="1" x14ac:dyDescent="0.25">
      <c r="A812" s="1"/>
      <c r="B812" s="11" t="s">
        <v>3</v>
      </c>
      <c r="C812" s="12" t="s">
        <v>4</v>
      </c>
      <c r="D812" s="13"/>
      <c r="E812" s="13"/>
      <c r="F812" s="13"/>
      <c r="G812" s="13"/>
      <c r="H812" s="14"/>
      <c r="I812" s="15" t="s">
        <v>5</v>
      </c>
      <c r="J812" s="12" t="s">
        <v>17</v>
      </c>
      <c r="K812" s="13"/>
      <c r="L812" s="14"/>
    </row>
    <row r="813" spans="1:12" ht="25.5" customHeight="1" x14ac:dyDescent="0.2">
      <c r="A813" s="50"/>
      <c r="B813" s="100">
        <v>1</v>
      </c>
      <c r="C813" s="284" t="s">
        <v>230</v>
      </c>
      <c r="D813" s="285"/>
      <c r="E813" s="285"/>
      <c r="F813" s="285"/>
      <c r="G813" s="76"/>
      <c r="H813" s="79"/>
      <c r="I813" s="56">
        <v>250000</v>
      </c>
      <c r="J813" s="76"/>
      <c r="K813" s="76"/>
      <c r="L813" s="79"/>
    </row>
    <row r="814" spans="1:12" ht="15.75" customHeight="1" x14ac:dyDescent="0.25">
      <c r="A814" s="50"/>
      <c r="B814" s="96"/>
      <c r="C814" s="321"/>
      <c r="D814" s="297"/>
      <c r="E814" s="127"/>
      <c r="F814" s="319"/>
      <c r="G814" s="297"/>
      <c r="H814" s="320"/>
      <c r="I814" s="56"/>
      <c r="J814" s="50"/>
      <c r="K814" s="1"/>
      <c r="L814" s="17"/>
    </row>
    <row r="815" spans="1:12" ht="12.75" x14ac:dyDescent="0.2">
      <c r="B815" s="16"/>
      <c r="H815" s="17"/>
      <c r="I815" s="19"/>
      <c r="L815" s="17"/>
    </row>
    <row r="816" spans="1:12" ht="29.25" customHeight="1" x14ac:dyDescent="0.2">
      <c r="B816" s="20"/>
      <c r="C816" s="21"/>
      <c r="D816" s="21"/>
      <c r="E816" s="21"/>
      <c r="F816" s="21"/>
      <c r="G816" s="21"/>
      <c r="H816" s="22"/>
      <c r="I816" s="23"/>
      <c r="J816" s="21"/>
      <c r="K816" s="21"/>
      <c r="L816" s="22"/>
    </row>
    <row r="817" spans="1:12" ht="17.25" customHeight="1" x14ac:dyDescent="0.25">
      <c r="A817" s="1"/>
      <c r="B817" s="39"/>
      <c r="C817" s="1"/>
      <c r="D817" s="1"/>
      <c r="E817" s="1"/>
      <c r="F817" s="40" t="s">
        <v>5</v>
      </c>
      <c r="G817" s="40"/>
      <c r="H817" s="1"/>
      <c r="I817" s="41">
        <f>SUM(I813:I814)</f>
        <v>250000</v>
      </c>
      <c r="J817" s="1"/>
      <c r="K817" s="1"/>
      <c r="L817" s="42"/>
    </row>
    <row r="818" spans="1:12" ht="8.25" customHeight="1" thickBot="1" x14ac:dyDescent="0.3">
      <c r="A818" s="1"/>
      <c r="B818" s="43"/>
      <c r="C818" s="44"/>
      <c r="D818" s="44"/>
      <c r="E818" s="44"/>
      <c r="F818" s="45"/>
      <c r="G818" s="45"/>
      <c r="H818" s="44"/>
      <c r="I818" s="46"/>
      <c r="J818" s="44"/>
      <c r="K818" s="44"/>
      <c r="L818" s="47"/>
    </row>
    <row r="819" spans="1:12" ht="15.75" customHeight="1" thickTop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46.5" customHeight="1" x14ac:dyDescent="0.2">
      <c r="A820" s="10" t="s">
        <v>2</v>
      </c>
      <c r="B820" s="279" t="s">
        <v>11</v>
      </c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</row>
    <row r="821" spans="1:12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32.25" customHeight="1" x14ac:dyDescent="0.2">
      <c r="A822" s="280" t="s">
        <v>12</v>
      </c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</row>
    <row r="823" spans="1:12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5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7.25" customHeight="1" x14ac:dyDescent="0.25">
      <c r="A825" s="1"/>
      <c r="B825" s="1"/>
      <c r="C825" s="1"/>
      <c r="D825" s="1"/>
      <c r="E825" s="1"/>
      <c r="F825" s="1"/>
      <c r="G825" s="1"/>
      <c r="H825" s="4" t="s">
        <v>199</v>
      </c>
      <c r="J825" s="286" t="s">
        <v>254</v>
      </c>
      <c r="K825" s="286"/>
      <c r="L825" s="286"/>
    </row>
    <row r="826" spans="1:12" ht="14.25" customHeight="1" x14ac:dyDescent="0.25">
      <c r="A826" s="1"/>
      <c r="B826" s="1" t="s">
        <v>15</v>
      </c>
      <c r="C826" s="1"/>
      <c r="D826" s="1"/>
      <c r="E826" s="1"/>
      <c r="F826" s="1"/>
      <c r="G826" s="1"/>
      <c r="H826" s="4" t="s">
        <v>13</v>
      </c>
    </row>
    <row r="827" spans="1:12" ht="15" x14ac:dyDescent="0.25">
      <c r="A827" s="1"/>
      <c r="B827" s="1" t="s">
        <v>18</v>
      </c>
      <c r="C827" s="1"/>
      <c r="D827" s="1"/>
      <c r="E827" s="1"/>
      <c r="F827" s="1"/>
      <c r="G827" s="1"/>
      <c r="H827" s="4" t="s">
        <v>14</v>
      </c>
    </row>
    <row r="828" spans="1:12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21" customHeight="1" x14ac:dyDescent="0.25">
      <c r="A830" s="1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"/>
    </row>
    <row r="831" spans="1:12" ht="15" x14ac:dyDescent="0.25">
      <c r="A831" s="1"/>
      <c r="K831" s="103"/>
      <c r="L831" s="1"/>
    </row>
    <row r="832" spans="1:12" ht="21" customHeight="1" x14ac:dyDescent="0.25">
      <c r="A832" s="1"/>
      <c r="B832" s="95" t="s">
        <v>77</v>
      </c>
      <c r="H832" s="95" t="s">
        <v>96</v>
      </c>
      <c r="I832" s="95"/>
      <c r="J832" s="92"/>
      <c r="K832" s="103"/>
      <c r="L832" s="1"/>
    </row>
    <row r="833" spans="1:12" ht="15" x14ac:dyDescent="0.25">
      <c r="A833" s="1"/>
      <c r="B833" s="99" t="s">
        <v>27</v>
      </c>
      <c r="C833" s="57"/>
      <c r="H833" s="99" t="s">
        <v>100</v>
      </c>
      <c r="K833" s="103"/>
    </row>
    <row r="834" spans="1:12" ht="12.75" x14ac:dyDescent="0.2"/>
    <row r="835" spans="1:12" ht="57.75" customHeight="1" x14ac:dyDescent="0.2"/>
    <row r="836" spans="1:12" ht="12.75" x14ac:dyDescent="0.2"/>
    <row r="837" spans="1:12" ht="22.5" customHeight="1" x14ac:dyDescent="0.25">
      <c r="A837" s="3" t="s">
        <v>22</v>
      </c>
    </row>
    <row r="838" spans="1:12" ht="19.5" customHeight="1" x14ac:dyDescent="0.2">
      <c r="A838" s="122" t="s">
        <v>20</v>
      </c>
    </row>
    <row r="839" spans="1:12" ht="18.75" customHeight="1" x14ac:dyDescent="0.2">
      <c r="A839" s="122" t="s">
        <v>21</v>
      </c>
    </row>
    <row r="840" spans="1:12" ht="14.25" customHeight="1" x14ac:dyDescent="0.2"/>
    <row r="841" spans="1:12" ht="12.75" customHeight="1" x14ac:dyDescent="0.2"/>
    <row r="842" spans="1:12" ht="20.25" customHeight="1" x14ac:dyDescent="0.2"/>
    <row r="843" spans="1:12" ht="23.25" customHeight="1" x14ac:dyDescent="0.3">
      <c r="A843" s="276" t="s">
        <v>6</v>
      </c>
      <c r="B843" s="276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</row>
    <row r="844" spans="1:12" ht="18.75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</row>
    <row r="845" spans="1:12" ht="15" customHeight="1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</row>
    <row r="846" spans="1:12" ht="15" x14ac:dyDescent="0.25">
      <c r="A846" s="1"/>
      <c r="B846" s="1"/>
    </row>
    <row r="847" spans="1:12" ht="13.5" customHeight="1" x14ac:dyDescent="0.25">
      <c r="A847" s="1" t="s">
        <v>7</v>
      </c>
      <c r="B847" s="1"/>
    </row>
    <row r="848" spans="1:12" ht="19.5" customHeight="1" x14ac:dyDescent="0.25">
      <c r="A848" s="1"/>
      <c r="B848" s="1"/>
    </row>
    <row r="849" spans="1:12" ht="14.25" customHeight="1" x14ac:dyDescent="0.25">
      <c r="A849" s="1" t="s">
        <v>8</v>
      </c>
      <c r="C849" s="9" t="s">
        <v>1</v>
      </c>
      <c r="D849" s="126" t="s">
        <v>64</v>
      </c>
      <c r="E849" s="76"/>
      <c r="F849" s="76"/>
      <c r="G849" s="76"/>
      <c r="H849" s="76"/>
    </row>
    <row r="850" spans="1:12" ht="15" customHeight="1" x14ac:dyDescent="0.25">
      <c r="A850" s="1" t="s">
        <v>9</v>
      </c>
      <c r="C850" s="9" t="s">
        <v>1</v>
      </c>
      <c r="D850" s="119" t="s">
        <v>236</v>
      </c>
      <c r="E850" s="76"/>
      <c r="F850" s="76"/>
      <c r="G850" s="76"/>
      <c r="H850" s="76"/>
    </row>
    <row r="851" spans="1:12" s="76" customFormat="1" ht="12.75" customHeight="1" x14ac:dyDescent="0.2">
      <c r="A851" s="50" t="s">
        <v>10</v>
      </c>
      <c r="C851" s="91" t="s">
        <v>1</v>
      </c>
      <c r="D851" s="124" t="s">
        <v>235</v>
      </c>
    </row>
    <row r="852" spans="1:12" s="76" customFormat="1" ht="15.75" customHeight="1" x14ac:dyDescent="0.25">
      <c r="A852" s="1"/>
      <c r="B852" s="1"/>
      <c r="C852" s="4"/>
      <c r="D852" s="1"/>
      <c r="E852" s="4"/>
      <c r="F852" s="4"/>
      <c r="G852" s="4"/>
      <c r="H852" s="4"/>
      <c r="I852" s="4"/>
      <c r="J852" s="4"/>
      <c r="K852" s="4"/>
      <c r="L852" s="4"/>
    </row>
    <row r="853" spans="1:12" ht="42" customHeight="1" x14ac:dyDescent="0.2">
      <c r="A853" s="277" t="s">
        <v>253</v>
      </c>
      <c r="B853" s="277"/>
      <c r="C853" s="277"/>
      <c r="D853" s="277"/>
      <c r="E853" s="277"/>
      <c r="F853" s="277"/>
      <c r="G853" s="277"/>
      <c r="H853" s="277"/>
      <c r="I853" s="277"/>
      <c r="J853" s="277"/>
      <c r="K853" s="277"/>
      <c r="L853" s="277"/>
    </row>
    <row r="854" spans="1:12" ht="9.75" customHeight="1" x14ac:dyDescent="0.25">
      <c r="A854" s="1"/>
      <c r="B854" s="1"/>
    </row>
    <row r="855" spans="1:12" ht="39.75" customHeight="1" thickBot="1" x14ac:dyDescent="0.25">
      <c r="A855" s="10" t="s">
        <v>0</v>
      </c>
      <c r="B855" s="278" t="s">
        <v>91</v>
      </c>
      <c r="C855" s="278"/>
      <c r="D855" s="278"/>
      <c r="E855" s="278"/>
      <c r="F855" s="278"/>
      <c r="G855" s="278"/>
      <c r="H855" s="278"/>
      <c r="I855" s="278"/>
      <c r="J855" s="278"/>
      <c r="K855" s="278"/>
      <c r="L855" s="278"/>
    </row>
    <row r="856" spans="1:12" ht="22.5" customHeight="1" thickTop="1" x14ac:dyDescent="0.25">
      <c r="A856" s="1"/>
      <c r="B856" s="11" t="s">
        <v>3</v>
      </c>
      <c r="C856" s="12" t="s">
        <v>4</v>
      </c>
      <c r="D856" s="13"/>
      <c r="E856" s="13"/>
      <c r="F856" s="13"/>
      <c r="G856" s="13"/>
      <c r="H856" s="14"/>
      <c r="I856" s="15" t="s">
        <v>5</v>
      </c>
      <c r="J856" s="12" t="s">
        <v>17</v>
      </c>
      <c r="K856" s="13"/>
      <c r="L856" s="14"/>
    </row>
    <row r="857" spans="1:12" ht="28.5" customHeight="1" x14ac:dyDescent="0.2">
      <c r="A857" s="50"/>
      <c r="B857" s="100">
        <v>1</v>
      </c>
      <c r="C857" s="284" t="s">
        <v>230</v>
      </c>
      <c r="D857" s="285"/>
      <c r="E857" s="285"/>
      <c r="F857" s="285"/>
      <c r="G857" s="76"/>
      <c r="H857" s="79"/>
      <c r="I857" s="56">
        <v>250000</v>
      </c>
      <c r="J857" s="76"/>
      <c r="K857" s="76"/>
      <c r="L857" s="79"/>
    </row>
    <row r="858" spans="1:12" ht="19.5" customHeight="1" x14ac:dyDescent="0.25">
      <c r="A858" s="50"/>
      <c r="B858" s="96"/>
      <c r="C858" s="321"/>
      <c r="D858" s="297"/>
      <c r="E858" s="127"/>
      <c r="F858" s="319"/>
      <c r="G858" s="297"/>
      <c r="H858" s="320"/>
      <c r="I858" s="56"/>
      <c r="J858" s="50"/>
      <c r="K858" s="1"/>
      <c r="L858" s="17"/>
    </row>
    <row r="859" spans="1:12" ht="22.5" customHeight="1" x14ac:dyDescent="0.2">
      <c r="B859" s="16"/>
      <c r="H859" s="17"/>
      <c r="I859" s="19"/>
      <c r="L859" s="17"/>
    </row>
    <row r="860" spans="1:12" ht="36" customHeight="1" x14ac:dyDescent="0.2">
      <c r="B860" s="20"/>
      <c r="C860" s="21"/>
      <c r="D860" s="21"/>
      <c r="E860" s="21"/>
      <c r="F860" s="21"/>
      <c r="G860" s="21"/>
      <c r="H860" s="22"/>
      <c r="I860" s="23"/>
      <c r="J860" s="21"/>
      <c r="K860" s="21"/>
      <c r="L860" s="22"/>
    </row>
    <row r="861" spans="1:12" ht="12.75" customHeight="1" x14ac:dyDescent="0.25">
      <c r="A861" s="1"/>
      <c r="B861" s="39"/>
      <c r="C861" s="1"/>
      <c r="D861" s="1"/>
      <c r="E861" s="1"/>
      <c r="F861" s="40" t="s">
        <v>5</v>
      </c>
      <c r="G861" s="40"/>
      <c r="H861" s="1"/>
      <c r="I861" s="41">
        <f>SUM(I857:I858)</f>
        <v>250000</v>
      </c>
      <c r="J861" s="1"/>
      <c r="K861" s="1"/>
      <c r="L861" s="42"/>
    </row>
    <row r="862" spans="1:12" ht="9" customHeight="1" thickBot="1" x14ac:dyDescent="0.3">
      <c r="A862" s="1"/>
      <c r="B862" s="43"/>
      <c r="C862" s="44"/>
      <c r="D862" s="44"/>
      <c r="E862" s="44"/>
      <c r="F862" s="45"/>
      <c r="G862" s="45"/>
      <c r="H862" s="44"/>
      <c r="I862" s="46"/>
      <c r="J862" s="44"/>
      <c r="K862" s="44"/>
      <c r="L862" s="47"/>
    </row>
    <row r="863" spans="1:12" ht="9.75" customHeight="1" thickTop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47.25" customHeight="1" x14ac:dyDescent="0.2">
      <c r="A864" s="10" t="s">
        <v>2</v>
      </c>
      <c r="B864" s="279" t="s">
        <v>11</v>
      </c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</row>
    <row r="865" spans="1:12" ht="17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" x14ac:dyDescent="0.2">
      <c r="A866" s="280" t="s">
        <v>12</v>
      </c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</row>
    <row r="867" spans="1:12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22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" x14ac:dyDescent="0.25">
      <c r="A869" s="1"/>
      <c r="B869" s="1"/>
      <c r="C869" s="1"/>
      <c r="D869" s="1"/>
      <c r="E869" s="1"/>
      <c r="F869" s="1"/>
      <c r="G869" s="1"/>
      <c r="H869" s="4" t="s">
        <v>199</v>
      </c>
      <c r="J869" s="286" t="s">
        <v>254</v>
      </c>
      <c r="K869" s="286"/>
      <c r="L869" s="286"/>
    </row>
    <row r="870" spans="1:12" ht="18.75" customHeight="1" x14ac:dyDescent="0.25">
      <c r="A870" s="1"/>
      <c r="B870" s="1" t="s">
        <v>15</v>
      </c>
      <c r="C870" s="1"/>
      <c r="D870" s="1"/>
      <c r="E870" s="1"/>
      <c r="F870" s="1"/>
      <c r="G870" s="1"/>
      <c r="H870" s="4" t="s">
        <v>13</v>
      </c>
    </row>
    <row r="871" spans="1:12" ht="15" x14ac:dyDescent="0.25">
      <c r="A871" s="1"/>
      <c r="B871" s="1" t="s">
        <v>18</v>
      </c>
      <c r="C871" s="1"/>
      <c r="D871" s="1"/>
      <c r="E871" s="1"/>
      <c r="F871" s="1"/>
      <c r="G871" s="1"/>
      <c r="H871" s="4" t="s">
        <v>14</v>
      </c>
    </row>
    <row r="872" spans="1:12" ht="22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20.25" customHeight="1" x14ac:dyDescent="0.25">
      <c r="A874" s="1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"/>
    </row>
    <row r="875" spans="1:12" ht="6" customHeight="1" x14ac:dyDescent="0.25">
      <c r="A875" s="1"/>
      <c r="K875" s="103"/>
      <c r="L875" s="1"/>
    </row>
    <row r="876" spans="1:12" ht="15" x14ac:dyDescent="0.25">
      <c r="A876" s="1"/>
      <c r="B876" s="95" t="s">
        <v>77</v>
      </c>
      <c r="H876" s="95" t="s">
        <v>64</v>
      </c>
      <c r="I876" s="95"/>
      <c r="J876" s="92"/>
      <c r="K876" s="103"/>
      <c r="L876" s="1"/>
    </row>
    <row r="877" spans="1:12" ht="18.75" customHeight="1" x14ac:dyDescent="0.25">
      <c r="A877" s="1"/>
      <c r="B877" s="99" t="s">
        <v>27</v>
      </c>
      <c r="C877" s="57"/>
      <c r="H877" s="99" t="s">
        <v>46</v>
      </c>
      <c r="K877" s="103"/>
    </row>
    <row r="878" spans="1:12" ht="12.75" x14ac:dyDescent="0.2"/>
    <row r="879" spans="1:12" ht="45" customHeight="1" x14ac:dyDescent="0.2"/>
    <row r="880" spans="1:12" ht="12.75" x14ac:dyDescent="0.2"/>
    <row r="881" spans="1:12" ht="15.75" customHeight="1" x14ac:dyDescent="0.2"/>
    <row r="882" spans="1:12" ht="21" customHeight="1" x14ac:dyDescent="0.2"/>
    <row r="883" spans="1:12" ht="18" customHeight="1" x14ac:dyDescent="0.2"/>
    <row r="884" spans="1:12" ht="24" customHeight="1" x14ac:dyDescent="0.2"/>
    <row r="885" spans="1:12" ht="12.75" x14ac:dyDescent="0.2"/>
    <row r="886" spans="1:12" ht="18.75" customHeight="1" x14ac:dyDescent="0.2"/>
    <row r="887" spans="1:12" ht="12.75" customHeight="1" x14ac:dyDescent="0.2"/>
    <row r="888" spans="1:12" ht="18" customHeight="1" x14ac:dyDescent="0.25">
      <c r="A888" s="3" t="s">
        <v>22</v>
      </c>
    </row>
    <row r="889" spans="1:12" ht="15" customHeight="1" x14ac:dyDescent="0.2">
      <c r="A889" s="122" t="s">
        <v>20</v>
      </c>
    </row>
    <row r="890" spans="1:12" s="85" customFormat="1" ht="20.25" customHeight="1" x14ac:dyDescent="0.2">
      <c r="A890" s="122" t="s">
        <v>21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" customHeight="1" x14ac:dyDescent="0.2"/>
    <row r="892" spans="1:12" ht="15" customHeight="1" x14ac:dyDescent="0.2"/>
    <row r="893" spans="1:12" ht="12.75" x14ac:dyDescent="0.2"/>
    <row r="894" spans="1:12" ht="21" customHeight="1" x14ac:dyDescent="0.3">
      <c r="A894" s="276" t="s">
        <v>6</v>
      </c>
      <c r="B894" s="276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</row>
    <row r="895" spans="1:12" ht="12.75" customHeight="1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</row>
    <row r="896" spans="1:12" ht="21.75" customHeight="1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</row>
    <row r="897" spans="1:12" ht="27" customHeight="1" x14ac:dyDescent="0.25">
      <c r="A897" s="1"/>
      <c r="B897" s="1"/>
    </row>
    <row r="898" spans="1:12" ht="38.25" customHeight="1" x14ac:dyDescent="0.25">
      <c r="A898" s="1" t="s">
        <v>7</v>
      </c>
      <c r="B898" s="1"/>
    </row>
    <row r="899" spans="1:12" ht="20.25" customHeight="1" x14ac:dyDescent="0.25">
      <c r="A899" s="1"/>
      <c r="B899" s="1"/>
    </row>
    <row r="900" spans="1:12" ht="18.75" customHeight="1" x14ac:dyDescent="0.25">
      <c r="A900" s="1" t="s">
        <v>8</v>
      </c>
      <c r="C900" s="9" t="s">
        <v>1</v>
      </c>
      <c r="D900" s="92" t="s">
        <v>77</v>
      </c>
      <c r="E900" s="76"/>
      <c r="F900" s="76"/>
      <c r="G900" s="76"/>
      <c r="H900" s="76"/>
    </row>
    <row r="901" spans="1:12" ht="15.75" customHeight="1" x14ac:dyDescent="0.25">
      <c r="A901" s="1" t="s">
        <v>9</v>
      </c>
      <c r="C901" s="9" t="s">
        <v>1</v>
      </c>
      <c r="D901" s="57" t="s">
        <v>201</v>
      </c>
      <c r="E901" s="76"/>
      <c r="F901" s="76"/>
      <c r="G901" s="76"/>
      <c r="H901" s="76"/>
    </row>
    <row r="902" spans="1:12" ht="15.75" customHeight="1" x14ac:dyDescent="0.2">
      <c r="A902" s="50" t="s">
        <v>10</v>
      </c>
      <c r="B902" s="76"/>
      <c r="C902" s="91" t="s">
        <v>1</v>
      </c>
      <c r="D902" s="314" t="s">
        <v>233</v>
      </c>
      <c r="E902" s="314"/>
      <c r="F902" s="314"/>
      <c r="G902" s="314"/>
      <c r="H902" s="314"/>
      <c r="I902" s="76"/>
      <c r="J902" s="76"/>
      <c r="K902" s="76"/>
      <c r="L902" s="76"/>
    </row>
    <row r="903" spans="1:12" ht="20.25" customHeight="1" x14ac:dyDescent="0.25">
      <c r="A903" s="1"/>
      <c r="B903" s="1"/>
      <c r="D903" s="1"/>
    </row>
    <row r="904" spans="1:12" ht="33.75" customHeight="1" x14ac:dyDescent="0.2">
      <c r="A904" s="277" t="s">
        <v>253</v>
      </c>
      <c r="B904" s="277"/>
      <c r="C904" s="277"/>
      <c r="D904" s="277"/>
      <c r="E904" s="277"/>
      <c r="F904" s="277"/>
      <c r="G904" s="277"/>
      <c r="H904" s="277"/>
      <c r="I904" s="277"/>
      <c r="J904" s="277"/>
      <c r="K904" s="277"/>
      <c r="L904" s="277"/>
    </row>
    <row r="905" spans="1:12" ht="15" x14ac:dyDescent="0.25">
      <c r="A905" s="1"/>
      <c r="B905" s="1"/>
    </row>
    <row r="906" spans="1:12" ht="31.5" customHeight="1" thickBot="1" x14ac:dyDescent="0.25">
      <c r="A906" s="10" t="s">
        <v>0</v>
      </c>
      <c r="B906" s="278" t="s">
        <v>91</v>
      </c>
      <c r="C906" s="278"/>
      <c r="D906" s="278"/>
      <c r="E906" s="278"/>
      <c r="F906" s="278"/>
      <c r="G906" s="278"/>
      <c r="H906" s="278"/>
      <c r="I906" s="278"/>
      <c r="J906" s="278"/>
      <c r="K906" s="278"/>
      <c r="L906" s="278"/>
    </row>
    <row r="907" spans="1:12" ht="24" customHeight="1" thickTop="1" x14ac:dyDescent="0.25">
      <c r="A907" s="1"/>
      <c r="B907" s="11" t="s">
        <v>3</v>
      </c>
      <c r="C907" s="12" t="s">
        <v>4</v>
      </c>
      <c r="D907" s="13"/>
      <c r="E907" s="13"/>
      <c r="F907" s="13"/>
      <c r="G907" s="13"/>
      <c r="H907" s="14"/>
      <c r="I907" s="15" t="s">
        <v>5</v>
      </c>
      <c r="J907" s="12" t="s">
        <v>17</v>
      </c>
      <c r="K907" s="13"/>
      <c r="L907" s="14"/>
    </row>
    <row r="908" spans="1:12" ht="24" customHeight="1" x14ac:dyDescent="0.2">
      <c r="A908" s="50"/>
      <c r="B908" s="100">
        <v>1</v>
      </c>
      <c r="C908" s="284" t="s">
        <v>230</v>
      </c>
      <c r="D908" s="285"/>
      <c r="E908" s="285"/>
      <c r="F908" s="285"/>
      <c r="G908" s="76"/>
      <c r="H908" s="79"/>
      <c r="I908" s="56">
        <v>250000</v>
      </c>
      <c r="J908" s="76"/>
      <c r="K908" s="76"/>
      <c r="L908" s="79"/>
    </row>
    <row r="909" spans="1:12" ht="24" customHeight="1" x14ac:dyDescent="0.25">
      <c r="A909" s="50"/>
      <c r="B909" s="96"/>
      <c r="C909" s="321"/>
      <c r="D909" s="297"/>
      <c r="E909" s="127"/>
      <c r="F909" s="319"/>
      <c r="G909" s="297"/>
      <c r="H909" s="320"/>
      <c r="I909" s="56"/>
      <c r="J909" s="50"/>
      <c r="K909" s="1"/>
      <c r="L909" s="17"/>
    </row>
    <row r="910" spans="1:12" ht="31.5" customHeight="1" x14ac:dyDescent="0.2">
      <c r="B910" s="16"/>
      <c r="H910" s="17"/>
      <c r="I910" s="19"/>
      <c r="L910" s="17"/>
    </row>
    <row r="911" spans="1:12" ht="12.75" x14ac:dyDescent="0.2">
      <c r="B911" s="20"/>
      <c r="C911" s="21"/>
      <c r="D911" s="21"/>
      <c r="E911" s="21"/>
      <c r="F911" s="21"/>
      <c r="G911" s="21"/>
      <c r="H911" s="22"/>
      <c r="I911" s="23"/>
      <c r="J911" s="21"/>
      <c r="K911" s="21"/>
      <c r="L911" s="22"/>
    </row>
    <row r="912" spans="1:12" ht="17.25" customHeight="1" x14ac:dyDescent="0.25">
      <c r="A912" s="1"/>
      <c r="B912" s="39"/>
      <c r="C912" s="1"/>
      <c r="D912" s="1"/>
      <c r="E912" s="1"/>
      <c r="F912" s="40" t="s">
        <v>5</v>
      </c>
      <c r="G912" s="40"/>
      <c r="H912" s="1"/>
      <c r="I912" s="41">
        <f>SUM(I908:I909)</f>
        <v>250000</v>
      </c>
      <c r="J912" s="1"/>
      <c r="K912" s="1"/>
      <c r="L912" s="42"/>
    </row>
    <row r="913" spans="1:12" ht="4.5" customHeight="1" thickBot="1" x14ac:dyDescent="0.3">
      <c r="A913" s="1"/>
      <c r="B913" s="43"/>
      <c r="C913" s="44"/>
      <c r="D913" s="44"/>
      <c r="E913" s="44"/>
      <c r="F913" s="45"/>
      <c r="G913" s="45"/>
      <c r="H913" s="44"/>
      <c r="I913" s="46"/>
      <c r="J913" s="44"/>
      <c r="K913" s="44"/>
      <c r="L913" s="47"/>
    </row>
    <row r="914" spans="1:12" ht="26.25" customHeight="1" thickTop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48.75" customHeight="1" x14ac:dyDescent="0.2">
      <c r="A915" s="10" t="s">
        <v>2</v>
      </c>
      <c r="B915" s="279" t="s">
        <v>11</v>
      </c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</row>
    <row r="916" spans="1:12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21" customHeight="1" x14ac:dyDescent="0.2">
      <c r="A917" s="280" t="s">
        <v>12</v>
      </c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</row>
    <row r="918" spans="1:12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" x14ac:dyDescent="0.25">
      <c r="A920" s="1"/>
      <c r="B920" s="1"/>
      <c r="C920" s="1"/>
      <c r="D920" s="1"/>
      <c r="E920" s="1"/>
      <c r="F920" s="1"/>
      <c r="G920" s="1"/>
      <c r="H920" s="4" t="s">
        <v>199</v>
      </c>
      <c r="J920" s="286" t="s">
        <v>254</v>
      </c>
      <c r="K920" s="286"/>
      <c r="L920" s="286"/>
    </row>
    <row r="921" spans="1:12" ht="15" x14ac:dyDescent="0.25">
      <c r="A921" s="1"/>
      <c r="B921" s="1" t="s">
        <v>15</v>
      </c>
      <c r="C921" s="1"/>
      <c r="D921" s="1"/>
      <c r="E921" s="1"/>
      <c r="F921" s="1"/>
      <c r="G921" s="1"/>
      <c r="H921" s="4" t="s">
        <v>13</v>
      </c>
    </row>
    <row r="922" spans="1:12" ht="16.5" customHeight="1" x14ac:dyDescent="0.25">
      <c r="A922" s="1"/>
      <c r="B922" s="1" t="s">
        <v>18</v>
      </c>
      <c r="C922" s="1"/>
      <c r="D922" s="1"/>
      <c r="E922" s="1"/>
      <c r="F922" s="1"/>
      <c r="G922" s="1"/>
      <c r="H922" s="4" t="s">
        <v>14</v>
      </c>
    </row>
    <row r="923" spans="1:12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" x14ac:dyDescent="0.25">
      <c r="A925" s="1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"/>
    </row>
    <row r="926" spans="1:12" ht="58.5" customHeight="1" x14ac:dyDescent="0.25">
      <c r="A926" s="1"/>
      <c r="K926" s="103"/>
      <c r="L926" s="1"/>
    </row>
    <row r="927" spans="1:12" ht="15" x14ac:dyDescent="0.25">
      <c r="A927" s="1"/>
      <c r="B927" s="95" t="s">
        <v>77</v>
      </c>
      <c r="H927" s="95" t="s">
        <v>77</v>
      </c>
      <c r="I927" s="95"/>
      <c r="J927" s="92"/>
      <c r="K927" s="103"/>
      <c r="L927" s="1"/>
    </row>
    <row r="928" spans="1:12" ht="18" customHeight="1" x14ac:dyDescent="0.25">
      <c r="A928" s="1"/>
      <c r="B928" s="99" t="s">
        <v>27</v>
      </c>
      <c r="C928" s="57"/>
      <c r="H928" s="99" t="s">
        <v>27</v>
      </c>
      <c r="K928" s="103"/>
    </row>
    <row r="929" spans="1:1" ht="12.75" x14ac:dyDescent="0.2"/>
    <row r="930" spans="1:1" ht="12.75" customHeight="1" x14ac:dyDescent="0.2"/>
    <row r="931" spans="1:1" ht="34.5" customHeight="1" x14ac:dyDescent="0.2"/>
    <row r="932" spans="1:1" ht="3" customHeight="1" x14ac:dyDescent="0.2"/>
    <row r="933" spans="1:1" ht="36" hidden="1" customHeight="1" x14ac:dyDescent="0.2"/>
    <row r="934" spans="1:1" ht="22.5" customHeight="1" x14ac:dyDescent="0.2"/>
    <row r="935" spans="1:1" ht="12.75" x14ac:dyDescent="0.2"/>
    <row r="936" spans="1:1" ht="12.75" x14ac:dyDescent="0.2"/>
    <row r="937" spans="1:1" ht="12.75" x14ac:dyDescent="0.2"/>
    <row r="938" spans="1:1" ht="17.25" customHeight="1" x14ac:dyDescent="0.2"/>
    <row r="939" spans="1:1" ht="48.75" customHeight="1" x14ac:dyDescent="0.25">
      <c r="A939" s="3" t="s">
        <v>22</v>
      </c>
    </row>
    <row r="940" spans="1:1" ht="18" customHeight="1" x14ac:dyDescent="0.2">
      <c r="A940" s="122" t="s">
        <v>20</v>
      </c>
    </row>
    <row r="941" spans="1:1" ht="21" customHeight="1" x14ac:dyDescent="0.2">
      <c r="A941" s="122" t="s">
        <v>21</v>
      </c>
    </row>
    <row r="942" spans="1:1" ht="12.75" x14ac:dyDescent="0.2"/>
    <row r="943" spans="1:1" ht="15" customHeight="1" x14ac:dyDescent="0.2"/>
    <row r="944" spans="1:1" ht="21.75" customHeight="1" x14ac:dyDescent="0.2"/>
    <row r="945" spans="1:12" ht="15" customHeight="1" x14ac:dyDescent="0.3">
      <c r="A945" s="276" t="s">
        <v>6</v>
      </c>
      <c r="B945" s="276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</row>
    <row r="946" spans="1:12" ht="15" customHeight="1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</row>
    <row r="947" spans="1:12" ht="18.75" customHeight="1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</row>
    <row r="948" spans="1:12" ht="31.5" customHeight="1" x14ac:dyDescent="0.25">
      <c r="A948" s="1"/>
      <c r="B948" s="1"/>
    </row>
    <row r="949" spans="1:12" ht="21.75" customHeight="1" x14ac:dyDescent="0.25">
      <c r="A949" s="1" t="s">
        <v>7</v>
      </c>
      <c r="B949" s="1"/>
    </row>
    <row r="950" spans="1:12" ht="15" x14ac:dyDescent="0.25">
      <c r="A950" s="1"/>
      <c r="B950" s="1"/>
    </row>
    <row r="951" spans="1:12" ht="14.25" customHeight="1" x14ac:dyDescent="0.25">
      <c r="A951" s="1" t="s">
        <v>8</v>
      </c>
      <c r="C951" s="9" t="s">
        <v>1</v>
      </c>
      <c r="D951" s="126" t="s">
        <v>64</v>
      </c>
      <c r="E951" s="76"/>
      <c r="F951" s="76"/>
      <c r="G951" s="76"/>
      <c r="H951" s="76"/>
    </row>
    <row r="952" spans="1:12" ht="15" x14ac:dyDescent="0.25">
      <c r="A952" s="1" t="s">
        <v>9</v>
      </c>
      <c r="C952" s="9" t="s">
        <v>1</v>
      </c>
      <c r="D952" s="119" t="s">
        <v>236</v>
      </c>
      <c r="E952" s="76"/>
      <c r="F952" s="76"/>
      <c r="G952" s="76"/>
      <c r="H952" s="76"/>
    </row>
    <row r="953" spans="1:12" ht="15" customHeight="1" x14ac:dyDescent="0.2">
      <c r="A953" s="50" t="s">
        <v>10</v>
      </c>
      <c r="B953" s="76"/>
      <c r="C953" s="91" t="s">
        <v>1</v>
      </c>
      <c r="D953" s="124" t="s">
        <v>235</v>
      </c>
      <c r="E953" s="76"/>
      <c r="F953" s="76"/>
      <c r="G953" s="76"/>
      <c r="H953" s="76"/>
      <c r="I953" s="76"/>
      <c r="J953" s="76"/>
      <c r="K953" s="76"/>
      <c r="L953" s="76"/>
    </row>
    <row r="954" spans="1:12" ht="15" x14ac:dyDescent="0.25">
      <c r="A954" s="1"/>
      <c r="B954" s="1"/>
      <c r="D954" s="1"/>
    </row>
    <row r="955" spans="1:12" ht="26.25" customHeight="1" x14ac:dyDescent="0.2">
      <c r="A955" s="277" t="s">
        <v>253</v>
      </c>
      <c r="B955" s="277"/>
      <c r="C955" s="277"/>
      <c r="D955" s="277"/>
      <c r="E955" s="277"/>
      <c r="F955" s="277"/>
      <c r="G955" s="277"/>
      <c r="H955" s="277"/>
      <c r="I955" s="277"/>
      <c r="J955" s="277"/>
      <c r="K955" s="277"/>
      <c r="L955" s="277"/>
    </row>
    <row r="956" spans="1:12" ht="15" customHeight="1" x14ac:dyDescent="0.25">
      <c r="A956" s="1"/>
      <c r="B956" s="1"/>
    </row>
    <row r="957" spans="1:12" ht="36" customHeight="1" thickBot="1" x14ac:dyDescent="0.25">
      <c r="A957" s="10" t="s">
        <v>0</v>
      </c>
      <c r="B957" s="278" t="s">
        <v>91</v>
      </c>
      <c r="C957" s="278"/>
      <c r="D957" s="278"/>
      <c r="E957" s="278"/>
      <c r="F957" s="278"/>
      <c r="G957" s="278"/>
      <c r="H957" s="278"/>
      <c r="I957" s="278"/>
      <c r="J957" s="278"/>
      <c r="K957" s="278"/>
      <c r="L957" s="278"/>
    </row>
    <row r="958" spans="1:12" ht="21" customHeight="1" thickTop="1" x14ac:dyDescent="0.25">
      <c r="A958" s="1"/>
      <c r="B958" s="11" t="s">
        <v>3</v>
      </c>
      <c r="C958" s="12" t="s">
        <v>4</v>
      </c>
      <c r="D958" s="13"/>
      <c r="E958" s="13"/>
      <c r="F958" s="13"/>
      <c r="G958" s="13"/>
      <c r="H958" s="14"/>
      <c r="I958" s="15" t="s">
        <v>5</v>
      </c>
      <c r="J958" s="12" t="s">
        <v>17</v>
      </c>
      <c r="K958" s="13"/>
      <c r="L958" s="14"/>
    </row>
    <row r="959" spans="1:12" ht="21" customHeight="1" x14ac:dyDescent="0.2">
      <c r="A959" s="50"/>
      <c r="B959" s="100">
        <v>1</v>
      </c>
      <c r="C959" s="284" t="s">
        <v>230</v>
      </c>
      <c r="D959" s="285"/>
      <c r="E959" s="285"/>
      <c r="F959" s="285"/>
      <c r="G959" s="76"/>
      <c r="H959" s="79"/>
      <c r="I959" s="56">
        <v>250000</v>
      </c>
      <c r="J959" s="76"/>
      <c r="K959" s="76"/>
      <c r="L959" s="79"/>
    </row>
    <row r="960" spans="1:12" ht="33.75" customHeight="1" x14ac:dyDescent="0.25">
      <c r="A960" s="50"/>
      <c r="B960" s="96"/>
      <c r="C960" s="321"/>
      <c r="D960" s="297"/>
      <c r="E960" s="127"/>
      <c r="F960" s="319"/>
      <c r="G960" s="297"/>
      <c r="H960" s="320"/>
      <c r="I960" s="56"/>
      <c r="J960" s="50"/>
      <c r="K960" s="1"/>
      <c r="L960" s="17"/>
    </row>
    <row r="961" spans="1:12" ht="12.75" x14ac:dyDescent="0.2">
      <c r="B961" s="16"/>
      <c r="H961" s="17"/>
      <c r="I961" s="19"/>
      <c r="L961" s="17"/>
    </row>
    <row r="962" spans="1:12" ht="23.25" customHeight="1" x14ac:dyDescent="0.2">
      <c r="B962" s="20"/>
      <c r="C962" s="21"/>
      <c r="D962" s="21"/>
      <c r="E962" s="21"/>
      <c r="F962" s="21"/>
      <c r="G962" s="21"/>
      <c r="H962" s="22"/>
      <c r="I962" s="23"/>
      <c r="J962" s="21"/>
      <c r="K962" s="21"/>
      <c r="L962" s="22"/>
    </row>
    <row r="963" spans="1:12" ht="15" x14ac:dyDescent="0.25">
      <c r="A963" s="1"/>
      <c r="B963" s="39"/>
      <c r="C963" s="1"/>
      <c r="D963" s="1"/>
      <c r="E963" s="1"/>
      <c r="F963" s="40" t="s">
        <v>5</v>
      </c>
      <c r="G963" s="40"/>
      <c r="H963" s="1"/>
      <c r="I963" s="41">
        <f>SUM(I959:I960)</f>
        <v>250000</v>
      </c>
      <c r="J963" s="1"/>
      <c r="K963" s="1"/>
      <c r="L963" s="42"/>
    </row>
    <row r="964" spans="1:12" ht="16.5" customHeight="1" thickBot="1" x14ac:dyDescent="0.3">
      <c r="A964" s="1"/>
      <c r="B964" s="43"/>
      <c r="C964" s="44"/>
      <c r="D964" s="44"/>
      <c r="E964" s="44"/>
      <c r="F964" s="45"/>
      <c r="G964" s="45"/>
      <c r="H964" s="44"/>
      <c r="I964" s="46"/>
      <c r="J964" s="44"/>
      <c r="K964" s="44"/>
      <c r="L964" s="47"/>
    </row>
    <row r="965" spans="1:12" ht="21.75" customHeight="1" thickTop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46.5" customHeight="1" x14ac:dyDescent="0.2">
      <c r="A966" s="10" t="s">
        <v>2</v>
      </c>
      <c r="B966" s="279" t="s">
        <v>11</v>
      </c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</row>
    <row r="967" spans="1:12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22.5" customHeight="1" x14ac:dyDescent="0.2">
      <c r="A968" s="280" t="s">
        <v>12</v>
      </c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</row>
    <row r="969" spans="1:12" ht="28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20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" customHeight="1" x14ac:dyDescent="0.25">
      <c r="A971" s="1"/>
      <c r="B971" s="1"/>
      <c r="C971" s="1"/>
      <c r="D971" s="1"/>
      <c r="E971" s="1"/>
      <c r="F971" s="1"/>
      <c r="G971" s="1"/>
      <c r="H971" s="4" t="s">
        <v>199</v>
      </c>
      <c r="J971" s="286" t="s">
        <v>254</v>
      </c>
      <c r="K971" s="286"/>
      <c r="L971" s="286"/>
    </row>
    <row r="972" spans="1:12" ht="15" x14ac:dyDescent="0.25">
      <c r="A972" s="1"/>
      <c r="B972" s="1" t="s">
        <v>15</v>
      </c>
      <c r="C972" s="1"/>
      <c r="D972" s="1"/>
      <c r="E972" s="1"/>
      <c r="F972" s="1"/>
      <c r="G972" s="1"/>
      <c r="H972" s="4" t="s">
        <v>13</v>
      </c>
    </row>
    <row r="973" spans="1:12" ht="15" x14ac:dyDescent="0.25">
      <c r="A973" s="1"/>
      <c r="B973" s="1" t="s">
        <v>18</v>
      </c>
      <c r="C973" s="1"/>
      <c r="D973" s="1"/>
      <c r="E973" s="1"/>
      <c r="F973" s="1"/>
      <c r="G973" s="1"/>
      <c r="H973" s="4" t="s">
        <v>14</v>
      </c>
    </row>
    <row r="974" spans="1:12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28.5" customHeight="1" x14ac:dyDescent="0.25">
      <c r="A976" s="1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"/>
    </row>
    <row r="977" spans="1:12" ht="15" x14ac:dyDescent="0.25">
      <c r="A977" s="1"/>
      <c r="K977" s="103"/>
      <c r="L977" s="1"/>
    </row>
    <row r="978" spans="1:12" ht="15" x14ac:dyDescent="0.25">
      <c r="A978" s="1"/>
      <c r="B978" s="95" t="s">
        <v>77</v>
      </c>
      <c r="H978" s="95" t="s">
        <v>64</v>
      </c>
      <c r="I978" s="95"/>
      <c r="J978" s="92"/>
      <c r="K978" s="103"/>
      <c r="L978" s="1"/>
    </row>
    <row r="979" spans="1:12" ht="15" x14ac:dyDescent="0.25">
      <c r="A979" s="1"/>
      <c r="B979" s="99" t="s">
        <v>27</v>
      </c>
      <c r="C979" s="57"/>
      <c r="H979" s="99" t="s">
        <v>46</v>
      </c>
      <c r="K979" s="103"/>
    </row>
    <row r="980" spans="1:12" ht="46.5" customHeight="1" x14ac:dyDescent="0.2"/>
    <row r="981" spans="1:12" ht="12.75" x14ac:dyDescent="0.2"/>
    <row r="982" spans="1:12" ht="32.25" customHeight="1" x14ac:dyDescent="0.25">
      <c r="A982" s="3" t="s">
        <v>22</v>
      </c>
    </row>
    <row r="983" spans="1:12" ht="15.75" x14ac:dyDescent="0.2">
      <c r="A983" s="122" t="s">
        <v>20</v>
      </c>
    </row>
    <row r="984" spans="1:12" ht="15" customHeight="1" x14ac:dyDescent="0.2">
      <c r="A984" s="122" t="s">
        <v>21</v>
      </c>
    </row>
    <row r="985" spans="1:12" ht="22.5" customHeight="1" x14ac:dyDescent="0.2"/>
    <row r="986" spans="1:12" ht="12.75" customHeight="1" x14ac:dyDescent="0.2"/>
    <row r="987" spans="1:12" ht="18" customHeight="1" x14ac:dyDescent="0.2"/>
    <row r="988" spans="1:12" ht="18" customHeight="1" x14ac:dyDescent="0.3">
      <c r="A988" s="276" t="s">
        <v>6</v>
      </c>
      <c r="B988" s="276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</row>
    <row r="989" spans="1:12" ht="18.75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</row>
    <row r="990" spans="1:12" ht="21" customHeight="1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</row>
    <row r="991" spans="1:12" ht="21" customHeight="1" x14ac:dyDescent="0.25">
      <c r="A991" s="1"/>
      <c r="B991" s="1"/>
    </row>
    <row r="992" spans="1:12" ht="15.75" customHeight="1" x14ac:dyDescent="0.25">
      <c r="A992" s="1" t="s">
        <v>7</v>
      </c>
      <c r="B992" s="1"/>
    </row>
    <row r="993" spans="1:12" ht="11.25" customHeight="1" x14ac:dyDescent="0.25">
      <c r="A993" s="1"/>
      <c r="B993" s="1"/>
    </row>
    <row r="994" spans="1:12" ht="23.25" customHeight="1" x14ac:dyDescent="0.25">
      <c r="A994" s="1" t="s">
        <v>8</v>
      </c>
      <c r="C994" s="9" t="s">
        <v>1</v>
      </c>
      <c r="D994" s="126" t="s">
        <v>64</v>
      </c>
      <c r="E994" s="76"/>
      <c r="F994" s="76"/>
      <c r="G994" s="76"/>
      <c r="H994" s="76"/>
    </row>
    <row r="995" spans="1:12" ht="15" customHeight="1" x14ac:dyDescent="0.25">
      <c r="A995" s="1" t="s">
        <v>9</v>
      </c>
      <c r="C995" s="9" t="s">
        <v>1</v>
      </c>
      <c r="D995" s="119" t="s">
        <v>236</v>
      </c>
      <c r="E995" s="76"/>
      <c r="F995" s="76"/>
      <c r="G995" s="76"/>
      <c r="H995" s="76"/>
    </row>
    <row r="996" spans="1:12" ht="17.25" customHeight="1" x14ac:dyDescent="0.2">
      <c r="A996" s="50" t="s">
        <v>10</v>
      </c>
      <c r="B996" s="76"/>
      <c r="C996" s="91" t="s">
        <v>1</v>
      </c>
      <c r="D996" s="124" t="s">
        <v>235</v>
      </c>
      <c r="E996" s="76"/>
      <c r="F996" s="76"/>
      <c r="G996" s="76"/>
      <c r="H996" s="76"/>
      <c r="I996" s="76"/>
      <c r="J996" s="76"/>
      <c r="K996" s="76"/>
      <c r="L996" s="76"/>
    </row>
    <row r="997" spans="1:12" ht="17.25" customHeight="1" x14ac:dyDescent="0.25">
      <c r="A997" s="1"/>
      <c r="B997" s="1"/>
      <c r="D997" s="1"/>
    </row>
    <row r="998" spans="1:12" ht="37.5" customHeight="1" x14ac:dyDescent="0.2">
      <c r="A998" s="277" t="s">
        <v>255</v>
      </c>
      <c r="B998" s="277"/>
      <c r="C998" s="277"/>
      <c r="D998" s="277"/>
      <c r="E998" s="277"/>
      <c r="F998" s="277"/>
      <c r="G998" s="277"/>
      <c r="H998" s="277"/>
      <c r="I998" s="277"/>
      <c r="J998" s="277"/>
      <c r="K998" s="277"/>
      <c r="L998" s="277"/>
    </row>
    <row r="999" spans="1:12" ht="15" x14ac:dyDescent="0.25">
      <c r="A999" s="1"/>
      <c r="B999" s="1"/>
    </row>
    <row r="1000" spans="1:12" ht="32.25" customHeight="1" thickBot="1" x14ac:dyDescent="0.25">
      <c r="A1000" s="10" t="s">
        <v>0</v>
      </c>
      <c r="B1000" s="278" t="s">
        <v>91</v>
      </c>
      <c r="C1000" s="278"/>
      <c r="D1000" s="278"/>
      <c r="E1000" s="278"/>
      <c r="F1000" s="278"/>
      <c r="G1000" s="278"/>
      <c r="H1000" s="278"/>
      <c r="I1000" s="278"/>
      <c r="J1000" s="278"/>
      <c r="K1000" s="278"/>
      <c r="L1000" s="278"/>
    </row>
    <row r="1001" spans="1:12" ht="23.25" customHeight="1" thickTop="1" x14ac:dyDescent="0.25">
      <c r="A1001" s="1"/>
      <c r="B1001" s="11" t="s">
        <v>3</v>
      </c>
      <c r="C1001" s="12" t="s">
        <v>4</v>
      </c>
      <c r="D1001" s="13"/>
      <c r="E1001" s="13"/>
      <c r="F1001" s="13"/>
      <c r="G1001" s="13"/>
      <c r="H1001" s="14"/>
      <c r="I1001" s="15" t="s">
        <v>5</v>
      </c>
      <c r="J1001" s="12" t="s">
        <v>17</v>
      </c>
      <c r="K1001" s="13"/>
      <c r="L1001" s="14"/>
    </row>
    <row r="1002" spans="1:12" ht="23.25" customHeight="1" x14ac:dyDescent="0.2">
      <c r="A1002" s="50"/>
      <c r="B1002" s="100">
        <v>1</v>
      </c>
      <c r="C1002" s="284" t="s">
        <v>230</v>
      </c>
      <c r="D1002" s="285"/>
      <c r="E1002" s="285"/>
      <c r="F1002" s="285"/>
      <c r="G1002" s="76"/>
      <c r="H1002" s="79"/>
      <c r="I1002" s="56">
        <v>250000</v>
      </c>
      <c r="J1002" s="76"/>
      <c r="K1002" s="76"/>
      <c r="L1002" s="79"/>
    </row>
    <row r="1003" spans="1:12" ht="13.5" customHeight="1" x14ac:dyDescent="0.25">
      <c r="A1003" s="50"/>
      <c r="B1003" s="96"/>
      <c r="C1003" s="321"/>
      <c r="D1003" s="297"/>
      <c r="E1003" s="127"/>
      <c r="F1003" s="319"/>
      <c r="G1003" s="297"/>
      <c r="H1003" s="320"/>
      <c r="I1003" s="56"/>
      <c r="J1003" s="50"/>
      <c r="K1003" s="1"/>
      <c r="L1003" s="17"/>
    </row>
    <row r="1004" spans="1:12" ht="14.25" customHeight="1" x14ac:dyDescent="0.2">
      <c r="B1004" s="16"/>
      <c r="H1004" s="17"/>
      <c r="I1004" s="19"/>
      <c r="L1004" s="17"/>
    </row>
    <row r="1005" spans="1:12" ht="30.75" customHeight="1" x14ac:dyDescent="0.2">
      <c r="B1005" s="20"/>
      <c r="C1005" s="21"/>
      <c r="D1005" s="21"/>
      <c r="E1005" s="21"/>
      <c r="F1005" s="21"/>
      <c r="G1005" s="21"/>
      <c r="H1005" s="22"/>
      <c r="I1005" s="23"/>
      <c r="J1005" s="21"/>
      <c r="K1005" s="21"/>
      <c r="L1005" s="22"/>
    </row>
    <row r="1006" spans="1:12" ht="20.25" customHeight="1" x14ac:dyDescent="0.25">
      <c r="A1006" s="1"/>
      <c r="B1006" s="39"/>
      <c r="C1006" s="1"/>
      <c r="D1006" s="1"/>
      <c r="E1006" s="1"/>
      <c r="F1006" s="40" t="s">
        <v>5</v>
      </c>
      <c r="G1006" s="40"/>
      <c r="H1006" s="1"/>
      <c r="I1006" s="41">
        <f>SUM(I1002:I1003)</f>
        <v>250000</v>
      </c>
      <c r="J1006" s="1"/>
      <c r="K1006" s="1"/>
      <c r="L1006" s="42"/>
    </row>
    <row r="1007" spans="1:12" ht="10.5" customHeight="1" thickBot="1" x14ac:dyDescent="0.3">
      <c r="A1007" s="1"/>
      <c r="B1007" s="43"/>
      <c r="C1007" s="44"/>
      <c r="D1007" s="44"/>
      <c r="E1007" s="44"/>
      <c r="F1007" s="45"/>
      <c r="G1007" s="45"/>
      <c r="H1007" s="44"/>
      <c r="I1007" s="46"/>
      <c r="J1007" s="44"/>
      <c r="K1007" s="44"/>
      <c r="L1007" s="47"/>
    </row>
    <row r="1008" spans="1:12" ht="21" customHeight="1" thickTop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ht="49.5" customHeight="1" x14ac:dyDescent="0.2">
      <c r="A1009" s="10" t="s">
        <v>2</v>
      </c>
      <c r="B1009" s="279" t="s">
        <v>11</v>
      </c>
      <c r="C1009" s="279"/>
      <c r="D1009" s="279"/>
      <c r="E1009" s="279"/>
      <c r="F1009" s="279"/>
      <c r="G1009" s="279"/>
      <c r="H1009" s="279"/>
      <c r="I1009" s="279"/>
      <c r="J1009" s="279"/>
      <c r="K1009" s="279"/>
      <c r="L1009" s="279"/>
    </row>
    <row r="1010" spans="1:12" ht="18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ht="16.5" customHeight="1" x14ac:dyDescent="0.2">
      <c r="A1011" s="280" t="s">
        <v>12</v>
      </c>
      <c r="B1011" s="280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</row>
    <row r="1012" spans="1:12" ht="1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ht="1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ht="15" x14ac:dyDescent="0.25">
      <c r="A1014" s="1"/>
      <c r="B1014" s="1"/>
      <c r="C1014" s="1"/>
      <c r="D1014" s="1"/>
      <c r="E1014" s="1"/>
      <c r="F1014" s="1"/>
      <c r="G1014" s="1"/>
      <c r="H1014" s="4" t="s">
        <v>199</v>
      </c>
      <c r="J1014" s="286" t="s">
        <v>254</v>
      </c>
      <c r="K1014" s="286"/>
      <c r="L1014" s="286"/>
    </row>
    <row r="1015" spans="1:12" ht="15" x14ac:dyDescent="0.25">
      <c r="A1015" s="1"/>
      <c r="B1015" s="1" t="s">
        <v>15</v>
      </c>
      <c r="C1015" s="1"/>
      <c r="D1015" s="1"/>
      <c r="E1015" s="1"/>
      <c r="F1015" s="1"/>
      <c r="G1015" s="1"/>
      <c r="H1015" s="4" t="s">
        <v>13</v>
      </c>
    </row>
    <row r="1016" spans="1:12" ht="15" x14ac:dyDescent="0.25">
      <c r="A1016" s="1"/>
      <c r="B1016" s="1" t="s">
        <v>18</v>
      </c>
      <c r="C1016" s="1"/>
      <c r="D1016" s="1"/>
      <c r="E1016" s="1"/>
      <c r="F1016" s="1"/>
      <c r="G1016" s="1"/>
      <c r="H1016" s="4" t="s">
        <v>14</v>
      </c>
    </row>
    <row r="1017" spans="1:12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ht="18" hidden="1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ht="18" customHeight="1" x14ac:dyDescent="0.25">
      <c r="A1019" s="1"/>
      <c r="B1019" s="103"/>
      <c r="C1019" s="103"/>
      <c r="D1019" s="103"/>
      <c r="E1019" s="103"/>
      <c r="F1019" s="103"/>
      <c r="G1019" s="103"/>
      <c r="H1019" s="103"/>
      <c r="I1019" s="103"/>
      <c r="J1019" s="103"/>
      <c r="K1019" s="103"/>
      <c r="L1019" s="1"/>
    </row>
    <row r="1020" spans="1:12" ht="20.25" customHeight="1" x14ac:dyDescent="0.25">
      <c r="A1020" s="1"/>
      <c r="K1020" s="103"/>
      <c r="L1020" s="1"/>
    </row>
    <row r="1021" spans="1:12" ht="20.25" customHeight="1" x14ac:dyDescent="0.25">
      <c r="A1021" s="1"/>
      <c r="B1021" s="95" t="s">
        <v>77</v>
      </c>
      <c r="H1021" s="95" t="s">
        <v>64</v>
      </c>
      <c r="I1021" s="95"/>
      <c r="J1021" s="92"/>
      <c r="K1021" s="103"/>
      <c r="L1021" s="1"/>
    </row>
    <row r="1022" spans="1:12" ht="15" x14ac:dyDescent="0.25">
      <c r="A1022" s="1"/>
      <c r="B1022" s="99" t="s">
        <v>27</v>
      </c>
      <c r="C1022" s="57"/>
      <c r="H1022" s="99" t="s">
        <v>46</v>
      </c>
      <c r="K1022" s="103"/>
    </row>
    <row r="1023" spans="1:12" ht="15" customHeight="1" x14ac:dyDescent="0.2"/>
    <row r="1024" spans="1:12" ht="12.75" x14ac:dyDescent="0.2"/>
    <row r="1025" spans="1:12" ht="12.75" x14ac:dyDescent="0.2"/>
    <row r="1026" spans="1:12" ht="12.75" x14ac:dyDescent="0.2"/>
    <row r="1027" spans="1:12" ht="21.75" customHeight="1" x14ac:dyDescent="0.2"/>
    <row r="1028" spans="1:12" ht="12.75" x14ac:dyDescent="0.2"/>
    <row r="1029" spans="1:12" ht="39" customHeight="1" x14ac:dyDescent="0.25">
      <c r="A1029" s="3" t="s">
        <v>22</v>
      </c>
    </row>
    <row r="1030" spans="1:12" ht="15.75" x14ac:dyDescent="0.2">
      <c r="A1030" s="122" t="s">
        <v>20</v>
      </c>
    </row>
    <row r="1031" spans="1:12" ht="32.25" customHeight="1" x14ac:dyDescent="0.2">
      <c r="A1031" s="122" t="s">
        <v>21</v>
      </c>
    </row>
    <row r="1032" spans="1:12" ht="31.5" customHeight="1" x14ac:dyDescent="0.2"/>
    <row r="1033" spans="1:12" ht="39.75" customHeight="1" x14ac:dyDescent="0.2"/>
    <row r="1034" spans="1:12" ht="19.5" customHeight="1" x14ac:dyDescent="0.2"/>
    <row r="1035" spans="1:12" ht="4.5" customHeight="1" x14ac:dyDescent="0.3">
      <c r="A1035" s="276" t="s">
        <v>6</v>
      </c>
      <c r="B1035" s="276"/>
      <c r="C1035" s="276"/>
      <c r="D1035" s="276"/>
      <c r="E1035" s="276"/>
      <c r="F1035" s="276"/>
      <c r="G1035" s="276"/>
      <c r="H1035" s="276"/>
      <c r="I1035" s="276"/>
      <c r="J1035" s="276"/>
      <c r="K1035" s="276"/>
      <c r="L1035" s="276"/>
    </row>
    <row r="1036" spans="1:12" ht="27" customHeight="1" x14ac:dyDescent="0.3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</row>
    <row r="1037" spans="1:12" ht="3.75" customHeight="1" x14ac:dyDescent="0.3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</row>
    <row r="1038" spans="1:12" ht="23.25" customHeight="1" x14ac:dyDescent="0.25">
      <c r="A1038" s="1"/>
      <c r="B1038" s="1"/>
    </row>
    <row r="1039" spans="1:12" ht="21" customHeight="1" x14ac:dyDescent="0.25">
      <c r="A1039" s="1" t="s">
        <v>7</v>
      </c>
      <c r="B1039" s="1"/>
    </row>
    <row r="1040" spans="1:12" ht="12" customHeight="1" x14ac:dyDescent="0.25">
      <c r="A1040" s="1"/>
      <c r="B1040" s="1"/>
    </row>
    <row r="1041" spans="1:12" ht="21.75" customHeight="1" x14ac:dyDescent="0.25">
      <c r="A1041" s="1" t="s">
        <v>8</v>
      </c>
      <c r="C1041" s="9" t="s">
        <v>1</v>
      </c>
      <c r="D1041" s="123" t="s">
        <v>78</v>
      </c>
      <c r="E1041" s="76"/>
      <c r="F1041" s="76"/>
      <c r="G1041" s="76"/>
      <c r="H1041" s="76"/>
    </row>
    <row r="1042" spans="1:12" ht="17.25" customHeight="1" x14ac:dyDescent="0.25">
      <c r="A1042" s="1" t="s">
        <v>9</v>
      </c>
      <c r="C1042" s="9" t="s">
        <v>1</v>
      </c>
      <c r="D1042" s="76" t="s">
        <v>234</v>
      </c>
      <c r="E1042" s="76"/>
      <c r="F1042" s="76"/>
      <c r="G1042" s="76"/>
      <c r="H1042" s="76"/>
    </row>
    <row r="1043" spans="1:12" ht="15" customHeight="1" x14ac:dyDescent="0.2">
      <c r="A1043" s="50" t="s">
        <v>10</v>
      </c>
      <c r="B1043" s="76"/>
      <c r="C1043" s="91" t="s">
        <v>1</v>
      </c>
      <c r="D1043" s="50" t="s">
        <v>235</v>
      </c>
      <c r="E1043" s="76"/>
      <c r="F1043" s="76"/>
      <c r="G1043" s="76"/>
      <c r="H1043" s="76"/>
      <c r="I1043" s="76"/>
      <c r="J1043" s="76"/>
      <c r="K1043" s="76"/>
      <c r="L1043" s="76"/>
    </row>
    <row r="1044" spans="1:12" ht="16.5" customHeight="1" x14ac:dyDescent="0.25">
      <c r="A1044" s="1"/>
      <c r="B1044" s="1"/>
      <c r="D1044" s="1"/>
    </row>
    <row r="1045" spans="1:12" ht="38.25" customHeight="1" x14ac:dyDescent="0.2">
      <c r="A1045" s="277" t="s">
        <v>255</v>
      </c>
      <c r="B1045" s="277"/>
      <c r="C1045" s="277"/>
      <c r="D1045" s="277"/>
      <c r="E1045" s="277"/>
      <c r="F1045" s="277"/>
      <c r="G1045" s="277"/>
      <c r="H1045" s="277"/>
      <c r="I1045" s="277"/>
      <c r="J1045" s="277"/>
      <c r="K1045" s="277"/>
      <c r="L1045" s="277"/>
    </row>
    <row r="1046" spans="1:12" ht="15" customHeight="1" x14ac:dyDescent="0.25">
      <c r="A1046" s="1"/>
      <c r="B1046" s="1"/>
    </row>
    <row r="1047" spans="1:12" ht="35.25" customHeight="1" thickBot="1" x14ac:dyDescent="0.25">
      <c r="A1047" s="10" t="s">
        <v>0</v>
      </c>
      <c r="B1047" s="278" t="s">
        <v>91</v>
      </c>
      <c r="C1047" s="278"/>
      <c r="D1047" s="278"/>
      <c r="E1047" s="278"/>
      <c r="F1047" s="278"/>
      <c r="G1047" s="278"/>
      <c r="H1047" s="278"/>
      <c r="I1047" s="278"/>
      <c r="J1047" s="278"/>
      <c r="K1047" s="278"/>
      <c r="L1047" s="278"/>
    </row>
    <row r="1048" spans="1:12" ht="17.25" customHeight="1" thickTop="1" x14ac:dyDescent="0.25">
      <c r="A1048" s="1"/>
      <c r="B1048" s="11" t="s">
        <v>3</v>
      </c>
      <c r="C1048" s="12" t="s">
        <v>4</v>
      </c>
      <c r="D1048" s="13"/>
      <c r="E1048" s="13"/>
      <c r="F1048" s="13"/>
      <c r="G1048" s="13"/>
      <c r="H1048" s="14"/>
      <c r="I1048" s="15" t="s">
        <v>5</v>
      </c>
      <c r="J1048" s="12" t="s">
        <v>17</v>
      </c>
      <c r="K1048" s="13"/>
      <c r="L1048" s="14"/>
    </row>
    <row r="1049" spans="1:12" ht="12" customHeight="1" x14ac:dyDescent="0.2">
      <c r="A1049" s="50"/>
      <c r="B1049" s="100">
        <v>1</v>
      </c>
      <c r="C1049" s="284" t="s">
        <v>230</v>
      </c>
      <c r="D1049" s="285"/>
      <c r="E1049" s="285"/>
      <c r="F1049" s="285"/>
      <c r="G1049" s="76"/>
      <c r="H1049" s="79"/>
      <c r="I1049" s="56">
        <v>250000</v>
      </c>
      <c r="J1049" s="76"/>
      <c r="K1049" s="76"/>
      <c r="L1049" s="79"/>
    </row>
    <row r="1050" spans="1:12" ht="23.25" customHeight="1" x14ac:dyDescent="0.25">
      <c r="A1050" s="50"/>
      <c r="B1050" s="96"/>
      <c r="C1050" s="321"/>
      <c r="D1050" s="297"/>
      <c r="E1050" s="127"/>
      <c r="F1050" s="319"/>
      <c r="G1050" s="297"/>
      <c r="H1050" s="320"/>
      <c r="I1050" s="56"/>
      <c r="J1050" s="50"/>
      <c r="K1050" s="1"/>
      <c r="L1050" s="17"/>
    </row>
    <row r="1051" spans="1:12" s="99" customFormat="1" ht="21" customHeight="1" x14ac:dyDescent="0.2">
      <c r="A1051" s="4"/>
      <c r="B1051" s="16"/>
      <c r="C1051" s="4"/>
      <c r="D1051" s="4"/>
      <c r="E1051" s="4"/>
      <c r="F1051" s="4"/>
      <c r="G1051" s="4"/>
      <c r="H1051" s="17"/>
      <c r="I1051" s="19"/>
      <c r="J1051" s="4"/>
      <c r="K1051" s="4"/>
      <c r="L1051" s="17"/>
    </row>
    <row r="1052" spans="1:12" ht="30.75" customHeight="1" x14ac:dyDescent="0.2">
      <c r="B1052" s="20"/>
      <c r="C1052" s="21"/>
      <c r="D1052" s="21"/>
      <c r="E1052" s="21"/>
      <c r="F1052" s="21"/>
      <c r="G1052" s="21"/>
      <c r="H1052" s="22"/>
      <c r="I1052" s="23"/>
      <c r="J1052" s="21"/>
      <c r="K1052" s="21"/>
      <c r="L1052" s="22"/>
    </row>
    <row r="1053" spans="1:12" ht="15" x14ac:dyDescent="0.25">
      <c r="A1053" s="1"/>
      <c r="B1053" s="39"/>
      <c r="C1053" s="1"/>
      <c r="D1053" s="1"/>
      <c r="E1053" s="1"/>
      <c r="F1053" s="40" t="s">
        <v>5</v>
      </c>
      <c r="G1053" s="40"/>
      <c r="H1053" s="1"/>
      <c r="I1053" s="41">
        <f>SUM(I1049:I1050)</f>
        <v>250000</v>
      </c>
      <c r="J1053" s="1"/>
      <c r="K1053" s="1"/>
      <c r="L1053" s="42"/>
    </row>
    <row r="1054" spans="1:12" ht="5.25" customHeight="1" thickBot="1" x14ac:dyDescent="0.3">
      <c r="A1054" s="1"/>
      <c r="B1054" s="43"/>
      <c r="C1054" s="44"/>
      <c r="D1054" s="44"/>
      <c r="E1054" s="44"/>
      <c r="F1054" s="45"/>
      <c r="G1054" s="45"/>
      <c r="H1054" s="44"/>
      <c r="I1054" s="46"/>
      <c r="J1054" s="44"/>
      <c r="K1054" s="44"/>
      <c r="L1054" s="47"/>
    </row>
    <row r="1055" spans="1:12" ht="15.75" thickTop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ht="45.75" customHeight="1" x14ac:dyDescent="0.2">
      <c r="A1056" s="10" t="s">
        <v>2</v>
      </c>
      <c r="B1056" s="279" t="s">
        <v>11</v>
      </c>
      <c r="C1056" s="279"/>
      <c r="D1056" s="279"/>
      <c r="E1056" s="279"/>
      <c r="F1056" s="279"/>
      <c r="G1056" s="279"/>
      <c r="H1056" s="279"/>
      <c r="I1056" s="279"/>
      <c r="J1056" s="279"/>
      <c r="K1056" s="279"/>
      <c r="L1056" s="279"/>
    </row>
    <row r="1057" spans="1:12" ht="1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ht="15" x14ac:dyDescent="0.2">
      <c r="A1058" s="280" t="s">
        <v>12</v>
      </c>
      <c r="B1058" s="280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</row>
    <row r="1059" spans="1:12" ht="10.5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ht="10.5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ht="15" x14ac:dyDescent="0.25">
      <c r="A1061" s="1"/>
      <c r="B1061" s="1"/>
      <c r="C1061" s="1"/>
      <c r="D1061" s="1"/>
      <c r="E1061" s="1"/>
      <c r="F1061" s="1"/>
      <c r="G1061" s="1"/>
      <c r="H1061" s="4" t="s">
        <v>199</v>
      </c>
      <c r="J1061" s="286" t="s">
        <v>254</v>
      </c>
      <c r="K1061" s="286"/>
      <c r="L1061" s="286"/>
    </row>
    <row r="1062" spans="1:12" ht="15" x14ac:dyDescent="0.25">
      <c r="A1062" s="1"/>
      <c r="B1062" s="1" t="s">
        <v>15</v>
      </c>
      <c r="C1062" s="1"/>
      <c r="D1062" s="1"/>
      <c r="E1062" s="1"/>
      <c r="F1062" s="1"/>
      <c r="G1062" s="1"/>
      <c r="H1062" s="4" t="s">
        <v>13</v>
      </c>
    </row>
    <row r="1063" spans="1:12" ht="15" x14ac:dyDescent="0.25">
      <c r="A1063" s="1"/>
      <c r="B1063" s="1" t="s">
        <v>18</v>
      </c>
      <c r="C1063" s="1"/>
      <c r="D1063" s="1"/>
      <c r="E1063" s="1"/>
      <c r="F1063" s="1"/>
      <c r="G1063" s="1"/>
      <c r="H1063" s="4" t="s">
        <v>14</v>
      </c>
    </row>
    <row r="1064" spans="1:12" ht="1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ht="1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ht="15" x14ac:dyDescent="0.25">
      <c r="A1066" s="1"/>
      <c r="B1066" s="103"/>
      <c r="C1066" s="103"/>
      <c r="D1066" s="103"/>
      <c r="E1066" s="103"/>
      <c r="F1066" s="103"/>
      <c r="G1066" s="103"/>
      <c r="H1066" s="103"/>
      <c r="I1066" s="103"/>
      <c r="J1066" s="103"/>
      <c r="K1066" s="103"/>
      <c r="L1066" s="1"/>
    </row>
    <row r="1067" spans="1:12" ht="17.25" customHeight="1" x14ac:dyDescent="0.25">
      <c r="A1067" s="1"/>
      <c r="K1067" s="103"/>
      <c r="L1067" s="1"/>
    </row>
    <row r="1068" spans="1:12" ht="17.25" customHeight="1" x14ac:dyDescent="0.25">
      <c r="A1068" s="1"/>
      <c r="B1068" s="95" t="s">
        <v>77</v>
      </c>
      <c r="H1068" s="95" t="s">
        <v>78</v>
      </c>
      <c r="I1068" s="95"/>
      <c r="J1068" s="92"/>
      <c r="K1068" s="103"/>
      <c r="L1068" s="1"/>
    </row>
    <row r="1069" spans="1:12" ht="12" customHeight="1" x14ac:dyDescent="0.25">
      <c r="A1069" s="1"/>
      <c r="B1069" s="99" t="s">
        <v>27</v>
      </c>
      <c r="C1069" s="57"/>
      <c r="H1069" s="99" t="s">
        <v>79</v>
      </c>
      <c r="K1069" s="103"/>
    </row>
    <row r="1070" spans="1:12" ht="12.75" x14ac:dyDescent="0.2"/>
    <row r="1071" spans="1:12" ht="12.75" x14ac:dyDescent="0.2"/>
    <row r="1072" spans="1:12" ht="28.5" customHeight="1" x14ac:dyDescent="0.2"/>
    <row r="1073" spans="1:12" ht="12.75" x14ac:dyDescent="0.2"/>
    <row r="1074" spans="1:12" ht="19.5" customHeight="1" x14ac:dyDescent="0.25">
      <c r="A1074" s="3" t="s">
        <v>22</v>
      </c>
    </row>
    <row r="1075" spans="1:12" ht="15.75" x14ac:dyDescent="0.2">
      <c r="A1075" s="122" t="s">
        <v>20</v>
      </c>
    </row>
    <row r="1076" spans="1:12" ht="14.25" customHeight="1" x14ac:dyDescent="0.2">
      <c r="A1076" s="122" t="s">
        <v>21</v>
      </c>
    </row>
    <row r="1077" spans="1:12" ht="12.75" customHeight="1" x14ac:dyDescent="0.2"/>
    <row r="1078" spans="1:12" ht="12.75" x14ac:dyDescent="0.2"/>
    <row r="1079" spans="1:12" ht="24.75" customHeight="1" x14ac:dyDescent="0.2"/>
    <row r="1080" spans="1:12" ht="34.5" customHeight="1" x14ac:dyDescent="0.3">
      <c r="A1080" s="276" t="s">
        <v>6</v>
      </c>
      <c r="B1080" s="276"/>
      <c r="C1080" s="276"/>
      <c r="D1080" s="276"/>
      <c r="E1080" s="276"/>
      <c r="F1080" s="276"/>
      <c r="G1080" s="276"/>
      <c r="H1080" s="276"/>
      <c r="I1080" s="276"/>
      <c r="J1080" s="276"/>
      <c r="K1080" s="276"/>
      <c r="L1080" s="276"/>
    </row>
    <row r="1081" spans="1:12" ht="18.75" x14ac:dyDescent="0.3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</row>
    <row r="1082" spans="1:12" ht="37.5" customHeight="1" x14ac:dyDescent="0.3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</row>
    <row r="1083" spans="1:12" ht="25.5" customHeight="1" x14ac:dyDescent="0.25">
      <c r="A1083" s="1"/>
      <c r="B1083" s="1"/>
    </row>
    <row r="1084" spans="1:12" ht="35.25" customHeight="1" x14ac:dyDescent="0.25">
      <c r="A1084" s="1" t="s">
        <v>7</v>
      </c>
      <c r="B1084" s="1"/>
    </row>
    <row r="1085" spans="1:12" ht="27" customHeight="1" x14ac:dyDescent="0.25">
      <c r="A1085" s="1"/>
      <c r="B1085" s="1"/>
    </row>
    <row r="1086" spans="1:12" ht="18" customHeight="1" x14ac:dyDescent="0.25">
      <c r="A1086" s="1" t="s">
        <v>8</v>
      </c>
      <c r="C1086" s="9" t="s">
        <v>1</v>
      </c>
      <c r="D1086" s="67" t="s">
        <v>120</v>
      </c>
      <c r="E1086" s="76"/>
      <c r="F1086" s="76"/>
      <c r="G1086" s="76"/>
      <c r="H1086" s="76"/>
    </row>
    <row r="1087" spans="1:12" ht="15" x14ac:dyDescent="0.25">
      <c r="A1087" s="1" t="s">
        <v>9</v>
      </c>
      <c r="C1087" s="9" t="s">
        <v>1</v>
      </c>
      <c r="D1087" s="68" t="s">
        <v>202</v>
      </c>
      <c r="E1087" s="76"/>
      <c r="F1087" s="76"/>
      <c r="G1087" s="76"/>
      <c r="H1087" s="76"/>
    </row>
    <row r="1088" spans="1:12" ht="22.5" customHeight="1" x14ac:dyDescent="0.2">
      <c r="A1088" s="50" t="s">
        <v>10</v>
      </c>
      <c r="B1088" s="76"/>
      <c r="C1088" s="91" t="s">
        <v>1</v>
      </c>
      <c r="D1088" s="50" t="s">
        <v>81</v>
      </c>
      <c r="E1088" s="76"/>
      <c r="F1088" s="76"/>
      <c r="G1088" s="76"/>
      <c r="H1088" s="76"/>
      <c r="I1088" s="76"/>
      <c r="J1088" s="76"/>
      <c r="K1088" s="76"/>
      <c r="L1088" s="76"/>
    </row>
    <row r="1089" spans="1:12" ht="20.25" customHeight="1" x14ac:dyDescent="0.25">
      <c r="A1089" s="1"/>
      <c r="B1089" s="1"/>
      <c r="D1089" s="1"/>
    </row>
    <row r="1090" spans="1:12" ht="32.25" customHeight="1" x14ac:dyDescent="0.2">
      <c r="A1090" s="277" t="s">
        <v>255</v>
      </c>
      <c r="B1090" s="277"/>
      <c r="C1090" s="277"/>
      <c r="D1090" s="277"/>
      <c r="E1090" s="277"/>
      <c r="F1090" s="277"/>
      <c r="G1090" s="277"/>
      <c r="H1090" s="277"/>
      <c r="I1090" s="277"/>
      <c r="J1090" s="277"/>
      <c r="K1090" s="277"/>
      <c r="L1090" s="277"/>
    </row>
    <row r="1091" spans="1:12" ht="10.5" customHeight="1" x14ac:dyDescent="0.25">
      <c r="A1091" s="1"/>
      <c r="B1091" s="1"/>
    </row>
    <row r="1092" spans="1:12" ht="40.5" customHeight="1" thickBot="1" x14ac:dyDescent="0.25">
      <c r="A1092" s="10" t="s">
        <v>0</v>
      </c>
      <c r="B1092" s="278" t="s">
        <v>91</v>
      </c>
      <c r="C1092" s="278"/>
      <c r="D1092" s="278"/>
      <c r="E1092" s="278"/>
      <c r="F1092" s="278"/>
      <c r="G1092" s="278"/>
      <c r="H1092" s="278"/>
      <c r="I1092" s="278"/>
      <c r="J1092" s="278"/>
      <c r="K1092" s="278"/>
      <c r="L1092" s="278"/>
    </row>
    <row r="1093" spans="1:12" ht="22.5" customHeight="1" thickTop="1" x14ac:dyDescent="0.25">
      <c r="A1093" s="1"/>
      <c r="B1093" s="11" t="s">
        <v>3</v>
      </c>
      <c r="C1093" s="12" t="s">
        <v>4</v>
      </c>
      <c r="D1093" s="13"/>
      <c r="E1093" s="13"/>
      <c r="F1093" s="13"/>
      <c r="G1093" s="13"/>
      <c r="H1093" s="14"/>
      <c r="I1093" s="15" t="s">
        <v>5</v>
      </c>
      <c r="J1093" s="12" t="s">
        <v>17</v>
      </c>
      <c r="K1093" s="13"/>
      <c r="L1093" s="14"/>
    </row>
    <row r="1094" spans="1:12" ht="15" x14ac:dyDescent="0.2">
      <c r="A1094" s="50"/>
      <c r="B1094" s="100">
        <v>1</v>
      </c>
      <c r="C1094" s="284" t="s">
        <v>230</v>
      </c>
      <c r="D1094" s="285"/>
      <c r="E1094" s="285"/>
      <c r="F1094" s="285"/>
      <c r="G1094" s="76"/>
      <c r="H1094" s="79"/>
      <c r="I1094" s="56">
        <v>250000</v>
      </c>
      <c r="J1094" s="76"/>
      <c r="K1094" s="76"/>
      <c r="L1094" s="79"/>
    </row>
    <row r="1095" spans="1:12" ht="18.75" customHeight="1" x14ac:dyDescent="0.25">
      <c r="A1095" s="50"/>
      <c r="B1095" s="96"/>
      <c r="C1095" s="321"/>
      <c r="D1095" s="297"/>
      <c r="E1095" s="127"/>
      <c r="F1095" s="319"/>
      <c r="G1095" s="297"/>
      <c r="H1095" s="320"/>
      <c r="I1095" s="56"/>
      <c r="J1095" s="50"/>
      <c r="K1095" s="1"/>
      <c r="L1095" s="17"/>
    </row>
    <row r="1096" spans="1:12" ht="23.25" customHeight="1" x14ac:dyDescent="0.2">
      <c r="B1096" s="16"/>
      <c r="H1096" s="17"/>
      <c r="I1096" s="19"/>
      <c r="L1096" s="17"/>
    </row>
    <row r="1097" spans="1:12" ht="35.25" customHeight="1" x14ac:dyDescent="0.2">
      <c r="B1097" s="20"/>
      <c r="C1097" s="21"/>
      <c r="D1097" s="21"/>
      <c r="E1097" s="21"/>
      <c r="F1097" s="21"/>
      <c r="G1097" s="21"/>
      <c r="H1097" s="22"/>
      <c r="I1097" s="23"/>
      <c r="J1097" s="21"/>
      <c r="K1097" s="21"/>
      <c r="L1097" s="22"/>
    </row>
    <row r="1098" spans="1:12" ht="21" customHeight="1" x14ac:dyDescent="0.25">
      <c r="A1098" s="1"/>
      <c r="B1098" s="39"/>
      <c r="C1098" s="1"/>
      <c r="D1098" s="1"/>
      <c r="E1098" s="1"/>
      <c r="F1098" s="40" t="s">
        <v>5</v>
      </c>
      <c r="G1098" s="40"/>
      <c r="H1098" s="1"/>
      <c r="I1098" s="41">
        <f>SUM(I1094:I1095)</f>
        <v>250000</v>
      </c>
      <c r="J1098" s="1"/>
      <c r="K1098" s="1"/>
      <c r="L1098" s="42"/>
    </row>
    <row r="1099" spans="1:12" ht="3" customHeight="1" thickBot="1" x14ac:dyDescent="0.3">
      <c r="A1099" s="1"/>
      <c r="B1099" s="43"/>
      <c r="C1099" s="44"/>
      <c r="D1099" s="44"/>
      <c r="E1099" s="44"/>
      <c r="F1099" s="45"/>
      <c r="G1099" s="45"/>
      <c r="H1099" s="44"/>
      <c r="I1099" s="46"/>
      <c r="J1099" s="44"/>
      <c r="K1099" s="44"/>
      <c r="L1099" s="47"/>
    </row>
    <row r="1100" spans="1:12" ht="9.75" customHeight="1" thickTop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ht="50.25" customHeight="1" x14ac:dyDescent="0.2">
      <c r="A1101" s="10" t="s">
        <v>2</v>
      </c>
      <c r="B1101" s="279" t="s">
        <v>11</v>
      </c>
      <c r="C1101" s="279"/>
      <c r="D1101" s="279"/>
      <c r="E1101" s="279"/>
      <c r="F1101" s="279"/>
      <c r="G1101" s="279"/>
      <c r="H1101" s="279"/>
      <c r="I1101" s="279"/>
      <c r="J1101" s="279"/>
      <c r="K1101" s="279"/>
      <c r="L1101" s="279"/>
    </row>
    <row r="1102" spans="1:12" ht="15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ht="15" x14ac:dyDescent="0.2">
      <c r="A1103" s="280" t="s">
        <v>12</v>
      </c>
      <c r="B1103" s="280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</row>
    <row r="1104" spans="1:12" ht="7.5" customHeight="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ht="1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ht="15" x14ac:dyDescent="0.25">
      <c r="A1106" s="1"/>
      <c r="B1106" s="1"/>
      <c r="C1106" s="1"/>
      <c r="D1106" s="1"/>
      <c r="E1106" s="1"/>
      <c r="F1106" s="1"/>
      <c r="G1106" s="1"/>
      <c r="H1106" s="4" t="s">
        <v>199</v>
      </c>
      <c r="J1106" s="286" t="s">
        <v>254</v>
      </c>
      <c r="K1106" s="286"/>
      <c r="L1106" s="286"/>
    </row>
    <row r="1107" spans="1:12" ht="15" x14ac:dyDescent="0.25">
      <c r="A1107" s="1"/>
      <c r="B1107" s="1" t="s">
        <v>15</v>
      </c>
      <c r="C1107" s="1"/>
      <c r="D1107" s="1"/>
      <c r="E1107" s="1"/>
      <c r="F1107" s="1"/>
      <c r="G1107" s="1"/>
      <c r="H1107" s="4" t="s">
        <v>13</v>
      </c>
    </row>
    <row r="1108" spans="1:12" ht="15" x14ac:dyDescent="0.25">
      <c r="A1108" s="1"/>
      <c r="B1108" s="1" t="s">
        <v>18</v>
      </c>
      <c r="C1108" s="1"/>
      <c r="D1108" s="1"/>
      <c r="E1108" s="1"/>
      <c r="F1108" s="1"/>
      <c r="G1108" s="1"/>
      <c r="H1108" s="4" t="s">
        <v>14</v>
      </c>
    </row>
    <row r="1109" spans="1:12" ht="1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ht="15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ht="15" x14ac:dyDescent="0.25">
      <c r="A1111" s="1"/>
      <c r="B1111" s="103"/>
      <c r="C1111" s="103"/>
      <c r="D1111" s="103"/>
      <c r="E1111" s="103"/>
      <c r="F1111" s="103"/>
      <c r="G1111" s="103"/>
      <c r="H1111" s="103"/>
      <c r="I1111" s="103"/>
      <c r="J1111" s="103"/>
      <c r="K1111" s="103"/>
      <c r="L1111" s="1"/>
    </row>
    <row r="1112" spans="1:12" ht="15" x14ac:dyDescent="0.25">
      <c r="A1112" s="1"/>
      <c r="K1112" s="103"/>
      <c r="L1112" s="1"/>
    </row>
    <row r="1113" spans="1:12" ht="15" x14ac:dyDescent="0.25">
      <c r="A1113" s="1"/>
      <c r="B1113" s="95" t="s">
        <v>77</v>
      </c>
      <c r="H1113" s="117" t="s">
        <v>120</v>
      </c>
      <c r="I1113" s="95"/>
      <c r="J1113" s="92"/>
      <c r="K1113" s="103"/>
      <c r="L1113" s="1"/>
    </row>
    <row r="1114" spans="1:12" ht="30" customHeight="1" x14ac:dyDescent="0.25">
      <c r="A1114" s="1"/>
      <c r="B1114" s="99" t="s">
        <v>27</v>
      </c>
      <c r="C1114" s="57"/>
      <c r="H1114" s="99" t="s">
        <v>108</v>
      </c>
      <c r="K1114" s="103"/>
    </row>
    <row r="1115" spans="1:12" ht="12.75" x14ac:dyDescent="0.2"/>
    <row r="1116" spans="1:12" ht="15.75" customHeight="1" x14ac:dyDescent="0.2"/>
    <row r="1117" spans="1:12" ht="12.75" x14ac:dyDescent="0.2"/>
    <row r="1118" spans="1:12" ht="12.75" x14ac:dyDescent="0.2"/>
    <row r="1119" spans="1:12" ht="20.25" customHeight="1" x14ac:dyDescent="0.25">
      <c r="A1119" s="3" t="s">
        <v>22</v>
      </c>
    </row>
    <row r="1120" spans="1:12" ht="15" customHeight="1" x14ac:dyDescent="0.2">
      <c r="A1120" s="122" t="s">
        <v>20</v>
      </c>
    </row>
    <row r="1121" spans="1:12" ht="16.5" customHeight="1" x14ac:dyDescent="0.2">
      <c r="A1121" s="122" t="s">
        <v>21</v>
      </c>
    </row>
    <row r="1122" spans="1:12" ht="12.75" x14ac:dyDescent="0.2"/>
    <row r="1123" spans="1:12" ht="12.75" x14ac:dyDescent="0.2"/>
    <row r="1124" spans="1:12" ht="12.75" x14ac:dyDescent="0.2"/>
    <row r="1125" spans="1:12" ht="18.75" x14ac:dyDescent="0.3">
      <c r="A1125" s="276" t="s">
        <v>6</v>
      </c>
      <c r="B1125" s="276"/>
      <c r="C1125" s="276"/>
      <c r="D1125" s="276"/>
      <c r="E1125" s="276"/>
      <c r="F1125" s="276"/>
      <c r="G1125" s="276"/>
      <c r="H1125" s="276"/>
      <c r="I1125" s="276"/>
      <c r="J1125" s="276"/>
      <c r="K1125" s="276"/>
      <c r="L1125" s="276"/>
    </row>
    <row r="1126" spans="1:12" ht="18.75" x14ac:dyDescent="0.3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</row>
    <row r="1127" spans="1:12" ht="16.5" customHeight="1" x14ac:dyDescent="0.3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</row>
    <row r="1128" spans="1:12" ht="15" x14ac:dyDescent="0.25">
      <c r="A1128" s="1"/>
      <c r="B1128" s="1"/>
    </row>
    <row r="1129" spans="1:12" ht="15" customHeight="1" x14ac:dyDescent="0.25">
      <c r="A1129" s="1" t="s">
        <v>7</v>
      </c>
      <c r="B1129" s="1"/>
    </row>
    <row r="1130" spans="1:12" ht="38.25" customHeight="1" x14ac:dyDescent="0.25">
      <c r="A1130" s="1"/>
      <c r="B1130" s="1"/>
    </row>
    <row r="1131" spans="1:12" ht="17.25" customHeight="1" x14ac:dyDescent="0.25">
      <c r="A1131" s="1" t="s">
        <v>8</v>
      </c>
      <c r="C1131" s="9" t="s">
        <v>1</v>
      </c>
      <c r="D1131" s="67" t="s">
        <v>205</v>
      </c>
      <c r="E1131" s="76"/>
      <c r="F1131" s="76"/>
      <c r="G1131" s="76"/>
      <c r="H1131" s="76"/>
    </row>
    <row r="1132" spans="1:12" ht="15.75" customHeight="1" x14ac:dyDescent="0.25">
      <c r="A1132" s="1" t="s">
        <v>9</v>
      </c>
      <c r="C1132" s="9" t="s">
        <v>1</v>
      </c>
      <c r="D1132" s="50" t="s">
        <v>74</v>
      </c>
      <c r="E1132" s="76"/>
      <c r="F1132" s="76"/>
      <c r="G1132" s="76"/>
      <c r="H1132" s="76"/>
    </row>
    <row r="1133" spans="1:12" ht="16.5" customHeight="1" x14ac:dyDescent="0.2">
      <c r="A1133" s="50" t="s">
        <v>10</v>
      </c>
      <c r="B1133" s="76"/>
      <c r="C1133" s="91" t="s">
        <v>1</v>
      </c>
      <c r="D1133" s="50" t="s">
        <v>243</v>
      </c>
      <c r="E1133" s="76"/>
      <c r="F1133" s="76"/>
      <c r="G1133" s="76"/>
      <c r="H1133" s="76"/>
      <c r="I1133" s="76"/>
      <c r="J1133" s="76"/>
      <c r="K1133" s="76"/>
      <c r="L1133" s="76"/>
    </row>
    <row r="1134" spans="1:12" ht="15.75" customHeight="1" x14ac:dyDescent="0.25">
      <c r="A1134" s="1"/>
      <c r="B1134" s="1"/>
      <c r="D1134" s="1"/>
    </row>
    <row r="1135" spans="1:12" ht="39.75" customHeight="1" x14ac:dyDescent="0.2">
      <c r="A1135" s="277" t="s">
        <v>255</v>
      </c>
      <c r="B1135" s="277"/>
      <c r="C1135" s="277"/>
      <c r="D1135" s="277"/>
      <c r="E1135" s="277"/>
      <c r="F1135" s="277"/>
      <c r="G1135" s="277"/>
      <c r="H1135" s="277"/>
      <c r="I1135" s="277"/>
      <c r="J1135" s="277"/>
      <c r="K1135" s="277"/>
      <c r="L1135" s="277"/>
    </row>
    <row r="1136" spans="1:12" ht="15" x14ac:dyDescent="0.25">
      <c r="A1136" s="1"/>
      <c r="B1136" s="1"/>
    </row>
    <row r="1137" spans="1:12" ht="37.5" customHeight="1" thickBot="1" x14ac:dyDescent="0.25">
      <c r="A1137" s="10" t="s">
        <v>0</v>
      </c>
      <c r="B1137" s="278" t="s">
        <v>91</v>
      </c>
      <c r="C1137" s="278"/>
      <c r="D1137" s="278"/>
      <c r="E1137" s="278"/>
      <c r="F1137" s="278"/>
      <c r="G1137" s="278"/>
      <c r="H1137" s="278"/>
      <c r="I1137" s="278"/>
      <c r="J1137" s="278"/>
      <c r="K1137" s="278"/>
      <c r="L1137" s="278"/>
    </row>
    <row r="1138" spans="1:12" ht="27" customHeight="1" thickTop="1" x14ac:dyDescent="0.25">
      <c r="A1138" s="1"/>
      <c r="B1138" s="11" t="s">
        <v>3</v>
      </c>
      <c r="C1138" s="12" t="s">
        <v>4</v>
      </c>
      <c r="D1138" s="13"/>
      <c r="E1138" s="13"/>
      <c r="F1138" s="13"/>
      <c r="G1138" s="13"/>
      <c r="H1138" s="14"/>
      <c r="I1138" s="15" t="s">
        <v>5</v>
      </c>
      <c r="J1138" s="12" t="s">
        <v>17</v>
      </c>
      <c r="K1138" s="13"/>
      <c r="L1138" s="14"/>
    </row>
    <row r="1139" spans="1:12" s="120" customFormat="1" ht="33.75" customHeight="1" x14ac:dyDescent="0.2">
      <c r="A1139" s="50"/>
      <c r="B1139" s="100">
        <v>1</v>
      </c>
      <c r="C1139" s="284" t="s">
        <v>230</v>
      </c>
      <c r="D1139" s="285"/>
      <c r="E1139" s="285"/>
      <c r="F1139" s="285"/>
      <c r="G1139" s="76"/>
      <c r="H1139" s="79"/>
      <c r="I1139" s="56">
        <v>250000</v>
      </c>
      <c r="J1139" s="76"/>
      <c r="K1139" s="76"/>
      <c r="L1139" s="79"/>
    </row>
    <row r="1140" spans="1:12" ht="27" customHeight="1" x14ac:dyDescent="0.25">
      <c r="A1140" s="50"/>
      <c r="B1140" s="96"/>
      <c r="C1140" s="321"/>
      <c r="D1140" s="297"/>
      <c r="E1140" s="127"/>
      <c r="F1140" s="319"/>
      <c r="G1140" s="297"/>
      <c r="H1140" s="320"/>
      <c r="I1140" s="56"/>
      <c r="J1140" s="50"/>
      <c r="K1140" s="1"/>
      <c r="L1140" s="17"/>
    </row>
    <row r="1141" spans="1:12" ht="12.75" x14ac:dyDescent="0.2">
      <c r="B1141" s="16"/>
      <c r="H1141" s="17"/>
      <c r="I1141" s="19"/>
      <c r="L1141" s="17"/>
    </row>
    <row r="1142" spans="1:12" ht="12.75" x14ac:dyDescent="0.2">
      <c r="B1142" s="20"/>
      <c r="C1142" s="21"/>
      <c r="D1142" s="21"/>
      <c r="E1142" s="21"/>
      <c r="F1142" s="21"/>
      <c r="G1142" s="21"/>
      <c r="H1142" s="22"/>
      <c r="I1142" s="23"/>
      <c r="J1142" s="21"/>
      <c r="K1142" s="21"/>
      <c r="L1142" s="22"/>
    </row>
    <row r="1143" spans="1:12" ht="18" customHeight="1" x14ac:dyDescent="0.25">
      <c r="A1143" s="1"/>
      <c r="B1143" s="39"/>
      <c r="C1143" s="1"/>
      <c r="D1143" s="1"/>
      <c r="E1143" s="1"/>
      <c r="F1143" s="40" t="s">
        <v>5</v>
      </c>
      <c r="G1143" s="40"/>
      <c r="H1143" s="1"/>
      <c r="I1143" s="41">
        <f>SUM(I1139:I1140)</f>
        <v>250000</v>
      </c>
      <c r="J1143" s="1"/>
      <c r="K1143" s="1"/>
      <c r="L1143" s="42"/>
    </row>
    <row r="1144" spans="1:12" ht="6.75" customHeight="1" thickBot="1" x14ac:dyDescent="0.3">
      <c r="A1144" s="1"/>
      <c r="B1144" s="43"/>
      <c r="C1144" s="44"/>
      <c r="D1144" s="44"/>
      <c r="E1144" s="44"/>
      <c r="F1144" s="45"/>
      <c r="G1144" s="45"/>
      <c r="H1144" s="44"/>
      <c r="I1144" s="46"/>
      <c r="J1144" s="44"/>
      <c r="K1144" s="44"/>
      <c r="L1144" s="47"/>
    </row>
    <row r="1145" spans="1:12" ht="11.25" customHeight="1" thickTop="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 ht="46.5" customHeight="1" x14ac:dyDescent="0.2">
      <c r="A1146" s="10" t="s">
        <v>2</v>
      </c>
      <c r="B1146" s="279" t="s">
        <v>11</v>
      </c>
      <c r="C1146" s="279"/>
      <c r="D1146" s="279"/>
      <c r="E1146" s="279"/>
      <c r="F1146" s="279"/>
      <c r="G1146" s="279"/>
      <c r="H1146" s="279"/>
      <c r="I1146" s="279"/>
      <c r="J1146" s="279"/>
      <c r="K1146" s="279"/>
      <c r="L1146" s="279"/>
    </row>
    <row r="1147" spans="1:12" ht="23.25" customHeight="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 ht="17.25" customHeight="1" x14ac:dyDescent="0.2">
      <c r="A1148" s="280" t="s">
        <v>12</v>
      </c>
      <c r="B1148" s="280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</row>
    <row r="1149" spans="1:12" ht="12.75" customHeight="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ht="20.25" customHeight="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ht="12" customHeight="1" x14ac:dyDescent="0.25">
      <c r="A1151" s="1"/>
      <c r="B1151" s="1"/>
      <c r="C1151" s="1"/>
      <c r="D1151" s="1"/>
      <c r="E1151" s="1"/>
      <c r="F1151" s="1"/>
      <c r="G1151" s="1"/>
      <c r="H1151" s="4" t="s">
        <v>199</v>
      </c>
      <c r="J1151" s="286" t="s">
        <v>254</v>
      </c>
      <c r="K1151" s="286"/>
      <c r="L1151" s="286"/>
    </row>
    <row r="1152" spans="1:12" ht="15" x14ac:dyDescent="0.25">
      <c r="A1152" s="1"/>
      <c r="B1152" s="1" t="s">
        <v>15</v>
      </c>
      <c r="C1152" s="1"/>
      <c r="D1152" s="1"/>
      <c r="E1152" s="1"/>
      <c r="F1152" s="1"/>
      <c r="G1152" s="1"/>
      <c r="H1152" s="4" t="s">
        <v>13</v>
      </c>
    </row>
    <row r="1153" spans="1:12" ht="15" x14ac:dyDescent="0.25">
      <c r="A1153" s="1"/>
      <c r="B1153" s="1" t="s">
        <v>18</v>
      </c>
      <c r="C1153" s="1"/>
      <c r="D1153" s="1"/>
      <c r="E1153" s="1"/>
      <c r="F1153" s="1"/>
      <c r="G1153" s="1"/>
      <c r="H1153" s="4" t="s">
        <v>14</v>
      </c>
    </row>
    <row r="1154" spans="1:12" ht="15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ht="1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ht="18" customHeight="1" x14ac:dyDescent="0.25">
      <c r="A1156" s="1"/>
      <c r="B1156" s="103"/>
      <c r="C1156" s="103"/>
      <c r="D1156" s="103"/>
      <c r="E1156" s="103"/>
      <c r="F1156" s="103"/>
      <c r="G1156" s="103"/>
      <c r="H1156" s="103"/>
      <c r="I1156" s="103"/>
      <c r="J1156" s="103"/>
      <c r="K1156" s="103"/>
      <c r="L1156" s="1"/>
    </row>
    <row r="1157" spans="1:12" ht="15" x14ac:dyDescent="0.25">
      <c r="A1157" s="1"/>
      <c r="K1157" s="103"/>
      <c r="L1157" s="1"/>
    </row>
    <row r="1158" spans="1:12" ht="15" x14ac:dyDescent="0.25">
      <c r="A1158" s="1"/>
      <c r="B1158" s="95" t="s">
        <v>77</v>
      </c>
      <c r="H1158" s="117" t="str">
        <f>D1131</f>
        <v>Meditha Arumsari, S.TP</v>
      </c>
      <c r="I1158" s="95"/>
      <c r="J1158" s="92"/>
      <c r="K1158" s="103"/>
      <c r="L1158" s="1"/>
    </row>
    <row r="1159" spans="1:12" ht="15" x14ac:dyDescent="0.25">
      <c r="A1159" s="1"/>
      <c r="B1159" s="99" t="s">
        <v>27</v>
      </c>
      <c r="C1159" s="57"/>
      <c r="H1159" s="99"/>
      <c r="K1159" s="103"/>
    </row>
    <row r="1160" spans="1:12" ht="12.75" x14ac:dyDescent="0.2"/>
    <row r="1161" spans="1:12" ht="12.75" x14ac:dyDescent="0.2"/>
    <row r="1162" spans="1:12" ht="12.75" x14ac:dyDescent="0.2"/>
    <row r="1163" spans="1:12" ht="12.75" x14ac:dyDescent="0.2"/>
    <row r="1164" spans="1:12" ht="12.75" x14ac:dyDescent="0.2"/>
    <row r="1165" spans="1:12" ht="35.25" customHeight="1" x14ac:dyDescent="0.25">
      <c r="A1165" s="3" t="s">
        <v>22</v>
      </c>
    </row>
    <row r="1166" spans="1:12" ht="15.75" x14ac:dyDescent="0.2">
      <c r="A1166" s="122" t="s">
        <v>20</v>
      </c>
    </row>
    <row r="1167" spans="1:12" ht="21" customHeight="1" x14ac:dyDescent="0.2">
      <c r="A1167" s="122" t="s">
        <v>21</v>
      </c>
    </row>
    <row r="1168" spans="1:12" ht="12.75" x14ac:dyDescent="0.2"/>
    <row r="1169" spans="1:12" ht="20.25" customHeight="1" x14ac:dyDescent="0.2"/>
    <row r="1170" spans="1:12" ht="28.5" customHeight="1" x14ac:dyDescent="0.2"/>
    <row r="1171" spans="1:12" ht="21" customHeight="1" x14ac:dyDescent="0.3">
      <c r="A1171" s="276" t="s">
        <v>6</v>
      </c>
      <c r="B1171" s="276"/>
      <c r="C1171" s="276"/>
      <c r="D1171" s="276"/>
      <c r="E1171" s="276"/>
      <c r="F1171" s="276"/>
      <c r="G1171" s="276"/>
      <c r="H1171" s="276"/>
      <c r="I1171" s="276"/>
      <c r="J1171" s="276"/>
      <c r="K1171" s="276"/>
      <c r="L1171" s="276"/>
    </row>
    <row r="1172" spans="1:12" ht="18.75" x14ac:dyDescent="0.3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</row>
    <row r="1173" spans="1:12" ht="18.75" hidden="1" x14ac:dyDescent="0.3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</row>
    <row r="1174" spans="1:12" ht="15" x14ac:dyDescent="0.25">
      <c r="A1174" s="1"/>
      <c r="B1174" s="1"/>
    </row>
    <row r="1175" spans="1:12" ht="15" x14ac:dyDescent="0.25">
      <c r="A1175" s="1" t="s">
        <v>7</v>
      </c>
      <c r="B1175" s="1"/>
    </row>
    <row r="1176" spans="1:12" ht="15" x14ac:dyDescent="0.25">
      <c r="A1176" s="1"/>
      <c r="B1176" s="1"/>
    </row>
    <row r="1177" spans="1:12" ht="21" customHeight="1" x14ac:dyDescent="0.25">
      <c r="A1177" s="1" t="s">
        <v>8</v>
      </c>
      <c r="C1177" s="9" t="s">
        <v>1</v>
      </c>
      <c r="D1177" s="67" t="s">
        <v>120</v>
      </c>
      <c r="E1177" s="76"/>
      <c r="F1177" s="76"/>
      <c r="G1177" s="76"/>
      <c r="H1177" s="76"/>
    </row>
    <row r="1178" spans="1:12" ht="15" x14ac:dyDescent="0.25">
      <c r="A1178" s="1" t="s">
        <v>9</v>
      </c>
      <c r="C1178" s="9" t="s">
        <v>1</v>
      </c>
      <c r="D1178" s="68" t="s">
        <v>202</v>
      </c>
      <c r="E1178" s="76"/>
      <c r="F1178" s="76"/>
      <c r="G1178" s="76"/>
      <c r="H1178" s="76"/>
    </row>
    <row r="1179" spans="1:12" ht="15" customHeight="1" x14ac:dyDescent="0.2">
      <c r="A1179" s="50" t="s">
        <v>10</v>
      </c>
      <c r="B1179" s="76"/>
      <c r="C1179" s="91" t="s">
        <v>1</v>
      </c>
      <c r="D1179" s="50" t="s">
        <v>81</v>
      </c>
      <c r="E1179" s="76"/>
      <c r="F1179" s="76"/>
      <c r="G1179" s="76"/>
      <c r="H1179" s="76"/>
      <c r="I1179" s="76"/>
      <c r="J1179" s="76"/>
      <c r="K1179" s="76"/>
      <c r="L1179" s="76"/>
    </row>
    <row r="1180" spans="1:12" ht="6.75" customHeight="1" x14ac:dyDescent="0.25">
      <c r="A1180" s="1"/>
      <c r="B1180" s="1"/>
      <c r="D1180" s="1"/>
    </row>
    <row r="1181" spans="1:12" ht="30" customHeight="1" x14ac:dyDescent="0.2">
      <c r="A1181" s="277" t="s">
        <v>256</v>
      </c>
      <c r="B1181" s="277"/>
      <c r="C1181" s="277"/>
      <c r="D1181" s="277"/>
      <c r="E1181" s="277"/>
      <c r="F1181" s="277"/>
      <c r="G1181" s="277"/>
      <c r="H1181" s="277"/>
      <c r="I1181" s="277"/>
      <c r="J1181" s="277"/>
      <c r="K1181" s="277"/>
      <c r="L1181" s="277"/>
    </row>
    <row r="1182" spans="1:12" ht="19.5" customHeight="1" x14ac:dyDescent="0.25">
      <c r="A1182" s="1"/>
      <c r="B1182" s="1"/>
    </row>
    <row r="1183" spans="1:12" ht="33.75" customHeight="1" thickBot="1" x14ac:dyDescent="0.25">
      <c r="A1183" s="10" t="s">
        <v>0</v>
      </c>
      <c r="B1183" s="278" t="s">
        <v>91</v>
      </c>
      <c r="C1183" s="278"/>
      <c r="D1183" s="278"/>
      <c r="E1183" s="278"/>
      <c r="F1183" s="278"/>
      <c r="G1183" s="278"/>
      <c r="H1183" s="278"/>
      <c r="I1183" s="278"/>
      <c r="J1183" s="278"/>
      <c r="K1183" s="278"/>
      <c r="L1183" s="278"/>
    </row>
    <row r="1184" spans="1:12" ht="27" customHeight="1" thickTop="1" x14ac:dyDescent="0.25">
      <c r="A1184" s="1"/>
      <c r="B1184" s="11" t="s">
        <v>3</v>
      </c>
      <c r="C1184" s="12" t="s">
        <v>4</v>
      </c>
      <c r="D1184" s="13"/>
      <c r="E1184" s="13"/>
      <c r="F1184" s="13"/>
      <c r="G1184" s="13"/>
      <c r="H1184" s="14"/>
      <c r="I1184" s="15" t="s">
        <v>5</v>
      </c>
      <c r="J1184" s="12" t="s">
        <v>17</v>
      </c>
      <c r="K1184" s="13"/>
      <c r="L1184" s="14"/>
    </row>
    <row r="1185" spans="1:12" ht="28.5" customHeight="1" x14ac:dyDescent="0.2">
      <c r="A1185" s="50"/>
      <c r="B1185" s="100">
        <v>1</v>
      </c>
      <c r="C1185" s="284" t="s">
        <v>230</v>
      </c>
      <c r="D1185" s="285"/>
      <c r="E1185" s="285"/>
      <c r="F1185" s="285"/>
      <c r="G1185" s="76"/>
      <c r="H1185" s="79"/>
      <c r="I1185" s="56">
        <v>250000</v>
      </c>
      <c r="J1185" s="76"/>
      <c r="K1185" s="76"/>
      <c r="L1185" s="79"/>
    </row>
    <row r="1186" spans="1:12" ht="15" x14ac:dyDescent="0.25">
      <c r="A1186" s="50"/>
      <c r="B1186" s="96"/>
      <c r="C1186" s="321"/>
      <c r="D1186" s="297"/>
      <c r="E1186" s="127"/>
      <c r="F1186" s="319"/>
      <c r="G1186" s="297"/>
      <c r="H1186" s="320"/>
      <c r="I1186" s="56"/>
      <c r="J1186" s="50"/>
      <c r="K1186" s="1"/>
      <c r="L1186" s="17"/>
    </row>
    <row r="1187" spans="1:12" ht="36" customHeight="1" x14ac:dyDescent="0.2">
      <c r="B1187" s="16"/>
      <c r="H1187" s="17"/>
      <c r="I1187" s="19"/>
      <c r="L1187" s="17"/>
    </row>
    <row r="1188" spans="1:12" ht="31.5" customHeight="1" x14ac:dyDescent="0.2">
      <c r="B1188" s="20"/>
      <c r="C1188" s="21"/>
      <c r="D1188" s="21"/>
      <c r="E1188" s="21"/>
      <c r="F1188" s="21"/>
      <c r="G1188" s="21"/>
      <c r="H1188" s="22"/>
      <c r="I1188" s="23"/>
      <c r="J1188" s="21"/>
      <c r="K1188" s="21"/>
      <c r="L1188" s="22"/>
    </row>
    <row r="1189" spans="1:12" ht="15.75" customHeight="1" x14ac:dyDescent="0.25">
      <c r="A1189" s="1"/>
      <c r="B1189" s="39"/>
      <c r="C1189" s="1"/>
      <c r="D1189" s="1"/>
      <c r="E1189" s="1"/>
      <c r="F1189" s="40" t="s">
        <v>5</v>
      </c>
      <c r="G1189" s="40"/>
      <c r="H1189" s="1"/>
      <c r="I1189" s="41">
        <f>SUM(I1185:I1186)</f>
        <v>250000</v>
      </c>
      <c r="J1189" s="1"/>
      <c r="K1189" s="1"/>
      <c r="L1189" s="42"/>
    </row>
    <row r="1190" spans="1:12" ht="11.25" customHeight="1" thickBot="1" x14ac:dyDescent="0.3">
      <c r="A1190" s="1"/>
      <c r="B1190" s="43"/>
      <c r="C1190" s="44"/>
      <c r="D1190" s="44"/>
      <c r="E1190" s="44"/>
      <c r="F1190" s="45"/>
      <c r="G1190" s="45"/>
      <c r="H1190" s="44"/>
      <c r="I1190" s="46"/>
      <c r="J1190" s="44"/>
      <c r="K1190" s="44"/>
      <c r="L1190" s="47"/>
    </row>
    <row r="1191" spans="1:12" ht="10.5" customHeight="1" thickTop="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 ht="50.25" customHeight="1" x14ac:dyDescent="0.2">
      <c r="A1192" s="10" t="s">
        <v>2</v>
      </c>
      <c r="B1192" s="279" t="s">
        <v>11</v>
      </c>
      <c r="C1192" s="279"/>
      <c r="D1192" s="279"/>
      <c r="E1192" s="279"/>
      <c r="F1192" s="279"/>
      <c r="G1192" s="279"/>
      <c r="H1192" s="279"/>
      <c r="I1192" s="279"/>
      <c r="J1192" s="279"/>
      <c r="K1192" s="279"/>
      <c r="L1192" s="279"/>
    </row>
    <row r="1193" spans="1:12" ht="16.5" customHeight="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 ht="24" customHeight="1" x14ac:dyDescent="0.2">
      <c r="A1194" s="280" t="s">
        <v>12</v>
      </c>
      <c r="B1194" s="280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</row>
    <row r="1195" spans="1:12" ht="15" customHeight="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 ht="15" customHeight="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 ht="15" x14ac:dyDescent="0.25">
      <c r="A1197" s="1"/>
      <c r="B1197" s="1"/>
      <c r="C1197" s="1"/>
      <c r="D1197" s="1"/>
      <c r="E1197" s="1"/>
      <c r="F1197" s="1"/>
      <c r="G1197" s="1"/>
      <c r="H1197" s="4" t="s">
        <v>199</v>
      </c>
      <c r="J1197" s="286" t="s">
        <v>254</v>
      </c>
      <c r="K1197" s="286"/>
      <c r="L1197" s="286"/>
    </row>
    <row r="1198" spans="1:12" ht="18" customHeight="1" x14ac:dyDescent="0.25">
      <c r="A1198" s="1"/>
      <c r="B1198" s="1" t="s">
        <v>15</v>
      </c>
      <c r="C1198" s="1"/>
      <c r="D1198" s="1"/>
      <c r="E1198" s="1"/>
      <c r="F1198" s="1"/>
      <c r="G1198" s="1"/>
      <c r="H1198" s="4" t="s">
        <v>13</v>
      </c>
    </row>
    <row r="1199" spans="1:12" ht="15" x14ac:dyDescent="0.25">
      <c r="A1199" s="1"/>
      <c r="B1199" s="1" t="s">
        <v>18</v>
      </c>
      <c r="C1199" s="1"/>
      <c r="D1199" s="1"/>
      <c r="E1199" s="1"/>
      <c r="F1199" s="1"/>
      <c r="G1199" s="1"/>
      <c r="H1199" s="4" t="s">
        <v>14</v>
      </c>
    </row>
    <row r="1200" spans="1:12" ht="12.75" customHeight="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 ht="1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 ht="10.5" customHeight="1" x14ac:dyDescent="0.25">
      <c r="A1202" s="1"/>
      <c r="B1202" s="103"/>
      <c r="C1202" s="103"/>
      <c r="D1202" s="103"/>
      <c r="E1202" s="103"/>
      <c r="F1202" s="103"/>
      <c r="G1202" s="103"/>
      <c r="H1202" s="103"/>
      <c r="I1202" s="103"/>
      <c r="J1202" s="103"/>
      <c r="K1202" s="103"/>
      <c r="L1202" s="1"/>
    </row>
    <row r="1203" spans="1:12" ht="10.5" customHeight="1" x14ac:dyDescent="0.25">
      <c r="A1203" s="1"/>
      <c r="K1203" s="103"/>
      <c r="L1203" s="1"/>
    </row>
    <row r="1204" spans="1:12" ht="15" x14ac:dyDescent="0.25">
      <c r="A1204" s="1"/>
      <c r="B1204" s="95" t="s">
        <v>77</v>
      </c>
      <c r="H1204" s="117" t="s">
        <v>120</v>
      </c>
      <c r="I1204" s="95"/>
      <c r="J1204" s="92"/>
      <c r="K1204" s="103"/>
      <c r="L1204" s="1"/>
    </row>
    <row r="1205" spans="1:12" ht="15" customHeight="1" x14ac:dyDescent="0.25">
      <c r="A1205" s="1"/>
      <c r="B1205" s="99" t="s">
        <v>27</v>
      </c>
      <c r="C1205" s="57"/>
      <c r="H1205" s="99" t="s">
        <v>108</v>
      </c>
      <c r="K1205" s="103"/>
    </row>
    <row r="1206" spans="1:12" ht="12.75" x14ac:dyDescent="0.2"/>
    <row r="1207" spans="1:12" ht="15" customHeight="1" x14ac:dyDescent="0.2"/>
    <row r="1208" spans="1:12" ht="12.75" x14ac:dyDescent="0.2"/>
    <row r="1209" spans="1:12" ht="34.5" customHeight="1" x14ac:dyDescent="0.2"/>
    <row r="1210" spans="1:12" ht="12.75" x14ac:dyDescent="0.2"/>
    <row r="1211" spans="1:12" ht="15.75" customHeight="1" x14ac:dyDescent="0.25">
      <c r="A1211" s="3" t="s">
        <v>22</v>
      </c>
    </row>
    <row r="1212" spans="1:12" ht="15.75" x14ac:dyDescent="0.2">
      <c r="A1212" s="122" t="s">
        <v>20</v>
      </c>
    </row>
    <row r="1213" spans="1:12" ht="15.75" x14ac:dyDescent="0.2">
      <c r="A1213" s="122" t="s">
        <v>21</v>
      </c>
    </row>
    <row r="1214" spans="1:12" ht="18.75" customHeight="1" x14ac:dyDescent="0.2"/>
    <row r="1215" spans="1:12" ht="12.75" x14ac:dyDescent="0.2"/>
    <row r="1216" spans="1:12" ht="33" customHeight="1" x14ac:dyDescent="0.2"/>
    <row r="1217" spans="1:12" ht="18.75" x14ac:dyDescent="0.3">
      <c r="A1217" s="276" t="s">
        <v>6</v>
      </c>
      <c r="B1217" s="276"/>
      <c r="C1217" s="276"/>
      <c r="D1217" s="276"/>
      <c r="E1217" s="276"/>
      <c r="F1217" s="276"/>
      <c r="G1217" s="276"/>
      <c r="H1217" s="276"/>
      <c r="I1217" s="276"/>
      <c r="J1217" s="276"/>
      <c r="K1217" s="276"/>
      <c r="L1217" s="276"/>
    </row>
    <row r="1218" spans="1:12" ht="18.75" x14ac:dyDescent="0.3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</row>
    <row r="1219" spans="1:12" ht="18.75" x14ac:dyDescent="0.3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</row>
    <row r="1220" spans="1:12" ht="15" x14ac:dyDescent="0.25">
      <c r="A1220" s="1"/>
      <c r="B1220" s="1"/>
    </row>
    <row r="1221" spans="1:12" ht="18.75" customHeight="1" x14ac:dyDescent="0.25">
      <c r="A1221" s="1" t="s">
        <v>7</v>
      </c>
      <c r="B1221" s="1"/>
    </row>
    <row r="1222" spans="1:12" ht="15" x14ac:dyDescent="0.25">
      <c r="A1222" s="1"/>
      <c r="B1222" s="1"/>
    </row>
    <row r="1223" spans="1:12" ht="15" customHeight="1" x14ac:dyDescent="0.25">
      <c r="A1223" s="1" t="s">
        <v>8</v>
      </c>
      <c r="C1223" s="9" t="s">
        <v>1</v>
      </c>
      <c r="D1223" s="123" t="s">
        <v>78</v>
      </c>
      <c r="E1223" s="76"/>
      <c r="F1223" s="76"/>
      <c r="G1223" s="76"/>
      <c r="H1223" s="76"/>
    </row>
    <row r="1224" spans="1:12" ht="15" x14ac:dyDescent="0.25">
      <c r="A1224" s="1" t="s">
        <v>9</v>
      </c>
      <c r="C1224" s="9" t="s">
        <v>1</v>
      </c>
      <c r="D1224" s="76" t="s">
        <v>234</v>
      </c>
      <c r="E1224" s="76"/>
      <c r="F1224" s="76"/>
      <c r="G1224" s="76"/>
      <c r="H1224" s="76"/>
    </row>
    <row r="1225" spans="1:12" ht="12.75" customHeight="1" x14ac:dyDescent="0.2">
      <c r="A1225" s="50" t="s">
        <v>10</v>
      </c>
      <c r="B1225" s="76"/>
      <c r="C1225" s="91" t="s">
        <v>1</v>
      </c>
      <c r="D1225" s="50" t="s">
        <v>235</v>
      </c>
      <c r="E1225" s="76"/>
      <c r="F1225" s="76"/>
      <c r="G1225" s="76"/>
      <c r="H1225" s="76"/>
      <c r="I1225" s="76"/>
      <c r="J1225" s="76"/>
      <c r="K1225" s="76"/>
      <c r="L1225" s="76"/>
    </row>
    <row r="1226" spans="1:12" ht="12.75" customHeight="1" x14ac:dyDescent="0.25">
      <c r="A1226" s="1"/>
      <c r="B1226" s="1"/>
      <c r="D1226" s="1"/>
    </row>
    <row r="1227" spans="1:12" ht="36" customHeight="1" x14ac:dyDescent="0.2">
      <c r="A1227" s="277" t="s">
        <v>257</v>
      </c>
      <c r="B1227" s="277"/>
      <c r="C1227" s="277"/>
      <c r="D1227" s="277"/>
      <c r="E1227" s="277"/>
      <c r="F1227" s="277"/>
      <c r="G1227" s="277"/>
      <c r="H1227" s="277"/>
      <c r="I1227" s="277"/>
      <c r="J1227" s="277"/>
      <c r="K1227" s="277"/>
      <c r="L1227" s="277"/>
    </row>
    <row r="1228" spans="1:12" ht="15" x14ac:dyDescent="0.25">
      <c r="A1228" s="1"/>
      <c r="B1228" s="1"/>
    </row>
    <row r="1229" spans="1:12" ht="31.5" customHeight="1" thickBot="1" x14ac:dyDescent="0.25">
      <c r="A1229" s="10" t="s">
        <v>0</v>
      </c>
      <c r="B1229" s="278" t="s">
        <v>91</v>
      </c>
      <c r="C1229" s="278"/>
      <c r="D1229" s="278"/>
      <c r="E1229" s="278"/>
      <c r="F1229" s="278"/>
      <c r="G1229" s="278"/>
      <c r="H1229" s="278"/>
      <c r="I1229" s="278"/>
      <c r="J1229" s="278"/>
      <c r="K1229" s="278"/>
      <c r="L1229" s="278"/>
    </row>
    <row r="1230" spans="1:12" ht="21" customHeight="1" thickTop="1" x14ac:dyDescent="0.25">
      <c r="A1230" s="1"/>
      <c r="B1230" s="11" t="s">
        <v>3</v>
      </c>
      <c r="C1230" s="12" t="s">
        <v>4</v>
      </c>
      <c r="D1230" s="13"/>
      <c r="E1230" s="13"/>
      <c r="F1230" s="13"/>
      <c r="G1230" s="13"/>
      <c r="H1230" s="14"/>
      <c r="I1230" s="15" t="s">
        <v>5</v>
      </c>
      <c r="J1230" s="12" t="s">
        <v>17</v>
      </c>
      <c r="K1230" s="13"/>
      <c r="L1230" s="14"/>
    </row>
    <row r="1231" spans="1:12" ht="22.5" customHeight="1" x14ac:dyDescent="0.2">
      <c r="A1231" s="50"/>
      <c r="B1231" s="100">
        <v>1</v>
      </c>
      <c r="C1231" s="284" t="s">
        <v>230</v>
      </c>
      <c r="D1231" s="285"/>
      <c r="E1231" s="285"/>
      <c r="F1231" s="285"/>
      <c r="G1231" s="76"/>
      <c r="H1231" s="79"/>
      <c r="I1231" s="56">
        <v>250000</v>
      </c>
      <c r="J1231" s="76"/>
      <c r="K1231" s="76"/>
      <c r="L1231" s="79"/>
    </row>
    <row r="1232" spans="1:12" ht="34.5" customHeight="1" x14ac:dyDescent="0.25">
      <c r="A1232" s="50"/>
      <c r="B1232" s="96">
        <v>2</v>
      </c>
      <c r="C1232" s="321" t="s">
        <v>238</v>
      </c>
      <c r="D1232" s="297"/>
      <c r="E1232" s="127">
        <v>622000</v>
      </c>
      <c r="F1232" s="319" t="s">
        <v>239</v>
      </c>
      <c r="G1232" s="297"/>
      <c r="H1232" s="320"/>
      <c r="I1232" s="56">
        <f>E1232*30/100</f>
        <v>186600</v>
      </c>
      <c r="J1232" s="50" t="s">
        <v>240</v>
      </c>
      <c r="K1232" s="1"/>
      <c r="L1232" s="17"/>
    </row>
    <row r="1233" spans="1:12" ht="3.75" customHeight="1" x14ac:dyDescent="0.2">
      <c r="B1233" s="16"/>
      <c r="H1233" s="17"/>
      <c r="I1233" s="19"/>
      <c r="L1233" s="17"/>
    </row>
    <row r="1234" spans="1:12" ht="19.5" customHeight="1" x14ac:dyDescent="0.2">
      <c r="B1234" s="20"/>
      <c r="C1234" s="21"/>
      <c r="D1234" s="21"/>
      <c r="E1234" s="21"/>
      <c r="F1234" s="21"/>
      <c r="G1234" s="21"/>
      <c r="H1234" s="22"/>
      <c r="I1234" s="23"/>
      <c r="J1234" s="21"/>
      <c r="K1234" s="21"/>
      <c r="L1234" s="22"/>
    </row>
    <row r="1235" spans="1:12" ht="21" customHeight="1" x14ac:dyDescent="0.25">
      <c r="A1235" s="1"/>
      <c r="B1235" s="39"/>
      <c r="C1235" s="1"/>
      <c r="D1235" s="1"/>
      <c r="E1235" s="1"/>
      <c r="F1235" s="40" t="s">
        <v>5</v>
      </c>
      <c r="G1235" s="40"/>
      <c r="H1235" s="1"/>
      <c r="I1235" s="41">
        <f>SUM(I1231:I1232)</f>
        <v>436600</v>
      </c>
      <c r="J1235" s="1"/>
      <c r="K1235" s="1"/>
      <c r="L1235" s="42"/>
    </row>
    <row r="1236" spans="1:12" ht="13.5" customHeight="1" thickBot="1" x14ac:dyDescent="0.3">
      <c r="A1236" s="1"/>
      <c r="B1236" s="43"/>
      <c r="C1236" s="44"/>
      <c r="D1236" s="44"/>
      <c r="E1236" s="44"/>
      <c r="F1236" s="45"/>
      <c r="G1236" s="45"/>
      <c r="H1236" s="44"/>
      <c r="I1236" s="46"/>
      <c r="J1236" s="44"/>
      <c r="K1236" s="44"/>
      <c r="L1236" s="47"/>
    </row>
    <row r="1237" spans="1:12" ht="19.5" customHeight="1" thickTop="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 ht="46.5" customHeight="1" x14ac:dyDescent="0.2">
      <c r="A1238" s="10" t="s">
        <v>2</v>
      </c>
      <c r="B1238" s="279" t="s">
        <v>11</v>
      </c>
      <c r="C1238" s="279"/>
      <c r="D1238" s="279"/>
      <c r="E1238" s="279"/>
      <c r="F1238" s="279"/>
      <c r="G1238" s="279"/>
      <c r="H1238" s="279"/>
      <c r="I1238" s="279"/>
      <c r="J1238" s="279"/>
      <c r="K1238" s="279"/>
      <c r="L1238" s="279"/>
    </row>
    <row r="1239" spans="1:12" ht="1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 ht="15" customHeight="1" x14ac:dyDescent="0.2">
      <c r="A1240" s="280" t="s">
        <v>12</v>
      </c>
      <c r="B1240" s="280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</row>
    <row r="1241" spans="1:12" ht="21" customHeight="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 ht="20.25" customHeight="1" x14ac:dyDescent="0.25">
      <c r="A1242" s="1"/>
      <c r="B1242" s="1"/>
      <c r="C1242" s="1"/>
      <c r="D1242" s="1"/>
      <c r="E1242" s="1"/>
      <c r="F1242" s="1"/>
      <c r="G1242" s="1"/>
      <c r="H1242" s="4" t="s">
        <v>199</v>
      </c>
      <c r="I1242" s="1"/>
      <c r="J1242" s="286" t="s">
        <v>254</v>
      </c>
      <c r="K1242" s="286"/>
      <c r="L1242" s="286"/>
    </row>
    <row r="1243" spans="1:12" ht="19.5" hidden="1" customHeight="1" x14ac:dyDescent="0.25">
      <c r="A1243" s="1"/>
      <c r="B1243" s="1"/>
      <c r="C1243" s="1"/>
      <c r="D1243" s="1"/>
      <c r="E1243" s="1"/>
      <c r="F1243" s="1"/>
      <c r="G1243" s="1"/>
      <c r="H1243" s="4" t="s">
        <v>199</v>
      </c>
      <c r="J1243" s="286" t="s">
        <v>254</v>
      </c>
      <c r="K1243" s="286"/>
      <c r="L1243" s="286"/>
    </row>
    <row r="1244" spans="1:12" ht="16.5" customHeight="1" x14ac:dyDescent="0.25">
      <c r="A1244" s="1"/>
      <c r="B1244" s="1" t="s">
        <v>15</v>
      </c>
      <c r="C1244" s="1"/>
      <c r="D1244" s="1"/>
      <c r="E1244" s="1"/>
      <c r="F1244" s="1"/>
      <c r="G1244" s="1"/>
      <c r="H1244" s="4" t="s">
        <v>13</v>
      </c>
    </row>
    <row r="1245" spans="1:12" ht="15" x14ac:dyDescent="0.25">
      <c r="A1245" s="1"/>
      <c r="B1245" s="1" t="s">
        <v>18</v>
      </c>
      <c r="C1245" s="1"/>
      <c r="D1245" s="1"/>
      <c r="E1245" s="1"/>
      <c r="F1245" s="1"/>
      <c r="G1245" s="1"/>
      <c r="H1245" s="4" t="s">
        <v>14</v>
      </c>
    </row>
    <row r="1246" spans="1:12" ht="15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 ht="1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 ht="15" x14ac:dyDescent="0.25">
      <c r="A1248" s="1"/>
      <c r="B1248" s="103"/>
      <c r="C1248" s="103"/>
      <c r="D1248" s="103"/>
      <c r="E1248" s="103"/>
      <c r="F1248" s="103"/>
      <c r="G1248" s="103"/>
      <c r="H1248" s="103"/>
      <c r="I1248" s="103"/>
      <c r="J1248" s="103"/>
      <c r="K1248" s="103"/>
      <c r="L1248" s="1"/>
    </row>
    <row r="1249" spans="1:12" ht="15" x14ac:dyDescent="0.25">
      <c r="A1249" s="1"/>
      <c r="K1249" s="103"/>
      <c r="L1249" s="1"/>
    </row>
    <row r="1250" spans="1:12" ht="15" x14ac:dyDescent="0.25">
      <c r="A1250" s="1"/>
      <c r="B1250" s="95" t="s">
        <v>77</v>
      </c>
      <c r="H1250" s="95" t="s">
        <v>78</v>
      </c>
      <c r="I1250" s="95"/>
      <c r="J1250" s="92"/>
      <c r="K1250" s="103"/>
      <c r="L1250" s="1"/>
    </row>
    <row r="1251" spans="1:12" ht="15" x14ac:dyDescent="0.25">
      <c r="A1251" s="1"/>
      <c r="B1251" s="99" t="s">
        <v>27</v>
      </c>
      <c r="C1251" s="57"/>
      <c r="H1251" s="99" t="s">
        <v>79</v>
      </c>
      <c r="K1251" s="103"/>
    </row>
    <row r="1252" spans="1:12" ht="12.75" x14ac:dyDescent="0.2"/>
    <row r="1253" spans="1:12" ht="24" customHeight="1" x14ac:dyDescent="0.2"/>
    <row r="1254" spans="1:12" ht="12.75" x14ac:dyDescent="0.2"/>
    <row r="1255" spans="1:12" ht="21" customHeight="1" x14ac:dyDescent="0.2"/>
    <row r="1256" spans="1:12" ht="21" customHeight="1" x14ac:dyDescent="0.25">
      <c r="A1256" s="3" t="s">
        <v>22</v>
      </c>
    </row>
    <row r="1257" spans="1:12" ht="15.75" x14ac:dyDescent="0.2">
      <c r="A1257" s="122" t="s">
        <v>20</v>
      </c>
    </row>
    <row r="1258" spans="1:12" ht="15.75" x14ac:dyDescent="0.2">
      <c r="A1258" s="122" t="s">
        <v>21</v>
      </c>
    </row>
    <row r="1259" spans="1:12" ht="12.75" x14ac:dyDescent="0.2"/>
    <row r="1260" spans="1:12" ht="31.5" customHeight="1" x14ac:dyDescent="0.2"/>
    <row r="1261" spans="1:12" ht="12.75" x14ac:dyDescent="0.2"/>
    <row r="1262" spans="1:12" ht="16.5" customHeight="1" x14ac:dyDescent="0.3">
      <c r="A1262" s="276" t="s">
        <v>6</v>
      </c>
      <c r="B1262" s="276"/>
      <c r="C1262" s="276"/>
      <c r="D1262" s="276"/>
      <c r="E1262" s="276"/>
      <c r="F1262" s="276"/>
      <c r="G1262" s="276"/>
      <c r="H1262" s="276"/>
      <c r="I1262" s="276"/>
      <c r="J1262" s="276"/>
      <c r="K1262" s="276"/>
      <c r="L1262" s="276"/>
    </row>
    <row r="1263" spans="1:12" ht="18.75" x14ac:dyDescent="0.3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</row>
    <row r="1264" spans="1:12" ht="18.75" x14ac:dyDescent="0.3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</row>
    <row r="1265" spans="1:12" ht="22.5" customHeight="1" x14ac:dyDescent="0.25">
      <c r="A1265" s="1"/>
      <c r="B1265" s="1"/>
    </row>
    <row r="1266" spans="1:12" ht="15" x14ac:dyDescent="0.25">
      <c r="A1266" s="1" t="s">
        <v>7</v>
      </c>
      <c r="B1266" s="1"/>
    </row>
    <row r="1267" spans="1:12" ht="15" customHeight="1" x14ac:dyDescent="0.25">
      <c r="A1267" s="1"/>
      <c r="B1267" s="1"/>
    </row>
    <row r="1268" spans="1:12" ht="15.75" customHeight="1" x14ac:dyDescent="0.25">
      <c r="A1268" s="1" t="s">
        <v>8</v>
      </c>
      <c r="C1268" s="9" t="s">
        <v>1</v>
      </c>
      <c r="D1268" s="126" t="s">
        <v>64</v>
      </c>
      <c r="E1268" s="76"/>
      <c r="F1268" s="76"/>
      <c r="G1268" s="76"/>
      <c r="H1268" s="76"/>
    </row>
    <row r="1269" spans="1:12" ht="13.5" customHeight="1" x14ac:dyDescent="0.25">
      <c r="A1269" s="1" t="s">
        <v>9</v>
      </c>
      <c r="C1269" s="9" t="s">
        <v>1</v>
      </c>
      <c r="D1269" s="119" t="s">
        <v>236</v>
      </c>
      <c r="E1269" s="76"/>
      <c r="F1269" s="76"/>
      <c r="G1269" s="76"/>
      <c r="H1269" s="76"/>
    </row>
    <row r="1270" spans="1:12" ht="13.5" customHeight="1" x14ac:dyDescent="0.2">
      <c r="A1270" s="50" t="s">
        <v>10</v>
      </c>
      <c r="B1270" s="76"/>
      <c r="C1270" s="91" t="s">
        <v>1</v>
      </c>
      <c r="D1270" s="124" t="s">
        <v>235</v>
      </c>
      <c r="E1270" s="76"/>
      <c r="F1270" s="76"/>
      <c r="G1270" s="76"/>
      <c r="H1270" s="76"/>
      <c r="I1270" s="76"/>
      <c r="J1270" s="76"/>
      <c r="K1270" s="76"/>
      <c r="L1270" s="76"/>
    </row>
    <row r="1271" spans="1:12" ht="16.5" customHeight="1" x14ac:dyDescent="0.25">
      <c r="A1271" s="1"/>
      <c r="B1271" s="1"/>
      <c r="D1271" s="1"/>
    </row>
    <row r="1272" spans="1:12" ht="31.5" customHeight="1" x14ac:dyDescent="0.2">
      <c r="A1272" s="277" t="s">
        <v>257</v>
      </c>
      <c r="B1272" s="277"/>
      <c r="C1272" s="277"/>
      <c r="D1272" s="277"/>
      <c r="E1272" s="277"/>
      <c r="F1272" s="277"/>
      <c r="G1272" s="277"/>
      <c r="H1272" s="277"/>
      <c r="I1272" s="277"/>
      <c r="J1272" s="277"/>
      <c r="K1272" s="277"/>
      <c r="L1272" s="277"/>
    </row>
    <row r="1273" spans="1:12" ht="13.5" customHeight="1" x14ac:dyDescent="0.25">
      <c r="A1273" s="1"/>
      <c r="B1273" s="1"/>
    </row>
    <row r="1274" spans="1:12" ht="36" customHeight="1" thickBot="1" x14ac:dyDescent="0.25">
      <c r="A1274" s="10" t="s">
        <v>0</v>
      </c>
      <c r="B1274" s="278" t="s">
        <v>91</v>
      </c>
      <c r="C1274" s="278"/>
      <c r="D1274" s="278"/>
      <c r="E1274" s="278"/>
      <c r="F1274" s="278"/>
      <c r="G1274" s="278"/>
      <c r="H1274" s="278"/>
      <c r="I1274" s="278"/>
      <c r="J1274" s="278"/>
      <c r="K1274" s="278"/>
      <c r="L1274" s="278"/>
    </row>
    <row r="1275" spans="1:12" ht="21" customHeight="1" thickTop="1" x14ac:dyDescent="0.25">
      <c r="A1275" s="1"/>
      <c r="B1275" s="11" t="s">
        <v>3</v>
      </c>
      <c r="C1275" s="12" t="s">
        <v>4</v>
      </c>
      <c r="D1275" s="13"/>
      <c r="E1275" s="13"/>
      <c r="F1275" s="13"/>
      <c r="G1275" s="13"/>
      <c r="H1275" s="14"/>
      <c r="I1275" s="15" t="s">
        <v>5</v>
      </c>
      <c r="J1275" s="12" t="s">
        <v>17</v>
      </c>
      <c r="K1275" s="13"/>
      <c r="L1275" s="14"/>
    </row>
    <row r="1276" spans="1:12" ht="27" customHeight="1" x14ac:dyDescent="0.2">
      <c r="A1276" s="50"/>
      <c r="B1276" s="100">
        <v>1</v>
      </c>
      <c r="C1276" s="284" t="s">
        <v>230</v>
      </c>
      <c r="D1276" s="285"/>
      <c r="E1276" s="285"/>
      <c r="F1276" s="285"/>
      <c r="G1276" s="76"/>
      <c r="H1276" s="79"/>
      <c r="I1276" s="56">
        <v>250000</v>
      </c>
      <c r="J1276" s="76"/>
      <c r="K1276" s="76"/>
      <c r="L1276" s="79"/>
    </row>
    <row r="1277" spans="1:12" ht="15" x14ac:dyDescent="0.25">
      <c r="A1277" s="50"/>
      <c r="B1277" s="96">
        <v>2</v>
      </c>
      <c r="C1277" s="321" t="s">
        <v>238</v>
      </c>
      <c r="D1277" s="297"/>
      <c r="E1277" s="127">
        <v>622000</v>
      </c>
      <c r="F1277" s="319" t="s">
        <v>239</v>
      </c>
      <c r="G1277" s="297"/>
      <c r="H1277" s="320"/>
      <c r="I1277" s="56">
        <f>E1277*30/100</f>
        <v>186600</v>
      </c>
      <c r="J1277" s="50" t="s">
        <v>240</v>
      </c>
      <c r="K1277" s="1"/>
      <c r="L1277" s="17"/>
    </row>
    <row r="1278" spans="1:12" ht="34.5" customHeight="1" x14ac:dyDescent="0.2">
      <c r="B1278" s="16"/>
      <c r="H1278" s="17"/>
      <c r="I1278" s="19"/>
      <c r="L1278" s="17"/>
    </row>
    <row r="1279" spans="1:12" ht="12.75" x14ac:dyDescent="0.2">
      <c r="B1279" s="20"/>
      <c r="C1279" s="21"/>
      <c r="D1279" s="21"/>
      <c r="E1279" s="21"/>
      <c r="F1279" s="21"/>
      <c r="G1279" s="21"/>
      <c r="H1279" s="22"/>
      <c r="I1279" s="23"/>
      <c r="J1279" s="21"/>
      <c r="K1279" s="21"/>
      <c r="L1279" s="22"/>
    </row>
    <row r="1280" spans="1:12" ht="19.5" customHeight="1" x14ac:dyDescent="0.25">
      <c r="A1280" s="1"/>
      <c r="B1280" s="39"/>
      <c r="C1280" s="1"/>
      <c r="D1280" s="1"/>
      <c r="E1280" s="1"/>
      <c r="F1280" s="40" t="s">
        <v>5</v>
      </c>
      <c r="G1280" s="40"/>
      <c r="H1280" s="1"/>
      <c r="I1280" s="41">
        <f>SUM(I1276:I1277)</f>
        <v>436600</v>
      </c>
      <c r="J1280" s="1"/>
      <c r="K1280" s="1"/>
      <c r="L1280" s="42"/>
    </row>
    <row r="1281" spans="1:12" ht="12.75" customHeight="1" thickBot="1" x14ac:dyDescent="0.3">
      <c r="A1281" s="1"/>
      <c r="B1281" s="43"/>
      <c r="C1281" s="44"/>
      <c r="D1281" s="44"/>
      <c r="E1281" s="44"/>
      <c r="F1281" s="45"/>
      <c r="G1281" s="45"/>
      <c r="H1281" s="44"/>
      <c r="I1281" s="46"/>
      <c r="J1281" s="44"/>
      <c r="K1281" s="44"/>
      <c r="L1281" s="47"/>
    </row>
    <row r="1282" spans="1:12" ht="17.25" customHeight="1" thickTop="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 ht="46.5" customHeight="1" x14ac:dyDescent="0.2">
      <c r="A1283" s="10" t="s">
        <v>2</v>
      </c>
      <c r="B1283" s="279" t="s">
        <v>11</v>
      </c>
      <c r="C1283" s="279"/>
      <c r="D1283" s="279"/>
      <c r="E1283" s="279"/>
      <c r="F1283" s="279"/>
      <c r="G1283" s="279"/>
      <c r="H1283" s="279"/>
      <c r="I1283" s="279"/>
      <c r="J1283" s="279"/>
      <c r="K1283" s="279"/>
      <c r="L1283" s="279"/>
    </row>
    <row r="1284" spans="1:12" ht="21" customHeight="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 ht="19.5" customHeight="1" x14ac:dyDescent="0.2">
      <c r="A1285" s="280" t="s">
        <v>12</v>
      </c>
      <c r="B1285" s="280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</row>
    <row r="1286" spans="1:12" ht="21" customHeight="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 ht="14.25" customHeight="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 ht="15" x14ac:dyDescent="0.25">
      <c r="A1288" s="1"/>
      <c r="B1288" s="1"/>
      <c r="C1288" s="1"/>
      <c r="D1288" s="1"/>
      <c r="E1288" s="1"/>
      <c r="F1288" s="1"/>
      <c r="G1288" s="1"/>
      <c r="H1288" s="4" t="s">
        <v>199</v>
      </c>
      <c r="J1288" s="286" t="s">
        <v>254</v>
      </c>
      <c r="K1288" s="286"/>
      <c r="L1288" s="286"/>
    </row>
    <row r="1289" spans="1:12" ht="16.5" customHeight="1" x14ac:dyDescent="0.25">
      <c r="A1289" s="1"/>
      <c r="B1289" s="1" t="s">
        <v>15</v>
      </c>
      <c r="C1289" s="1"/>
      <c r="D1289" s="1"/>
      <c r="E1289" s="1"/>
      <c r="F1289" s="1"/>
      <c r="G1289" s="1"/>
      <c r="H1289" s="4" t="s">
        <v>13</v>
      </c>
    </row>
    <row r="1290" spans="1:12" ht="15" x14ac:dyDescent="0.25">
      <c r="A1290" s="1"/>
      <c r="B1290" s="1" t="s">
        <v>18</v>
      </c>
      <c r="C1290" s="1"/>
      <c r="D1290" s="1"/>
      <c r="E1290" s="1"/>
      <c r="F1290" s="1"/>
      <c r="G1290" s="1"/>
      <c r="H1290" s="4" t="s">
        <v>14</v>
      </c>
    </row>
    <row r="1291" spans="1:12" ht="12.75" customHeight="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 ht="15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 ht="15" x14ac:dyDescent="0.25">
      <c r="A1293" s="1"/>
      <c r="B1293" s="103"/>
      <c r="C1293" s="103"/>
      <c r="D1293" s="103"/>
      <c r="E1293" s="103"/>
      <c r="F1293" s="103"/>
      <c r="G1293" s="103"/>
      <c r="H1293" s="103"/>
      <c r="I1293" s="103"/>
      <c r="J1293" s="103"/>
      <c r="K1293" s="103"/>
      <c r="L1293" s="1"/>
    </row>
    <row r="1294" spans="1:12" ht="15" x14ac:dyDescent="0.25">
      <c r="A1294" s="1"/>
      <c r="K1294" s="103"/>
      <c r="L1294" s="1"/>
    </row>
    <row r="1295" spans="1:12" ht="15" x14ac:dyDescent="0.25">
      <c r="A1295" s="1"/>
      <c r="B1295" s="95" t="s">
        <v>77</v>
      </c>
      <c r="H1295" s="95" t="s">
        <v>64</v>
      </c>
      <c r="I1295" s="95"/>
      <c r="J1295" s="92"/>
      <c r="K1295" s="103"/>
      <c r="L1295" s="1"/>
    </row>
    <row r="1296" spans="1:12" ht="15" x14ac:dyDescent="0.25">
      <c r="A1296" s="1"/>
      <c r="B1296" s="99" t="s">
        <v>27</v>
      </c>
      <c r="C1296" s="57"/>
      <c r="H1296" s="99" t="s">
        <v>46</v>
      </c>
      <c r="K1296" s="103"/>
    </row>
    <row r="1297" spans="1:12" ht="12.75" x14ac:dyDescent="0.2"/>
    <row r="1298" spans="1:12" ht="16.5" customHeight="1" x14ac:dyDescent="0.2"/>
    <row r="1299" spans="1:12" ht="12.75" x14ac:dyDescent="0.2"/>
    <row r="1300" spans="1:12" ht="20.25" customHeight="1" x14ac:dyDescent="0.25">
      <c r="A1300" s="3" t="s">
        <v>22</v>
      </c>
    </row>
    <row r="1301" spans="1:12" ht="15.75" x14ac:dyDescent="0.2">
      <c r="A1301" s="122" t="s">
        <v>20</v>
      </c>
    </row>
    <row r="1302" spans="1:12" ht="24.75" customHeight="1" x14ac:dyDescent="0.2">
      <c r="A1302" s="122" t="s">
        <v>21</v>
      </c>
    </row>
    <row r="1303" spans="1:12" ht="12.75" x14ac:dyDescent="0.2"/>
    <row r="1304" spans="1:12" ht="12.75" x14ac:dyDescent="0.2"/>
    <row r="1305" spans="1:12" ht="12.75" x14ac:dyDescent="0.2"/>
    <row r="1306" spans="1:12" ht="18.75" x14ac:dyDescent="0.3">
      <c r="A1306" s="276" t="s">
        <v>6</v>
      </c>
      <c r="B1306" s="276"/>
      <c r="C1306" s="276"/>
      <c r="D1306" s="276"/>
      <c r="E1306" s="276"/>
      <c r="F1306" s="276"/>
      <c r="G1306" s="276"/>
      <c r="H1306" s="276"/>
      <c r="I1306" s="276"/>
      <c r="J1306" s="276"/>
      <c r="K1306" s="276"/>
      <c r="L1306" s="276"/>
    </row>
    <row r="1307" spans="1:12" ht="18.75" x14ac:dyDescent="0.3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</row>
    <row r="1308" spans="1:12" ht="18.75" x14ac:dyDescent="0.3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</row>
    <row r="1309" spans="1:12" ht="15" x14ac:dyDescent="0.25">
      <c r="A1309" s="1"/>
      <c r="B1309" s="1"/>
    </row>
    <row r="1310" spans="1:12" ht="18" customHeight="1" x14ac:dyDescent="0.25">
      <c r="A1310" s="1" t="s">
        <v>7</v>
      </c>
      <c r="B1310" s="1"/>
    </row>
    <row r="1311" spans="1:12" ht="17.25" customHeight="1" x14ac:dyDescent="0.25">
      <c r="A1311" s="1"/>
      <c r="B1311" s="1"/>
    </row>
    <row r="1312" spans="1:12" ht="18" customHeight="1" x14ac:dyDescent="0.25">
      <c r="A1312" s="1" t="s">
        <v>8</v>
      </c>
      <c r="C1312" s="9" t="s">
        <v>1</v>
      </c>
      <c r="D1312" s="92" t="s">
        <v>77</v>
      </c>
      <c r="E1312" s="76"/>
      <c r="F1312" s="76"/>
      <c r="G1312" s="76"/>
      <c r="H1312" s="76"/>
    </row>
    <row r="1313" spans="1:12" ht="13.5" customHeight="1" x14ac:dyDescent="0.25">
      <c r="A1313" s="1" t="s">
        <v>9</v>
      </c>
      <c r="C1313" s="9" t="s">
        <v>1</v>
      </c>
      <c r="D1313" s="57" t="s">
        <v>201</v>
      </c>
      <c r="E1313" s="76"/>
      <c r="F1313" s="76"/>
      <c r="G1313" s="76"/>
      <c r="H1313" s="76"/>
    </row>
    <row r="1314" spans="1:12" ht="18" customHeight="1" x14ac:dyDescent="0.2">
      <c r="A1314" s="50" t="s">
        <v>10</v>
      </c>
      <c r="B1314" s="76"/>
      <c r="C1314" s="91" t="s">
        <v>1</v>
      </c>
      <c r="D1314" s="314" t="s">
        <v>233</v>
      </c>
      <c r="E1314" s="314"/>
      <c r="F1314" s="314"/>
      <c r="G1314" s="314"/>
      <c r="H1314" s="314"/>
      <c r="I1314" s="76"/>
      <c r="J1314" s="76"/>
      <c r="K1314" s="76"/>
      <c r="L1314" s="76"/>
    </row>
    <row r="1315" spans="1:12" ht="17.25" customHeight="1" x14ac:dyDescent="0.25">
      <c r="A1315" s="1"/>
      <c r="B1315" s="1"/>
      <c r="D1315" s="1"/>
    </row>
    <row r="1316" spans="1:12" ht="41.25" customHeight="1" x14ac:dyDescent="0.2">
      <c r="A1316" s="277" t="s">
        <v>257</v>
      </c>
      <c r="B1316" s="277"/>
      <c r="C1316" s="277"/>
      <c r="D1316" s="277"/>
      <c r="E1316" s="277"/>
      <c r="F1316" s="277"/>
      <c r="G1316" s="277"/>
      <c r="H1316" s="277"/>
      <c r="I1316" s="277"/>
      <c r="J1316" s="277"/>
      <c r="K1316" s="277"/>
      <c r="L1316" s="277"/>
    </row>
    <row r="1317" spans="1:12" ht="15.75" customHeight="1" x14ac:dyDescent="0.25">
      <c r="A1317" s="1"/>
      <c r="B1317" s="1"/>
    </row>
    <row r="1318" spans="1:12" ht="35.25" customHeight="1" thickBot="1" x14ac:dyDescent="0.25">
      <c r="A1318" s="10" t="s">
        <v>0</v>
      </c>
      <c r="B1318" s="278" t="s">
        <v>91</v>
      </c>
      <c r="C1318" s="278"/>
      <c r="D1318" s="278"/>
      <c r="E1318" s="278"/>
      <c r="F1318" s="278"/>
      <c r="G1318" s="278"/>
      <c r="H1318" s="278"/>
      <c r="I1318" s="278"/>
      <c r="J1318" s="278"/>
      <c r="K1318" s="278"/>
      <c r="L1318" s="278"/>
    </row>
    <row r="1319" spans="1:12" ht="18.75" customHeight="1" thickTop="1" x14ac:dyDescent="0.25">
      <c r="A1319" s="1"/>
      <c r="B1319" s="11" t="s">
        <v>3</v>
      </c>
      <c r="C1319" s="12" t="s">
        <v>4</v>
      </c>
      <c r="D1319" s="13"/>
      <c r="E1319" s="13"/>
      <c r="F1319" s="13"/>
      <c r="G1319" s="13"/>
      <c r="H1319" s="14"/>
      <c r="I1319" s="15" t="s">
        <v>5</v>
      </c>
      <c r="J1319" s="12" t="s">
        <v>17</v>
      </c>
      <c r="K1319" s="13"/>
      <c r="L1319" s="14"/>
    </row>
    <row r="1320" spans="1:12" ht="35.25" customHeight="1" x14ac:dyDescent="0.2">
      <c r="A1320" s="50"/>
      <c r="B1320" s="100">
        <v>1</v>
      </c>
      <c r="C1320" s="284" t="s">
        <v>230</v>
      </c>
      <c r="D1320" s="285"/>
      <c r="E1320" s="285"/>
      <c r="F1320" s="285"/>
      <c r="G1320" s="76"/>
      <c r="H1320" s="79"/>
      <c r="I1320" s="56">
        <v>250000</v>
      </c>
      <c r="J1320" s="76"/>
      <c r="K1320" s="76"/>
      <c r="L1320" s="79"/>
    </row>
    <row r="1321" spans="1:12" ht="24.75" customHeight="1" x14ac:dyDescent="0.25">
      <c r="A1321" s="50"/>
      <c r="B1321" s="96">
        <v>2</v>
      </c>
      <c r="C1321" s="321" t="s">
        <v>238</v>
      </c>
      <c r="D1321" s="297"/>
      <c r="E1321" s="127">
        <v>1957000</v>
      </c>
      <c r="F1321" s="319" t="s">
        <v>239</v>
      </c>
      <c r="G1321" s="297"/>
      <c r="H1321" s="320"/>
      <c r="I1321" s="56">
        <f>E1321*30/100</f>
        <v>587100</v>
      </c>
      <c r="J1321" s="50" t="s">
        <v>240</v>
      </c>
      <c r="K1321" s="1"/>
      <c r="L1321" s="17"/>
    </row>
    <row r="1322" spans="1:12" ht="28.5" customHeight="1" x14ac:dyDescent="0.2">
      <c r="B1322" s="16"/>
      <c r="H1322" s="17"/>
      <c r="I1322" s="19"/>
      <c r="L1322" s="17"/>
    </row>
    <row r="1323" spans="1:12" ht="21.75" customHeight="1" x14ac:dyDescent="0.2">
      <c r="B1323" s="20"/>
      <c r="C1323" s="21"/>
      <c r="D1323" s="21"/>
      <c r="E1323" s="21"/>
      <c r="F1323" s="21"/>
      <c r="G1323" s="21"/>
      <c r="H1323" s="22"/>
      <c r="I1323" s="23"/>
      <c r="J1323" s="21"/>
      <c r="K1323" s="21"/>
      <c r="L1323" s="22"/>
    </row>
    <row r="1324" spans="1:12" ht="18.75" customHeight="1" x14ac:dyDescent="0.25">
      <c r="A1324" s="1"/>
      <c r="B1324" s="39"/>
      <c r="C1324" s="1"/>
      <c r="D1324" s="1"/>
      <c r="E1324" s="1"/>
      <c r="F1324" s="40" t="s">
        <v>5</v>
      </c>
      <c r="G1324" s="40"/>
      <c r="H1324" s="1"/>
      <c r="I1324" s="41">
        <f>SUM(I1320:I1321)</f>
        <v>837100</v>
      </c>
      <c r="J1324" s="1"/>
      <c r="K1324" s="1"/>
      <c r="L1324" s="42"/>
    </row>
    <row r="1325" spans="1:12" ht="17.25" customHeight="1" thickBot="1" x14ac:dyDescent="0.3">
      <c r="A1325" s="1"/>
      <c r="B1325" s="43"/>
      <c r="C1325" s="44"/>
      <c r="D1325" s="44"/>
      <c r="E1325" s="44"/>
      <c r="F1325" s="45"/>
      <c r="G1325" s="45"/>
      <c r="H1325" s="44"/>
      <c r="I1325" s="46"/>
      <c r="J1325" s="44"/>
      <c r="K1325" s="44"/>
      <c r="L1325" s="47"/>
    </row>
    <row r="1326" spans="1:12" ht="21" customHeight="1" thickTop="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ht="45" customHeight="1" x14ac:dyDescent="0.2">
      <c r="A1327" s="10" t="s">
        <v>2</v>
      </c>
      <c r="B1327" s="279" t="s">
        <v>11</v>
      </c>
      <c r="C1327" s="279"/>
      <c r="D1327" s="279"/>
      <c r="E1327" s="279"/>
      <c r="F1327" s="279"/>
      <c r="G1327" s="279"/>
      <c r="H1327" s="279"/>
      <c r="I1327" s="279"/>
      <c r="J1327" s="279"/>
      <c r="K1327" s="279"/>
      <c r="L1327" s="279"/>
    </row>
    <row r="1328" spans="1:12" ht="17.25" customHeight="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ht="23.25" customHeight="1" x14ac:dyDescent="0.2">
      <c r="A1329" s="280" t="s">
        <v>12</v>
      </c>
      <c r="B1329" s="280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</row>
    <row r="1330" spans="1:12" ht="18" customHeight="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ht="11.25" customHeight="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ht="18" customHeight="1" x14ac:dyDescent="0.25">
      <c r="A1332" s="1"/>
      <c r="B1332" s="1"/>
      <c r="C1332" s="1"/>
      <c r="D1332" s="1"/>
      <c r="E1332" s="1"/>
      <c r="F1332" s="1"/>
      <c r="G1332" s="1"/>
      <c r="H1332" s="4" t="s">
        <v>199</v>
      </c>
      <c r="J1332" s="286" t="s">
        <v>254</v>
      </c>
      <c r="K1332" s="286"/>
      <c r="L1332" s="286"/>
    </row>
    <row r="1333" spans="1:12" ht="12.75" customHeight="1" x14ac:dyDescent="0.25">
      <c r="A1333" s="1"/>
      <c r="B1333" s="1" t="s">
        <v>15</v>
      </c>
      <c r="C1333" s="1"/>
      <c r="D1333" s="1"/>
      <c r="E1333" s="1"/>
      <c r="F1333" s="1"/>
      <c r="G1333" s="1"/>
      <c r="H1333" s="4" t="s">
        <v>13</v>
      </c>
    </row>
    <row r="1334" spans="1:12" ht="13.5" customHeight="1" x14ac:dyDescent="0.25">
      <c r="A1334" s="1"/>
      <c r="B1334" s="1" t="s">
        <v>18</v>
      </c>
      <c r="C1334" s="1"/>
      <c r="D1334" s="1"/>
      <c r="E1334" s="1"/>
      <c r="F1334" s="1"/>
      <c r="G1334" s="1"/>
      <c r="H1334" s="4" t="s">
        <v>14</v>
      </c>
    </row>
    <row r="1335" spans="1:12" ht="19.5" customHeight="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 ht="22.5" customHeight="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 ht="15" x14ac:dyDescent="0.25">
      <c r="A1337" s="1"/>
      <c r="B1337" s="103"/>
      <c r="C1337" s="103"/>
      <c r="D1337" s="103"/>
      <c r="E1337" s="103"/>
      <c r="F1337" s="103"/>
      <c r="G1337" s="103"/>
      <c r="H1337" s="103"/>
      <c r="I1337" s="103"/>
      <c r="J1337" s="103"/>
      <c r="K1337" s="103"/>
      <c r="L1337" s="1"/>
    </row>
    <row r="1338" spans="1:12" ht="16.5" customHeight="1" x14ac:dyDescent="0.25">
      <c r="A1338" s="1"/>
      <c r="K1338" s="103"/>
      <c r="L1338" s="1"/>
    </row>
    <row r="1339" spans="1:12" ht="16.5" customHeight="1" x14ac:dyDescent="0.25">
      <c r="A1339" s="1"/>
      <c r="B1339" s="95" t="s">
        <v>77</v>
      </c>
      <c r="H1339" s="95" t="s">
        <v>77</v>
      </c>
      <c r="I1339" s="95"/>
      <c r="J1339" s="92"/>
      <c r="K1339" s="103"/>
      <c r="L1339" s="1"/>
    </row>
    <row r="1340" spans="1:12" ht="15" x14ac:dyDescent="0.25">
      <c r="A1340" s="1"/>
      <c r="B1340" s="99" t="s">
        <v>27</v>
      </c>
      <c r="C1340" s="57"/>
      <c r="H1340" s="99" t="s">
        <v>27</v>
      </c>
      <c r="K1340" s="103"/>
    </row>
    <row r="1341" spans="1:12" ht="27.75" customHeight="1" x14ac:dyDescent="0.2"/>
    <row r="1342" spans="1:12" ht="12.75" x14ac:dyDescent="0.2"/>
    <row r="1343" spans="1:12" ht="18.75" customHeight="1" x14ac:dyDescent="0.25">
      <c r="A1343" s="3" t="s">
        <v>22</v>
      </c>
    </row>
    <row r="1344" spans="1:12" ht="15.75" x14ac:dyDescent="0.2">
      <c r="A1344" s="122" t="s">
        <v>20</v>
      </c>
    </row>
    <row r="1345" spans="1:12" ht="18" customHeight="1" x14ac:dyDescent="0.2">
      <c r="A1345" s="122" t="s">
        <v>21</v>
      </c>
    </row>
    <row r="1346" spans="1:12" ht="12.75" x14ac:dyDescent="0.2"/>
    <row r="1347" spans="1:12" ht="12.75" x14ac:dyDescent="0.2"/>
    <row r="1348" spans="1:12" ht="12.75" x14ac:dyDescent="0.2"/>
    <row r="1349" spans="1:12" ht="18.75" x14ac:dyDescent="0.3">
      <c r="A1349" s="276" t="s">
        <v>6</v>
      </c>
      <c r="B1349" s="276"/>
      <c r="C1349" s="276"/>
      <c r="D1349" s="276"/>
      <c r="E1349" s="276"/>
      <c r="F1349" s="276"/>
      <c r="G1349" s="276"/>
      <c r="H1349" s="276"/>
      <c r="I1349" s="276"/>
      <c r="J1349" s="276"/>
      <c r="K1349" s="276"/>
      <c r="L1349" s="276"/>
    </row>
    <row r="1350" spans="1:12" ht="18.75" x14ac:dyDescent="0.3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</row>
    <row r="1351" spans="1:12" ht="18.75" x14ac:dyDescent="0.3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</row>
    <row r="1352" spans="1:12" ht="15" x14ac:dyDescent="0.25">
      <c r="A1352" s="1"/>
      <c r="B1352" s="1"/>
    </row>
    <row r="1353" spans="1:12" ht="45.75" hidden="1" customHeight="1" x14ac:dyDescent="0.25">
      <c r="A1353" s="1" t="s">
        <v>7</v>
      </c>
      <c r="B1353" s="1"/>
    </row>
    <row r="1354" spans="1:12" ht="32.25" customHeight="1" x14ac:dyDescent="0.25">
      <c r="A1354" s="1"/>
      <c r="B1354" s="1"/>
    </row>
    <row r="1355" spans="1:12" ht="15" customHeight="1" x14ac:dyDescent="0.25">
      <c r="A1355" s="1" t="s">
        <v>8</v>
      </c>
      <c r="C1355" s="9" t="s">
        <v>1</v>
      </c>
      <c r="D1355" s="92" t="s">
        <v>96</v>
      </c>
      <c r="E1355" s="76"/>
      <c r="F1355" s="76"/>
      <c r="G1355" s="76"/>
      <c r="H1355" s="76"/>
    </row>
    <row r="1356" spans="1:12" ht="15" x14ac:dyDescent="0.25">
      <c r="A1356" s="1" t="s">
        <v>9</v>
      </c>
      <c r="C1356" s="9" t="s">
        <v>1</v>
      </c>
      <c r="D1356" s="57" t="s">
        <v>200</v>
      </c>
      <c r="E1356" s="76"/>
      <c r="F1356" s="76"/>
      <c r="G1356" s="76"/>
      <c r="H1356" s="76"/>
    </row>
    <row r="1357" spans="1:12" ht="15" x14ac:dyDescent="0.2">
      <c r="A1357" s="50" t="s">
        <v>10</v>
      </c>
      <c r="B1357" s="76"/>
      <c r="C1357" s="91" t="s">
        <v>1</v>
      </c>
      <c r="D1357" s="50" t="s">
        <v>203</v>
      </c>
      <c r="E1357" s="76"/>
      <c r="F1357" s="76"/>
      <c r="G1357" s="76"/>
      <c r="H1357" s="76"/>
      <c r="I1357" s="76"/>
      <c r="J1357" s="76"/>
      <c r="K1357" s="76"/>
      <c r="L1357" s="76"/>
    </row>
    <row r="1358" spans="1:12" ht="15" x14ac:dyDescent="0.25">
      <c r="A1358" s="1"/>
      <c r="B1358" s="1"/>
      <c r="D1358" s="1"/>
    </row>
    <row r="1359" spans="1:12" ht="41.25" customHeight="1" x14ac:dyDescent="0.2">
      <c r="A1359" s="277" t="s">
        <v>257</v>
      </c>
      <c r="B1359" s="277"/>
      <c r="C1359" s="277"/>
      <c r="D1359" s="277"/>
      <c r="E1359" s="277"/>
      <c r="F1359" s="277"/>
      <c r="G1359" s="277"/>
      <c r="H1359" s="277"/>
      <c r="I1359" s="277"/>
      <c r="J1359" s="277"/>
      <c r="K1359" s="277"/>
      <c r="L1359" s="277"/>
    </row>
    <row r="1360" spans="1:12" ht="15" customHeight="1" x14ac:dyDescent="0.25">
      <c r="A1360" s="1"/>
      <c r="B1360" s="1"/>
    </row>
    <row r="1361" spans="1:12" ht="39" customHeight="1" thickBot="1" x14ac:dyDescent="0.25">
      <c r="A1361" s="10" t="s">
        <v>0</v>
      </c>
      <c r="B1361" s="278" t="s">
        <v>91</v>
      </c>
      <c r="C1361" s="278"/>
      <c r="D1361" s="278"/>
      <c r="E1361" s="278"/>
      <c r="F1361" s="278"/>
      <c r="G1361" s="278"/>
      <c r="H1361" s="278"/>
      <c r="I1361" s="278"/>
      <c r="J1361" s="278"/>
      <c r="K1361" s="278"/>
      <c r="L1361" s="278"/>
    </row>
    <row r="1362" spans="1:12" ht="19.5" customHeight="1" thickTop="1" x14ac:dyDescent="0.25">
      <c r="A1362" s="1"/>
      <c r="B1362" s="11" t="s">
        <v>3</v>
      </c>
      <c r="C1362" s="12" t="s">
        <v>4</v>
      </c>
      <c r="D1362" s="13"/>
      <c r="E1362" s="13"/>
      <c r="F1362" s="13"/>
      <c r="G1362" s="13"/>
      <c r="H1362" s="14"/>
      <c r="I1362" s="15" t="s">
        <v>5</v>
      </c>
      <c r="J1362" s="12" t="s">
        <v>17</v>
      </c>
      <c r="K1362" s="13"/>
      <c r="L1362" s="14"/>
    </row>
    <row r="1363" spans="1:12" ht="23.25" customHeight="1" x14ac:dyDescent="0.2">
      <c r="A1363" s="50"/>
      <c r="B1363" s="100">
        <v>1</v>
      </c>
      <c r="C1363" s="284" t="s">
        <v>230</v>
      </c>
      <c r="D1363" s="285"/>
      <c r="E1363" s="285"/>
      <c r="F1363" s="285"/>
      <c r="G1363" s="76"/>
      <c r="H1363" s="79"/>
      <c r="I1363" s="56">
        <v>250000</v>
      </c>
      <c r="J1363" s="76"/>
      <c r="K1363" s="76"/>
      <c r="L1363" s="79"/>
    </row>
    <row r="1364" spans="1:12" ht="30.75" customHeight="1" x14ac:dyDescent="0.25">
      <c r="A1364" s="50"/>
      <c r="B1364" s="96">
        <v>2</v>
      </c>
      <c r="C1364" s="321" t="s">
        <v>238</v>
      </c>
      <c r="D1364" s="297"/>
      <c r="E1364" s="127">
        <v>622000</v>
      </c>
      <c r="F1364" s="319" t="s">
        <v>239</v>
      </c>
      <c r="G1364" s="297"/>
      <c r="H1364" s="320"/>
      <c r="I1364" s="56">
        <f>E1364*30/100</f>
        <v>186600</v>
      </c>
      <c r="J1364" s="50" t="s">
        <v>240</v>
      </c>
      <c r="K1364" s="1"/>
      <c r="L1364" s="17"/>
    </row>
    <row r="1365" spans="1:12" ht="27.75" customHeight="1" x14ac:dyDescent="0.2">
      <c r="B1365" s="16"/>
      <c r="H1365" s="17"/>
      <c r="I1365" s="19"/>
      <c r="L1365" s="17"/>
    </row>
    <row r="1366" spans="1:12" ht="12.75" x14ac:dyDescent="0.2">
      <c r="B1366" s="20"/>
      <c r="C1366" s="21"/>
      <c r="D1366" s="21"/>
      <c r="E1366" s="21"/>
      <c r="F1366" s="21"/>
      <c r="G1366" s="21"/>
      <c r="H1366" s="22"/>
      <c r="I1366" s="23"/>
      <c r="J1366" s="21"/>
      <c r="K1366" s="21"/>
      <c r="L1366" s="22"/>
    </row>
    <row r="1367" spans="1:12" ht="15.75" customHeight="1" x14ac:dyDescent="0.25">
      <c r="A1367" s="1"/>
      <c r="B1367" s="39"/>
      <c r="C1367" s="1"/>
      <c r="D1367" s="1"/>
      <c r="E1367" s="1"/>
      <c r="F1367" s="40" t="s">
        <v>5</v>
      </c>
      <c r="G1367" s="40"/>
      <c r="H1367" s="1"/>
      <c r="I1367" s="41">
        <f>SUM(I1363:I1364)</f>
        <v>436600</v>
      </c>
      <c r="J1367" s="1"/>
      <c r="K1367" s="1"/>
      <c r="L1367" s="42"/>
    </row>
    <row r="1368" spans="1:12" ht="6" customHeight="1" thickBot="1" x14ac:dyDescent="0.3">
      <c r="A1368" s="1"/>
      <c r="B1368" s="43"/>
      <c r="C1368" s="44"/>
      <c r="D1368" s="44"/>
      <c r="E1368" s="44"/>
      <c r="F1368" s="45"/>
      <c r="G1368" s="45"/>
      <c r="H1368" s="44"/>
      <c r="I1368" s="46"/>
      <c r="J1368" s="44"/>
      <c r="K1368" s="44"/>
      <c r="L1368" s="47"/>
    </row>
    <row r="1369" spans="1:12" ht="15.75" thickTop="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ht="48.75" customHeight="1" x14ac:dyDescent="0.2">
      <c r="A1370" s="10" t="s">
        <v>2</v>
      </c>
      <c r="B1370" s="279" t="s">
        <v>11</v>
      </c>
      <c r="C1370" s="279"/>
      <c r="D1370" s="279"/>
      <c r="E1370" s="279"/>
      <c r="F1370" s="279"/>
      <c r="G1370" s="279"/>
      <c r="H1370" s="279"/>
      <c r="I1370" s="279"/>
      <c r="J1370" s="279"/>
      <c r="K1370" s="279"/>
      <c r="L1370" s="279"/>
    </row>
    <row r="1371" spans="1:12" ht="20.25" customHeight="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ht="21.75" customHeight="1" x14ac:dyDescent="0.2">
      <c r="A1372" s="280" t="s">
        <v>12</v>
      </c>
      <c r="B1372" s="280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</row>
    <row r="1373" spans="1:12" ht="18" customHeight="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ht="15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ht="20.25" customHeight="1" x14ac:dyDescent="0.25">
      <c r="A1375" s="1"/>
      <c r="B1375" s="1"/>
      <c r="C1375" s="1"/>
      <c r="D1375" s="1"/>
      <c r="E1375" s="1"/>
      <c r="F1375" s="1"/>
      <c r="G1375" s="1"/>
      <c r="H1375" s="4" t="s">
        <v>199</v>
      </c>
      <c r="J1375" s="286" t="s">
        <v>254</v>
      </c>
      <c r="K1375" s="286"/>
      <c r="L1375" s="286"/>
    </row>
    <row r="1376" spans="1:12" ht="18" customHeight="1" x14ac:dyDescent="0.25">
      <c r="A1376" s="1"/>
      <c r="B1376" s="1" t="s">
        <v>15</v>
      </c>
      <c r="C1376" s="1"/>
      <c r="D1376" s="1"/>
      <c r="E1376" s="1"/>
      <c r="F1376" s="1"/>
      <c r="G1376" s="1"/>
      <c r="H1376" s="4" t="s">
        <v>13</v>
      </c>
    </row>
    <row r="1377" spans="1:12" ht="15" customHeight="1" x14ac:dyDescent="0.25">
      <c r="A1377" s="1"/>
      <c r="B1377" s="1" t="s">
        <v>18</v>
      </c>
      <c r="C1377" s="1"/>
      <c r="D1377" s="1"/>
      <c r="E1377" s="1"/>
      <c r="F1377" s="1"/>
      <c r="G1377" s="1"/>
      <c r="H1377" s="4" t="s">
        <v>14</v>
      </c>
    </row>
    <row r="1378" spans="1:12" ht="17.25" customHeight="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 ht="16.5" hidden="1" customHeight="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ht="21" hidden="1" customHeight="1" x14ac:dyDescent="0.25">
      <c r="A1380" s="1"/>
      <c r="B1380" s="103"/>
      <c r="C1380" s="103"/>
      <c r="D1380" s="103"/>
      <c r="E1380" s="103"/>
      <c r="F1380" s="103"/>
      <c r="G1380" s="103"/>
      <c r="H1380" s="103"/>
      <c r="I1380" s="103"/>
      <c r="J1380" s="103"/>
      <c r="K1380" s="103"/>
      <c r="L1380" s="1"/>
    </row>
    <row r="1381" spans="1:12" ht="42" customHeight="1" x14ac:dyDescent="0.25">
      <c r="A1381" s="1"/>
      <c r="K1381" s="103"/>
      <c r="L1381" s="1"/>
    </row>
    <row r="1382" spans="1:12" ht="17.25" customHeight="1" x14ac:dyDescent="0.25">
      <c r="A1382" s="1"/>
      <c r="B1382" s="95" t="s">
        <v>77</v>
      </c>
      <c r="H1382" s="95" t="s">
        <v>96</v>
      </c>
      <c r="I1382" s="95"/>
      <c r="J1382" s="92"/>
      <c r="K1382" s="103"/>
      <c r="L1382" s="1"/>
    </row>
    <row r="1383" spans="1:12" ht="39.75" customHeight="1" x14ac:dyDescent="0.25">
      <c r="A1383" s="1"/>
      <c r="B1383" s="99" t="s">
        <v>27</v>
      </c>
      <c r="C1383" s="57"/>
      <c r="H1383" s="99" t="s">
        <v>100</v>
      </c>
      <c r="K1383" s="103"/>
    </row>
    <row r="1384" spans="1:12" ht="25.5" customHeight="1" x14ac:dyDescent="0.2"/>
    <row r="1385" spans="1:12" ht="11.25" customHeight="1" x14ac:dyDescent="0.2"/>
    <row r="1386" spans="1:12" ht="18.75" customHeight="1" x14ac:dyDescent="0.2"/>
    <row r="1387" spans="1:12" ht="21.75" customHeight="1" x14ac:dyDescent="0.25">
      <c r="A1387" s="3" t="s">
        <v>22</v>
      </c>
    </row>
    <row r="1388" spans="1:12" ht="19.5" customHeight="1" x14ac:dyDescent="0.2">
      <c r="A1388" s="122" t="s">
        <v>20</v>
      </c>
    </row>
    <row r="1389" spans="1:12" ht="18" customHeight="1" x14ac:dyDescent="0.2">
      <c r="A1389" s="122" t="s">
        <v>21</v>
      </c>
    </row>
    <row r="1390" spans="1:12" ht="18" customHeight="1" x14ac:dyDescent="0.2"/>
    <row r="1391" spans="1:12" ht="12.75" x14ac:dyDescent="0.2"/>
    <row r="1392" spans="1:12" ht="24" customHeight="1" x14ac:dyDescent="0.2"/>
    <row r="1393" spans="1:12" ht="18.75" x14ac:dyDescent="0.3">
      <c r="A1393" s="276" t="s">
        <v>6</v>
      </c>
      <c r="B1393" s="276"/>
      <c r="C1393" s="276"/>
      <c r="D1393" s="276"/>
      <c r="E1393" s="276"/>
      <c r="F1393" s="276"/>
      <c r="G1393" s="276"/>
      <c r="H1393" s="276"/>
      <c r="I1393" s="276"/>
      <c r="J1393" s="276"/>
      <c r="K1393" s="276"/>
      <c r="L1393" s="276"/>
    </row>
    <row r="1394" spans="1:12" ht="12.75" customHeight="1" x14ac:dyDescent="0.3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</row>
    <row r="1395" spans="1:12" ht="18.75" x14ac:dyDescent="0.3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</row>
    <row r="1396" spans="1:12" ht="15" x14ac:dyDescent="0.25">
      <c r="A1396" s="1"/>
      <c r="B1396" s="1"/>
    </row>
    <row r="1397" spans="1:12" ht="15" x14ac:dyDescent="0.25">
      <c r="A1397" s="1" t="s">
        <v>7</v>
      </c>
      <c r="B1397" s="1"/>
    </row>
    <row r="1398" spans="1:12" ht="15" x14ac:dyDescent="0.25">
      <c r="A1398" s="1"/>
      <c r="B1398" s="1"/>
    </row>
    <row r="1399" spans="1:12" ht="15" x14ac:dyDescent="0.25">
      <c r="A1399" s="1" t="s">
        <v>8</v>
      </c>
      <c r="C1399" s="9" t="s">
        <v>1</v>
      </c>
      <c r="D1399" s="123" t="s">
        <v>78</v>
      </c>
      <c r="E1399" s="76"/>
      <c r="F1399" s="76"/>
      <c r="G1399" s="76"/>
      <c r="H1399" s="76"/>
    </row>
    <row r="1400" spans="1:12" ht="15" x14ac:dyDescent="0.25">
      <c r="A1400" s="1" t="s">
        <v>9</v>
      </c>
      <c r="C1400" s="9" t="s">
        <v>1</v>
      </c>
      <c r="D1400" s="76" t="s">
        <v>234</v>
      </c>
      <c r="E1400" s="76"/>
      <c r="F1400" s="76"/>
      <c r="G1400" s="76"/>
      <c r="H1400" s="76"/>
    </row>
    <row r="1401" spans="1:12" ht="15" x14ac:dyDescent="0.2">
      <c r="A1401" s="50" t="s">
        <v>10</v>
      </c>
      <c r="B1401" s="76"/>
      <c r="C1401" s="91" t="s">
        <v>1</v>
      </c>
      <c r="D1401" s="50" t="s">
        <v>235</v>
      </c>
      <c r="E1401" s="76"/>
      <c r="F1401" s="76"/>
      <c r="G1401" s="76"/>
      <c r="H1401" s="76"/>
      <c r="I1401" s="76"/>
      <c r="J1401" s="76"/>
      <c r="K1401" s="76"/>
      <c r="L1401" s="76"/>
    </row>
    <row r="1402" spans="1:12" ht="21.75" customHeight="1" x14ac:dyDescent="0.25">
      <c r="A1402" s="1"/>
      <c r="B1402" s="1"/>
      <c r="D1402" s="1"/>
    </row>
    <row r="1403" spans="1:12" ht="29.25" customHeight="1" x14ac:dyDescent="0.2">
      <c r="A1403" s="277" t="s">
        <v>258</v>
      </c>
      <c r="B1403" s="277"/>
      <c r="C1403" s="277"/>
      <c r="D1403" s="277"/>
      <c r="E1403" s="277"/>
      <c r="F1403" s="277"/>
      <c r="G1403" s="277"/>
      <c r="H1403" s="277"/>
      <c r="I1403" s="277"/>
      <c r="J1403" s="277"/>
      <c r="K1403" s="277"/>
      <c r="L1403" s="277"/>
    </row>
    <row r="1404" spans="1:12" ht="15" customHeight="1" x14ac:dyDescent="0.25">
      <c r="A1404" s="1"/>
      <c r="B1404" s="1"/>
    </row>
    <row r="1405" spans="1:12" ht="33.75" customHeight="1" thickBot="1" x14ac:dyDescent="0.25">
      <c r="A1405" s="10" t="s">
        <v>0</v>
      </c>
      <c r="B1405" s="278" t="s">
        <v>91</v>
      </c>
      <c r="C1405" s="278"/>
      <c r="D1405" s="278"/>
      <c r="E1405" s="278"/>
      <c r="F1405" s="278"/>
      <c r="G1405" s="278"/>
      <c r="H1405" s="278"/>
      <c r="I1405" s="278"/>
      <c r="J1405" s="278"/>
      <c r="K1405" s="278"/>
      <c r="L1405" s="278"/>
    </row>
    <row r="1406" spans="1:12" ht="43.5" customHeight="1" thickTop="1" x14ac:dyDescent="0.25">
      <c r="A1406" s="1"/>
      <c r="B1406" s="11" t="s">
        <v>3</v>
      </c>
      <c r="C1406" s="12" t="s">
        <v>4</v>
      </c>
      <c r="D1406" s="13"/>
      <c r="E1406" s="13"/>
      <c r="F1406" s="13"/>
      <c r="G1406" s="13"/>
      <c r="H1406" s="14"/>
      <c r="I1406" s="15" t="s">
        <v>5</v>
      </c>
      <c r="J1406" s="12" t="s">
        <v>17</v>
      </c>
      <c r="K1406" s="13"/>
      <c r="L1406" s="14"/>
    </row>
    <row r="1407" spans="1:12" ht="15" x14ac:dyDescent="0.2">
      <c r="A1407" s="50"/>
      <c r="B1407" s="100">
        <v>1</v>
      </c>
      <c r="C1407" s="284" t="s">
        <v>230</v>
      </c>
      <c r="D1407" s="285"/>
      <c r="E1407" s="285"/>
      <c r="F1407" s="285"/>
      <c r="G1407" s="76"/>
      <c r="H1407" s="79"/>
      <c r="I1407" s="56">
        <v>250000</v>
      </c>
      <c r="J1407" s="76"/>
      <c r="K1407" s="76"/>
      <c r="L1407" s="79"/>
    </row>
    <row r="1408" spans="1:12" ht="41.25" customHeight="1" x14ac:dyDescent="0.25">
      <c r="A1408" s="50"/>
      <c r="B1408" s="96">
        <v>2</v>
      </c>
      <c r="C1408" s="321" t="s">
        <v>238</v>
      </c>
      <c r="D1408" s="297"/>
      <c r="E1408" s="127">
        <v>622000</v>
      </c>
      <c r="F1408" s="319" t="s">
        <v>239</v>
      </c>
      <c r="G1408" s="297"/>
      <c r="H1408" s="320"/>
      <c r="I1408" s="56">
        <f>E1408*30/100</f>
        <v>186600</v>
      </c>
      <c r="J1408" s="50" t="s">
        <v>240</v>
      </c>
      <c r="K1408" s="1"/>
      <c r="L1408" s="17"/>
    </row>
    <row r="1409" spans="1:12" ht="12.75" x14ac:dyDescent="0.2">
      <c r="B1409" s="16"/>
      <c r="H1409" s="17"/>
      <c r="I1409" s="19"/>
      <c r="L1409" s="17"/>
    </row>
    <row r="1410" spans="1:12" ht="22.5" customHeight="1" x14ac:dyDescent="0.2">
      <c r="B1410" s="20"/>
      <c r="C1410" s="21"/>
      <c r="D1410" s="21"/>
      <c r="E1410" s="21"/>
      <c r="F1410" s="21"/>
      <c r="G1410" s="21"/>
      <c r="H1410" s="22"/>
      <c r="I1410" s="23"/>
      <c r="J1410" s="21"/>
      <c r="K1410" s="21"/>
      <c r="L1410" s="22"/>
    </row>
    <row r="1411" spans="1:12" ht="18.75" customHeight="1" x14ac:dyDescent="0.25">
      <c r="A1411" s="1"/>
      <c r="B1411" s="39"/>
      <c r="C1411" s="1"/>
      <c r="D1411" s="1"/>
      <c r="E1411" s="1"/>
      <c r="F1411" s="40" t="s">
        <v>5</v>
      </c>
      <c r="G1411" s="40"/>
      <c r="H1411" s="1"/>
      <c r="I1411" s="41">
        <f>SUM(I1407:I1408)</f>
        <v>436600</v>
      </c>
      <c r="J1411" s="1"/>
      <c r="K1411" s="1"/>
      <c r="L1411" s="42"/>
    </row>
    <row r="1412" spans="1:12" ht="16.5" customHeight="1" thickBot="1" x14ac:dyDescent="0.3">
      <c r="A1412" s="1"/>
      <c r="B1412" s="43"/>
      <c r="C1412" s="44"/>
      <c r="D1412" s="44"/>
      <c r="E1412" s="44"/>
      <c r="F1412" s="45"/>
      <c r="G1412" s="45"/>
      <c r="H1412" s="44"/>
      <c r="I1412" s="46"/>
      <c r="J1412" s="44"/>
      <c r="K1412" s="44"/>
      <c r="L1412" s="47"/>
    </row>
    <row r="1413" spans="1:12" ht="15.75" thickTop="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ht="47.25" customHeight="1" x14ac:dyDescent="0.2">
      <c r="A1414" s="10" t="s">
        <v>2</v>
      </c>
      <c r="B1414" s="279" t="s">
        <v>11</v>
      </c>
      <c r="C1414" s="279"/>
      <c r="D1414" s="279"/>
      <c r="E1414" s="279"/>
      <c r="F1414" s="279"/>
      <c r="G1414" s="279"/>
      <c r="H1414" s="279"/>
      <c r="I1414" s="279"/>
      <c r="J1414" s="279"/>
      <c r="K1414" s="279"/>
      <c r="L1414" s="279"/>
    </row>
    <row r="1415" spans="1:12" ht="12" customHeight="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ht="22.5" customHeight="1" x14ac:dyDescent="0.2">
      <c r="A1416" s="280" t="s">
        <v>12</v>
      </c>
      <c r="B1416" s="280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</row>
    <row r="1417" spans="1:12" ht="1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ht="24.75" customHeight="1" x14ac:dyDescent="0.25">
      <c r="A1418" s="1"/>
      <c r="B1418" s="1"/>
      <c r="C1418" s="1"/>
      <c r="D1418" s="1"/>
      <c r="E1418" s="1"/>
      <c r="F1418" s="1"/>
      <c r="G1418" s="1"/>
      <c r="I1418" s="1"/>
      <c r="J1418" s="286"/>
      <c r="K1418" s="286"/>
      <c r="L1418" s="286"/>
    </row>
    <row r="1419" spans="1:12" ht="15" x14ac:dyDescent="0.25">
      <c r="A1419" s="1"/>
      <c r="B1419" s="1"/>
      <c r="C1419" s="1"/>
      <c r="D1419" s="1"/>
      <c r="E1419" s="1"/>
      <c r="F1419" s="1"/>
      <c r="G1419" s="1"/>
      <c r="H1419" s="4" t="s">
        <v>199</v>
      </c>
      <c r="J1419" s="286" t="s">
        <v>254</v>
      </c>
      <c r="K1419" s="286"/>
      <c r="L1419" s="286"/>
    </row>
    <row r="1420" spans="1:12" ht="15" x14ac:dyDescent="0.25">
      <c r="A1420" s="1"/>
      <c r="B1420" s="1" t="s">
        <v>15</v>
      </c>
      <c r="C1420" s="1"/>
      <c r="D1420" s="1"/>
      <c r="E1420" s="1"/>
      <c r="F1420" s="1"/>
      <c r="G1420" s="1"/>
      <c r="H1420" s="4" t="s">
        <v>13</v>
      </c>
    </row>
    <row r="1421" spans="1:12" ht="15" x14ac:dyDescent="0.25">
      <c r="A1421" s="1"/>
      <c r="B1421" s="1" t="s">
        <v>18</v>
      </c>
      <c r="C1421" s="1"/>
      <c r="D1421" s="1"/>
      <c r="E1421" s="1"/>
      <c r="F1421" s="1"/>
      <c r="G1421" s="1"/>
      <c r="H1421" s="4" t="s">
        <v>14</v>
      </c>
    </row>
    <row r="1422" spans="1:12" ht="15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ht="17.25" customHeight="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 ht="29.25" hidden="1" customHeight="1" x14ac:dyDescent="0.25">
      <c r="A1424" s="1"/>
      <c r="B1424" s="103"/>
      <c r="C1424" s="103"/>
      <c r="D1424" s="103"/>
      <c r="E1424" s="103"/>
      <c r="F1424" s="103"/>
      <c r="G1424" s="103"/>
      <c r="H1424" s="103"/>
      <c r="I1424" s="103"/>
      <c r="J1424" s="103"/>
      <c r="K1424" s="103"/>
      <c r="L1424" s="1"/>
    </row>
    <row r="1425" spans="1:12" ht="14.25" customHeight="1" x14ac:dyDescent="0.25">
      <c r="A1425" s="1"/>
      <c r="K1425" s="103"/>
      <c r="L1425" s="1"/>
    </row>
    <row r="1426" spans="1:12" ht="36.75" customHeight="1" x14ac:dyDescent="0.25">
      <c r="A1426" s="1"/>
      <c r="B1426" s="95" t="s">
        <v>77</v>
      </c>
      <c r="H1426" s="95" t="s">
        <v>78</v>
      </c>
      <c r="I1426" s="95"/>
      <c r="J1426" s="92"/>
      <c r="K1426" s="103"/>
      <c r="L1426" s="1"/>
    </row>
    <row r="1427" spans="1:12" ht="14.25" customHeight="1" x14ac:dyDescent="0.25">
      <c r="A1427" s="1"/>
      <c r="B1427" s="99" t="s">
        <v>27</v>
      </c>
      <c r="C1427" s="57"/>
      <c r="H1427" s="99" t="s">
        <v>79</v>
      </c>
      <c r="K1427" s="103"/>
    </row>
    <row r="1428" spans="1:12" ht="39" customHeight="1" x14ac:dyDescent="0.2"/>
    <row r="1429" spans="1:12" ht="25.5" customHeight="1" x14ac:dyDescent="0.2"/>
    <row r="1430" spans="1:12" ht="18.75" customHeight="1" x14ac:dyDescent="0.2"/>
    <row r="1431" spans="1:12" ht="12.75" x14ac:dyDescent="0.2"/>
    <row r="1432" spans="1:12" ht="19.5" customHeight="1" x14ac:dyDescent="0.25">
      <c r="A1432" s="3" t="s">
        <v>22</v>
      </c>
    </row>
    <row r="1433" spans="1:12" ht="13.5" customHeight="1" x14ac:dyDescent="0.2">
      <c r="A1433" s="122" t="s">
        <v>20</v>
      </c>
    </row>
    <row r="1434" spans="1:12" ht="21" customHeight="1" x14ac:dyDescent="0.2">
      <c r="A1434" s="122" t="s">
        <v>21</v>
      </c>
    </row>
    <row r="1435" spans="1:12" ht="48" customHeight="1" x14ac:dyDescent="0.2"/>
    <row r="1436" spans="1:12" ht="12.75" x14ac:dyDescent="0.2"/>
    <row r="1437" spans="1:12" ht="21.75" customHeight="1" x14ac:dyDescent="0.2"/>
    <row r="1438" spans="1:12" ht="18.75" x14ac:dyDescent="0.3">
      <c r="A1438" s="276" t="s">
        <v>6</v>
      </c>
      <c r="B1438" s="276"/>
      <c r="C1438" s="276"/>
      <c r="D1438" s="276"/>
      <c r="E1438" s="276"/>
      <c r="F1438" s="276"/>
      <c r="G1438" s="276"/>
      <c r="H1438" s="276"/>
      <c r="I1438" s="276"/>
      <c r="J1438" s="276"/>
      <c r="K1438" s="276"/>
      <c r="L1438" s="276"/>
    </row>
    <row r="1439" spans="1:12" ht="12.75" customHeight="1" x14ac:dyDescent="0.3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</row>
    <row r="1440" spans="1:12" ht="18.75" x14ac:dyDescent="0.3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</row>
    <row r="1441" spans="1:12" ht="15" x14ac:dyDescent="0.25">
      <c r="A1441" s="1"/>
      <c r="B1441" s="1"/>
    </row>
    <row r="1442" spans="1:12" ht="15" x14ac:dyDescent="0.25">
      <c r="A1442" s="1" t="s">
        <v>7</v>
      </c>
      <c r="B1442" s="1"/>
    </row>
    <row r="1443" spans="1:12" ht="15" x14ac:dyDescent="0.25">
      <c r="A1443" s="1"/>
      <c r="B1443" s="1"/>
    </row>
    <row r="1444" spans="1:12" ht="15" x14ac:dyDescent="0.25">
      <c r="A1444" s="1" t="s">
        <v>8</v>
      </c>
      <c r="C1444" s="9" t="s">
        <v>1</v>
      </c>
      <c r="D1444" s="126" t="s">
        <v>64</v>
      </c>
      <c r="E1444" s="76"/>
      <c r="F1444" s="76"/>
      <c r="G1444" s="76"/>
      <c r="H1444" s="76"/>
    </row>
    <row r="1445" spans="1:12" ht="15" x14ac:dyDescent="0.25">
      <c r="A1445" s="1" t="s">
        <v>9</v>
      </c>
      <c r="C1445" s="9" t="s">
        <v>1</v>
      </c>
      <c r="D1445" s="119" t="s">
        <v>236</v>
      </c>
      <c r="E1445" s="76"/>
      <c r="F1445" s="76"/>
      <c r="G1445" s="76"/>
      <c r="H1445" s="76"/>
    </row>
    <row r="1446" spans="1:12" ht="21" customHeight="1" x14ac:dyDescent="0.2">
      <c r="A1446" s="50" t="s">
        <v>10</v>
      </c>
      <c r="B1446" s="76"/>
      <c r="C1446" s="91" t="s">
        <v>1</v>
      </c>
      <c r="D1446" s="124" t="s">
        <v>235</v>
      </c>
      <c r="E1446" s="76"/>
      <c r="F1446" s="76"/>
      <c r="G1446" s="76"/>
      <c r="H1446" s="76"/>
      <c r="I1446" s="76"/>
      <c r="J1446" s="76"/>
      <c r="K1446" s="76"/>
      <c r="L1446" s="76"/>
    </row>
    <row r="1447" spans="1:12" ht="30" customHeight="1" x14ac:dyDescent="0.25">
      <c r="A1447" s="1"/>
      <c r="B1447" s="1"/>
      <c r="D1447" s="1"/>
    </row>
    <row r="1448" spans="1:12" ht="29.25" customHeight="1" x14ac:dyDescent="0.2">
      <c r="A1448" s="277" t="s">
        <v>258</v>
      </c>
      <c r="B1448" s="277"/>
      <c r="C1448" s="277"/>
      <c r="D1448" s="277"/>
      <c r="E1448" s="277"/>
      <c r="F1448" s="277"/>
      <c r="G1448" s="277"/>
      <c r="H1448" s="277"/>
      <c r="I1448" s="277"/>
      <c r="J1448" s="277"/>
      <c r="K1448" s="277"/>
      <c r="L1448" s="277"/>
    </row>
    <row r="1449" spans="1:12" ht="21" customHeight="1" x14ac:dyDescent="0.25">
      <c r="A1449" s="1"/>
      <c r="B1449" s="1"/>
    </row>
    <row r="1450" spans="1:12" ht="33" customHeight="1" thickBot="1" x14ac:dyDescent="0.25">
      <c r="A1450" s="10" t="s">
        <v>0</v>
      </c>
      <c r="B1450" s="278" t="s">
        <v>91</v>
      </c>
      <c r="C1450" s="278"/>
      <c r="D1450" s="278"/>
      <c r="E1450" s="278"/>
      <c r="F1450" s="278"/>
      <c r="G1450" s="278"/>
      <c r="H1450" s="278"/>
      <c r="I1450" s="278"/>
      <c r="J1450" s="278"/>
      <c r="K1450" s="278"/>
      <c r="L1450" s="278"/>
    </row>
    <row r="1451" spans="1:12" ht="21.75" customHeight="1" thickTop="1" x14ac:dyDescent="0.25">
      <c r="A1451" s="1"/>
      <c r="B1451" s="11" t="s">
        <v>3</v>
      </c>
      <c r="C1451" s="12" t="s">
        <v>4</v>
      </c>
      <c r="D1451" s="13"/>
      <c r="E1451" s="13"/>
      <c r="F1451" s="13"/>
      <c r="G1451" s="13"/>
      <c r="H1451" s="14"/>
      <c r="I1451" s="15" t="s">
        <v>5</v>
      </c>
      <c r="J1451" s="12" t="s">
        <v>17</v>
      </c>
      <c r="K1451" s="13"/>
      <c r="L1451" s="14"/>
    </row>
    <row r="1452" spans="1:12" ht="29.25" customHeight="1" x14ac:dyDescent="0.2">
      <c r="A1452" s="50"/>
      <c r="B1452" s="100">
        <v>1</v>
      </c>
      <c r="C1452" s="284" t="s">
        <v>230</v>
      </c>
      <c r="D1452" s="285"/>
      <c r="E1452" s="285"/>
      <c r="F1452" s="285"/>
      <c r="G1452" s="76"/>
      <c r="H1452" s="79"/>
      <c r="I1452" s="56">
        <v>250000</v>
      </c>
      <c r="J1452" s="76"/>
      <c r="K1452" s="76"/>
      <c r="L1452" s="79"/>
    </row>
    <row r="1453" spans="1:12" ht="24" customHeight="1" x14ac:dyDescent="0.25">
      <c r="A1453" s="50"/>
      <c r="B1453" s="96">
        <v>2</v>
      </c>
      <c r="C1453" s="321" t="s">
        <v>238</v>
      </c>
      <c r="D1453" s="297"/>
      <c r="E1453" s="127">
        <v>622000</v>
      </c>
      <c r="F1453" s="319" t="s">
        <v>239</v>
      </c>
      <c r="G1453" s="297"/>
      <c r="H1453" s="320"/>
      <c r="I1453" s="56">
        <f>E1453*30/100</f>
        <v>186600</v>
      </c>
      <c r="J1453" s="50" t="s">
        <v>240</v>
      </c>
      <c r="K1453" s="1"/>
      <c r="L1453" s="17"/>
    </row>
    <row r="1454" spans="1:12" ht="12.75" x14ac:dyDescent="0.2">
      <c r="B1454" s="16"/>
      <c r="H1454" s="17"/>
      <c r="I1454" s="19"/>
      <c r="L1454" s="17"/>
    </row>
    <row r="1455" spans="1:12" ht="33.75" customHeight="1" x14ac:dyDescent="0.2">
      <c r="B1455" s="20"/>
      <c r="C1455" s="21"/>
      <c r="D1455" s="21"/>
      <c r="E1455" s="21"/>
      <c r="F1455" s="21"/>
      <c r="G1455" s="21"/>
      <c r="H1455" s="22"/>
      <c r="I1455" s="23"/>
      <c r="J1455" s="21"/>
      <c r="K1455" s="21"/>
      <c r="L1455" s="22"/>
    </row>
    <row r="1456" spans="1:12" ht="18" customHeight="1" x14ac:dyDescent="0.25">
      <c r="A1456" s="1"/>
      <c r="B1456" s="39"/>
      <c r="C1456" s="1"/>
      <c r="D1456" s="1"/>
      <c r="E1456" s="1"/>
      <c r="F1456" s="40" t="s">
        <v>5</v>
      </c>
      <c r="G1456" s="40"/>
      <c r="H1456" s="1"/>
      <c r="I1456" s="41">
        <f>SUM(I1452:I1453)</f>
        <v>436600</v>
      </c>
      <c r="J1456" s="1"/>
      <c r="K1456" s="1"/>
      <c r="L1456" s="42"/>
    </row>
    <row r="1457" spans="1:12" ht="5.25" customHeight="1" thickBot="1" x14ac:dyDescent="0.3">
      <c r="A1457" s="1"/>
      <c r="B1457" s="43"/>
      <c r="C1457" s="44"/>
      <c r="D1457" s="44"/>
      <c r="E1457" s="44"/>
      <c r="F1457" s="45"/>
      <c r="G1457" s="45"/>
      <c r="H1457" s="44"/>
      <c r="I1457" s="46"/>
      <c r="J1457" s="44"/>
      <c r="K1457" s="44"/>
      <c r="L1457" s="47"/>
    </row>
    <row r="1458" spans="1:12" ht="23.25" customHeight="1" thickTop="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ht="45" customHeight="1" x14ac:dyDescent="0.2">
      <c r="A1459" s="10" t="s">
        <v>2</v>
      </c>
      <c r="B1459" s="279" t="s">
        <v>11</v>
      </c>
      <c r="C1459" s="279"/>
      <c r="D1459" s="279"/>
      <c r="E1459" s="279"/>
      <c r="F1459" s="279"/>
      <c r="G1459" s="279"/>
      <c r="H1459" s="279"/>
      <c r="I1459" s="279"/>
      <c r="J1459" s="279"/>
      <c r="K1459" s="279"/>
      <c r="L1459" s="279"/>
    </row>
    <row r="1460" spans="1:12" ht="15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ht="18" customHeight="1" x14ac:dyDescent="0.2">
      <c r="A1461" s="280" t="s">
        <v>12</v>
      </c>
      <c r="B1461" s="280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</row>
    <row r="1462" spans="1:12" ht="21" customHeight="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ht="14.25" customHeight="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ht="16.5" customHeight="1" x14ac:dyDescent="0.25">
      <c r="A1464" s="1"/>
      <c r="B1464" s="1"/>
      <c r="C1464" s="1"/>
      <c r="D1464" s="1"/>
      <c r="E1464" s="1"/>
      <c r="F1464" s="1"/>
      <c r="G1464" s="1"/>
      <c r="H1464" s="4" t="s">
        <v>199</v>
      </c>
      <c r="J1464" s="286" t="s">
        <v>254</v>
      </c>
      <c r="K1464" s="286"/>
      <c r="L1464" s="286"/>
    </row>
    <row r="1465" spans="1:12" ht="15" x14ac:dyDescent="0.25">
      <c r="A1465" s="1"/>
      <c r="B1465" s="1" t="s">
        <v>15</v>
      </c>
      <c r="C1465" s="1"/>
      <c r="D1465" s="1"/>
      <c r="E1465" s="1"/>
      <c r="F1465" s="1"/>
      <c r="G1465" s="1"/>
      <c r="H1465" s="4" t="s">
        <v>13</v>
      </c>
    </row>
    <row r="1466" spans="1:12" ht="15" x14ac:dyDescent="0.25">
      <c r="A1466" s="1"/>
      <c r="B1466" s="1" t="s">
        <v>18</v>
      </c>
      <c r="C1466" s="1"/>
      <c r="D1466" s="1"/>
      <c r="E1466" s="1"/>
      <c r="F1466" s="1"/>
      <c r="G1466" s="1"/>
      <c r="H1466" s="4" t="s">
        <v>14</v>
      </c>
    </row>
    <row r="1467" spans="1:12" ht="1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ht="12.75" customHeight="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ht="15" x14ac:dyDescent="0.25">
      <c r="A1469" s="1"/>
      <c r="B1469" s="103"/>
      <c r="C1469" s="103"/>
      <c r="D1469" s="103"/>
      <c r="E1469" s="103"/>
      <c r="F1469" s="103"/>
      <c r="G1469" s="103"/>
      <c r="H1469" s="103"/>
      <c r="I1469" s="103"/>
      <c r="J1469" s="103"/>
      <c r="K1469" s="103"/>
      <c r="L1469" s="1"/>
    </row>
    <row r="1470" spans="1:12" ht="15" x14ac:dyDescent="0.25">
      <c r="A1470" s="1"/>
      <c r="K1470" s="103"/>
      <c r="L1470" s="1"/>
    </row>
    <row r="1471" spans="1:12" ht="15" x14ac:dyDescent="0.25">
      <c r="A1471" s="1"/>
      <c r="B1471" s="95" t="s">
        <v>77</v>
      </c>
      <c r="H1471" s="95" t="s">
        <v>64</v>
      </c>
      <c r="I1471" s="95"/>
      <c r="J1471" s="92"/>
      <c r="K1471" s="103"/>
      <c r="L1471" s="1"/>
    </row>
    <row r="1472" spans="1:12" ht="25.5" customHeight="1" x14ac:dyDescent="0.25">
      <c r="A1472" s="1"/>
      <c r="B1472" s="99" t="s">
        <v>27</v>
      </c>
      <c r="C1472" s="57"/>
      <c r="H1472" s="99" t="s">
        <v>46</v>
      </c>
      <c r="K1472" s="103"/>
    </row>
    <row r="1473" spans="1:12" ht="18" customHeight="1" x14ac:dyDescent="0.2"/>
    <row r="1474" spans="1:12" ht="15" customHeight="1" x14ac:dyDescent="0.2"/>
    <row r="1475" spans="1:12" ht="13.5" customHeight="1" x14ac:dyDescent="0.2"/>
    <row r="1476" spans="1:12" ht="12.75" customHeight="1" x14ac:dyDescent="0.2"/>
    <row r="1477" spans="1:12" ht="12.75" x14ac:dyDescent="0.2"/>
    <row r="1478" spans="1:12" ht="12.75" x14ac:dyDescent="0.2"/>
    <row r="1479" spans="1:12" ht="18" customHeight="1" x14ac:dyDescent="0.25">
      <c r="A1479" s="3" t="s">
        <v>22</v>
      </c>
    </row>
    <row r="1480" spans="1:12" ht="15.75" x14ac:dyDescent="0.2">
      <c r="A1480" s="122" t="s">
        <v>20</v>
      </c>
    </row>
    <row r="1481" spans="1:12" ht="23.25" customHeight="1" x14ac:dyDescent="0.2">
      <c r="A1481" s="122" t="s">
        <v>21</v>
      </c>
    </row>
    <row r="1482" spans="1:12" ht="21.75" customHeight="1" x14ac:dyDescent="0.2"/>
    <row r="1483" spans="1:12" ht="11.25" customHeight="1" x14ac:dyDescent="0.2"/>
    <row r="1484" spans="1:12" ht="12.75" x14ac:dyDescent="0.2"/>
    <row r="1485" spans="1:12" ht="19.5" customHeight="1" x14ac:dyDescent="0.3">
      <c r="A1485" s="276" t="s">
        <v>6</v>
      </c>
      <c r="B1485" s="276"/>
      <c r="C1485" s="276"/>
      <c r="D1485" s="276"/>
      <c r="E1485" s="276"/>
      <c r="F1485" s="276"/>
      <c r="G1485" s="276"/>
      <c r="H1485" s="276"/>
      <c r="I1485" s="276"/>
      <c r="J1485" s="276"/>
      <c r="K1485" s="276"/>
      <c r="L1485" s="276"/>
    </row>
    <row r="1486" spans="1:12" ht="18.75" x14ac:dyDescent="0.3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</row>
    <row r="1487" spans="1:12" ht="18.75" x14ac:dyDescent="0.3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</row>
    <row r="1488" spans="1:12" ht="15" x14ac:dyDescent="0.25">
      <c r="A1488" s="1"/>
      <c r="B1488" s="1"/>
    </row>
    <row r="1489" spans="1:12" ht="15" x14ac:dyDescent="0.25">
      <c r="A1489" s="1" t="s">
        <v>7</v>
      </c>
      <c r="B1489" s="1"/>
    </row>
    <row r="1490" spans="1:12" ht="14.25" customHeight="1" x14ac:dyDescent="0.25">
      <c r="A1490" s="1"/>
      <c r="B1490" s="1"/>
    </row>
    <row r="1491" spans="1:12" ht="15" x14ac:dyDescent="0.25">
      <c r="A1491" s="1" t="s">
        <v>8</v>
      </c>
      <c r="C1491" s="9" t="s">
        <v>1</v>
      </c>
      <c r="D1491" s="92" t="s">
        <v>77</v>
      </c>
      <c r="E1491" s="76"/>
      <c r="F1491" s="76"/>
      <c r="G1491" s="76"/>
      <c r="H1491" s="76"/>
    </row>
    <row r="1492" spans="1:12" ht="15" customHeight="1" x14ac:dyDescent="0.25">
      <c r="A1492" s="1" t="s">
        <v>9</v>
      </c>
      <c r="C1492" s="9" t="s">
        <v>1</v>
      </c>
      <c r="D1492" s="57" t="s">
        <v>201</v>
      </c>
      <c r="E1492" s="76"/>
      <c r="F1492" s="76"/>
      <c r="G1492" s="76"/>
      <c r="H1492" s="76"/>
    </row>
    <row r="1493" spans="1:12" ht="15" x14ac:dyDescent="0.2">
      <c r="A1493" s="50" t="s">
        <v>10</v>
      </c>
      <c r="B1493" s="76"/>
      <c r="C1493" s="91" t="s">
        <v>1</v>
      </c>
      <c r="D1493" s="314" t="s">
        <v>233</v>
      </c>
      <c r="E1493" s="314"/>
      <c r="F1493" s="314"/>
      <c r="G1493" s="314"/>
      <c r="H1493" s="314"/>
      <c r="I1493" s="76"/>
      <c r="J1493" s="76"/>
      <c r="K1493" s="76"/>
      <c r="L1493" s="76"/>
    </row>
    <row r="1494" spans="1:12" ht="15" x14ac:dyDescent="0.25">
      <c r="A1494" s="1"/>
      <c r="B1494" s="1"/>
      <c r="D1494" s="1"/>
    </row>
    <row r="1495" spans="1:12" ht="33" customHeight="1" x14ac:dyDescent="0.2">
      <c r="A1495" s="277" t="s">
        <v>258</v>
      </c>
      <c r="B1495" s="277"/>
      <c r="C1495" s="277"/>
      <c r="D1495" s="277"/>
      <c r="E1495" s="277"/>
      <c r="F1495" s="277"/>
      <c r="G1495" s="277"/>
      <c r="H1495" s="277"/>
      <c r="I1495" s="277"/>
      <c r="J1495" s="277"/>
      <c r="K1495" s="277"/>
      <c r="L1495" s="277"/>
    </row>
    <row r="1496" spans="1:12" ht="15" x14ac:dyDescent="0.25">
      <c r="A1496" s="1"/>
      <c r="B1496" s="1"/>
    </row>
    <row r="1497" spans="1:12" ht="34.5" customHeight="1" thickBot="1" x14ac:dyDescent="0.25">
      <c r="A1497" s="10" t="s">
        <v>0</v>
      </c>
      <c r="B1497" s="278" t="s">
        <v>91</v>
      </c>
      <c r="C1497" s="278"/>
      <c r="D1497" s="278"/>
      <c r="E1497" s="278"/>
      <c r="F1497" s="278"/>
      <c r="G1497" s="278"/>
      <c r="H1497" s="278"/>
      <c r="I1497" s="278"/>
      <c r="J1497" s="278"/>
      <c r="K1497" s="278"/>
      <c r="L1497" s="278"/>
    </row>
    <row r="1498" spans="1:12" ht="15.75" thickTop="1" x14ac:dyDescent="0.25">
      <c r="A1498" s="1"/>
      <c r="B1498" s="11" t="s">
        <v>3</v>
      </c>
      <c r="C1498" s="12" t="s">
        <v>4</v>
      </c>
      <c r="D1498" s="13"/>
      <c r="E1498" s="13"/>
      <c r="F1498" s="13"/>
      <c r="G1498" s="13"/>
      <c r="H1498" s="14"/>
      <c r="I1498" s="15" t="s">
        <v>5</v>
      </c>
      <c r="J1498" s="12" t="s">
        <v>17</v>
      </c>
      <c r="K1498" s="13"/>
      <c r="L1498" s="14"/>
    </row>
    <row r="1499" spans="1:12" ht="36" customHeight="1" x14ac:dyDescent="0.2">
      <c r="A1499" s="50"/>
      <c r="B1499" s="100">
        <v>1</v>
      </c>
      <c r="C1499" s="284" t="s">
        <v>230</v>
      </c>
      <c r="D1499" s="285"/>
      <c r="E1499" s="285"/>
      <c r="F1499" s="285"/>
      <c r="G1499" s="76"/>
      <c r="H1499" s="79"/>
      <c r="I1499" s="56">
        <v>250000</v>
      </c>
      <c r="J1499" s="76"/>
      <c r="K1499" s="76"/>
      <c r="L1499" s="79"/>
    </row>
    <row r="1500" spans="1:12" ht="15" x14ac:dyDescent="0.25">
      <c r="A1500" s="50"/>
      <c r="B1500" s="96"/>
      <c r="C1500" s="321"/>
      <c r="D1500" s="297"/>
      <c r="E1500" s="127"/>
      <c r="F1500" s="319"/>
      <c r="G1500" s="297"/>
      <c r="H1500" s="320"/>
      <c r="I1500" s="56"/>
      <c r="J1500" s="50"/>
      <c r="K1500" s="1"/>
      <c r="L1500" s="17"/>
    </row>
    <row r="1501" spans="1:12" ht="12.75" x14ac:dyDescent="0.2">
      <c r="B1501" s="16"/>
      <c r="H1501" s="17"/>
      <c r="I1501" s="19"/>
      <c r="L1501" s="17"/>
    </row>
    <row r="1502" spans="1:12" ht="12.75" x14ac:dyDescent="0.2">
      <c r="B1502" s="20"/>
      <c r="C1502" s="21"/>
      <c r="D1502" s="21"/>
      <c r="E1502" s="21"/>
      <c r="F1502" s="21"/>
      <c r="G1502" s="21"/>
      <c r="H1502" s="22"/>
      <c r="I1502" s="23"/>
      <c r="J1502" s="21"/>
      <c r="K1502" s="21"/>
      <c r="L1502" s="22"/>
    </row>
    <row r="1503" spans="1:12" ht="15" x14ac:dyDescent="0.25">
      <c r="A1503" s="1"/>
      <c r="B1503" s="39"/>
      <c r="C1503" s="1"/>
      <c r="D1503" s="1"/>
      <c r="E1503" s="1"/>
      <c r="F1503" s="40" t="s">
        <v>5</v>
      </c>
      <c r="G1503" s="40"/>
      <c r="H1503" s="1"/>
      <c r="I1503" s="41">
        <f>SUM(I1499:I1500)</f>
        <v>250000</v>
      </c>
      <c r="J1503" s="1"/>
      <c r="K1503" s="1"/>
      <c r="L1503" s="42"/>
    </row>
    <row r="1504" spans="1:12" ht="15.75" thickBot="1" x14ac:dyDescent="0.3">
      <c r="A1504" s="1"/>
      <c r="B1504" s="43"/>
      <c r="C1504" s="44"/>
      <c r="D1504" s="44"/>
      <c r="E1504" s="44"/>
      <c r="F1504" s="45"/>
      <c r="G1504" s="45"/>
      <c r="H1504" s="44"/>
      <c r="I1504" s="46"/>
      <c r="J1504" s="44"/>
      <c r="K1504" s="44"/>
      <c r="L1504" s="47"/>
    </row>
    <row r="1505" spans="1:12" ht="12.75" customHeight="1" thickTop="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 ht="50.25" customHeight="1" x14ac:dyDescent="0.2">
      <c r="A1506" s="10" t="s">
        <v>2</v>
      </c>
      <c r="B1506" s="279" t="s">
        <v>11</v>
      </c>
      <c r="C1506" s="279"/>
      <c r="D1506" s="279"/>
      <c r="E1506" s="279"/>
      <c r="F1506" s="279"/>
      <c r="G1506" s="279"/>
      <c r="H1506" s="279"/>
      <c r="I1506" s="279"/>
      <c r="J1506" s="279"/>
      <c r="K1506" s="279"/>
      <c r="L1506" s="279"/>
    </row>
    <row r="1507" spans="1:12" ht="21" customHeight="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 ht="18" customHeight="1" x14ac:dyDescent="0.2">
      <c r="A1508" s="280" t="s">
        <v>12</v>
      </c>
      <c r="B1508" s="280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</row>
    <row r="1509" spans="1:12" ht="14.25" customHeight="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ht="17.25" customHeight="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ht="17.25" customHeight="1" x14ac:dyDescent="0.25">
      <c r="A1511" s="1"/>
      <c r="B1511" s="1"/>
      <c r="C1511" s="1"/>
      <c r="D1511" s="1"/>
      <c r="E1511" s="1"/>
      <c r="F1511" s="1"/>
      <c r="G1511" s="1"/>
      <c r="H1511" s="4" t="s">
        <v>199</v>
      </c>
      <c r="J1511" s="286" t="s">
        <v>254</v>
      </c>
      <c r="K1511" s="286"/>
      <c r="L1511" s="286"/>
    </row>
    <row r="1512" spans="1:12" ht="12.75" customHeight="1" x14ac:dyDescent="0.25">
      <c r="A1512" s="1"/>
      <c r="B1512" s="1" t="s">
        <v>15</v>
      </c>
      <c r="C1512" s="1"/>
      <c r="D1512" s="1"/>
      <c r="E1512" s="1"/>
      <c r="F1512" s="1"/>
      <c r="G1512" s="1"/>
      <c r="H1512" s="4" t="s">
        <v>13</v>
      </c>
    </row>
    <row r="1513" spans="1:12" ht="18.75" customHeight="1" x14ac:dyDescent="0.25">
      <c r="A1513" s="1"/>
      <c r="B1513" s="1" t="s">
        <v>18</v>
      </c>
      <c r="C1513" s="1"/>
      <c r="D1513" s="1"/>
      <c r="E1513" s="1"/>
      <c r="F1513" s="1"/>
      <c r="G1513" s="1"/>
      <c r="H1513" s="4" t="s">
        <v>14</v>
      </c>
    </row>
    <row r="1514" spans="1:12" ht="15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ht="13.5" customHeight="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ht="7.5" customHeight="1" x14ac:dyDescent="0.25">
      <c r="A1516" s="1"/>
      <c r="B1516" s="103"/>
      <c r="C1516" s="103"/>
      <c r="D1516" s="103"/>
      <c r="E1516" s="103"/>
      <c r="F1516" s="103"/>
      <c r="G1516" s="103"/>
      <c r="H1516" s="103"/>
      <c r="I1516" s="103"/>
      <c r="J1516" s="103"/>
      <c r="K1516" s="103"/>
      <c r="L1516" s="1"/>
    </row>
    <row r="1517" spans="1:12" ht="35.25" customHeight="1" x14ac:dyDescent="0.25">
      <c r="A1517" s="1"/>
      <c r="K1517" s="103"/>
      <c r="L1517" s="1"/>
    </row>
    <row r="1518" spans="1:12" ht="15" x14ac:dyDescent="0.25">
      <c r="A1518" s="1"/>
      <c r="B1518" s="95" t="s">
        <v>77</v>
      </c>
      <c r="H1518" s="95" t="s">
        <v>77</v>
      </c>
      <c r="I1518" s="95"/>
      <c r="J1518" s="92"/>
      <c r="K1518" s="103"/>
      <c r="L1518" s="1"/>
    </row>
    <row r="1519" spans="1:12" ht="19.5" customHeight="1" x14ac:dyDescent="0.25">
      <c r="A1519" s="1"/>
      <c r="B1519" s="99" t="s">
        <v>27</v>
      </c>
      <c r="C1519" s="57"/>
      <c r="H1519" s="99" t="s">
        <v>27</v>
      </c>
      <c r="K1519" s="103"/>
    </row>
    <row r="1520" spans="1:12" ht="12.75" x14ac:dyDescent="0.2"/>
    <row r="1521" spans="1:12" ht="18.75" customHeight="1" x14ac:dyDescent="0.2"/>
    <row r="1522" spans="1:12" ht="21" customHeight="1" x14ac:dyDescent="0.2"/>
    <row r="1523" spans="1:12" ht="23.25" customHeight="1" x14ac:dyDescent="0.2"/>
    <row r="1524" spans="1:12" ht="15.75" x14ac:dyDescent="0.25">
      <c r="A1524" s="3" t="s">
        <v>22</v>
      </c>
    </row>
    <row r="1525" spans="1:12" ht="15.75" x14ac:dyDescent="0.2">
      <c r="A1525" s="122" t="s">
        <v>20</v>
      </c>
    </row>
    <row r="1526" spans="1:12" ht="15.75" x14ac:dyDescent="0.2">
      <c r="A1526" s="122" t="s">
        <v>21</v>
      </c>
    </row>
    <row r="1527" spans="1:12" ht="12.75" x14ac:dyDescent="0.2"/>
    <row r="1528" spans="1:12" ht="12.75" x14ac:dyDescent="0.2"/>
    <row r="1529" spans="1:12" ht="12.75" x14ac:dyDescent="0.2"/>
    <row r="1530" spans="1:12" ht="15" customHeight="1" x14ac:dyDescent="0.3">
      <c r="A1530" s="276" t="s">
        <v>6</v>
      </c>
      <c r="B1530" s="276"/>
      <c r="C1530" s="276"/>
      <c r="D1530" s="276"/>
      <c r="E1530" s="276"/>
      <c r="F1530" s="276"/>
      <c r="G1530" s="276"/>
      <c r="H1530" s="276"/>
      <c r="I1530" s="276"/>
      <c r="J1530" s="276"/>
      <c r="K1530" s="276"/>
      <c r="L1530" s="276"/>
    </row>
    <row r="1531" spans="1:12" ht="15.75" customHeight="1" x14ac:dyDescent="0.3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</row>
    <row r="1532" spans="1:12" ht="18.75" x14ac:dyDescent="0.3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</row>
    <row r="1533" spans="1:12" ht="6" customHeight="1" x14ac:dyDescent="0.25">
      <c r="A1533" s="1"/>
      <c r="B1533" s="1"/>
    </row>
    <row r="1534" spans="1:12" ht="15" x14ac:dyDescent="0.25">
      <c r="A1534" s="1" t="s">
        <v>7</v>
      </c>
      <c r="B1534" s="1"/>
    </row>
    <row r="1535" spans="1:12" ht="14.25" customHeight="1" x14ac:dyDescent="0.25">
      <c r="A1535" s="1"/>
      <c r="B1535" s="1"/>
    </row>
    <row r="1536" spans="1:12" ht="15" x14ac:dyDescent="0.25">
      <c r="A1536" s="1" t="s">
        <v>8</v>
      </c>
      <c r="C1536" s="9" t="s">
        <v>1</v>
      </c>
      <c r="D1536" s="92" t="s">
        <v>96</v>
      </c>
      <c r="E1536" s="76"/>
      <c r="F1536" s="76"/>
      <c r="G1536" s="76"/>
      <c r="H1536" s="76"/>
    </row>
    <row r="1537" spans="1:12" ht="18" customHeight="1" x14ac:dyDescent="0.25">
      <c r="A1537" s="1" t="s">
        <v>9</v>
      </c>
      <c r="C1537" s="9" t="s">
        <v>1</v>
      </c>
      <c r="D1537" s="57" t="s">
        <v>200</v>
      </c>
      <c r="E1537" s="76"/>
      <c r="F1537" s="76"/>
      <c r="G1537" s="76"/>
      <c r="H1537" s="76"/>
    </row>
    <row r="1538" spans="1:12" ht="14.25" customHeight="1" x14ac:dyDescent="0.2">
      <c r="A1538" s="50" t="s">
        <v>10</v>
      </c>
      <c r="B1538" s="76"/>
      <c r="C1538" s="91" t="s">
        <v>1</v>
      </c>
      <c r="D1538" s="50" t="s">
        <v>203</v>
      </c>
      <c r="E1538" s="76"/>
      <c r="F1538" s="76"/>
      <c r="G1538" s="76"/>
      <c r="H1538" s="76"/>
      <c r="I1538" s="76"/>
      <c r="J1538" s="76"/>
      <c r="K1538" s="76"/>
      <c r="L1538" s="76"/>
    </row>
    <row r="1539" spans="1:12" ht="18.75" customHeight="1" x14ac:dyDescent="0.25">
      <c r="A1539" s="1"/>
      <c r="B1539" s="1"/>
      <c r="D1539" s="1"/>
    </row>
    <row r="1540" spans="1:12" ht="33.75" customHeight="1" x14ac:dyDescent="0.2">
      <c r="A1540" s="277" t="s">
        <v>258</v>
      </c>
      <c r="B1540" s="277"/>
      <c r="C1540" s="277"/>
      <c r="D1540" s="277"/>
      <c r="E1540" s="277"/>
      <c r="F1540" s="277"/>
      <c r="G1540" s="277"/>
      <c r="H1540" s="277"/>
      <c r="I1540" s="277"/>
      <c r="J1540" s="277"/>
      <c r="K1540" s="277"/>
      <c r="L1540" s="277"/>
    </row>
    <row r="1541" spans="1:12" ht="18.75" customHeight="1" x14ac:dyDescent="0.25">
      <c r="A1541" s="1"/>
      <c r="B1541" s="1"/>
    </row>
    <row r="1542" spans="1:12" ht="35.25" customHeight="1" thickBot="1" x14ac:dyDescent="0.25">
      <c r="A1542" s="10" t="s">
        <v>0</v>
      </c>
      <c r="B1542" s="278" t="s">
        <v>91</v>
      </c>
      <c r="C1542" s="278"/>
      <c r="D1542" s="278"/>
      <c r="E1542" s="278"/>
      <c r="F1542" s="278"/>
      <c r="G1542" s="278"/>
      <c r="H1542" s="278"/>
      <c r="I1542" s="278"/>
      <c r="J1542" s="278"/>
      <c r="K1542" s="278"/>
      <c r="L1542" s="278"/>
    </row>
    <row r="1543" spans="1:12" ht="32.25" customHeight="1" thickTop="1" x14ac:dyDescent="0.25">
      <c r="A1543" s="1"/>
      <c r="B1543" s="11" t="s">
        <v>3</v>
      </c>
      <c r="C1543" s="12" t="s">
        <v>4</v>
      </c>
      <c r="D1543" s="13"/>
      <c r="E1543" s="13"/>
      <c r="F1543" s="13"/>
      <c r="G1543" s="13"/>
      <c r="H1543" s="14"/>
      <c r="I1543" s="15" t="s">
        <v>5</v>
      </c>
      <c r="J1543" s="12" t="s">
        <v>17</v>
      </c>
      <c r="K1543" s="13"/>
      <c r="L1543" s="14"/>
    </row>
    <row r="1544" spans="1:12" ht="23.25" customHeight="1" x14ac:dyDescent="0.2">
      <c r="A1544" s="50"/>
      <c r="B1544" s="100">
        <v>1</v>
      </c>
      <c r="C1544" s="284" t="s">
        <v>230</v>
      </c>
      <c r="D1544" s="285"/>
      <c r="E1544" s="285"/>
      <c r="F1544" s="285"/>
      <c r="G1544" s="76"/>
      <c r="H1544" s="79"/>
      <c r="I1544" s="56">
        <v>250000</v>
      </c>
      <c r="J1544" s="76"/>
      <c r="K1544" s="76"/>
      <c r="L1544" s="79"/>
    </row>
    <row r="1545" spans="1:12" ht="15" x14ac:dyDescent="0.25">
      <c r="A1545" s="50"/>
      <c r="B1545" s="96"/>
      <c r="C1545" s="321"/>
      <c r="D1545" s="297"/>
      <c r="E1545" s="127"/>
      <c r="F1545" s="319"/>
      <c r="G1545" s="297"/>
      <c r="H1545" s="320"/>
      <c r="I1545" s="56"/>
      <c r="J1545" s="50"/>
      <c r="K1545" s="1"/>
      <c r="L1545" s="17"/>
    </row>
    <row r="1546" spans="1:12" ht="30.75" customHeight="1" x14ac:dyDescent="0.2">
      <c r="B1546" s="16"/>
      <c r="H1546" s="17"/>
      <c r="I1546" s="19"/>
      <c r="L1546" s="17"/>
    </row>
    <row r="1547" spans="1:12" ht="12.75" x14ac:dyDescent="0.2">
      <c r="B1547" s="20"/>
      <c r="C1547" s="21"/>
      <c r="D1547" s="21"/>
      <c r="E1547" s="21"/>
      <c r="F1547" s="21"/>
      <c r="G1547" s="21"/>
      <c r="H1547" s="22"/>
      <c r="I1547" s="23"/>
      <c r="J1547" s="21"/>
      <c r="K1547" s="21"/>
      <c r="L1547" s="22"/>
    </row>
    <row r="1548" spans="1:12" ht="15" customHeight="1" x14ac:dyDescent="0.25">
      <c r="A1548" s="1"/>
      <c r="B1548" s="39"/>
      <c r="C1548" s="1"/>
      <c r="D1548" s="1"/>
      <c r="E1548" s="1"/>
      <c r="F1548" s="40" t="s">
        <v>5</v>
      </c>
      <c r="G1548" s="40"/>
      <c r="H1548" s="1"/>
      <c r="I1548" s="41">
        <f>SUM(I1544:I1545)</f>
        <v>250000</v>
      </c>
      <c r="J1548" s="1"/>
      <c r="K1548" s="1"/>
      <c r="L1548" s="42"/>
    </row>
    <row r="1549" spans="1:12" ht="15.75" thickBot="1" x14ac:dyDescent="0.3">
      <c r="A1549" s="1"/>
      <c r="B1549" s="43"/>
      <c r="C1549" s="44"/>
      <c r="D1549" s="44"/>
      <c r="E1549" s="44"/>
      <c r="F1549" s="45"/>
      <c r="G1549" s="45"/>
      <c r="H1549" s="44"/>
      <c r="I1549" s="46"/>
      <c r="J1549" s="44"/>
      <c r="K1549" s="44"/>
      <c r="L1549" s="47"/>
    </row>
    <row r="1550" spans="1:12" ht="15.75" thickTop="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 ht="45.75" customHeight="1" x14ac:dyDescent="0.2">
      <c r="A1551" s="10" t="s">
        <v>2</v>
      </c>
      <c r="B1551" s="279" t="s">
        <v>11</v>
      </c>
      <c r="C1551" s="279"/>
      <c r="D1551" s="279"/>
      <c r="E1551" s="279"/>
      <c r="F1551" s="279"/>
      <c r="G1551" s="279"/>
      <c r="H1551" s="279"/>
      <c r="I1551" s="279"/>
      <c r="J1551" s="279"/>
      <c r="K1551" s="279"/>
      <c r="L1551" s="279"/>
    </row>
    <row r="1552" spans="1:12" ht="15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 ht="19.5" customHeight="1" x14ac:dyDescent="0.2">
      <c r="A1553" s="280" t="s">
        <v>12</v>
      </c>
      <c r="B1553" s="280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</row>
    <row r="1554" spans="1:12" ht="15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 ht="15.75" customHeight="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 ht="15" x14ac:dyDescent="0.25">
      <c r="A1556" s="1"/>
      <c r="B1556" s="1"/>
      <c r="C1556" s="1"/>
      <c r="D1556" s="1"/>
      <c r="E1556" s="1"/>
      <c r="F1556" s="1"/>
      <c r="G1556" s="1"/>
      <c r="H1556" s="4" t="s">
        <v>199</v>
      </c>
      <c r="J1556" s="286" t="s">
        <v>254</v>
      </c>
      <c r="K1556" s="286"/>
      <c r="L1556" s="286"/>
    </row>
    <row r="1557" spans="1:12" ht="12" customHeight="1" x14ac:dyDescent="0.25">
      <c r="A1557" s="1"/>
      <c r="B1557" s="1" t="s">
        <v>15</v>
      </c>
      <c r="C1557" s="1"/>
      <c r="D1557" s="1"/>
      <c r="E1557" s="1"/>
      <c r="F1557" s="1"/>
      <c r="G1557" s="1"/>
      <c r="H1557" s="4" t="s">
        <v>13</v>
      </c>
    </row>
    <row r="1558" spans="1:12" ht="15" x14ac:dyDescent="0.25">
      <c r="A1558" s="1"/>
      <c r="B1558" s="1" t="s">
        <v>18</v>
      </c>
      <c r="C1558" s="1"/>
      <c r="D1558" s="1"/>
      <c r="E1558" s="1"/>
      <c r="F1558" s="1"/>
      <c r="G1558" s="1"/>
      <c r="H1558" s="4" t="s">
        <v>14</v>
      </c>
    </row>
    <row r="1559" spans="1:12" ht="19.5" customHeight="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 ht="31.5" hidden="1" customHeight="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ht="31.5" customHeight="1" x14ac:dyDescent="0.25">
      <c r="A1561" s="1"/>
      <c r="B1561" s="103"/>
      <c r="C1561" s="103"/>
      <c r="D1561" s="103"/>
      <c r="E1561" s="103"/>
      <c r="F1561" s="103"/>
      <c r="G1561" s="103"/>
      <c r="H1561" s="103"/>
      <c r="I1561" s="103"/>
      <c r="J1561" s="103"/>
      <c r="K1561" s="103"/>
      <c r="L1561" s="1"/>
    </row>
    <row r="1562" spans="1:12" ht="21" customHeight="1" x14ac:dyDescent="0.25">
      <c r="A1562" s="1"/>
      <c r="K1562" s="103"/>
      <c r="L1562" s="1"/>
    </row>
    <row r="1563" spans="1:12" ht="20.25" customHeight="1" x14ac:dyDescent="0.25">
      <c r="A1563" s="1"/>
      <c r="B1563" s="95" t="s">
        <v>77</v>
      </c>
      <c r="H1563" s="95" t="s">
        <v>96</v>
      </c>
      <c r="I1563" s="95"/>
      <c r="J1563" s="92"/>
      <c r="K1563" s="103"/>
      <c r="L1563" s="1"/>
    </row>
    <row r="1564" spans="1:12" ht="15" x14ac:dyDescent="0.25">
      <c r="A1564" s="1"/>
      <c r="B1564" s="99" t="s">
        <v>27</v>
      </c>
      <c r="C1564" s="57"/>
      <c r="H1564" s="99" t="s">
        <v>100</v>
      </c>
      <c r="K1564" s="103"/>
    </row>
    <row r="1565" spans="1:12" ht="12.75" x14ac:dyDescent="0.2"/>
    <row r="1566" spans="1:12" ht="19.5" customHeight="1" x14ac:dyDescent="0.2"/>
    <row r="1567" spans="1:12" ht="21.75" customHeight="1" x14ac:dyDescent="0.2"/>
    <row r="1568" spans="1:12" ht="18.75" customHeight="1" x14ac:dyDescent="0.25">
      <c r="A1568" s="3" t="s">
        <v>22</v>
      </c>
    </row>
    <row r="1569" spans="1:12" ht="21.75" customHeight="1" x14ac:dyDescent="0.2">
      <c r="A1569" s="122" t="s">
        <v>20</v>
      </c>
    </row>
    <row r="1570" spans="1:12" ht="18" customHeight="1" x14ac:dyDescent="0.2">
      <c r="A1570" s="122" t="s">
        <v>21</v>
      </c>
    </row>
    <row r="1571" spans="1:12" ht="19.5" customHeight="1" x14ac:dyDescent="0.2"/>
    <row r="1572" spans="1:12" ht="12.75" x14ac:dyDescent="0.2"/>
    <row r="1573" spans="1:12" ht="12.75" x14ac:dyDescent="0.2"/>
    <row r="1574" spans="1:12" ht="18.75" x14ac:dyDescent="0.3">
      <c r="A1574" s="276" t="s">
        <v>6</v>
      </c>
      <c r="B1574" s="276"/>
      <c r="C1574" s="276"/>
      <c r="D1574" s="276"/>
      <c r="E1574" s="276"/>
      <c r="F1574" s="276"/>
      <c r="G1574" s="276"/>
      <c r="H1574" s="276"/>
      <c r="I1574" s="276"/>
      <c r="J1574" s="276"/>
      <c r="K1574" s="276"/>
      <c r="L1574" s="276"/>
    </row>
    <row r="1575" spans="1:12" ht="18.75" x14ac:dyDescent="0.3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</row>
    <row r="1576" spans="1:12" ht="18.75" x14ac:dyDescent="0.3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</row>
    <row r="1577" spans="1:12" ht="14.25" customHeight="1" x14ac:dyDescent="0.25">
      <c r="A1577" s="1"/>
      <c r="B1577" s="1"/>
    </row>
    <row r="1578" spans="1:12" ht="19.5" customHeight="1" x14ac:dyDescent="0.25">
      <c r="A1578" s="1" t="s">
        <v>7</v>
      </c>
      <c r="B1578" s="1"/>
    </row>
    <row r="1579" spans="1:12" ht="14.25" customHeight="1" x14ac:dyDescent="0.25">
      <c r="A1579" s="1"/>
      <c r="B1579" s="1"/>
    </row>
    <row r="1580" spans="1:12" ht="15" customHeight="1" x14ac:dyDescent="0.25">
      <c r="A1580" s="1" t="s">
        <v>8</v>
      </c>
      <c r="C1580" s="9" t="s">
        <v>1</v>
      </c>
      <c r="D1580" s="126" t="s">
        <v>64</v>
      </c>
      <c r="E1580" s="76"/>
      <c r="F1580" s="76"/>
      <c r="G1580" s="76"/>
      <c r="H1580" s="76"/>
    </row>
    <row r="1581" spans="1:12" ht="17.25" customHeight="1" x14ac:dyDescent="0.25">
      <c r="A1581" s="1" t="s">
        <v>9</v>
      </c>
      <c r="C1581" s="9" t="s">
        <v>1</v>
      </c>
      <c r="D1581" s="119" t="s">
        <v>236</v>
      </c>
      <c r="E1581" s="76"/>
      <c r="F1581" s="76"/>
      <c r="G1581" s="76"/>
      <c r="H1581" s="76"/>
    </row>
    <row r="1582" spans="1:12" ht="21.75" customHeight="1" x14ac:dyDescent="0.2">
      <c r="A1582" s="50" t="s">
        <v>10</v>
      </c>
      <c r="B1582" s="76"/>
      <c r="C1582" s="91" t="s">
        <v>1</v>
      </c>
      <c r="D1582" s="124" t="s">
        <v>235</v>
      </c>
      <c r="E1582" s="76"/>
      <c r="F1582" s="76"/>
      <c r="G1582" s="76"/>
      <c r="H1582" s="76"/>
      <c r="I1582" s="76"/>
      <c r="J1582" s="76"/>
      <c r="K1582" s="76"/>
      <c r="L1582" s="76"/>
    </row>
    <row r="1583" spans="1:12" ht="15" x14ac:dyDescent="0.25">
      <c r="A1583" s="1"/>
      <c r="B1583" s="1"/>
      <c r="D1583" s="1"/>
    </row>
    <row r="1584" spans="1:12" ht="35.25" customHeight="1" x14ac:dyDescent="0.2">
      <c r="A1584" s="277" t="s">
        <v>259</v>
      </c>
      <c r="B1584" s="277"/>
      <c r="C1584" s="277"/>
      <c r="D1584" s="277"/>
      <c r="E1584" s="277"/>
      <c r="F1584" s="277"/>
      <c r="G1584" s="277"/>
      <c r="H1584" s="277"/>
      <c r="I1584" s="277"/>
      <c r="J1584" s="277"/>
      <c r="K1584" s="277"/>
      <c r="L1584" s="277"/>
    </row>
    <row r="1585" spans="1:12" ht="14.25" customHeight="1" x14ac:dyDescent="0.25">
      <c r="A1585" s="1"/>
      <c r="B1585" s="1"/>
    </row>
    <row r="1586" spans="1:12" ht="36.75" customHeight="1" thickBot="1" x14ac:dyDescent="0.25">
      <c r="A1586" s="10" t="s">
        <v>0</v>
      </c>
      <c r="B1586" s="278" t="s">
        <v>91</v>
      </c>
      <c r="C1586" s="278"/>
      <c r="D1586" s="278"/>
      <c r="E1586" s="278"/>
      <c r="F1586" s="278"/>
      <c r="G1586" s="278"/>
      <c r="H1586" s="278"/>
      <c r="I1586" s="278"/>
      <c r="J1586" s="278"/>
      <c r="K1586" s="278"/>
      <c r="L1586" s="278"/>
    </row>
    <row r="1587" spans="1:12" ht="15.75" thickTop="1" x14ac:dyDescent="0.25">
      <c r="A1587" s="1"/>
      <c r="B1587" s="11" t="s">
        <v>3</v>
      </c>
      <c r="C1587" s="12" t="s">
        <v>4</v>
      </c>
      <c r="D1587" s="13"/>
      <c r="E1587" s="13"/>
      <c r="F1587" s="13"/>
      <c r="G1587" s="13"/>
      <c r="H1587" s="14"/>
      <c r="I1587" s="15" t="s">
        <v>5</v>
      </c>
      <c r="J1587" s="12" t="s">
        <v>17</v>
      </c>
      <c r="K1587" s="13"/>
      <c r="L1587" s="14"/>
    </row>
    <row r="1588" spans="1:12" ht="41.25" customHeight="1" x14ac:dyDescent="0.2">
      <c r="A1588" s="50"/>
      <c r="B1588" s="100">
        <v>1</v>
      </c>
      <c r="C1588" s="284" t="s">
        <v>230</v>
      </c>
      <c r="D1588" s="285"/>
      <c r="E1588" s="285"/>
      <c r="F1588" s="285"/>
      <c r="G1588" s="76"/>
      <c r="H1588" s="79"/>
      <c r="I1588" s="56">
        <v>250000</v>
      </c>
      <c r="J1588" s="76"/>
      <c r="K1588" s="76"/>
      <c r="L1588" s="79"/>
    </row>
    <row r="1589" spans="1:12" ht="15" x14ac:dyDescent="0.25">
      <c r="A1589" s="50"/>
      <c r="B1589" s="96"/>
      <c r="C1589" s="321"/>
      <c r="D1589" s="297"/>
      <c r="E1589" s="127"/>
      <c r="F1589" s="319"/>
      <c r="G1589" s="297"/>
      <c r="H1589" s="320"/>
      <c r="I1589" s="56"/>
      <c r="J1589" s="50"/>
      <c r="K1589" s="1"/>
      <c r="L1589" s="17"/>
    </row>
    <row r="1590" spans="1:12" ht="12.75" customHeight="1" x14ac:dyDescent="0.2">
      <c r="B1590" s="16"/>
      <c r="H1590" s="17"/>
      <c r="I1590" s="19"/>
      <c r="L1590" s="17"/>
    </row>
    <row r="1591" spans="1:12" ht="12.75" x14ac:dyDescent="0.2">
      <c r="B1591" s="20"/>
      <c r="C1591" s="21"/>
      <c r="D1591" s="21"/>
      <c r="E1591" s="21"/>
      <c r="F1591" s="21"/>
      <c r="G1591" s="21"/>
      <c r="H1591" s="22"/>
      <c r="I1591" s="23"/>
      <c r="J1591" s="21"/>
      <c r="K1591" s="21"/>
      <c r="L1591" s="22"/>
    </row>
    <row r="1592" spans="1:12" ht="15" x14ac:dyDescent="0.25">
      <c r="A1592" s="1"/>
      <c r="B1592" s="39"/>
      <c r="C1592" s="1"/>
      <c r="D1592" s="1"/>
      <c r="E1592" s="1"/>
      <c r="F1592" s="40" t="s">
        <v>5</v>
      </c>
      <c r="G1592" s="40"/>
      <c r="H1592" s="1"/>
      <c r="I1592" s="41">
        <f>SUM(I1588:I1589)</f>
        <v>250000</v>
      </c>
      <c r="J1592" s="1"/>
      <c r="K1592" s="1"/>
      <c r="L1592" s="42"/>
    </row>
    <row r="1593" spans="1:12" ht="15.75" thickBot="1" x14ac:dyDescent="0.3">
      <c r="A1593" s="1"/>
      <c r="B1593" s="43"/>
      <c r="C1593" s="44"/>
      <c r="D1593" s="44"/>
      <c r="E1593" s="44"/>
      <c r="F1593" s="45"/>
      <c r="G1593" s="45"/>
      <c r="H1593" s="44"/>
      <c r="I1593" s="46"/>
      <c r="J1593" s="44"/>
      <c r="K1593" s="44"/>
      <c r="L1593" s="47"/>
    </row>
    <row r="1594" spans="1:12" ht="15.75" thickTop="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 ht="35.25" customHeight="1" x14ac:dyDescent="0.2">
      <c r="A1595" s="10" t="s">
        <v>2</v>
      </c>
      <c r="B1595" s="279" t="s">
        <v>11</v>
      </c>
      <c r="C1595" s="279"/>
      <c r="D1595" s="279"/>
      <c r="E1595" s="279"/>
      <c r="F1595" s="279"/>
      <c r="G1595" s="279"/>
      <c r="H1595" s="279"/>
      <c r="I1595" s="279"/>
      <c r="J1595" s="279"/>
      <c r="K1595" s="279"/>
      <c r="L1595" s="279"/>
    </row>
    <row r="1596" spans="1:12" ht="33" customHeight="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 ht="31.5" customHeight="1" x14ac:dyDescent="0.2">
      <c r="A1597" s="280" t="s">
        <v>12</v>
      </c>
      <c r="B1597" s="280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</row>
    <row r="1598" spans="1:12" ht="24" customHeight="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 ht="15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ht="15" x14ac:dyDescent="0.25">
      <c r="A1600" s="1"/>
      <c r="B1600" s="1"/>
      <c r="C1600" s="1"/>
      <c r="D1600" s="1"/>
      <c r="E1600" s="1"/>
      <c r="F1600" s="1"/>
      <c r="G1600" s="1"/>
      <c r="H1600" s="4" t="s">
        <v>199</v>
      </c>
      <c r="J1600" s="286" t="s">
        <v>254</v>
      </c>
      <c r="K1600" s="286"/>
      <c r="L1600" s="286"/>
    </row>
    <row r="1601" spans="1:12" ht="15" x14ac:dyDescent="0.25">
      <c r="A1601" s="1"/>
      <c r="B1601" s="1" t="s">
        <v>15</v>
      </c>
      <c r="C1601" s="1"/>
      <c r="D1601" s="1"/>
      <c r="E1601" s="1"/>
      <c r="F1601" s="1"/>
      <c r="G1601" s="1"/>
      <c r="H1601" s="4" t="s">
        <v>13</v>
      </c>
    </row>
    <row r="1602" spans="1:12" ht="18.75" customHeight="1" x14ac:dyDescent="0.25">
      <c r="A1602" s="1"/>
      <c r="B1602" s="1" t="s">
        <v>18</v>
      </c>
      <c r="C1602" s="1"/>
      <c r="D1602" s="1"/>
      <c r="E1602" s="1"/>
      <c r="F1602" s="1"/>
      <c r="G1602" s="1"/>
      <c r="H1602" s="4" t="s">
        <v>14</v>
      </c>
    </row>
    <row r="1603" spans="1:12" ht="15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ht="40.5" customHeight="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ht="15" x14ac:dyDescent="0.25">
      <c r="A1605" s="1"/>
      <c r="B1605" s="103"/>
      <c r="C1605" s="103"/>
      <c r="D1605" s="103"/>
      <c r="E1605" s="103"/>
      <c r="F1605" s="103"/>
      <c r="G1605" s="103"/>
      <c r="H1605" s="103"/>
      <c r="I1605" s="103"/>
      <c r="J1605" s="103"/>
      <c r="K1605" s="103"/>
      <c r="L1605" s="1"/>
    </row>
    <row r="1606" spans="1:12" ht="13.5" customHeight="1" x14ac:dyDescent="0.25">
      <c r="A1606" s="1"/>
      <c r="K1606" s="103"/>
      <c r="L1606" s="1"/>
    </row>
    <row r="1607" spans="1:12" ht="22.5" customHeight="1" x14ac:dyDescent="0.25">
      <c r="A1607" s="1"/>
      <c r="B1607" s="95" t="s">
        <v>77</v>
      </c>
      <c r="H1607" s="95" t="s">
        <v>64</v>
      </c>
      <c r="I1607" s="95"/>
      <c r="J1607" s="92"/>
      <c r="K1607" s="103"/>
      <c r="L1607" s="1"/>
    </row>
    <row r="1608" spans="1:12" ht="23.25" customHeight="1" x14ac:dyDescent="0.25">
      <c r="A1608" s="1"/>
      <c r="B1608" s="99" t="s">
        <v>27</v>
      </c>
      <c r="C1608" s="57"/>
      <c r="H1608" s="99" t="s">
        <v>46</v>
      </c>
      <c r="K1608" s="103"/>
    </row>
    <row r="1609" spans="1:12" s="76" customFormat="1" ht="16.5" customHeight="1" x14ac:dyDescent="0.2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</row>
    <row r="1610" spans="1:12" ht="15" customHeight="1" x14ac:dyDescent="0.2"/>
    <row r="1611" spans="1:12" ht="15.75" x14ac:dyDescent="0.25">
      <c r="A1611" s="3" t="s">
        <v>22</v>
      </c>
    </row>
    <row r="1612" spans="1:12" ht="15.75" x14ac:dyDescent="0.2">
      <c r="A1612" s="122" t="s">
        <v>20</v>
      </c>
    </row>
    <row r="1613" spans="1:12" ht="15.75" x14ac:dyDescent="0.2">
      <c r="A1613" s="122" t="s">
        <v>21</v>
      </c>
    </row>
    <row r="1614" spans="1:12" ht="15" customHeight="1" x14ac:dyDescent="0.2"/>
    <row r="1615" spans="1:12" ht="15.75" customHeight="1" x14ac:dyDescent="0.2"/>
    <row r="1616" spans="1:12" ht="14.25" customHeight="1" x14ac:dyDescent="0.2"/>
    <row r="1617" spans="1:12" ht="21.75" customHeight="1" x14ac:dyDescent="0.3">
      <c r="A1617" s="276" t="s">
        <v>6</v>
      </c>
      <c r="B1617" s="276"/>
      <c r="C1617" s="276"/>
      <c r="D1617" s="276"/>
      <c r="E1617" s="276"/>
      <c r="F1617" s="276"/>
      <c r="G1617" s="276"/>
      <c r="H1617" s="276"/>
      <c r="I1617" s="276"/>
      <c r="J1617" s="276"/>
      <c r="K1617" s="276"/>
      <c r="L1617" s="276"/>
    </row>
    <row r="1618" spans="1:12" ht="18" customHeight="1" x14ac:dyDescent="0.3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</row>
    <row r="1619" spans="1:12" ht="19.5" customHeight="1" x14ac:dyDescent="0.3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</row>
    <row r="1620" spans="1:12" ht="17.25" customHeight="1" x14ac:dyDescent="0.25">
      <c r="A1620" s="1"/>
      <c r="B1620" s="1"/>
    </row>
    <row r="1621" spans="1:12" ht="15" x14ac:dyDescent="0.25">
      <c r="A1621" s="1" t="s">
        <v>7</v>
      </c>
      <c r="B1621" s="1"/>
    </row>
    <row r="1622" spans="1:12" ht="15" x14ac:dyDescent="0.25">
      <c r="A1622" s="1"/>
      <c r="B1622" s="1"/>
    </row>
    <row r="1623" spans="1:12" ht="15" x14ac:dyDescent="0.25">
      <c r="A1623" s="1" t="s">
        <v>8</v>
      </c>
      <c r="C1623" s="9" t="s">
        <v>1</v>
      </c>
      <c r="D1623" s="92" t="s">
        <v>96</v>
      </c>
      <c r="E1623" s="76"/>
      <c r="F1623" s="76"/>
      <c r="G1623" s="76"/>
      <c r="H1623" s="76"/>
    </row>
    <row r="1624" spans="1:12" ht="13.5" customHeight="1" x14ac:dyDescent="0.25">
      <c r="A1624" s="1" t="s">
        <v>9</v>
      </c>
      <c r="C1624" s="9" t="s">
        <v>1</v>
      </c>
      <c r="D1624" s="57" t="s">
        <v>200</v>
      </c>
      <c r="E1624" s="76"/>
      <c r="F1624" s="76"/>
      <c r="G1624" s="76"/>
      <c r="H1624" s="76"/>
    </row>
    <row r="1625" spans="1:12" ht="15" x14ac:dyDescent="0.2">
      <c r="A1625" s="50" t="s">
        <v>10</v>
      </c>
      <c r="B1625" s="76"/>
      <c r="C1625" s="91" t="s">
        <v>1</v>
      </c>
      <c r="D1625" s="50" t="s">
        <v>203</v>
      </c>
      <c r="E1625" s="76"/>
      <c r="F1625" s="76"/>
      <c r="G1625" s="76"/>
      <c r="H1625" s="76"/>
      <c r="I1625" s="76"/>
      <c r="J1625" s="76"/>
      <c r="K1625" s="76"/>
      <c r="L1625" s="76"/>
    </row>
    <row r="1626" spans="1:12" ht="21" customHeight="1" x14ac:dyDescent="0.25">
      <c r="A1626" s="1"/>
      <c r="B1626" s="1"/>
      <c r="D1626" s="1"/>
    </row>
    <row r="1627" spans="1:12" ht="34.5" customHeight="1" x14ac:dyDescent="0.2">
      <c r="A1627" s="277" t="s">
        <v>259</v>
      </c>
      <c r="B1627" s="277"/>
      <c r="C1627" s="277"/>
      <c r="D1627" s="277"/>
      <c r="E1627" s="277"/>
      <c r="F1627" s="277"/>
      <c r="G1627" s="277"/>
      <c r="H1627" s="277"/>
      <c r="I1627" s="277"/>
      <c r="J1627" s="277"/>
      <c r="K1627" s="277"/>
      <c r="L1627" s="277"/>
    </row>
    <row r="1628" spans="1:12" ht="10.5" customHeight="1" x14ac:dyDescent="0.25">
      <c r="A1628" s="1"/>
      <c r="B1628" s="1"/>
    </row>
    <row r="1629" spans="1:12" ht="32.25" customHeight="1" thickBot="1" x14ac:dyDescent="0.25">
      <c r="A1629" s="10" t="s">
        <v>0</v>
      </c>
      <c r="B1629" s="278" t="s">
        <v>91</v>
      </c>
      <c r="C1629" s="278"/>
      <c r="D1629" s="278"/>
      <c r="E1629" s="278"/>
      <c r="F1629" s="278"/>
      <c r="G1629" s="278"/>
      <c r="H1629" s="278"/>
      <c r="I1629" s="278"/>
      <c r="J1629" s="278"/>
      <c r="K1629" s="278"/>
      <c r="L1629" s="278"/>
    </row>
    <row r="1630" spans="1:12" ht="30" customHeight="1" thickTop="1" x14ac:dyDescent="0.25">
      <c r="A1630" s="1"/>
      <c r="B1630" s="11" t="s">
        <v>3</v>
      </c>
      <c r="C1630" s="12" t="s">
        <v>4</v>
      </c>
      <c r="D1630" s="13"/>
      <c r="E1630" s="13"/>
      <c r="F1630" s="13"/>
      <c r="G1630" s="13"/>
      <c r="H1630" s="14"/>
      <c r="I1630" s="15" t="s">
        <v>5</v>
      </c>
      <c r="J1630" s="12" t="s">
        <v>17</v>
      </c>
      <c r="K1630" s="13"/>
      <c r="L1630" s="14"/>
    </row>
    <row r="1631" spans="1:12" ht="15" x14ac:dyDescent="0.2">
      <c r="A1631" s="50"/>
      <c r="B1631" s="100">
        <v>1</v>
      </c>
      <c r="C1631" s="284" t="s">
        <v>230</v>
      </c>
      <c r="D1631" s="285"/>
      <c r="E1631" s="285"/>
      <c r="F1631" s="285"/>
      <c r="G1631" s="76"/>
      <c r="H1631" s="79"/>
      <c r="I1631" s="56">
        <v>250000</v>
      </c>
      <c r="J1631" s="76"/>
      <c r="K1631" s="76"/>
      <c r="L1631" s="79"/>
    </row>
    <row r="1632" spans="1:12" ht="25.5" customHeight="1" x14ac:dyDescent="0.25">
      <c r="A1632" s="50"/>
      <c r="B1632" s="96"/>
      <c r="C1632" s="321"/>
      <c r="D1632" s="297"/>
      <c r="E1632" s="127"/>
      <c r="F1632" s="319"/>
      <c r="G1632" s="297"/>
      <c r="H1632" s="320"/>
      <c r="I1632" s="56"/>
      <c r="J1632" s="50"/>
      <c r="K1632" s="1"/>
      <c r="L1632" s="17"/>
    </row>
    <row r="1633" spans="1:12" ht="12.75" x14ac:dyDescent="0.2">
      <c r="B1633" s="16"/>
      <c r="H1633" s="17"/>
      <c r="I1633" s="19"/>
      <c r="L1633" s="17"/>
    </row>
    <row r="1634" spans="1:12" ht="12.75" x14ac:dyDescent="0.2">
      <c r="B1634" s="20"/>
      <c r="C1634" s="21"/>
      <c r="D1634" s="21"/>
      <c r="E1634" s="21"/>
      <c r="F1634" s="21"/>
      <c r="G1634" s="21"/>
      <c r="H1634" s="22"/>
      <c r="I1634" s="23"/>
      <c r="J1634" s="21"/>
      <c r="K1634" s="21"/>
      <c r="L1634" s="22"/>
    </row>
    <row r="1635" spans="1:12" ht="15.75" customHeight="1" x14ac:dyDescent="0.25">
      <c r="A1635" s="1"/>
      <c r="B1635" s="39"/>
      <c r="C1635" s="1"/>
      <c r="D1635" s="1"/>
      <c r="E1635" s="1"/>
      <c r="F1635" s="40" t="s">
        <v>5</v>
      </c>
      <c r="G1635" s="40"/>
      <c r="H1635" s="1"/>
      <c r="I1635" s="41">
        <f>SUM(I1631:I1632)</f>
        <v>250000</v>
      </c>
      <c r="J1635" s="1"/>
      <c r="K1635" s="1"/>
      <c r="L1635" s="42"/>
    </row>
    <row r="1636" spans="1:12" ht="15.75" thickBot="1" x14ac:dyDescent="0.3">
      <c r="A1636" s="1"/>
      <c r="B1636" s="43"/>
      <c r="C1636" s="44"/>
      <c r="D1636" s="44"/>
      <c r="E1636" s="44"/>
      <c r="F1636" s="45"/>
      <c r="G1636" s="45"/>
      <c r="H1636" s="44"/>
      <c r="I1636" s="46"/>
      <c r="J1636" s="44"/>
      <c r="K1636" s="44"/>
      <c r="L1636" s="47"/>
    </row>
    <row r="1637" spans="1:12" ht="12.75" customHeight="1" thickTop="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 ht="47.25" customHeight="1" x14ac:dyDescent="0.2">
      <c r="A1638" s="10" t="s">
        <v>2</v>
      </c>
      <c r="B1638" s="279" t="s">
        <v>11</v>
      </c>
      <c r="C1638" s="279"/>
      <c r="D1638" s="279"/>
      <c r="E1638" s="279"/>
      <c r="F1638" s="279"/>
      <c r="G1638" s="279"/>
      <c r="H1638" s="279"/>
      <c r="I1638" s="279"/>
      <c r="J1638" s="279"/>
      <c r="K1638" s="279"/>
      <c r="L1638" s="279"/>
    </row>
    <row r="1639" spans="1:12" ht="15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ht="15" x14ac:dyDescent="0.2">
      <c r="A1640" s="280" t="s">
        <v>12</v>
      </c>
      <c r="B1640" s="280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</row>
    <row r="1641" spans="1:12" ht="15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 ht="15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 ht="15" x14ac:dyDescent="0.25">
      <c r="A1643" s="1"/>
      <c r="B1643" s="1"/>
      <c r="C1643" s="1"/>
      <c r="D1643" s="1"/>
      <c r="E1643" s="1"/>
      <c r="F1643" s="1"/>
      <c r="G1643" s="1"/>
      <c r="H1643" s="4" t="s">
        <v>199</v>
      </c>
      <c r="J1643" s="286" t="s">
        <v>254</v>
      </c>
      <c r="K1643" s="286"/>
      <c r="L1643" s="286"/>
    </row>
    <row r="1644" spans="1:12" ht="15" x14ac:dyDescent="0.25">
      <c r="A1644" s="1"/>
      <c r="B1644" s="1" t="s">
        <v>15</v>
      </c>
      <c r="C1644" s="1"/>
      <c r="D1644" s="1"/>
      <c r="E1644" s="1"/>
      <c r="F1644" s="1"/>
      <c r="G1644" s="1"/>
      <c r="H1644" s="4" t="s">
        <v>13</v>
      </c>
    </row>
    <row r="1645" spans="1:12" ht="15" x14ac:dyDescent="0.25">
      <c r="A1645" s="1"/>
      <c r="B1645" s="1" t="s">
        <v>18</v>
      </c>
      <c r="C1645" s="1"/>
      <c r="D1645" s="1"/>
      <c r="E1645" s="1"/>
      <c r="F1645" s="1"/>
      <c r="G1645" s="1"/>
      <c r="H1645" s="4" t="s">
        <v>14</v>
      </c>
    </row>
    <row r="1646" spans="1:12" ht="15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 ht="15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 ht="15" x14ac:dyDescent="0.25">
      <c r="A1648" s="1"/>
      <c r="B1648" s="103"/>
      <c r="C1648" s="103"/>
      <c r="D1648" s="103"/>
      <c r="E1648" s="103"/>
      <c r="F1648" s="103"/>
      <c r="G1648" s="103"/>
      <c r="H1648" s="103"/>
      <c r="I1648" s="103"/>
      <c r="J1648" s="103"/>
      <c r="K1648" s="103"/>
      <c r="L1648" s="1"/>
    </row>
    <row r="1649" spans="1:12" ht="20.25" customHeight="1" x14ac:dyDescent="0.25">
      <c r="A1649" s="1"/>
      <c r="K1649" s="103"/>
      <c r="L1649" s="1"/>
    </row>
    <row r="1650" spans="1:12" ht="15" x14ac:dyDescent="0.25">
      <c r="A1650" s="1"/>
      <c r="B1650" s="95" t="s">
        <v>77</v>
      </c>
      <c r="H1650" s="95" t="s">
        <v>96</v>
      </c>
      <c r="I1650" s="95"/>
      <c r="J1650" s="92"/>
      <c r="K1650" s="103"/>
      <c r="L1650" s="1"/>
    </row>
    <row r="1651" spans="1:12" ht="26.25" customHeight="1" x14ac:dyDescent="0.25">
      <c r="A1651" s="1"/>
      <c r="B1651" s="99" t="s">
        <v>27</v>
      </c>
      <c r="C1651" s="57"/>
      <c r="H1651" s="99" t="s">
        <v>100</v>
      </c>
      <c r="K1651" s="103"/>
    </row>
    <row r="1652" spans="1:12" ht="21" customHeight="1" x14ac:dyDescent="0.2"/>
    <row r="1653" spans="1:12" ht="38.25" customHeight="1" x14ac:dyDescent="0.2"/>
    <row r="1654" spans="1:12" ht="25.5" customHeight="1" x14ac:dyDescent="0.2"/>
    <row r="1655" spans="1:12" ht="15.75" customHeight="1" x14ac:dyDescent="0.2"/>
    <row r="1656" spans="1:12" ht="21.75" customHeight="1" x14ac:dyDescent="0.2"/>
    <row r="1657" spans="1:12" ht="12.75" x14ac:dyDescent="0.2"/>
    <row r="1658" spans="1:12" ht="15.75" x14ac:dyDescent="0.25">
      <c r="A1658" s="3" t="s">
        <v>22</v>
      </c>
    </row>
    <row r="1659" spans="1:12" ht="15.75" x14ac:dyDescent="0.2">
      <c r="A1659" s="122" t="s">
        <v>20</v>
      </c>
    </row>
    <row r="1660" spans="1:12" ht="15.75" x14ac:dyDescent="0.2">
      <c r="A1660" s="122" t="s">
        <v>21</v>
      </c>
    </row>
    <row r="1661" spans="1:12" ht="24.75" customHeight="1" x14ac:dyDescent="0.2"/>
    <row r="1662" spans="1:12" ht="12.75" x14ac:dyDescent="0.2"/>
    <row r="1663" spans="1:12" ht="15" customHeight="1" x14ac:dyDescent="0.2"/>
    <row r="1664" spans="1:12" ht="46.5" customHeight="1" x14ac:dyDescent="0.3">
      <c r="A1664" s="276" t="s">
        <v>6</v>
      </c>
      <c r="B1664" s="276"/>
      <c r="C1664" s="276"/>
      <c r="D1664" s="276"/>
      <c r="E1664" s="276"/>
      <c r="F1664" s="276"/>
      <c r="G1664" s="276"/>
      <c r="H1664" s="276"/>
      <c r="I1664" s="276"/>
      <c r="J1664" s="276"/>
      <c r="K1664" s="276"/>
      <c r="L1664" s="276"/>
    </row>
    <row r="1665" spans="1:12" ht="18.75" customHeight="1" x14ac:dyDescent="0.3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</row>
    <row r="1666" spans="1:12" ht="24" customHeight="1" x14ac:dyDescent="0.3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</row>
    <row r="1667" spans="1:12" ht="11.25" customHeight="1" x14ac:dyDescent="0.25">
      <c r="A1667" s="1"/>
      <c r="B1667" s="1"/>
    </row>
    <row r="1668" spans="1:12" ht="16.5" customHeight="1" x14ac:dyDescent="0.25">
      <c r="A1668" s="1" t="s">
        <v>7</v>
      </c>
      <c r="B1668" s="1"/>
    </row>
    <row r="1669" spans="1:12" ht="12.75" customHeight="1" x14ac:dyDescent="0.25">
      <c r="A1669" s="1"/>
      <c r="B1669" s="1"/>
    </row>
    <row r="1670" spans="1:12" ht="13.5" customHeight="1" x14ac:dyDescent="0.25">
      <c r="A1670" s="1" t="s">
        <v>8</v>
      </c>
      <c r="C1670" s="9" t="s">
        <v>1</v>
      </c>
      <c r="D1670" s="123" t="s">
        <v>78</v>
      </c>
      <c r="E1670" s="76"/>
      <c r="F1670" s="76"/>
      <c r="G1670" s="76"/>
      <c r="H1670" s="76"/>
    </row>
    <row r="1671" spans="1:12" ht="15" x14ac:dyDescent="0.25">
      <c r="A1671" s="1" t="s">
        <v>9</v>
      </c>
      <c r="C1671" s="9" t="s">
        <v>1</v>
      </c>
      <c r="D1671" s="76" t="s">
        <v>234</v>
      </c>
      <c r="E1671" s="76"/>
      <c r="F1671" s="76"/>
      <c r="G1671" s="76"/>
      <c r="H1671" s="76"/>
    </row>
    <row r="1672" spans="1:12" ht="19.5" customHeight="1" x14ac:dyDescent="0.2">
      <c r="A1672" s="50" t="s">
        <v>10</v>
      </c>
      <c r="B1672" s="76"/>
      <c r="C1672" s="91" t="s">
        <v>1</v>
      </c>
      <c r="D1672" s="50" t="s">
        <v>235</v>
      </c>
      <c r="E1672" s="76"/>
      <c r="F1672" s="76"/>
      <c r="G1672" s="76"/>
      <c r="H1672" s="76"/>
      <c r="I1672" s="76"/>
      <c r="J1672" s="76"/>
      <c r="K1672" s="76"/>
      <c r="L1672" s="76"/>
    </row>
    <row r="1673" spans="1:12" ht="15" x14ac:dyDescent="0.25">
      <c r="A1673" s="1"/>
      <c r="B1673" s="1"/>
      <c r="D1673" s="1"/>
    </row>
    <row r="1674" spans="1:12" ht="39" customHeight="1" x14ac:dyDescent="0.2">
      <c r="A1674" s="277" t="s">
        <v>259</v>
      </c>
      <c r="B1674" s="277"/>
      <c r="C1674" s="277"/>
      <c r="D1674" s="277"/>
      <c r="E1674" s="277"/>
      <c r="F1674" s="277"/>
      <c r="G1674" s="277"/>
      <c r="H1674" s="277"/>
      <c r="I1674" s="277"/>
      <c r="J1674" s="277"/>
      <c r="K1674" s="277"/>
      <c r="L1674" s="277"/>
    </row>
    <row r="1675" spans="1:12" ht="20.25" customHeight="1" x14ac:dyDescent="0.25">
      <c r="A1675" s="1"/>
      <c r="B1675" s="1"/>
    </row>
    <row r="1676" spans="1:12" ht="45" customHeight="1" thickBot="1" x14ac:dyDescent="0.25">
      <c r="A1676" s="10" t="s">
        <v>0</v>
      </c>
      <c r="B1676" s="278" t="s">
        <v>91</v>
      </c>
      <c r="C1676" s="278"/>
      <c r="D1676" s="278"/>
      <c r="E1676" s="278"/>
      <c r="F1676" s="278"/>
      <c r="G1676" s="278"/>
      <c r="H1676" s="278"/>
      <c r="I1676" s="278"/>
      <c r="J1676" s="278"/>
      <c r="K1676" s="278"/>
      <c r="L1676" s="278"/>
    </row>
    <row r="1677" spans="1:12" ht="15.75" thickTop="1" x14ac:dyDescent="0.25">
      <c r="A1677" s="1"/>
      <c r="B1677" s="11" t="s">
        <v>3</v>
      </c>
      <c r="C1677" s="12" t="s">
        <v>4</v>
      </c>
      <c r="D1677" s="13"/>
      <c r="E1677" s="13"/>
      <c r="F1677" s="13"/>
      <c r="G1677" s="13"/>
      <c r="H1677" s="14"/>
      <c r="I1677" s="15" t="s">
        <v>5</v>
      </c>
      <c r="J1677" s="12" t="s">
        <v>17</v>
      </c>
      <c r="K1677" s="13"/>
      <c r="L1677" s="14"/>
    </row>
    <row r="1678" spans="1:12" ht="21" customHeight="1" x14ac:dyDescent="0.2">
      <c r="A1678" s="50"/>
      <c r="B1678" s="100">
        <v>1</v>
      </c>
      <c r="C1678" s="284" t="s">
        <v>230</v>
      </c>
      <c r="D1678" s="285"/>
      <c r="E1678" s="285"/>
      <c r="F1678" s="285"/>
      <c r="G1678" s="76"/>
      <c r="H1678" s="79"/>
      <c r="I1678" s="56">
        <v>250000</v>
      </c>
      <c r="J1678" s="76"/>
      <c r="K1678" s="76"/>
      <c r="L1678" s="79"/>
    </row>
    <row r="1679" spans="1:12" ht="15" x14ac:dyDescent="0.25">
      <c r="A1679" s="50"/>
      <c r="B1679" s="96"/>
      <c r="C1679" s="321"/>
      <c r="D1679" s="297"/>
      <c r="E1679" s="127"/>
      <c r="F1679" s="319"/>
      <c r="G1679" s="297"/>
      <c r="H1679" s="320"/>
      <c r="I1679" s="56"/>
      <c r="J1679" s="50"/>
      <c r="K1679" s="1"/>
      <c r="L1679" s="17"/>
    </row>
    <row r="1680" spans="1:12" ht="12.75" x14ac:dyDescent="0.2">
      <c r="B1680" s="16"/>
      <c r="H1680" s="17"/>
      <c r="I1680" s="19"/>
      <c r="L1680" s="17"/>
    </row>
    <row r="1681" spans="1:12" ht="42" customHeight="1" x14ac:dyDescent="0.2">
      <c r="B1681" s="20"/>
      <c r="C1681" s="21"/>
      <c r="D1681" s="21"/>
      <c r="E1681" s="21"/>
      <c r="F1681" s="21"/>
      <c r="G1681" s="21"/>
      <c r="H1681" s="22"/>
      <c r="I1681" s="23"/>
      <c r="J1681" s="21"/>
      <c r="K1681" s="21"/>
      <c r="L1681" s="22"/>
    </row>
    <row r="1682" spans="1:12" ht="15" x14ac:dyDescent="0.25">
      <c r="A1682" s="1"/>
      <c r="B1682" s="39"/>
      <c r="C1682" s="1"/>
      <c r="D1682" s="1"/>
      <c r="E1682" s="1"/>
      <c r="F1682" s="40" t="s">
        <v>5</v>
      </c>
      <c r="G1682" s="40"/>
      <c r="H1682" s="1"/>
      <c r="I1682" s="41">
        <f>SUM(I1678:I1679)</f>
        <v>250000</v>
      </c>
      <c r="J1682" s="1"/>
      <c r="K1682" s="1"/>
      <c r="L1682" s="42"/>
    </row>
    <row r="1683" spans="1:12" ht="12.75" customHeight="1" thickBot="1" x14ac:dyDescent="0.3">
      <c r="A1683" s="1"/>
      <c r="B1683" s="43"/>
      <c r="C1683" s="44"/>
      <c r="D1683" s="44"/>
      <c r="E1683" s="44"/>
      <c r="F1683" s="45"/>
      <c r="G1683" s="45"/>
      <c r="H1683" s="44"/>
      <c r="I1683" s="46"/>
      <c r="J1683" s="44"/>
      <c r="K1683" s="44"/>
      <c r="L1683" s="47"/>
    </row>
    <row r="1684" spans="1:12" ht="15.75" thickTop="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ht="50.25" customHeight="1" x14ac:dyDescent="0.2">
      <c r="A1685" s="10" t="s">
        <v>2</v>
      </c>
      <c r="B1685" s="279" t="s">
        <v>11</v>
      </c>
      <c r="C1685" s="279"/>
      <c r="D1685" s="279"/>
      <c r="E1685" s="279"/>
      <c r="F1685" s="279"/>
      <c r="G1685" s="279"/>
      <c r="H1685" s="279"/>
      <c r="I1685" s="279"/>
      <c r="J1685" s="279"/>
      <c r="K1685" s="279"/>
      <c r="L1685" s="279"/>
    </row>
    <row r="1686" spans="1:12" ht="12.75" customHeight="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ht="15" x14ac:dyDescent="0.2">
      <c r="A1687" s="280" t="s">
        <v>12</v>
      </c>
      <c r="B1687" s="280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</row>
    <row r="1688" spans="1:12" ht="15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ht="15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ht="15" x14ac:dyDescent="0.25">
      <c r="A1690" s="1"/>
      <c r="B1690" s="1"/>
      <c r="C1690" s="1"/>
      <c r="D1690" s="1"/>
      <c r="E1690" s="1"/>
      <c r="F1690" s="1"/>
      <c r="G1690" s="1"/>
      <c r="H1690" s="4" t="s">
        <v>199</v>
      </c>
      <c r="J1690" s="286" t="s">
        <v>254</v>
      </c>
      <c r="K1690" s="286"/>
      <c r="L1690" s="286"/>
    </row>
    <row r="1691" spans="1:12" ht="15" x14ac:dyDescent="0.25">
      <c r="A1691" s="1"/>
      <c r="B1691" s="1" t="s">
        <v>15</v>
      </c>
      <c r="C1691" s="1"/>
      <c r="D1691" s="1"/>
      <c r="E1691" s="1"/>
      <c r="F1691" s="1"/>
      <c r="G1691" s="1"/>
      <c r="H1691" s="4" t="s">
        <v>13</v>
      </c>
    </row>
    <row r="1692" spans="1:12" ht="15" x14ac:dyDescent="0.25">
      <c r="A1692" s="1"/>
      <c r="B1692" s="1" t="s">
        <v>18</v>
      </c>
      <c r="C1692" s="1"/>
      <c r="D1692" s="1"/>
      <c r="E1692" s="1"/>
      <c r="F1692" s="1"/>
      <c r="G1692" s="1"/>
      <c r="H1692" s="4" t="s">
        <v>14</v>
      </c>
    </row>
    <row r="1693" spans="1:12" ht="15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 ht="15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ht="15" x14ac:dyDescent="0.25">
      <c r="A1695" s="1"/>
      <c r="B1695" s="103"/>
      <c r="C1695" s="103"/>
      <c r="D1695" s="103"/>
      <c r="E1695" s="103"/>
      <c r="F1695" s="103"/>
      <c r="G1695" s="103"/>
      <c r="H1695" s="103"/>
      <c r="I1695" s="103"/>
      <c r="J1695" s="103"/>
      <c r="K1695" s="103"/>
      <c r="L1695" s="1"/>
    </row>
    <row r="1696" spans="1:12" ht="15" x14ac:dyDescent="0.25">
      <c r="A1696" s="1"/>
      <c r="K1696" s="103"/>
      <c r="L1696" s="1"/>
    </row>
    <row r="1697" spans="1:12" ht="15" x14ac:dyDescent="0.25">
      <c r="A1697" s="1"/>
      <c r="B1697" s="95" t="s">
        <v>77</v>
      </c>
      <c r="H1697" s="95" t="s">
        <v>78</v>
      </c>
      <c r="I1697" s="95"/>
      <c r="J1697" s="92"/>
      <c r="K1697" s="103"/>
      <c r="L1697" s="1"/>
    </row>
    <row r="1698" spans="1:12" ht="15.75" customHeight="1" x14ac:dyDescent="0.25">
      <c r="A1698" s="1"/>
      <c r="B1698" s="99" t="s">
        <v>27</v>
      </c>
      <c r="C1698" s="57"/>
      <c r="H1698" s="99" t="s">
        <v>79</v>
      </c>
      <c r="K1698" s="103"/>
    </row>
    <row r="1699" spans="1:12" ht="20.25" customHeight="1" x14ac:dyDescent="0.2"/>
    <row r="1700" spans="1:12" ht="19.5" customHeight="1" x14ac:dyDescent="0.2"/>
    <row r="1701" spans="1:12" ht="18.75" customHeight="1" x14ac:dyDescent="0.2"/>
    <row r="1702" spans="1:12" ht="33.75" customHeight="1" x14ac:dyDescent="0.2"/>
    <row r="1703" spans="1:12" ht="14.25" customHeight="1" x14ac:dyDescent="0.2"/>
    <row r="1704" spans="1:12" ht="39.75" customHeight="1" x14ac:dyDescent="0.25">
      <c r="A1704" s="3" t="s">
        <v>22</v>
      </c>
    </row>
    <row r="1705" spans="1:12" ht="15.75" x14ac:dyDescent="0.2">
      <c r="A1705" s="122" t="s">
        <v>20</v>
      </c>
    </row>
    <row r="1706" spans="1:12" ht="18.75" customHeight="1" x14ac:dyDescent="0.2">
      <c r="A1706" s="122" t="s">
        <v>21</v>
      </c>
    </row>
    <row r="1707" spans="1:12" ht="12.75" x14ac:dyDescent="0.2"/>
    <row r="1708" spans="1:12" ht="17.25" customHeight="1" x14ac:dyDescent="0.2"/>
    <row r="1709" spans="1:12" ht="12.75" x14ac:dyDescent="0.2"/>
    <row r="1710" spans="1:12" ht="22.5" customHeight="1" x14ac:dyDescent="0.3">
      <c r="A1710" s="276" t="s">
        <v>6</v>
      </c>
      <c r="B1710" s="276"/>
      <c r="C1710" s="276"/>
      <c r="D1710" s="276"/>
      <c r="E1710" s="276"/>
      <c r="F1710" s="276"/>
      <c r="G1710" s="276"/>
      <c r="H1710" s="276"/>
      <c r="I1710" s="276"/>
      <c r="J1710" s="276"/>
      <c r="K1710" s="276"/>
      <c r="L1710" s="276"/>
    </row>
    <row r="1711" spans="1:12" ht="12.75" customHeight="1" x14ac:dyDescent="0.3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</row>
    <row r="1712" spans="1:12" ht="28.5" customHeight="1" x14ac:dyDescent="0.3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</row>
    <row r="1713" spans="1:12" ht="10.5" customHeight="1" x14ac:dyDescent="0.25">
      <c r="A1713" s="1"/>
      <c r="B1713" s="1"/>
    </row>
    <row r="1714" spans="1:12" ht="25.5" customHeight="1" x14ac:dyDescent="0.25">
      <c r="A1714" s="1" t="s">
        <v>7</v>
      </c>
      <c r="B1714" s="1"/>
    </row>
    <row r="1715" spans="1:12" ht="20.25" customHeight="1" x14ac:dyDescent="0.25">
      <c r="A1715" s="1"/>
      <c r="B1715" s="1"/>
    </row>
    <row r="1716" spans="1:12" ht="19.5" customHeight="1" x14ac:dyDescent="0.25">
      <c r="A1716" s="1" t="s">
        <v>8</v>
      </c>
      <c r="C1716" s="9" t="s">
        <v>1</v>
      </c>
      <c r="D1716" s="92" t="s">
        <v>77</v>
      </c>
      <c r="E1716" s="76"/>
      <c r="F1716" s="76"/>
      <c r="G1716" s="76"/>
      <c r="H1716" s="76"/>
    </row>
    <row r="1717" spans="1:12" ht="20.25" customHeight="1" x14ac:dyDescent="0.25">
      <c r="A1717" s="1" t="s">
        <v>9</v>
      </c>
      <c r="C1717" s="9" t="s">
        <v>1</v>
      </c>
      <c r="D1717" s="57" t="s">
        <v>201</v>
      </c>
      <c r="E1717" s="76"/>
      <c r="F1717" s="76"/>
      <c r="G1717" s="76"/>
      <c r="H1717" s="76"/>
    </row>
    <row r="1718" spans="1:12" ht="14.25" customHeight="1" x14ac:dyDescent="0.2">
      <c r="A1718" s="50" t="s">
        <v>10</v>
      </c>
      <c r="B1718" s="76"/>
      <c r="C1718" s="91" t="s">
        <v>1</v>
      </c>
      <c r="D1718" s="314" t="s">
        <v>265</v>
      </c>
      <c r="E1718" s="314"/>
      <c r="F1718" s="314"/>
      <c r="G1718" s="314"/>
      <c r="H1718" s="314"/>
      <c r="I1718" s="76"/>
      <c r="J1718" s="76"/>
      <c r="K1718" s="76"/>
      <c r="L1718" s="76"/>
    </row>
    <row r="1719" spans="1:12" ht="15" x14ac:dyDescent="0.25">
      <c r="A1719" s="1"/>
      <c r="B1719" s="1"/>
      <c r="D1719" s="1"/>
    </row>
    <row r="1720" spans="1:12" ht="53.25" customHeight="1" x14ac:dyDescent="0.2">
      <c r="A1720" s="277" t="s">
        <v>260</v>
      </c>
      <c r="B1720" s="277"/>
      <c r="C1720" s="277"/>
      <c r="D1720" s="277"/>
      <c r="E1720" s="277"/>
      <c r="F1720" s="277"/>
      <c r="G1720" s="277"/>
      <c r="H1720" s="277"/>
      <c r="I1720" s="277"/>
      <c r="J1720" s="277"/>
      <c r="K1720" s="277"/>
      <c r="L1720" s="277"/>
    </row>
    <row r="1721" spans="1:12" ht="15" x14ac:dyDescent="0.25">
      <c r="A1721" s="1"/>
      <c r="B1721" s="1"/>
    </row>
    <row r="1722" spans="1:12" ht="36.75" customHeight="1" thickBot="1" x14ac:dyDescent="0.25">
      <c r="A1722" s="10" t="s">
        <v>0</v>
      </c>
      <c r="B1722" s="278" t="s">
        <v>91</v>
      </c>
      <c r="C1722" s="278"/>
      <c r="D1722" s="278"/>
      <c r="E1722" s="278"/>
      <c r="F1722" s="278"/>
      <c r="G1722" s="278"/>
      <c r="H1722" s="278"/>
      <c r="I1722" s="278"/>
      <c r="J1722" s="278"/>
      <c r="K1722" s="278"/>
      <c r="L1722" s="278"/>
    </row>
    <row r="1723" spans="1:12" ht="15.75" thickTop="1" x14ac:dyDescent="0.25">
      <c r="A1723" s="1"/>
      <c r="B1723" s="11" t="s">
        <v>3</v>
      </c>
      <c r="C1723" s="12" t="s">
        <v>4</v>
      </c>
      <c r="D1723" s="13"/>
      <c r="E1723" s="13"/>
      <c r="F1723" s="13"/>
      <c r="G1723" s="13"/>
      <c r="H1723" s="14"/>
      <c r="I1723" s="15" t="s">
        <v>5</v>
      </c>
      <c r="J1723" s="12" t="s">
        <v>17</v>
      </c>
      <c r="K1723" s="13"/>
      <c r="L1723" s="14"/>
    </row>
    <row r="1724" spans="1:12" ht="35.25" customHeight="1" x14ac:dyDescent="0.2">
      <c r="A1724" s="50"/>
      <c r="B1724" s="100">
        <v>1</v>
      </c>
      <c r="C1724" s="129" t="s">
        <v>261</v>
      </c>
      <c r="D1724" s="130"/>
      <c r="E1724" s="130">
        <v>150000</v>
      </c>
      <c r="F1724" s="332" t="s">
        <v>262</v>
      </c>
      <c r="G1724" s="285"/>
      <c r="H1724" s="333"/>
      <c r="I1724" s="56">
        <f>E1724*2</f>
        <v>300000</v>
      </c>
      <c r="J1724" s="334" t="s">
        <v>207</v>
      </c>
      <c r="K1724" s="335"/>
      <c r="L1724" s="336"/>
    </row>
    <row r="1725" spans="1:12" ht="31.5" customHeight="1" x14ac:dyDescent="0.25">
      <c r="A1725" s="50"/>
      <c r="B1725" s="96"/>
      <c r="C1725" s="321"/>
      <c r="D1725" s="297"/>
      <c r="E1725" s="127"/>
      <c r="F1725" s="319"/>
      <c r="G1725" s="297"/>
      <c r="H1725" s="320"/>
      <c r="I1725" s="56"/>
      <c r="J1725" s="50"/>
      <c r="K1725" s="1"/>
      <c r="L1725" s="17"/>
    </row>
    <row r="1726" spans="1:12" ht="12.75" x14ac:dyDescent="0.2">
      <c r="B1726" s="16"/>
      <c r="H1726" s="17"/>
      <c r="I1726" s="19"/>
      <c r="L1726" s="17"/>
    </row>
    <row r="1727" spans="1:12" ht="12.75" x14ac:dyDescent="0.2">
      <c r="B1727" s="20"/>
      <c r="C1727" s="21"/>
      <c r="D1727" s="21"/>
      <c r="E1727" s="21"/>
      <c r="F1727" s="21"/>
      <c r="G1727" s="21"/>
      <c r="H1727" s="22"/>
      <c r="I1727" s="23"/>
      <c r="J1727" s="21"/>
      <c r="K1727" s="21"/>
      <c r="L1727" s="22"/>
    </row>
    <row r="1728" spans="1:12" ht="15" x14ac:dyDescent="0.25">
      <c r="A1728" s="1"/>
      <c r="B1728" s="39"/>
      <c r="C1728" s="1"/>
      <c r="D1728" s="1"/>
      <c r="E1728" s="1"/>
      <c r="F1728" s="40" t="s">
        <v>5</v>
      </c>
      <c r="G1728" s="40"/>
      <c r="H1728" s="1"/>
      <c r="I1728" s="41">
        <f>SUM(I1724:I1725)</f>
        <v>300000</v>
      </c>
      <c r="J1728" s="1"/>
      <c r="K1728" s="1"/>
      <c r="L1728" s="42"/>
    </row>
    <row r="1729" spans="1:12" ht="15.75" thickBot="1" x14ac:dyDescent="0.3">
      <c r="A1729" s="1"/>
      <c r="B1729" s="43"/>
      <c r="C1729" s="44"/>
      <c r="D1729" s="44"/>
      <c r="E1729" s="44"/>
      <c r="F1729" s="45"/>
      <c r="G1729" s="45"/>
      <c r="H1729" s="44"/>
      <c r="I1729" s="46"/>
      <c r="J1729" s="44"/>
      <c r="K1729" s="44"/>
      <c r="L1729" s="47"/>
    </row>
    <row r="1730" spans="1:12" ht="15.75" thickTop="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ht="54" customHeight="1" x14ac:dyDescent="0.2">
      <c r="A1731" s="10" t="s">
        <v>2</v>
      </c>
      <c r="B1731" s="279" t="s">
        <v>11</v>
      </c>
      <c r="C1731" s="279"/>
      <c r="D1731" s="279"/>
      <c r="E1731" s="279"/>
      <c r="F1731" s="279"/>
      <c r="G1731" s="279"/>
      <c r="H1731" s="279"/>
      <c r="I1731" s="279"/>
      <c r="J1731" s="279"/>
      <c r="K1731" s="279"/>
      <c r="L1731" s="279"/>
    </row>
    <row r="1732" spans="1:12" ht="15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ht="27.75" customHeight="1" x14ac:dyDescent="0.2">
      <c r="A1733" s="280" t="s">
        <v>12</v>
      </c>
      <c r="B1733" s="280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</row>
    <row r="1734" spans="1:12" ht="19.5" customHeight="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 ht="19.5" customHeight="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 ht="15" x14ac:dyDescent="0.25">
      <c r="A1736" s="1"/>
      <c r="B1736" s="1"/>
      <c r="C1736" s="1"/>
      <c r="D1736" s="1"/>
      <c r="E1736" s="1"/>
      <c r="F1736" s="1"/>
      <c r="G1736" s="1"/>
      <c r="H1736" s="4" t="s">
        <v>199</v>
      </c>
      <c r="J1736" s="286" t="s">
        <v>254</v>
      </c>
      <c r="K1736" s="286"/>
      <c r="L1736" s="286"/>
    </row>
    <row r="1737" spans="1:12" ht="15" x14ac:dyDescent="0.25">
      <c r="A1737" s="1"/>
      <c r="B1737" s="1" t="s">
        <v>15</v>
      </c>
      <c r="C1737" s="1"/>
      <c r="D1737" s="1"/>
      <c r="E1737" s="1"/>
      <c r="F1737" s="1"/>
      <c r="G1737" s="1"/>
      <c r="H1737" s="4" t="s">
        <v>13</v>
      </c>
    </row>
    <row r="1738" spans="1:12" ht="15" x14ac:dyDescent="0.25">
      <c r="A1738" s="1"/>
      <c r="B1738" s="1" t="s">
        <v>18</v>
      </c>
      <c r="C1738" s="1"/>
      <c r="D1738" s="1"/>
      <c r="E1738" s="1"/>
      <c r="F1738" s="1"/>
      <c r="G1738" s="1"/>
      <c r="H1738" s="4" t="s">
        <v>14</v>
      </c>
    </row>
    <row r="1739" spans="1:12" ht="12" customHeight="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 ht="15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 ht="15" x14ac:dyDescent="0.25">
      <c r="A1741" s="1"/>
      <c r="B1741" s="103"/>
      <c r="C1741" s="103"/>
      <c r="D1741" s="103"/>
      <c r="E1741" s="103"/>
      <c r="F1741" s="103"/>
      <c r="G1741" s="103"/>
      <c r="H1741" s="103"/>
      <c r="I1741" s="103"/>
      <c r="J1741" s="103"/>
      <c r="K1741" s="103"/>
      <c r="L1741" s="1"/>
    </row>
    <row r="1742" spans="1:12" ht="15" x14ac:dyDescent="0.25">
      <c r="A1742" s="1"/>
      <c r="K1742" s="103"/>
      <c r="L1742" s="1"/>
    </row>
    <row r="1743" spans="1:12" ht="15" x14ac:dyDescent="0.25">
      <c r="A1743" s="1"/>
      <c r="B1743" s="95" t="s">
        <v>77</v>
      </c>
      <c r="H1743" s="95" t="s">
        <v>77</v>
      </c>
      <c r="I1743" s="95"/>
      <c r="J1743" s="92"/>
      <c r="K1743" s="103"/>
      <c r="L1743" s="1"/>
    </row>
    <row r="1744" spans="1:12" ht="15" x14ac:dyDescent="0.25">
      <c r="A1744" s="1"/>
      <c r="B1744" s="99" t="s">
        <v>27</v>
      </c>
      <c r="C1744" s="57"/>
      <c r="H1744" s="99" t="s">
        <v>27</v>
      </c>
      <c r="K1744" s="103"/>
    </row>
    <row r="1745" spans="1:12" ht="12.75" x14ac:dyDescent="0.2"/>
    <row r="1746" spans="1:12" ht="12.75" x14ac:dyDescent="0.2"/>
    <row r="1747" spans="1:12" ht="14.25" customHeight="1" x14ac:dyDescent="0.2"/>
    <row r="1748" spans="1:12" ht="12.75" x14ac:dyDescent="0.2"/>
    <row r="1749" spans="1:12" ht="21" customHeight="1" x14ac:dyDescent="0.2"/>
    <row r="1750" spans="1:12" ht="22.5" customHeight="1" x14ac:dyDescent="0.25">
      <c r="A1750" s="3" t="s">
        <v>22</v>
      </c>
    </row>
    <row r="1751" spans="1:12" ht="20.25" customHeight="1" x14ac:dyDescent="0.2">
      <c r="A1751" s="122" t="s">
        <v>20</v>
      </c>
    </row>
    <row r="1752" spans="1:12" ht="18" customHeight="1" x14ac:dyDescent="0.2">
      <c r="A1752" s="122" t="s">
        <v>21</v>
      </c>
    </row>
    <row r="1753" spans="1:12" ht="33" customHeight="1" x14ac:dyDescent="0.2"/>
    <row r="1754" spans="1:12" ht="12.75" x14ac:dyDescent="0.2"/>
    <row r="1755" spans="1:12" ht="12.75" x14ac:dyDescent="0.2"/>
    <row r="1756" spans="1:12" ht="18.75" x14ac:dyDescent="0.3">
      <c r="A1756" s="276" t="s">
        <v>6</v>
      </c>
      <c r="B1756" s="276"/>
      <c r="C1756" s="276"/>
      <c r="D1756" s="276"/>
      <c r="E1756" s="276"/>
      <c r="F1756" s="276"/>
      <c r="G1756" s="276"/>
      <c r="H1756" s="276"/>
      <c r="I1756" s="276"/>
      <c r="J1756" s="276"/>
      <c r="K1756" s="276"/>
      <c r="L1756" s="276"/>
    </row>
    <row r="1757" spans="1:12" ht="18.75" customHeight="1" x14ac:dyDescent="0.3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</row>
    <row r="1758" spans="1:12" ht="34.5" hidden="1" customHeight="1" x14ac:dyDescent="0.3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</row>
    <row r="1759" spans="1:12" ht="20.25" customHeight="1" x14ac:dyDescent="0.25">
      <c r="A1759" s="1"/>
      <c r="B1759" s="1"/>
    </row>
    <row r="1760" spans="1:12" ht="24" customHeight="1" x14ac:dyDescent="0.25">
      <c r="A1760" s="1" t="s">
        <v>7</v>
      </c>
      <c r="B1760" s="1"/>
    </row>
    <row r="1761" spans="1:12" ht="10.5" customHeight="1" x14ac:dyDescent="0.25">
      <c r="A1761" s="1"/>
      <c r="B1761" s="1"/>
    </row>
    <row r="1762" spans="1:12" ht="15" x14ac:dyDescent="0.25">
      <c r="A1762" s="1" t="s">
        <v>8</v>
      </c>
      <c r="C1762" s="9" t="s">
        <v>1</v>
      </c>
      <c r="D1762" s="92" t="s">
        <v>92</v>
      </c>
      <c r="E1762" s="76"/>
      <c r="F1762" s="76"/>
      <c r="G1762" s="76"/>
      <c r="H1762" s="76"/>
    </row>
    <row r="1763" spans="1:12" ht="12.75" customHeight="1" x14ac:dyDescent="0.25">
      <c r="A1763" s="1" t="s">
        <v>9</v>
      </c>
      <c r="C1763" s="9" t="s">
        <v>1</v>
      </c>
      <c r="D1763" s="4" t="s">
        <v>263</v>
      </c>
      <c r="E1763" s="76"/>
      <c r="F1763" s="76"/>
      <c r="G1763" s="76"/>
      <c r="H1763" s="76"/>
    </row>
    <row r="1764" spans="1:12" ht="15" x14ac:dyDescent="0.2">
      <c r="A1764" s="50" t="s">
        <v>10</v>
      </c>
      <c r="B1764" s="76"/>
      <c r="C1764" s="91" t="s">
        <v>1</v>
      </c>
      <c r="D1764" s="314" t="s">
        <v>264</v>
      </c>
      <c r="E1764" s="314"/>
      <c r="F1764" s="314"/>
      <c r="G1764" s="314"/>
      <c r="H1764" s="314"/>
      <c r="I1764" s="76"/>
      <c r="J1764" s="76"/>
      <c r="K1764" s="76"/>
      <c r="L1764" s="76"/>
    </row>
    <row r="1765" spans="1:12" ht="15" customHeight="1" x14ac:dyDescent="0.25">
      <c r="A1765" s="1"/>
      <c r="B1765" s="1"/>
      <c r="D1765" s="1"/>
    </row>
    <row r="1766" spans="1:12" ht="48.75" customHeight="1" x14ac:dyDescent="0.2">
      <c r="A1766" s="277" t="s">
        <v>260</v>
      </c>
      <c r="B1766" s="277"/>
      <c r="C1766" s="277"/>
      <c r="D1766" s="277"/>
      <c r="E1766" s="277"/>
      <c r="F1766" s="277"/>
      <c r="G1766" s="277"/>
      <c r="H1766" s="277"/>
      <c r="I1766" s="277"/>
      <c r="J1766" s="277"/>
      <c r="K1766" s="277"/>
      <c r="L1766" s="277"/>
    </row>
    <row r="1767" spans="1:12" ht="15" x14ac:dyDescent="0.25">
      <c r="A1767" s="1"/>
      <c r="B1767" s="1"/>
    </row>
    <row r="1768" spans="1:12" ht="39" customHeight="1" thickBot="1" x14ac:dyDescent="0.25">
      <c r="A1768" s="10" t="s">
        <v>0</v>
      </c>
      <c r="B1768" s="278" t="s">
        <v>91</v>
      </c>
      <c r="C1768" s="278"/>
      <c r="D1768" s="278"/>
      <c r="E1768" s="278"/>
      <c r="F1768" s="278"/>
      <c r="G1768" s="278"/>
      <c r="H1768" s="278"/>
      <c r="I1768" s="278"/>
      <c r="J1768" s="278"/>
      <c r="K1768" s="278"/>
      <c r="L1768" s="278"/>
    </row>
    <row r="1769" spans="1:12" ht="25.5" customHeight="1" thickTop="1" x14ac:dyDescent="0.25">
      <c r="A1769" s="1"/>
      <c r="B1769" s="11" t="s">
        <v>3</v>
      </c>
      <c r="C1769" s="12" t="s">
        <v>4</v>
      </c>
      <c r="D1769" s="13"/>
      <c r="E1769" s="13"/>
      <c r="F1769" s="13"/>
      <c r="G1769" s="13"/>
      <c r="H1769" s="14"/>
      <c r="I1769" s="15" t="s">
        <v>5</v>
      </c>
      <c r="J1769" s="12" t="s">
        <v>17</v>
      </c>
      <c r="K1769" s="13"/>
      <c r="L1769" s="14"/>
    </row>
    <row r="1770" spans="1:12" ht="35.25" customHeight="1" x14ac:dyDescent="0.2">
      <c r="A1770" s="50"/>
      <c r="B1770" s="100">
        <v>1</v>
      </c>
      <c r="C1770" s="129" t="s">
        <v>261</v>
      </c>
      <c r="D1770" s="130"/>
      <c r="E1770" s="130">
        <v>150000</v>
      </c>
      <c r="F1770" s="332" t="s">
        <v>262</v>
      </c>
      <c r="G1770" s="285"/>
      <c r="H1770" s="333"/>
      <c r="I1770" s="56">
        <f>E1770*2</f>
        <v>300000</v>
      </c>
      <c r="J1770" s="334" t="s">
        <v>207</v>
      </c>
      <c r="K1770" s="335"/>
      <c r="L1770" s="336"/>
    </row>
    <row r="1771" spans="1:12" ht="26.25" customHeight="1" x14ac:dyDescent="0.25">
      <c r="A1771" s="50"/>
      <c r="B1771" s="96"/>
      <c r="C1771" s="321"/>
      <c r="D1771" s="297"/>
      <c r="E1771" s="127"/>
      <c r="F1771" s="319"/>
      <c r="G1771" s="319"/>
      <c r="H1771" s="331"/>
      <c r="I1771" s="56"/>
      <c r="J1771" s="50"/>
      <c r="K1771" s="1"/>
      <c r="L1771" s="17"/>
    </row>
    <row r="1772" spans="1:12" ht="12.75" customHeight="1" x14ac:dyDescent="0.2">
      <c r="B1772" s="16"/>
      <c r="H1772" s="17"/>
      <c r="I1772" s="19"/>
      <c r="L1772" s="17"/>
    </row>
    <row r="1773" spans="1:12" ht="12.75" x14ac:dyDescent="0.2">
      <c r="B1773" s="20"/>
      <c r="C1773" s="21"/>
      <c r="D1773" s="21"/>
      <c r="E1773" s="21"/>
      <c r="F1773" s="21"/>
      <c r="G1773" s="21"/>
      <c r="H1773" s="22"/>
      <c r="I1773" s="23"/>
      <c r="J1773" s="21"/>
      <c r="K1773" s="21"/>
      <c r="L1773" s="22"/>
    </row>
    <row r="1774" spans="1:12" ht="15" customHeight="1" x14ac:dyDescent="0.25">
      <c r="A1774" s="1"/>
      <c r="B1774" s="39"/>
      <c r="C1774" s="1"/>
      <c r="D1774" s="1"/>
      <c r="E1774" s="1"/>
      <c r="F1774" s="40" t="s">
        <v>5</v>
      </c>
      <c r="G1774" s="40"/>
      <c r="H1774" s="1"/>
      <c r="I1774" s="41">
        <f>SUM(I1770:I1771)</f>
        <v>300000</v>
      </c>
      <c r="J1774" s="1"/>
      <c r="K1774" s="1"/>
      <c r="L1774" s="42"/>
    </row>
    <row r="1775" spans="1:12" ht="15.75" thickBot="1" x14ac:dyDescent="0.3">
      <c r="A1775" s="1"/>
      <c r="B1775" s="43"/>
      <c r="C1775" s="44"/>
      <c r="D1775" s="44"/>
      <c r="E1775" s="44"/>
      <c r="F1775" s="45"/>
      <c r="G1775" s="45"/>
      <c r="H1775" s="44"/>
      <c r="I1775" s="46"/>
      <c r="J1775" s="44"/>
      <c r="K1775" s="44"/>
      <c r="L1775" s="47"/>
    </row>
    <row r="1776" spans="1:12" ht="15" customHeight="1" thickTop="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 ht="52.5" customHeight="1" x14ac:dyDescent="0.2">
      <c r="A1777" s="10" t="s">
        <v>2</v>
      </c>
      <c r="B1777" s="279" t="s">
        <v>11</v>
      </c>
      <c r="C1777" s="279"/>
      <c r="D1777" s="279"/>
      <c r="E1777" s="279"/>
      <c r="F1777" s="279"/>
      <c r="G1777" s="279"/>
      <c r="H1777" s="279"/>
      <c r="I1777" s="279"/>
      <c r="J1777" s="279"/>
      <c r="K1777" s="279"/>
      <c r="L1777" s="279"/>
    </row>
    <row r="1778" spans="1:12" ht="15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 ht="15" customHeight="1" x14ac:dyDescent="0.2">
      <c r="A1779" s="280" t="s">
        <v>12</v>
      </c>
      <c r="B1779" s="280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</row>
    <row r="1780" spans="1:12" ht="15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 ht="15" customHeight="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 ht="15" x14ac:dyDescent="0.25">
      <c r="A1782" s="1"/>
      <c r="B1782" s="1"/>
      <c r="C1782" s="1"/>
      <c r="D1782" s="1"/>
      <c r="E1782" s="1"/>
      <c r="F1782" s="1"/>
      <c r="G1782" s="1"/>
      <c r="H1782" s="4" t="s">
        <v>199</v>
      </c>
      <c r="J1782" s="286" t="s">
        <v>254</v>
      </c>
      <c r="K1782" s="286"/>
      <c r="L1782" s="286"/>
    </row>
    <row r="1783" spans="1:12" ht="15" x14ac:dyDescent="0.25">
      <c r="A1783" s="1"/>
      <c r="B1783" s="1" t="s">
        <v>15</v>
      </c>
      <c r="C1783" s="1"/>
      <c r="D1783" s="1"/>
      <c r="E1783" s="1"/>
      <c r="F1783" s="1"/>
      <c r="G1783" s="1"/>
      <c r="H1783" s="4" t="s">
        <v>13</v>
      </c>
    </row>
    <row r="1784" spans="1:12" ht="16.5" customHeight="1" x14ac:dyDescent="0.25">
      <c r="A1784" s="1"/>
      <c r="B1784" s="1" t="s">
        <v>18</v>
      </c>
      <c r="C1784" s="1"/>
      <c r="D1784" s="1"/>
      <c r="E1784" s="1"/>
      <c r="F1784" s="1"/>
      <c r="G1784" s="1"/>
      <c r="H1784" s="4" t="s">
        <v>14</v>
      </c>
    </row>
    <row r="1785" spans="1:12" ht="15" customHeight="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 ht="15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 ht="20.25" customHeight="1" x14ac:dyDescent="0.25">
      <c r="A1787" s="1"/>
      <c r="B1787" s="103"/>
      <c r="C1787" s="103"/>
      <c r="D1787" s="103"/>
      <c r="E1787" s="103"/>
      <c r="F1787" s="103"/>
      <c r="G1787" s="103"/>
      <c r="H1787" s="103"/>
      <c r="I1787" s="103"/>
      <c r="J1787" s="103"/>
      <c r="K1787" s="103"/>
      <c r="L1787" s="1"/>
    </row>
    <row r="1788" spans="1:12" ht="15" x14ac:dyDescent="0.25">
      <c r="A1788" s="1"/>
      <c r="K1788" s="103"/>
      <c r="L1788" s="1"/>
    </row>
    <row r="1789" spans="1:12" ht="15" customHeight="1" x14ac:dyDescent="0.25">
      <c r="A1789" s="1"/>
      <c r="B1789" s="95" t="s">
        <v>77</v>
      </c>
      <c r="H1789" s="95" t="str">
        <f>D1762</f>
        <v>Ronny Adha Wicaksono, S.Farm, Apt</v>
      </c>
      <c r="I1789" s="95"/>
      <c r="J1789" s="92"/>
      <c r="K1789" s="103"/>
      <c r="L1789" s="1"/>
    </row>
    <row r="1790" spans="1:12" ht="15" x14ac:dyDescent="0.25">
      <c r="A1790" s="1"/>
      <c r="B1790" s="99" t="s">
        <v>27</v>
      </c>
      <c r="C1790" s="57"/>
      <c r="H1790" s="99" t="s">
        <v>93</v>
      </c>
      <c r="K1790" s="103"/>
    </row>
    <row r="1791" spans="1:12" ht="12.75" x14ac:dyDescent="0.2"/>
    <row r="1792" spans="1:12" ht="13.5" customHeight="1" x14ac:dyDescent="0.2"/>
    <row r="1793" spans="1:12" ht="12.75" x14ac:dyDescent="0.2"/>
    <row r="1794" spans="1:12" ht="12.75" customHeight="1" x14ac:dyDescent="0.2"/>
    <row r="1795" spans="1:12" ht="12.75" customHeight="1" x14ac:dyDescent="0.2"/>
    <row r="1796" spans="1:12" ht="21.75" customHeight="1" x14ac:dyDescent="0.2"/>
    <row r="1797" spans="1:12" ht="30" customHeight="1" x14ac:dyDescent="0.25">
      <c r="A1797" s="3" t="s">
        <v>22</v>
      </c>
    </row>
    <row r="1798" spans="1:12" ht="15.75" x14ac:dyDescent="0.2">
      <c r="A1798" s="122" t="s">
        <v>20</v>
      </c>
    </row>
    <row r="1799" spans="1:12" ht="21" customHeight="1" x14ac:dyDescent="0.2">
      <c r="A1799" s="122" t="s">
        <v>21</v>
      </c>
    </row>
    <row r="1800" spans="1:12" ht="12.75" x14ac:dyDescent="0.2"/>
    <row r="1801" spans="1:12" ht="12.75" x14ac:dyDescent="0.2"/>
    <row r="1802" spans="1:12" ht="12.75" x14ac:dyDescent="0.2"/>
    <row r="1803" spans="1:12" ht="40.5" customHeight="1" x14ac:dyDescent="0.3">
      <c r="A1803" s="276" t="s">
        <v>6</v>
      </c>
      <c r="B1803" s="276"/>
      <c r="C1803" s="276"/>
      <c r="D1803" s="276"/>
      <c r="E1803" s="276"/>
      <c r="F1803" s="276"/>
      <c r="G1803" s="276"/>
      <c r="H1803" s="276"/>
      <c r="I1803" s="276"/>
      <c r="J1803" s="276"/>
      <c r="K1803" s="276"/>
      <c r="L1803" s="276"/>
    </row>
    <row r="1804" spans="1:12" ht="26.25" customHeight="1" x14ac:dyDescent="0.3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</row>
    <row r="1805" spans="1:12" ht="1.5" customHeight="1" x14ac:dyDescent="0.3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</row>
    <row r="1806" spans="1:12" ht="26.25" customHeight="1" x14ac:dyDescent="0.25">
      <c r="A1806" s="1"/>
      <c r="B1806" s="1"/>
    </row>
    <row r="1807" spans="1:12" ht="21.75" customHeight="1" x14ac:dyDescent="0.25">
      <c r="A1807" s="1" t="s">
        <v>7</v>
      </c>
      <c r="B1807" s="1"/>
    </row>
    <row r="1808" spans="1:12" ht="13.5" customHeight="1" x14ac:dyDescent="0.25">
      <c r="A1808" s="1"/>
      <c r="B1808" s="1"/>
    </row>
    <row r="1809" spans="1:12" ht="15" x14ac:dyDescent="0.25">
      <c r="A1809" s="1" t="s">
        <v>8</v>
      </c>
      <c r="C1809" s="9" t="s">
        <v>1</v>
      </c>
      <c r="D1809" s="92" t="s">
        <v>92</v>
      </c>
      <c r="E1809" s="76"/>
      <c r="F1809" s="76"/>
      <c r="G1809" s="76"/>
      <c r="H1809" s="76"/>
    </row>
    <row r="1810" spans="1:12" ht="15" x14ac:dyDescent="0.25">
      <c r="A1810" s="1" t="s">
        <v>9</v>
      </c>
      <c r="C1810" s="9" t="s">
        <v>1</v>
      </c>
      <c r="D1810" s="4" t="s">
        <v>263</v>
      </c>
      <c r="E1810" s="76"/>
      <c r="F1810" s="76"/>
      <c r="G1810" s="76"/>
      <c r="H1810" s="76"/>
    </row>
    <row r="1811" spans="1:12" ht="15" x14ac:dyDescent="0.2">
      <c r="A1811" s="50" t="s">
        <v>10</v>
      </c>
      <c r="B1811" s="76"/>
      <c r="C1811" s="91" t="s">
        <v>1</v>
      </c>
      <c r="D1811" s="314" t="s">
        <v>264</v>
      </c>
      <c r="E1811" s="314"/>
      <c r="F1811" s="314"/>
      <c r="G1811" s="314"/>
      <c r="H1811" s="314"/>
      <c r="I1811" s="76"/>
      <c r="J1811" s="76"/>
      <c r="K1811" s="76"/>
      <c r="L1811" s="76"/>
    </row>
    <row r="1812" spans="1:12" ht="15" x14ac:dyDescent="0.25">
      <c r="A1812" s="1"/>
      <c r="B1812" s="1"/>
      <c r="D1812" s="1"/>
    </row>
    <row r="1813" spans="1:12" ht="40.5" customHeight="1" x14ac:dyDescent="0.2">
      <c r="A1813" s="277" t="s">
        <v>267</v>
      </c>
      <c r="B1813" s="277"/>
      <c r="C1813" s="277"/>
      <c r="D1813" s="277"/>
      <c r="E1813" s="277"/>
      <c r="F1813" s="277"/>
      <c r="G1813" s="277"/>
      <c r="H1813" s="277"/>
      <c r="I1813" s="277"/>
      <c r="J1813" s="277"/>
      <c r="K1813" s="277"/>
      <c r="L1813" s="277"/>
    </row>
    <row r="1814" spans="1:12" ht="15" x14ac:dyDescent="0.25">
      <c r="A1814" s="1"/>
      <c r="B1814" s="1"/>
    </row>
    <row r="1815" spans="1:12" ht="45.75" customHeight="1" thickBot="1" x14ac:dyDescent="0.25">
      <c r="A1815" s="10" t="s">
        <v>0</v>
      </c>
      <c r="B1815" s="278" t="s">
        <v>91</v>
      </c>
      <c r="C1815" s="278"/>
      <c r="D1815" s="278"/>
      <c r="E1815" s="278"/>
      <c r="F1815" s="278"/>
      <c r="G1815" s="278"/>
      <c r="H1815" s="278"/>
      <c r="I1815" s="278"/>
      <c r="J1815" s="278"/>
      <c r="K1815" s="278"/>
      <c r="L1815" s="278"/>
    </row>
    <row r="1816" spans="1:12" ht="15.75" thickTop="1" x14ac:dyDescent="0.25">
      <c r="A1816" s="1"/>
      <c r="B1816" s="11" t="s">
        <v>3</v>
      </c>
      <c r="C1816" s="12" t="s">
        <v>4</v>
      </c>
      <c r="D1816" s="13"/>
      <c r="E1816" s="13"/>
      <c r="F1816" s="13"/>
      <c r="G1816" s="13"/>
      <c r="H1816" s="14"/>
      <c r="I1816" s="15" t="s">
        <v>5</v>
      </c>
      <c r="J1816" s="12" t="s">
        <v>17</v>
      </c>
      <c r="K1816" s="13"/>
      <c r="L1816" s="14"/>
    </row>
    <row r="1817" spans="1:12" ht="26.25" customHeight="1" x14ac:dyDescent="0.2">
      <c r="A1817" s="50"/>
      <c r="B1817" s="100">
        <v>1</v>
      </c>
      <c r="C1817" s="129" t="s">
        <v>266</v>
      </c>
      <c r="D1817" s="130"/>
      <c r="E1817" s="130"/>
      <c r="F1817" s="332"/>
      <c r="G1817" s="285"/>
      <c r="H1817" s="333"/>
      <c r="I1817" s="56">
        <v>73000</v>
      </c>
      <c r="J1817" s="334"/>
      <c r="K1817" s="335"/>
      <c r="L1817" s="336"/>
    </row>
    <row r="1818" spans="1:12" ht="20.25" customHeight="1" x14ac:dyDescent="0.25">
      <c r="A1818" s="50"/>
      <c r="B1818" s="96">
        <v>2</v>
      </c>
      <c r="C1818" s="321" t="s">
        <v>238</v>
      </c>
      <c r="D1818" s="297"/>
      <c r="E1818" s="127">
        <v>650000</v>
      </c>
      <c r="F1818" s="319" t="s">
        <v>239</v>
      </c>
      <c r="G1818" s="297"/>
      <c r="H1818" s="320"/>
      <c r="I1818" s="56">
        <f>E1818*30/100</f>
        <v>195000</v>
      </c>
      <c r="J1818" s="50" t="s">
        <v>240</v>
      </c>
      <c r="K1818" s="1"/>
      <c r="L1818" s="17"/>
    </row>
    <row r="1819" spans="1:12" ht="12.75" x14ac:dyDescent="0.2">
      <c r="B1819" s="16"/>
      <c r="H1819" s="17"/>
      <c r="I1819" s="19"/>
      <c r="L1819" s="17"/>
    </row>
    <row r="1820" spans="1:12" ht="12.75" x14ac:dyDescent="0.2">
      <c r="B1820" s="20"/>
      <c r="C1820" s="21"/>
      <c r="D1820" s="21"/>
      <c r="E1820" s="21"/>
      <c r="F1820" s="21"/>
      <c r="G1820" s="21"/>
      <c r="H1820" s="22"/>
      <c r="I1820" s="23"/>
      <c r="J1820" s="21"/>
      <c r="K1820" s="21"/>
      <c r="L1820" s="22"/>
    </row>
    <row r="1821" spans="1:12" ht="15" x14ac:dyDescent="0.25">
      <c r="A1821" s="1"/>
      <c r="B1821" s="39"/>
      <c r="C1821" s="1"/>
      <c r="D1821" s="1"/>
      <c r="E1821" s="1"/>
      <c r="F1821" s="40" t="s">
        <v>5</v>
      </c>
      <c r="G1821" s="40"/>
      <c r="H1821" s="1"/>
      <c r="I1821" s="41">
        <f>SUM(I1817:I1818)</f>
        <v>268000</v>
      </c>
      <c r="J1821" s="1"/>
      <c r="K1821" s="1"/>
      <c r="L1821" s="42"/>
    </row>
    <row r="1822" spans="1:12" ht="15.75" thickBot="1" x14ac:dyDescent="0.3">
      <c r="A1822" s="1"/>
      <c r="B1822" s="43"/>
      <c r="C1822" s="44"/>
      <c r="D1822" s="44"/>
      <c r="E1822" s="44"/>
      <c r="F1822" s="45"/>
      <c r="G1822" s="45"/>
      <c r="H1822" s="44"/>
      <c r="I1822" s="46"/>
      <c r="J1822" s="44"/>
      <c r="K1822" s="44"/>
      <c r="L1822" s="47"/>
    </row>
    <row r="1823" spans="1:12" ht="16.5" customHeight="1" thickTop="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 ht="49.5" customHeight="1" x14ac:dyDescent="0.2">
      <c r="A1824" s="10" t="s">
        <v>2</v>
      </c>
      <c r="B1824" s="279" t="s">
        <v>11</v>
      </c>
      <c r="C1824" s="279"/>
      <c r="D1824" s="279"/>
      <c r="E1824" s="279"/>
      <c r="F1824" s="279"/>
      <c r="G1824" s="279"/>
      <c r="H1824" s="279"/>
      <c r="I1824" s="279"/>
      <c r="J1824" s="279"/>
      <c r="K1824" s="279"/>
      <c r="L1824" s="279"/>
    </row>
    <row r="1825" spans="1:12" ht="15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 ht="21.75" customHeight="1" x14ac:dyDescent="0.2">
      <c r="A1826" s="280" t="s">
        <v>12</v>
      </c>
      <c r="B1826" s="280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</row>
    <row r="1827" spans="1:12" ht="15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 ht="15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 ht="15" x14ac:dyDescent="0.25">
      <c r="A1829" s="1"/>
      <c r="B1829" s="1"/>
      <c r="C1829" s="1"/>
      <c r="D1829" s="1"/>
      <c r="E1829" s="1"/>
      <c r="F1829" s="1"/>
      <c r="G1829" s="1"/>
      <c r="H1829" s="4" t="s">
        <v>199</v>
      </c>
      <c r="J1829" s="286" t="s">
        <v>254</v>
      </c>
      <c r="K1829" s="286"/>
      <c r="L1829" s="286"/>
    </row>
    <row r="1830" spans="1:12" ht="12.75" customHeight="1" x14ac:dyDescent="0.25">
      <c r="A1830" s="1"/>
      <c r="B1830" s="1" t="s">
        <v>15</v>
      </c>
      <c r="C1830" s="1"/>
      <c r="D1830" s="1"/>
      <c r="E1830" s="1"/>
      <c r="F1830" s="1"/>
      <c r="G1830" s="1"/>
      <c r="H1830" s="4" t="s">
        <v>13</v>
      </c>
    </row>
    <row r="1831" spans="1:12" ht="15" x14ac:dyDescent="0.25">
      <c r="A1831" s="1"/>
      <c r="B1831" s="1" t="s">
        <v>18</v>
      </c>
      <c r="C1831" s="1"/>
      <c r="D1831" s="1"/>
      <c r="E1831" s="1"/>
      <c r="F1831" s="1"/>
      <c r="G1831" s="1"/>
      <c r="H1831" s="4" t="s">
        <v>14</v>
      </c>
    </row>
    <row r="1832" spans="1:12" ht="15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 ht="1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 ht="15" x14ac:dyDescent="0.25">
      <c r="A1834" s="1"/>
      <c r="B1834" s="103"/>
      <c r="C1834" s="103"/>
      <c r="D1834" s="103"/>
      <c r="E1834" s="103"/>
      <c r="F1834" s="103"/>
      <c r="G1834" s="103"/>
      <c r="H1834" s="103"/>
      <c r="I1834" s="103"/>
      <c r="J1834" s="103"/>
      <c r="K1834" s="103"/>
      <c r="L1834" s="1"/>
    </row>
    <row r="1835" spans="1:12" ht="15" x14ac:dyDescent="0.25">
      <c r="A1835" s="1"/>
      <c r="K1835" s="103"/>
      <c r="L1835" s="1"/>
    </row>
    <row r="1836" spans="1:12" ht="15" x14ac:dyDescent="0.25">
      <c r="A1836" s="1"/>
      <c r="B1836" s="95" t="s">
        <v>77</v>
      </c>
      <c r="H1836" s="95" t="str">
        <f>D1809</f>
        <v>Ronny Adha Wicaksono, S.Farm, Apt</v>
      </c>
      <c r="I1836" s="95"/>
      <c r="J1836" s="92"/>
      <c r="K1836" s="103"/>
      <c r="L1836" s="1"/>
    </row>
    <row r="1837" spans="1:12" ht="16.5" customHeight="1" x14ac:dyDescent="0.25">
      <c r="A1837" s="1"/>
      <c r="B1837" s="99" t="s">
        <v>27</v>
      </c>
      <c r="C1837" s="57"/>
      <c r="H1837" s="99" t="s">
        <v>93</v>
      </c>
      <c r="K1837" s="103"/>
    </row>
    <row r="1838" spans="1:12" ht="15.75" customHeight="1" x14ac:dyDescent="0.2"/>
    <row r="1839" spans="1:12" ht="15" customHeight="1" x14ac:dyDescent="0.2"/>
    <row r="1840" spans="1:12" ht="23.25" customHeight="1" x14ac:dyDescent="0.25">
      <c r="A1840" s="3" t="s">
        <v>22</v>
      </c>
    </row>
    <row r="1841" spans="1:12" ht="15.75" x14ac:dyDescent="0.2">
      <c r="A1841" s="122" t="s">
        <v>20</v>
      </c>
    </row>
    <row r="1842" spans="1:12" ht="21" customHeight="1" x14ac:dyDescent="0.2">
      <c r="A1842" s="122" t="s">
        <v>21</v>
      </c>
    </row>
    <row r="1843" spans="1:12" ht="21" customHeight="1" x14ac:dyDescent="0.2"/>
    <row r="1844" spans="1:12" ht="12.75" x14ac:dyDescent="0.2"/>
    <row r="1845" spans="1:12" ht="12.75" x14ac:dyDescent="0.2"/>
    <row r="1846" spans="1:12" ht="18.75" x14ac:dyDescent="0.3">
      <c r="A1846" s="276" t="s">
        <v>6</v>
      </c>
      <c r="B1846" s="276"/>
      <c r="C1846" s="276"/>
      <c r="D1846" s="276"/>
      <c r="E1846" s="276"/>
      <c r="F1846" s="276"/>
      <c r="G1846" s="276"/>
      <c r="H1846" s="276"/>
      <c r="I1846" s="276"/>
      <c r="J1846" s="276"/>
      <c r="K1846" s="276"/>
      <c r="L1846" s="276"/>
    </row>
    <row r="1847" spans="1:12" ht="18.75" x14ac:dyDescent="0.3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</row>
    <row r="1848" spans="1:12" ht="18.75" x14ac:dyDescent="0.3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</row>
    <row r="1849" spans="1:12" ht="14.25" customHeight="1" x14ac:dyDescent="0.25">
      <c r="A1849" s="1"/>
      <c r="B1849" s="1"/>
    </row>
    <row r="1850" spans="1:12" ht="21.75" customHeight="1" x14ac:dyDescent="0.25">
      <c r="A1850" s="1" t="s">
        <v>7</v>
      </c>
      <c r="B1850" s="1"/>
    </row>
    <row r="1851" spans="1:12" ht="15.75" customHeight="1" x14ac:dyDescent="0.25">
      <c r="A1851" s="1"/>
      <c r="B1851" s="1"/>
    </row>
    <row r="1852" spans="1:12" ht="16.5" customHeight="1" x14ac:dyDescent="0.25">
      <c r="A1852" s="1" t="s">
        <v>8</v>
      </c>
      <c r="C1852" s="9" t="s">
        <v>1</v>
      </c>
      <c r="D1852" s="92" t="s">
        <v>77</v>
      </c>
      <c r="E1852" s="76"/>
      <c r="F1852" s="76"/>
      <c r="G1852" s="76"/>
      <c r="H1852" s="76"/>
    </row>
    <row r="1853" spans="1:12" ht="15.75" customHeight="1" x14ac:dyDescent="0.25">
      <c r="A1853" s="1" t="s">
        <v>9</v>
      </c>
      <c r="C1853" s="9" t="s">
        <v>1</v>
      </c>
      <c r="D1853" s="57" t="s">
        <v>201</v>
      </c>
      <c r="E1853" s="76"/>
      <c r="F1853" s="76"/>
      <c r="G1853" s="76"/>
      <c r="H1853" s="76"/>
    </row>
    <row r="1854" spans="1:12" ht="13.5" customHeight="1" x14ac:dyDescent="0.2">
      <c r="A1854" s="50" t="s">
        <v>10</v>
      </c>
      <c r="B1854" s="76"/>
      <c r="C1854" s="91" t="s">
        <v>1</v>
      </c>
      <c r="D1854" s="314" t="s">
        <v>265</v>
      </c>
      <c r="E1854" s="314"/>
      <c r="F1854" s="314"/>
      <c r="G1854" s="314"/>
      <c r="H1854" s="314"/>
      <c r="I1854" s="76"/>
      <c r="J1854" s="76"/>
      <c r="K1854" s="76"/>
      <c r="L1854" s="76"/>
    </row>
    <row r="1855" spans="1:12" ht="22.5" customHeight="1" x14ac:dyDescent="0.25">
      <c r="A1855" s="1"/>
      <c r="B1855" s="1"/>
      <c r="D1855" s="1"/>
    </row>
    <row r="1856" spans="1:12" ht="31.5" customHeight="1" x14ac:dyDescent="0.2">
      <c r="A1856" s="277" t="s">
        <v>267</v>
      </c>
      <c r="B1856" s="277"/>
      <c r="C1856" s="277"/>
      <c r="D1856" s="277"/>
      <c r="E1856" s="277"/>
      <c r="F1856" s="277"/>
      <c r="G1856" s="277"/>
      <c r="H1856" s="277"/>
      <c r="I1856" s="277"/>
      <c r="J1856" s="277"/>
      <c r="K1856" s="277"/>
      <c r="L1856" s="277"/>
    </row>
    <row r="1857" spans="1:12" ht="15" x14ac:dyDescent="0.25">
      <c r="A1857" s="1"/>
      <c r="B1857" s="1"/>
    </row>
    <row r="1858" spans="1:12" ht="39" customHeight="1" thickBot="1" x14ac:dyDescent="0.25">
      <c r="A1858" s="10" t="s">
        <v>0</v>
      </c>
      <c r="B1858" s="278" t="s">
        <v>91</v>
      </c>
      <c r="C1858" s="278"/>
      <c r="D1858" s="278"/>
      <c r="E1858" s="278"/>
      <c r="F1858" s="278"/>
      <c r="G1858" s="278"/>
      <c r="H1858" s="278"/>
      <c r="I1858" s="278"/>
      <c r="J1858" s="278"/>
      <c r="K1858" s="278"/>
      <c r="L1858" s="278"/>
    </row>
    <row r="1859" spans="1:12" ht="15.75" thickTop="1" x14ac:dyDescent="0.25">
      <c r="A1859" s="1"/>
      <c r="B1859" s="11" t="s">
        <v>3</v>
      </c>
      <c r="C1859" s="12" t="s">
        <v>4</v>
      </c>
      <c r="D1859" s="13"/>
      <c r="E1859" s="13"/>
      <c r="F1859" s="13"/>
      <c r="G1859" s="13"/>
      <c r="H1859" s="14"/>
      <c r="I1859" s="15" t="s">
        <v>5</v>
      </c>
      <c r="J1859" s="12" t="s">
        <v>17</v>
      </c>
      <c r="K1859" s="13"/>
      <c r="L1859" s="14"/>
    </row>
    <row r="1860" spans="1:12" ht="27.75" customHeight="1" x14ac:dyDescent="0.2">
      <c r="A1860" s="50"/>
      <c r="B1860" s="100">
        <v>1</v>
      </c>
      <c r="C1860" s="129" t="s">
        <v>266</v>
      </c>
      <c r="D1860" s="130"/>
      <c r="E1860" s="130"/>
      <c r="F1860" s="332"/>
      <c r="G1860" s="285"/>
      <c r="H1860" s="333"/>
      <c r="I1860" s="56">
        <v>65000</v>
      </c>
      <c r="J1860" s="334"/>
      <c r="K1860" s="335"/>
      <c r="L1860" s="336"/>
    </row>
    <row r="1861" spans="1:12" ht="26.25" customHeight="1" x14ac:dyDescent="0.25">
      <c r="A1861" s="50"/>
      <c r="B1861" s="96">
        <v>2</v>
      </c>
      <c r="C1861" s="321" t="s">
        <v>238</v>
      </c>
      <c r="D1861" s="297"/>
      <c r="E1861" s="127">
        <v>1353000</v>
      </c>
      <c r="F1861" s="319" t="s">
        <v>239</v>
      </c>
      <c r="G1861" s="297"/>
      <c r="H1861" s="320"/>
      <c r="I1861" s="56">
        <f>E1861*30/100</f>
        <v>405900</v>
      </c>
      <c r="J1861" s="50" t="s">
        <v>240</v>
      </c>
      <c r="K1861" s="1"/>
      <c r="L1861" s="17"/>
    </row>
    <row r="1862" spans="1:12" ht="20.25" customHeight="1" x14ac:dyDescent="0.2">
      <c r="B1862" s="16"/>
      <c r="H1862" s="17"/>
      <c r="I1862" s="19"/>
      <c r="L1862" s="17"/>
    </row>
    <row r="1863" spans="1:12" ht="12.75" x14ac:dyDescent="0.2">
      <c r="B1863" s="20"/>
      <c r="C1863" s="21"/>
      <c r="D1863" s="21"/>
      <c r="E1863" s="21"/>
      <c r="F1863" s="21"/>
      <c r="G1863" s="21"/>
      <c r="H1863" s="22"/>
      <c r="I1863" s="23"/>
      <c r="J1863" s="21"/>
      <c r="K1863" s="21"/>
      <c r="L1863" s="22"/>
    </row>
    <row r="1864" spans="1:12" ht="15" x14ac:dyDescent="0.25">
      <c r="A1864" s="1"/>
      <c r="B1864" s="39"/>
      <c r="C1864" s="1"/>
      <c r="D1864" s="1"/>
      <c r="E1864" s="1"/>
      <c r="F1864" s="40" t="s">
        <v>5</v>
      </c>
      <c r="G1864" s="40"/>
      <c r="H1864" s="1"/>
      <c r="I1864" s="41">
        <f>SUM(I1860:I1861)</f>
        <v>470900</v>
      </c>
      <c r="J1864" s="1"/>
      <c r="K1864" s="1"/>
      <c r="L1864" s="42"/>
    </row>
    <row r="1865" spans="1:12" ht="12.75" customHeight="1" thickBot="1" x14ac:dyDescent="0.3">
      <c r="A1865" s="1"/>
      <c r="B1865" s="43"/>
      <c r="C1865" s="44"/>
      <c r="D1865" s="44"/>
      <c r="E1865" s="44"/>
      <c r="F1865" s="45"/>
      <c r="G1865" s="45"/>
      <c r="H1865" s="44"/>
      <c r="I1865" s="46"/>
      <c r="J1865" s="44"/>
      <c r="K1865" s="44"/>
      <c r="L1865" s="47"/>
    </row>
    <row r="1866" spans="1:12" ht="18" customHeight="1" thickTop="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 ht="46.5" customHeight="1" x14ac:dyDescent="0.2">
      <c r="A1867" s="10" t="s">
        <v>2</v>
      </c>
      <c r="B1867" s="279" t="s">
        <v>11</v>
      </c>
      <c r="C1867" s="279"/>
      <c r="D1867" s="279"/>
      <c r="E1867" s="279"/>
      <c r="F1867" s="279"/>
      <c r="G1867" s="279"/>
      <c r="H1867" s="279"/>
      <c r="I1867" s="279"/>
      <c r="J1867" s="279"/>
      <c r="K1867" s="279"/>
      <c r="L1867" s="279"/>
    </row>
    <row r="1868" spans="1:12" ht="15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 ht="15" x14ac:dyDescent="0.2">
      <c r="A1869" s="280" t="s">
        <v>12</v>
      </c>
      <c r="B1869" s="280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</row>
    <row r="1870" spans="1:12" ht="15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 ht="15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 ht="16.5" customHeight="1" x14ac:dyDescent="0.25">
      <c r="A1872" s="1"/>
      <c r="B1872" s="1"/>
      <c r="C1872" s="1"/>
      <c r="D1872" s="1"/>
      <c r="E1872" s="1"/>
      <c r="F1872" s="1"/>
      <c r="G1872" s="1"/>
      <c r="H1872" s="4" t="s">
        <v>199</v>
      </c>
      <c r="J1872" s="286" t="s">
        <v>254</v>
      </c>
      <c r="K1872" s="286"/>
      <c r="L1872" s="286"/>
    </row>
    <row r="1873" spans="1:12" ht="15" x14ac:dyDescent="0.25">
      <c r="A1873" s="1"/>
      <c r="B1873" s="1" t="s">
        <v>15</v>
      </c>
      <c r="C1873" s="1"/>
      <c r="D1873" s="1"/>
      <c r="E1873" s="1"/>
      <c r="F1873" s="1"/>
      <c r="G1873" s="1"/>
      <c r="H1873" s="4" t="s">
        <v>13</v>
      </c>
    </row>
    <row r="1874" spans="1:12" ht="14.25" customHeight="1" x14ac:dyDescent="0.25">
      <c r="A1874" s="1"/>
      <c r="B1874" s="1" t="s">
        <v>18</v>
      </c>
      <c r="C1874" s="1"/>
      <c r="D1874" s="1"/>
      <c r="E1874" s="1"/>
      <c r="F1874" s="1"/>
      <c r="G1874" s="1"/>
      <c r="H1874" s="4" t="s">
        <v>14</v>
      </c>
    </row>
    <row r="1875" spans="1:12" ht="15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ht="15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ht="15" x14ac:dyDescent="0.25">
      <c r="A1877" s="1"/>
      <c r="B1877" s="103"/>
      <c r="C1877" s="103"/>
      <c r="D1877" s="103"/>
      <c r="E1877" s="103"/>
      <c r="F1877" s="103"/>
      <c r="G1877" s="103"/>
      <c r="H1877" s="103"/>
      <c r="I1877" s="103"/>
      <c r="J1877" s="103"/>
      <c r="K1877" s="103"/>
      <c r="L1877" s="1"/>
    </row>
    <row r="1878" spans="1:12" ht="12" customHeight="1" x14ac:dyDescent="0.25">
      <c r="A1878" s="1"/>
      <c r="K1878" s="103"/>
      <c r="L1878" s="1"/>
    </row>
    <row r="1879" spans="1:12" ht="15" x14ac:dyDescent="0.25">
      <c r="A1879" s="1"/>
      <c r="B1879" s="95" t="s">
        <v>77</v>
      </c>
      <c r="H1879" s="95" t="s">
        <v>77</v>
      </c>
      <c r="I1879" s="95"/>
      <c r="J1879" s="92"/>
      <c r="K1879" s="103"/>
      <c r="L1879" s="1"/>
    </row>
    <row r="1880" spans="1:12" ht="15" x14ac:dyDescent="0.25">
      <c r="A1880" s="1"/>
      <c r="B1880" s="99" t="s">
        <v>27</v>
      </c>
      <c r="C1880" s="57"/>
      <c r="H1880" s="99" t="s">
        <v>27</v>
      </c>
      <c r="K1880" s="103"/>
    </row>
    <row r="1881" spans="1:12" ht="12.75" x14ac:dyDescent="0.2"/>
    <row r="1882" spans="1:12" ht="12.75" x14ac:dyDescent="0.2"/>
    <row r="1883" spans="1:12" ht="12.75" x14ac:dyDescent="0.2"/>
    <row r="1884" spans="1:12" ht="12.75" x14ac:dyDescent="0.2"/>
    <row r="1885" spans="1:12" ht="53.25" customHeight="1" x14ac:dyDescent="0.2"/>
    <row r="1886" spans="1:12" ht="9.75" customHeight="1" x14ac:dyDescent="0.2"/>
    <row r="1887" spans="1:12" ht="15" customHeight="1" x14ac:dyDescent="0.2"/>
    <row r="1888" spans="1:12" ht="23.25" customHeight="1" x14ac:dyDescent="0.2"/>
    <row r="1889" ht="23.25" customHeight="1" x14ac:dyDescent="0.2"/>
    <row r="1890" ht="22.5" customHeight="1" x14ac:dyDescent="0.2"/>
    <row r="1891" ht="13.5" customHeight="1" x14ac:dyDescent="0.2"/>
    <row r="1892" ht="12.75" x14ac:dyDescent="0.2"/>
    <row r="1893" ht="12.75" x14ac:dyDescent="0.2"/>
    <row r="1894" ht="12.75" x14ac:dyDescent="0.2"/>
    <row r="1895" ht="12.75" x14ac:dyDescent="0.2"/>
    <row r="1896" ht="15" customHeight="1" x14ac:dyDescent="0.2"/>
    <row r="1897" ht="21" customHeight="1" x14ac:dyDescent="0.2"/>
    <row r="1898" ht="15.75" customHeight="1" x14ac:dyDescent="0.2"/>
    <row r="1899" ht="15.75" customHeight="1" x14ac:dyDescent="0.2"/>
    <row r="1900" ht="17.25" customHeight="1" x14ac:dyDescent="0.2"/>
    <row r="1901" ht="20.25" customHeight="1" x14ac:dyDescent="0.2"/>
    <row r="1902" ht="30.75" customHeight="1" x14ac:dyDescent="0.2"/>
    <row r="1903" ht="12.75" x14ac:dyDescent="0.2"/>
    <row r="1904" ht="35.25" customHeight="1" x14ac:dyDescent="0.2"/>
    <row r="1905" ht="12.75" x14ac:dyDescent="0.2"/>
    <row r="1906" ht="12.75" x14ac:dyDescent="0.2"/>
    <row r="1907" ht="12.75" x14ac:dyDescent="0.2"/>
    <row r="1908" ht="12.75" x14ac:dyDescent="0.2"/>
    <row r="1909" ht="7.5" customHeight="1" x14ac:dyDescent="0.2"/>
    <row r="1910" ht="12.75" x14ac:dyDescent="0.2"/>
    <row r="1911" ht="12.75" x14ac:dyDescent="0.2"/>
    <row r="1912" ht="12.75" x14ac:dyDescent="0.2"/>
    <row r="1913" ht="12.75" x14ac:dyDescent="0.2"/>
    <row r="1914" ht="47.25" customHeight="1" x14ac:dyDescent="0.2"/>
    <row r="1915" ht="12.75" x14ac:dyDescent="0.2"/>
    <row r="1916" ht="37.5" customHeight="1" x14ac:dyDescent="0.2"/>
    <row r="1917" ht="12.75" x14ac:dyDescent="0.2"/>
    <row r="1918" ht="28.5" customHeight="1" x14ac:dyDescent="0.2"/>
    <row r="1919" ht="12.75" x14ac:dyDescent="0.2"/>
    <row r="1920" ht="27" customHeight="1" x14ac:dyDescent="0.2"/>
    <row r="1921" ht="12.75" x14ac:dyDescent="0.2"/>
    <row r="1922" ht="41.25" customHeight="1" x14ac:dyDescent="0.2"/>
    <row r="1923" ht="12.75" x14ac:dyDescent="0.2"/>
    <row r="1924" ht="12.75" x14ac:dyDescent="0.2"/>
    <row r="1925" ht="12.75" x14ac:dyDescent="0.2"/>
    <row r="1926" ht="12.75" x14ac:dyDescent="0.2"/>
    <row r="1927" ht="47.25" customHeight="1" x14ac:dyDescent="0.2"/>
    <row r="1928" ht="12.75" x14ac:dyDescent="0.2"/>
    <row r="1929" ht="24" customHeight="1" x14ac:dyDescent="0.2"/>
    <row r="1930" ht="12.75" x14ac:dyDescent="0.2"/>
    <row r="1931" ht="17.25" customHeight="1" x14ac:dyDescent="0.2"/>
    <row r="1932" ht="17.25" customHeight="1" x14ac:dyDescent="0.2"/>
    <row r="1933" ht="13.5" customHeight="1" x14ac:dyDescent="0.2"/>
    <row r="1934" ht="12.75" x14ac:dyDescent="0.2"/>
    <row r="1935" ht="38.25" customHeight="1" x14ac:dyDescent="0.2"/>
    <row r="1936" ht="12.75" hidden="1" x14ac:dyDescent="0.2"/>
    <row r="1937" ht="21.75" hidden="1" customHeight="1" x14ac:dyDescent="0.2"/>
    <row r="1938" ht="12.75" x14ac:dyDescent="0.2"/>
    <row r="1939" ht="24.75" customHeight="1" x14ac:dyDescent="0.2"/>
    <row r="1940" ht="20.25" customHeight="1" x14ac:dyDescent="0.2"/>
    <row r="1941" ht="12.75" x14ac:dyDescent="0.2"/>
    <row r="1942" ht="9" customHeight="1" x14ac:dyDescent="0.2"/>
    <row r="1943" ht="14.25" customHeight="1" x14ac:dyDescent="0.2"/>
    <row r="1944" ht="15" customHeight="1" x14ac:dyDescent="0.2"/>
    <row r="1945" ht="18.75" customHeight="1" x14ac:dyDescent="0.2"/>
    <row r="1946" ht="12.75" x14ac:dyDescent="0.2"/>
    <row r="1947" ht="36.75" customHeight="1" x14ac:dyDescent="0.2"/>
    <row r="1948" ht="19.5" customHeight="1" x14ac:dyDescent="0.2"/>
    <row r="1949" ht="19.5" customHeight="1" x14ac:dyDescent="0.2"/>
    <row r="1950" ht="18" customHeight="1" x14ac:dyDescent="0.2"/>
    <row r="1951" ht="22.5" customHeight="1" x14ac:dyDescent="0.2"/>
    <row r="1952" ht="12.75" customHeight="1" x14ac:dyDescent="0.2"/>
    <row r="1953" ht="12.75" x14ac:dyDescent="0.2"/>
    <row r="1954" ht="30.75" customHeight="1" x14ac:dyDescent="0.2"/>
    <row r="1955" ht="12.75" x14ac:dyDescent="0.2"/>
    <row r="1956" ht="12.75" x14ac:dyDescent="0.2"/>
    <row r="1957" ht="12.75" x14ac:dyDescent="0.2"/>
    <row r="1958" ht="12.75" x14ac:dyDescent="0.2"/>
    <row r="1959" ht="24" customHeight="1" x14ac:dyDescent="0.2"/>
    <row r="1960" ht="12.75" x14ac:dyDescent="0.2"/>
    <row r="1961" ht="12.75" x14ac:dyDescent="0.2"/>
    <row r="1962" ht="12.75" x14ac:dyDescent="0.2"/>
    <row r="1963" ht="33.75" customHeight="1" x14ac:dyDescent="0.2"/>
    <row r="1964" ht="12.75" x14ac:dyDescent="0.2"/>
    <row r="1965" ht="34.5" customHeight="1" x14ac:dyDescent="0.2"/>
    <row r="1966" ht="12.75" x14ac:dyDescent="0.2"/>
    <row r="1967" ht="32.25" customHeight="1" x14ac:dyDescent="0.2"/>
    <row r="1968" ht="30.75" customHeight="1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54" customHeight="1" x14ac:dyDescent="0.2"/>
    <row r="1975" ht="12.75" x14ac:dyDescent="0.2"/>
    <row r="1976" ht="15" customHeight="1" x14ac:dyDescent="0.2"/>
    <row r="1977" ht="12.75" x14ac:dyDescent="0.2"/>
    <row r="1978" ht="9.75" customHeight="1" x14ac:dyDescent="0.2"/>
    <row r="1979" ht="12.75" x14ac:dyDescent="0.2"/>
    <row r="1980" ht="15" customHeight="1" x14ac:dyDescent="0.2"/>
    <row r="1981" ht="12.75" x14ac:dyDescent="0.2"/>
    <row r="1982" ht="23.25" customHeight="1" x14ac:dyDescent="0.2"/>
    <row r="1983" ht="2.25" customHeight="1" x14ac:dyDescent="0.2"/>
    <row r="1984" ht="21" customHeight="1" x14ac:dyDescent="0.2"/>
    <row r="1985" ht="12.75" x14ac:dyDescent="0.2"/>
    <row r="1986" ht="16.5" customHeight="1" x14ac:dyDescent="0.2"/>
    <row r="1987" ht="16.5" customHeight="1" x14ac:dyDescent="0.2"/>
    <row r="1988" ht="7.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2.75" x14ac:dyDescent="0.2"/>
    <row r="1995" ht="48" customHeight="1" x14ac:dyDescent="0.2"/>
    <row r="1996" ht="12.75" x14ac:dyDescent="0.2"/>
    <row r="1997" ht="20.25" customHeight="1" x14ac:dyDescent="0.2"/>
    <row r="1998" ht="12.75" x14ac:dyDescent="0.2"/>
    <row r="1999" ht="23.25" customHeight="1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3.5" customHeight="1" x14ac:dyDescent="0.2"/>
    <row r="2006" ht="12.75" x14ac:dyDescent="0.2"/>
    <row r="2007" ht="19.5" customHeight="1" x14ac:dyDescent="0.2"/>
    <row r="2008" ht="12.75" x14ac:dyDescent="0.2"/>
    <row r="2009" ht="12.75" x14ac:dyDescent="0.2"/>
    <row r="2010" ht="12.75" x14ac:dyDescent="0.2"/>
    <row r="2011" ht="51.75" customHeight="1" x14ac:dyDescent="0.2"/>
    <row r="2012" ht="12.75" customHeight="1" x14ac:dyDescent="0.2"/>
    <row r="2013" ht="34.5" customHeight="1" x14ac:dyDescent="0.2"/>
    <row r="2014" ht="24" customHeight="1" x14ac:dyDescent="0.2"/>
    <row r="2015" ht="26.25" customHeight="1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54.75" customHeight="1" x14ac:dyDescent="0.2"/>
    <row r="2023" ht="12.75" x14ac:dyDescent="0.2"/>
    <row r="2024" ht="47.25" customHeight="1" x14ac:dyDescent="0.2"/>
    <row r="2025" ht="12.75" x14ac:dyDescent="0.2"/>
    <row r="2026" ht="15" customHeight="1" x14ac:dyDescent="0.2"/>
    <row r="2027" ht="12.75" x14ac:dyDescent="0.2"/>
    <row r="2028" ht="12.75" x14ac:dyDescent="0.2"/>
    <row r="2029" ht="16.5" customHeight="1" x14ac:dyDescent="0.2"/>
    <row r="2030" ht="15" customHeight="1" x14ac:dyDescent="0.2"/>
    <row r="2031" ht="15" customHeight="1" x14ac:dyDescent="0.2"/>
    <row r="2032" ht="12.75" x14ac:dyDescent="0.2"/>
    <row r="2033" ht="20.25" customHeight="1" x14ac:dyDescent="0.2"/>
    <row r="2034" ht="20.25" customHeight="1" x14ac:dyDescent="0.2"/>
    <row r="2035" ht="12.75" x14ac:dyDescent="0.2"/>
    <row r="2036" ht="12.75" x14ac:dyDescent="0.2"/>
    <row r="2037" ht="13.5" customHeight="1" x14ac:dyDescent="0.2"/>
    <row r="2038" ht="15" customHeight="1" x14ac:dyDescent="0.2"/>
    <row r="2039" ht="15" customHeight="1" x14ac:dyDescent="0.2"/>
    <row r="2040" ht="21.75" customHeight="1" x14ac:dyDescent="0.2"/>
    <row r="2041" ht="12.75" x14ac:dyDescent="0.2"/>
    <row r="2042" ht="21.75" customHeight="1" x14ac:dyDescent="0.2"/>
    <row r="2043" ht="12.75" x14ac:dyDescent="0.2"/>
    <row r="2044" ht="21.75" customHeight="1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9.5" customHeight="1" x14ac:dyDescent="0.2"/>
    <row r="2053" ht="12.75" x14ac:dyDescent="0.2"/>
    <row r="2054" ht="33" customHeight="1" x14ac:dyDescent="0.2"/>
    <row r="2055" ht="12.75" x14ac:dyDescent="0.2"/>
    <row r="2056" ht="12.75" x14ac:dyDescent="0.2"/>
    <row r="2057" ht="12.75" x14ac:dyDescent="0.2"/>
    <row r="2058" ht="17.25" customHeight="1" x14ac:dyDescent="0.2"/>
    <row r="2059" ht="12.75" x14ac:dyDescent="0.2"/>
    <row r="2060" ht="35.25" customHeight="1" x14ac:dyDescent="0.2"/>
    <row r="2061" ht="29.25" customHeight="1" x14ac:dyDescent="0.2"/>
    <row r="2062" ht="38.25" customHeight="1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7.25" customHeight="1" x14ac:dyDescent="0.2"/>
    <row r="2071" ht="45" customHeight="1" x14ac:dyDescent="0.2"/>
    <row r="2072" ht="12.75" x14ac:dyDescent="0.2"/>
    <row r="2073" ht="15" customHeight="1" x14ac:dyDescent="0.2"/>
    <row r="2074" ht="12.75" x14ac:dyDescent="0.2"/>
    <row r="2075" ht="12.75" x14ac:dyDescent="0.2"/>
    <row r="2076" ht="15.75" customHeight="1" x14ac:dyDescent="0.2"/>
    <row r="2077" ht="12.75" x14ac:dyDescent="0.2"/>
    <row r="2078" ht="12.75" customHeight="1" x14ac:dyDescent="0.2"/>
    <row r="2079" ht="17.25" customHeight="1" x14ac:dyDescent="0.2"/>
    <row r="2080" ht="21.75" customHeight="1" x14ac:dyDescent="0.2"/>
    <row r="2081" ht="12.75" x14ac:dyDescent="0.2"/>
    <row r="2082" ht="12.75" x14ac:dyDescent="0.2"/>
    <row r="2083" ht="19.5" customHeight="1" x14ac:dyDescent="0.2"/>
    <row r="2084" ht="19.5" customHeight="1" x14ac:dyDescent="0.2"/>
    <row r="2085" ht="12" customHeight="1" x14ac:dyDescent="0.2"/>
    <row r="2086" ht="14.25" customHeight="1" x14ac:dyDescent="0.2"/>
    <row r="2087" ht="12.75" x14ac:dyDescent="0.2"/>
    <row r="2088" ht="12.75" x14ac:dyDescent="0.2"/>
    <row r="2089" ht="21.75" customHeight="1" x14ac:dyDescent="0.2"/>
    <row r="2090" ht="36" customHeight="1" x14ac:dyDescent="0.2"/>
    <row r="2091" ht="24" customHeight="1" x14ac:dyDescent="0.2"/>
    <row r="2092" ht="23.25" customHeight="1" x14ac:dyDescent="0.2"/>
    <row r="2093" ht="15.75" customHeight="1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5.75" customHeight="1" x14ac:dyDescent="0.2"/>
    <row r="2100" ht="12.75" x14ac:dyDescent="0.2"/>
    <row r="2101" ht="12.75" x14ac:dyDescent="0.2"/>
    <row r="2102" ht="21" customHeight="1" x14ac:dyDescent="0.2"/>
    <row r="2103" ht="21" customHeight="1" x14ac:dyDescent="0.2"/>
    <row r="2104" ht="12.75" x14ac:dyDescent="0.2"/>
    <row r="2105" ht="12.75" x14ac:dyDescent="0.2"/>
    <row r="2106" ht="39.75" customHeight="1" x14ac:dyDescent="0.2"/>
    <row r="2107" ht="12.75" x14ac:dyDescent="0.2"/>
    <row r="2108" ht="36" customHeight="1" x14ac:dyDescent="0.2"/>
    <row r="2109" ht="12.75" x14ac:dyDescent="0.2"/>
    <row r="2110" ht="34.5" customHeight="1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50.25" customHeight="1" x14ac:dyDescent="0.2"/>
    <row r="2118" ht="12.75" x14ac:dyDescent="0.2"/>
    <row r="2119" ht="15" customHeight="1" x14ac:dyDescent="0.2"/>
    <row r="2120" ht="12.75" x14ac:dyDescent="0.2"/>
    <row r="2121" ht="48" customHeight="1" x14ac:dyDescent="0.2"/>
    <row r="2122" ht="19.5" customHeight="1" x14ac:dyDescent="0.2"/>
    <row r="2123" ht="15" customHeight="1" x14ac:dyDescent="0.2"/>
    <row r="2124" ht="12.75" customHeight="1" x14ac:dyDescent="0.2"/>
    <row r="2125" ht="23.25" customHeight="1" x14ac:dyDescent="0.2"/>
    <row r="2126" ht="15.75" customHeight="1" x14ac:dyDescent="0.2"/>
    <row r="2127" ht="13.5" customHeight="1" x14ac:dyDescent="0.2"/>
    <row r="2128" ht="12.75" x14ac:dyDescent="0.2"/>
    <row r="2129" ht="12.75" x14ac:dyDescent="0.2"/>
    <row r="2130" ht="14.25" customHeight="1" x14ac:dyDescent="0.2"/>
    <row r="2131" ht="15" customHeight="1" x14ac:dyDescent="0.2"/>
    <row r="2133" ht="17.25" customHeight="1" x14ac:dyDescent="0.2"/>
    <row r="2134" ht="20.25" customHeight="1" x14ac:dyDescent="0.2"/>
    <row r="2135" ht="17.25" customHeight="1" x14ac:dyDescent="0.2"/>
    <row r="2136" ht="12.75" x14ac:dyDescent="0.2"/>
    <row r="2137" ht="51" customHeight="1" x14ac:dyDescent="0.2"/>
    <row r="2138" ht="12.75" x14ac:dyDescent="0.2"/>
    <row r="2139" ht="13.5" customHeight="1" x14ac:dyDescent="0.2"/>
    <row r="2140" ht="12.75" x14ac:dyDescent="0.2"/>
    <row r="2141" ht="18" customHeight="1" x14ac:dyDescent="0.2"/>
    <row r="2142" ht="12.75" x14ac:dyDescent="0.2"/>
    <row r="2143" ht="12.75" x14ac:dyDescent="0.2"/>
    <row r="2144" ht="12.75" x14ac:dyDescent="0.2"/>
    <row r="2145" ht="17.25" customHeight="1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40.5" customHeight="1" x14ac:dyDescent="0.2"/>
    <row r="2154" ht="12.75" x14ac:dyDescent="0.2"/>
    <row r="2155" ht="32.25" customHeight="1" x14ac:dyDescent="0.2"/>
    <row r="2156" ht="25.5" customHeight="1" x14ac:dyDescent="0.2"/>
    <row r="2157" ht="12.75" x14ac:dyDescent="0.2"/>
    <row r="2158" ht="12.75" x14ac:dyDescent="0.2"/>
    <row r="2159" ht="44.25" customHeight="1" x14ac:dyDescent="0.2"/>
    <row r="2160" ht="12.75" x14ac:dyDescent="0.2"/>
    <row r="2161" ht="12.75" x14ac:dyDescent="0.2"/>
    <row r="2162" ht="12.75" x14ac:dyDescent="0.2"/>
    <row r="2163" ht="12.75" x14ac:dyDescent="0.2"/>
    <row r="2164" ht="48" customHeight="1" x14ac:dyDescent="0.2"/>
    <row r="2165" ht="12.75" x14ac:dyDescent="0.2"/>
    <row r="2166" ht="44.25" customHeight="1" x14ac:dyDescent="0.2"/>
    <row r="2167" ht="19.5" customHeight="1" x14ac:dyDescent="0.2"/>
    <row r="2168" ht="15" customHeight="1" x14ac:dyDescent="0.2"/>
    <row r="2169" ht="20.25" customHeight="1" x14ac:dyDescent="0.2"/>
    <row r="2170" ht="12.75" x14ac:dyDescent="0.2"/>
    <row r="2171" ht="21" customHeight="1" x14ac:dyDescent="0.2"/>
    <row r="2172" ht="12.75" x14ac:dyDescent="0.2"/>
    <row r="2173" ht="21" customHeight="1" x14ac:dyDescent="0.2"/>
    <row r="2174" ht="18.75" customHeight="1" x14ac:dyDescent="0.2"/>
    <row r="2175" ht="19.5" customHeight="1" x14ac:dyDescent="0.2"/>
    <row r="2176" ht="12.75" x14ac:dyDescent="0.2"/>
    <row r="2177" ht="12.75" x14ac:dyDescent="0.2"/>
    <row r="2178" ht="12" customHeight="1" x14ac:dyDescent="0.2"/>
    <row r="2179" ht="13.5" customHeight="1" x14ac:dyDescent="0.2"/>
    <row r="2181" ht="19.5" customHeight="1" x14ac:dyDescent="0.2"/>
    <row r="2182" ht="19.5" customHeight="1" x14ac:dyDescent="0.2"/>
    <row r="2183" ht="12.75" x14ac:dyDescent="0.2"/>
    <row r="2184" ht="25.5" customHeight="1" x14ac:dyDescent="0.2"/>
    <row r="2185" ht="46.5" customHeight="1" x14ac:dyDescent="0.2"/>
    <row r="2186" ht="18.75" customHeight="1" x14ac:dyDescent="0.2"/>
    <row r="2187" ht="25.5" customHeight="1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22.5" customHeight="1" x14ac:dyDescent="0.2"/>
    <row r="2194" ht="12.75" x14ac:dyDescent="0.2"/>
    <row r="2195" ht="12.75" x14ac:dyDescent="0.2"/>
    <row r="2196" ht="12.75" x14ac:dyDescent="0.2"/>
    <row r="2197" ht="46.5" customHeight="1" x14ac:dyDescent="0.2"/>
    <row r="2198" ht="12.75" x14ac:dyDescent="0.2"/>
    <row r="2199" ht="12.75" x14ac:dyDescent="0.2"/>
    <row r="2200" ht="12.75" x14ac:dyDescent="0.2"/>
    <row r="2201" ht="47.25" customHeight="1" x14ac:dyDescent="0.2"/>
    <row r="2202" ht="12.75" x14ac:dyDescent="0.2"/>
    <row r="2203" ht="36.75" customHeight="1" x14ac:dyDescent="0.2"/>
    <row r="2204" ht="24" customHeight="1" x14ac:dyDescent="0.2"/>
    <row r="2205" ht="38.25" customHeight="1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53.25" customHeight="1" x14ac:dyDescent="0.2"/>
    <row r="2213" ht="12.75" x14ac:dyDescent="0.2"/>
    <row r="2214" ht="15" customHeight="1" x14ac:dyDescent="0.2"/>
    <row r="2215" ht="20.25" customHeight="1" x14ac:dyDescent="0.2"/>
    <row r="2216" ht="47.25" customHeight="1" x14ac:dyDescent="0.2"/>
    <row r="2217" ht="18.75" customHeight="1" x14ac:dyDescent="0.2"/>
    <row r="2218" ht="15" customHeight="1" x14ac:dyDescent="0.2"/>
    <row r="2219" ht="20.25" customHeight="1" x14ac:dyDescent="0.2"/>
    <row r="2220" ht="20.25" customHeight="1" x14ac:dyDescent="0.2"/>
    <row r="2221" ht="20.25" customHeight="1" x14ac:dyDescent="0.2"/>
    <row r="2222" ht="15.75" customHeight="1" x14ac:dyDescent="0.2"/>
    <row r="2223" ht="12.75" x14ac:dyDescent="0.2"/>
    <row r="2224" ht="12.75" x14ac:dyDescent="0.2"/>
    <row r="2225" ht="13.5" customHeight="1" x14ac:dyDescent="0.2"/>
    <row r="2226" ht="13.5" customHeight="1" x14ac:dyDescent="0.2"/>
    <row r="2228" ht="50.25" customHeight="1" x14ac:dyDescent="0.2"/>
    <row r="2229" ht="12" customHeight="1" x14ac:dyDescent="0.2"/>
    <row r="2230" ht="21" customHeight="1" x14ac:dyDescent="0.2"/>
    <row r="2231" ht="12.75" x14ac:dyDescent="0.2"/>
    <row r="2232" ht="18" customHeight="1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31.5" customHeight="1" x14ac:dyDescent="0.2"/>
    <row r="2247" ht="12.75" x14ac:dyDescent="0.2"/>
    <row r="2248" ht="24.75" customHeight="1" x14ac:dyDescent="0.2"/>
    <row r="2249" ht="12.75" x14ac:dyDescent="0.2"/>
    <row r="2250" ht="12.75" x14ac:dyDescent="0.2"/>
    <row r="2251" ht="12.75" x14ac:dyDescent="0.2"/>
    <row r="2252" ht="26.25" customHeight="1" x14ac:dyDescent="0.2"/>
    <row r="2253" ht="12.75" x14ac:dyDescent="0.2"/>
    <row r="2254" ht="26.25" customHeight="1" x14ac:dyDescent="0.2"/>
    <row r="2255" ht="12.75" x14ac:dyDescent="0.2"/>
    <row r="2256" ht="12.75" x14ac:dyDescent="0.2"/>
    <row r="2257" ht="12.75" x14ac:dyDescent="0.2"/>
    <row r="2258" ht="22.5" customHeight="1" x14ac:dyDescent="0.2"/>
    <row r="2259" ht="12.75" x14ac:dyDescent="0.2"/>
    <row r="2260" ht="12.75" x14ac:dyDescent="0.2"/>
    <row r="2261" ht="12.75" x14ac:dyDescent="0.2"/>
    <row r="2262" ht="39" customHeight="1" x14ac:dyDescent="0.2"/>
    <row r="2263" ht="12.75" x14ac:dyDescent="0.2"/>
    <row r="2264" ht="37.5" customHeight="1" x14ac:dyDescent="0.2"/>
    <row r="2265" ht="22.5" customHeight="1" x14ac:dyDescent="0.2"/>
    <row r="2266" ht="19.5" customHeight="1" x14ac:dyDescent="0.2"/>
    <row r="2267" ht="19.5" customHeight="1" x14ac:dyDescent="0.2"/>
    <row r="2268" ht="19.5" customHeight="1" x14ac:dyDescent="0.2"/>
    <row r="2269" ht="12.75" x14ac:dyDescent="0.2"/>
    <row r="2270" ht="12.75" x14ac:dyDescent="0.2"/>
    <row r="2271" ht="12.75" x14ac:dyDescent="0.2"/>
    <row r="2272" ht="15" customHeight="1" x14ac:dyDescent="0.2"/>
    <row r="2273" ht="52.5" customHeight="1" x14ac:dyDescent="0.2"/>
    <row r="2274" ht="20.25" customHeight="1" x14ac:dyDescent="0.2"/>
    <row r="2275" ht="30" customHeight="1" x14ac:dyDescent="0.2"/>
    <row r="2277" ht="18" customHeight="1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41.25" customHeight="1" x14ac:dyDescent="0.2"/>
    <row r="2295" ht="12.75" x14ac:dyDescent="0.2"/>
    <row r="2296" ht="15" customHeight="1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45" customHeight="1" x14ac:dyDescent="0.2"/>
    <row r="2307" ht="12.75" x14ac:dyDescent="0.2"/>
    <row r="2308" ht="12.75" x14ac:dyDescent="0.2"/>
    <row r="2309" ht="12.75" x14ac:dyDescent="0.2"/>
    <row r="2310" ht="47.25" customHeight="1" x14ac:dyDescent="0.2"/>
    <row r="2311" ht="12" customHeight="1" x14ac:dyDescent="0.2"/>
    <row r="2312" ht="46.5" customHeight="1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6.5" customHeight="1" x14ac:dyDescent="0.2"/>
    <row r="2319" ht="12.75" x14ac:dyDescent="0.2"/>
    <row r="2320" ht="16.5" customHeight="1" x14ac:dyDescent="0.2"/>
    <row r="2321" ht="45" customHeight="1" x14ac:dyDescent="0.2"/>
    <row r="2322" ht="16.5" customHeight="1" x14ac:dyDescent="0.2"/>
    <row r="2323" ht="23.25" customHeight="1" x14ac:dyDescent="0.2"/>
    <row r="2324" ht="16.5" customHeight="1" x14ac:dyDescent="0.2"/>
    <row r="2325" ht="16.5" customHeight="1" x14ac:dyDescent="0.2"/>
    <row r="2326" ht="16.5" customHeight="1" x14ac:dyDescent="0.2"/>
    <row r="2327" ht="16.5" customHeight="1" x14ac:dyDescent="0.2"/>
    <row r="2328" ht="16.5" customHeight="1" x14ac:dyDescent="0.2"/>
    <row r="2329" ht="16.5" customHeight="1" x14ac:dyDescent="0.2"/>
    <row r="2330" ht="16.5" customHeight="1" x14ac:dyDescent="0.2"/>
    <row r="2331" ht="16.5" customHeight="1" x14ac:dyDescent="0.2"/>
    <row r="2332" ht="16.5" customHeight="1" x14ac:dyDescent="0.2"/>
    <row r="2333" ht="16.5" customHeight="1" x14ac:dyDescent="0.2"/>
    <row r="2334" ht="16.5" customHeight="1" x14ac:dyDescent="0.2"/>
    <row r="2335" ht="16.5" customHeight="1" x14ac:dyDescent="0.2"/>
    <row r="2336" ht="16.5" customHeight="1" x14ac:dyDescent="0.2"/>
    <row r="2337" ht="16.5" customHeight="1" x14ac:dyDescent="0.2"/>
    <row r="2338" ht="16.5" customHeight="1" x14ac:dyDescent="0.2"/>
    <row r="2339" ht="48.75" customHeight="1" x14ac:dyDescent="0.2"/>
    <row r="2340" ht="16.5" customHeight="1" x14ac:dyDescent="0.2"/>
    <row r="2341" ht="40.5" customHeight="1" x14ac:dyDescent="0.2"/>
    <row r="2342" ht="16.5" customHeight="1" x14ac:dyDescent="0.2"/>
    <row r="2343" ht="16.5" customHeight="1" x14ac:dyDescent="0.2"/>
    <row r="2344" ht="16.5" customHeight="1" x14ac:dyDescent="0.2"/>
    <row r="2345" ht="16.5" customHeight="1" x14ac:dyDescent="0.2"/>
    <row r="2346" ht="16.5" customHeight="1" x14ac:dyDescent="0.2"/>
    <row r="2347" ht="16.5" customHeight="1" x14ac:dyDescent="0.2"/>
    <row r="2348" ht="16.5" customHeight="1" x14ac:dyDescent="0.2"/>
    <row r="2349" ht="16.5" customHeight="1" x14ac:dyDescent="0.2"/>
    <row r="2350" ht="16.5" customHeight="1" x14ac:dyDescent="0.2"/>
    <row r="2351" ht="21" customHeight="1" x14ac:dyDescent="0.2"/>
    <row r="2352" ht="16.5" customHeight="1" x14ac:dyDescent="0.2"/>
    <row r="2353" ht="16.5" customHeight="1" x14ac:dyDescent="0.2"/>
    <row r="2354" ht="16.5" customHeight="1" x14ac:dyDescent="0.2"/>
    <row r="2355" ht="39" customHeight="1" x14ac:dyDescent="0.2"/>
    <row r="2356" ht="20.25" customHeight="1" x14ac:dyDescent="0.2"/>
    <row r="2357" ht="39" customHeight="1" x14ac:dyDescent="0.2"/>
    <row r="2358" ht="26.25" customHeight="1" x14ac:dyDescent="0.2"/>
    <row r="2359" ht="45" customHeight="1" x14ac:dyDescent="0.2"/>
    <row r="2360" ht="16.5" customHeight="1" x14ac:dyDescent="0.2"/>
    <row r="2361" ht="16.5" customHeight="1" x14ac:dyDescent="0.2"/>
    <row r="2362" ht="18.75" customHeight="1" x14ac:dyDescent="0.2"/>
    <row r="2363" ht="16.5" customHeight="1" x14ac:dyDescent="0.2"/>
    <row r="2364" ht="16.5" customHeight="1" x14ac:dyDescent="0.2"/>
    <row r="2365" ht="16.5" customHeight="1" x14ac:dyDescent="0.2"/>
    <row r="2366" ht="54.75" customHeight="1" x14ac:dyDescent="0.2"/>
    <row r="2367" ht="16.5" customHeight="1" x14ac:dyDescent="0.2"/>
    <row r="2368" ht="16.5" customHeight="1" x14ac:dyDescent="0.2"/>
    <row r="2369" ht="16.5" customHeight="1" x14ac:dyDescent="0.2"/>
    <row r="2370" ht="19.5" customHeight="1" x14ac:dyDescent="0.2"/>
    <row r="2371" ht="16.5" customHeight="1" x14ac:dyDescent="0.2"/>
    <row r="2372" ht="16.5" customHeight="1" x14ac:dyDescent="0.2"/>
    <row r="2373" ht="16.5" customHeight="1" x14ac:dyDescent="0.2"/>
    <row r="2374" ht="16.5" customHeight="1" x14ac:dyDescent="0.2"/>
    <row r="2375" ht="16.5" customHeight="1" x14ac:dyDescent="0.2"/>
    <row r="2376" ht="16.5" customHeight="1" x14ac:dyDescent="0.2"/>
    <row r="2377" ht="16.5" customHeight="1" x14ac:dyDescent="0.2"/>
    <row r="2378" ht="16.5" customHeight="1" x14ac:dyDescent="0.2"/>
    <row r="2379" ht="16.5" customHeight="1" x14ac:dyDescent="0.2"/>
    <row r="2380" ht="16.5" customHeight="1" x14ac:dyDescent="0.2"/>
    <row r="2381" ht="16.5" customHeight="1" x14ac:dyDescent="0.2"/>
    <row r="2382" ht="16.5" customHeight="1" x14ac:dyDescent="0.2"/>
    <row r="2383" ht="16.5" customHeight="1" x14ac:dyDescent="0.2"/>
    <row r="2384" ht="16.5" customHeight="1" x14ac:dyDescent="0.2"/>
    <row r="2385" ht="45" customHeight="1" x14ac:dyDescent="0.2"/>
    <row r="2386" ht="16.5" customHeight="1" x14ac:dyDescent="0.2"/>
    <row r="2387" ht="33" customHeight="1" x14ac:dyDescent="0.2"/>
    <row r="2388" ht="16.5" customHeight="1" x14ac:dyDescent="0.2"/>
    <row r="2389" ht="30.75" customHeight="1" x14ac:dyDescent="0.2"/>
    <row r="2390" ht="16.5" customHeight="1" x14ac:dyDescent="0.2"/>
    <row r="2391" ht="16.5" customHeight="1" x14ac:dyDescent="0.2"/>
    <row r="2392" ht="16.5" customHeight="1" x14ac:dyDescent="0.2"/>
    <row r="2393" ht="16.5" customHeight="1" x14ac:dyDescent="0.2"/>
    <row r="2394" ht="16.5" customHeight="1" x14ac:dyDescent="0.2"/>
    <row r="2395" ht="16.5" customHeight="1" x14ac:dyDescent="0.2"/>
    <row r="2396" ht="16.5" customHeight="1" x14ac:dyDescent="0.2"/>
    <row r="2397" ht="45.75" customHeight="1" x14ac:dyDescent="0.2"/>
    <row r="2398" ht="16.5" customHeight="1" x14ac:dyDescent="0.2"/>
    <row r="2399" ht="16.5" customHeight="1" x14ac:dyDescent="0.2"/>
    <row r="2400" ht="16.5" customHeight="1" x14ac:dyDescent="0.2"/>
    <row r="2401" ht="37.5" customHeight="1" x14ac:dyDescent="0.2"/>
    <row r="2402" ht="11.25" customHeight="1" x14ac:dyDescent="0.2"/>
    <row r="2403" ht="37.5" customHeight="1" x14ac:dyDescent="0.2"/>
    <row r="2404" ht="25.5" customHeight="1" x14ac:dyDescent="0.2"/>
    <row r="2405" ht="40.5" customHeight="1" x14ac:dyDescent="0.2"/>
    <row r="2406" ht="21" hidden="1" customHeight="1" x14ac:dyDescent="0.2"/>
    <row r="2407" ht="41.25" customHeight="1" x14ac:dyDescent="0.2"/>
    <row r="2408" ht="24.75" customHeight="1" x14ac:dyDescent="0.2"/>
    <row r="2409" ht="16.5" customHeight="1" x14ac:dyDescent="0.2"/>
    <row r="2410" ht="16.5" customHeight="1" x14ac:dyDescent="0.2"/>
    <row r="2411" ht="15" customHeight="1" x14ac:dyDescent="0.2"/>
    <row r="2412" ht="49.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13.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40.5" customHeight="1" x14ac:dyDescent="0.2"/>
    <row r="2434" ht="15" customHeight="1" x14ac:dyDescent="0.2"/>
    <row r="2435" ht="33.7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44.2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45" customHeight="1" x14ac:dyDescent="0.2"/>
    <row r="2462" ht="15" customHeight="1" x14ac:dyDescent="0.2"/>
    <row r="2463" ht="37.5" customHeight="1" x14ac:dyDescent="0.2"/>
    <row r="2464" ht="37.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57.7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34.5" customHeight="1" x14ac:dyDescent="0.2"/>
    <row r="2483" ht="15" customHeight="1" x14ac:dyDescent="0.2"/>
    <row r="2484" ht="38.2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4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42.75" customHeight="1" x14ac:dyDescent="0.2"/>
    <row r="2519" ht="15" customHeight="1" x14ac:dyDescent="0.2"/>
    <row r="2520" ht="41.2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48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15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37.5" customHeight="1" x14ac:dyDescent="0.2"/>
    <row r="2571" ht="15" customHeight="1" x14ac:dyDescent="0.2"/>
    <row r="2572" ht="42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49.5" customHeight="1" x14ac:dyDescent="0.2"/>
    <row r="2584" ht="15" customHeight="1" x14ac:dyDescent="0.2"/>
    <row r="2585" ht="15" customHeight="1" x14ac:dyDescent="0.2"/>
    <row r="2586" ht="15" customHeight="1" x14ac:dyDescent="0.2"/>
    <row r="2587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15" customHeight="1" x14ac:dyDescent="0.2"/>
    <row r="2600" ht="15" customHeight="1" x14ac:dyDescent="0.2"/>
    <row r="2601" ht="15" customHeight="1" x14ac:dyDescent="0.2"/>
    <row r="2602" ht="15" customHeight="1" x14ac:dyDescent="0.2"/>
    <row r="2603" ht="15" customHeight="1" x14ac:dyDescent="0.2"/>
    <row r="2607" ht="30" customHeight="1" x14ac:dyDescent="0.2"/>
    <row r="2608" ht="16.5" customHeight="1" x14ac:dyDescent="0.2"/>
    <row r="2609" ht="19.5" customHeight="1" x14ac:dyDescent="0.2"/>
    <row r="2610" ht="30" customHeight="1" x14ac:dyDescent="0.2"/>
    <row r="2611" ht="30" customHeight="1" x14ac:dyDescent="0.2"/>
    <row r="2612" ht="30" customHeight="1" x14ac:dyDescent="0.2"/>
    <row r="2613" ht="30" customHeight="1" x14ac:dyDescent="0.2"/>
    <row r="2614" ht="7.5" customHeight="1" x14ac:dyDescent="0.2"/>
    <row r="2615" ht="9.75" customHeight="1" x14ac:dyDescent="0.2"/>
    <row r="2616" ht="30" customHeight="1" x14ac:dyDescent="0.2"/>
    <row r="2617" ht="30" customHeight="1" x14ac:dyDescent="0.2"/>
    <row r="2618" ht="10.5" customHeight="1" x14ac:dyDescent="0.2"/>
    <row r="2619" ht="18.75" customHeight="1" x14ac:dyDescent="0.2"/>
    <row r="2620" ht="16.5" customHeight="1" x14ac:dyDescent="0.2"/>
    <row r="2621" ht="17.25" customHeight="1" x14ac:dyDescent="0.2"/>
    <row r="2622" ht="30" customHeight="1" x14ac:dyDescent="0.2"/>
    <row r="2623" ht="30" customHeight="1" x14ac:dyDescent="0.2"/>
    <row r="2624" ht="14.25" customHeight="1" x14ac:dyDescent="0.2"/>
    <row r="2625" ht="30" customHeight="1" x14ac:dyDescent="0.2"/>
    <row r="2626" ht="30" customHeight="1" x14ac:dyDescent="0.2"/>
    <row r="2627" ht="44.25" customHeight="1" x14ac:dyDescent="0.2"/>
    <row r="2628" ht="26.25" customHeight="1" x14ac:dyDescent="0.2"/>
    <row r="2629" ht="13.5" customHeight="1" x14ac:dyDescent="0.2"/>
    <row r="2630" ht="6" customHeight="1" x14ac:dyDescent="0.2"/>
    <row r="2631" ht="13.5" hidden="1" customHeight="1" x14ac:dyDescent="0.2"/>
    <row r="2632" ht="30" customHeight="1" x14ac:dyDescent="0.2"/>
    <row r="2633" ht="21" customHeight="1" x14ac:dyDescent="0.2"/>
    <row r="2634" ht="12" customHeight="1" x14ac:dyDescent="0.2"/>
    <row r="2635" ht="30" customHeight="1" x14ac:dyDescent="0.2"/>
    <row r="2636" ht="50.25" customHeight="1" x14ac:dyDescent="0.2"/>
    <row r="2637" ht="30" customHeight="1" x14ac:dyDescent="0.2"/>
    <row r="2638" ht="18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30" customHeight="1" x14ac:dyDescent="0.2"/>
    <row r="2646" ht="30" customHeight="1" x14ac:dyDescent="0.2"/>
    <row r="2647" ht="30" customHeight="1" x14ac:dyDescent="0.2"/>
    <row r="2648" ht="30" customHeight="1" x14ac:dyDescent="0.2"/>
    <row r="2649" ht="30" customHeight="1" x14ac:dyDescent="0.2"/>
    <row r="2650" ht="30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35.25" customHeight="1" x14ac:dyDescent="0.2"/>
    <row r="2668" ht="15" customHeight="1" x14ac:dyDescent="0.2"/>
    <row r="2669" ht="36.75" customHeight="1" x14ac:dyDescent="0.2"/>
    <row r="2670" ht="25.5" customHeight="1" x14ac:dyDescent="0.2"/>
    <row r="2671" ht="33" customHeight="1" x14ac:dyDescent="0.2"/>
    <row r="2672" ht="15" customHeight="1" x14ac:dyDescent="0.2"/>
    <row r="2673" ht="15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48" customHeight="1" x14ac:dyDescent="0.2"/>
    <row r="2681" ht="15" customHeight="1" x14ac:dyDescent="0.2"/>
    <row r="2682" ht="15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  <row r="2688" ht="15" customHeight="1" x14ac:dyDescent="0.2"/>
    <row r="2689" ht="15" customHeight="1" x14ac:dyDescent="0.2"/>
    <row r="2690" ht="15" customHeight="1" x14ac:dyDescent="0.2"/>
    <row r="2691" ht="15" customHeight="1" x14ac:dyDescent="0.2"/>
    <row r="2692" ht="15" customHeight="1" x14ac:dyDescent="0.2"/>
    <row r="2693" ht="15" customHeight="1" x14ac:dyDescent="0.2"/>
    <row r="2694" ht="15" customHeight="1" x14ac:dyDescent="0.2"/>
    <row r="2695" ht="15" customHeight="1" x14ac:dyDescent="0.2"/>
    <row r="2696" ht="15" customHeight="1" x14ac:dyDescent="0.2"/>
    <row r="2697" ht="15" customHeight="1" x14ac:dyDescent="0.2"/>
    <row r="2698" ht="15" customHeight="1" x14ac:dyDescent="0.2"/>
    <row r="2699" ht="30" customHeight="1" x14ac:dyDescent="0.2"/>
    <row r="2700" ht="30" customHeight="1" x14ac:dyDescent="0.2"/>
    <row r="2701" ht="30" customHeight="1" x14ac:dyDescent="0.2"/>
    <row r="2702" ht="30" customHeight="1" x14ac:dyDescent="0.2"/>
    <row r="2703" ht="30" customHeight="1" x14ac:dyDescent="0.2"/>
    <row r="2704" ht="30" customHeight="1" x14ac:dyDescent="0.2"/>
    <row r="2705" ht="30" customHeight="1" x14ac:dyDescent="0.2"/>
    <row r="2706" ht="30" customHeight="1" x14ac:dyDescent="0.2"/>
    <row r="2707" ht="30" customHeight="1" x14ac:dyDescent="0.2"/>
    <row r="2708" ht="30" customHeight="1" x14ac:dyDescent="0.2"/>
    <row r="2709" ht="30" customHeight="1" x14ac:dyDescent="0.2"/>
    <row r="2710" ht="30" customHeight="1" x14ac:dyDescent="0.2"/>
    <row r="2711" ht="30" customHeight="1" x14ac:dyDescent="0.2"/>
    <row r="2712" ht="30" customHeight="1" x14ac:dyDescent="0.2"/>
    <row r="2713" ht="30" customHeight="1" x14ac:dyDescent="0.2"/>
    <row r="2714" ht="30" customHeight="1" x14ac:dyDescent="0.2"/>
    <row r="2715" ht="30" customHeight="1" x14ac:dyDescent="0.2"/>
    <row r="2716" ht="30" customHeight="1" x14ac:dyDescent="0.2"/>
    <row r="2717" ht="30" customHeight="1" x14ac:dyDescent="0.2"/>
    <row r="2718" ht="30" customHeight="1" x14ac:dyDescent="0.2"/>
    <row r="2719" ht="30" customHeight="1" x14ac:dyDescent="0.2"/>
    <row r="2720" ht="30" customHeight="1" x14ac:dyDescent="0.2"/>
    <row r="2721" ht="30" customHeight="1" x14ac:dyDescent="0.2"/>
    <row r="2722" ht="30" customHeight="1" x14ac:dyDescent="0.2"/>
    <row r="2723" ht="30" customHeight="1" x14ac:dyDescent="0.2"/>
    <row r="2724" ht="30" customHeight="1" x14ac:dyDescent="0.2"/>
    <row r="2725" ht="30" customHeight="1" x14ac:dyDescent="0.2"/>
    <row r="2726" ht="30" customHeight="1" x14ac:dyDescent="0.2"/>
    <row r="2727" ht="30" customHeight="1" x14ac:dyDescent="0.2"/>
    <row r="2728" ht="30" customHeight="1" x14ac:dyDescent="0.2"/>
    <row r="2729" ht="30" customHeight="1" x14ac:dyDescent="0.2"/>
    <row r="2730" ht="30" customHeight="1" x14ac:dyDescent="0.2"/>
    <row r="2731" ht="30" customHeight="1" x14ac:dyDescent="0.2"/>
    <row r="2732" ht="30" customHeight="1" x14ac:dyDescent="0.2"/>
    <row r="2733" ht="30" customHeight="1" x14ac:dyDescent="0.2"/>
    <row r="2734" ht="30" customHeight="1" x14ac:dyDescent="0.2"/>
    <row r="2735" ht="30" customHeight="1" x14ac:dyDescent="0.2"/>
    <row r="2736" ht="30" customHeight="1" x14ac:dyDescent="0.2"/>
    <row r="2737" ht="30" customHeight="1" x14ac:dyDescent="0.2"/>
    <row r="2738" ht="30" customHeight="1" x14ac:dyDescent="0.2"/>
    <row r="2739" ht="30" customHeight="1" x14ac:dyDescent="0.2"/>
    <row r="2740" ht="30" customHeight="1" x14ac:dyDescent="0.2"/>
    <row r="2741" ht="30" customHeight="1" x14ac:dyDescent="0.2"/>
    <row r="2742" ht="30" customHeight="1" x14ac:dyDescent="0.2"/>
    <row r="2743" ht="30" customHeight="1" x14ac:dyDescent="0.2"/>
    <row r="2744" ht="30" customHeight="1" x14ac:dyDescent="0.2"/>
    <row r="2745" ht="30" customHeight="1" x14ac:dyDescent="0.2"/>
    <row r="2746" ht="30" customHeight="1" x14ac:dyDescent="0.2"/>
    <row r="2747" ht="30" customHeight="1" x14ac:dyDescent="0.2"/>
    <row r="2748" ht="30" customHeight="1" x14ac:dyDescent="0.2"/>
    <row r="2749" ht="30" customHeight="1" x14ac:dyDescent="0.2"/>
    <row r="2750" ht="30" customHeight="1" x14ac:dyDescent="0.2"/>
    <row r="2751" ht="30" customHeight="1" x14ac:dyDescent="0.2"/>
    <row r="2752" ht="30" customHeight="1" x14ac:dyDescent="0.2"/>
    <row r="2753" ht="30" customHeight="1" x14ac:dyDescent="0.2"/>
    <row r="2754" ht="30" customHeight="1" x14ac:dyDescent="0.2"/>
    <row r="2755" ht="30" customHeight="1" x14ac:dyDescent="0.2"/>
    <row r="2756" ht="30" customHeight="1" x14ac:dyDescent="0.2"/>
    <row r="2757" ht="30" customHeight="1" x14ac:dyDescent="0.2"/>
  </sheetData>
  <mergeCells count="387">
    <mergeCell ref="B1777:L1777"/>
    <mergeCell ref="A1779:L1779"/>
    <mergeCell ref="J1782:L1782"/>
    <mergeCell ref="D1764:H1764"/>
    <mergeCell ref="A1766:L1766"/>
    <mergeCell ref="B1768:L1768"/>
    <mergeCell ref="F1770:H1770"/>
    <mergeCell ref="J1770:L1770"/>
    <mergeCell ref="C1771:D1771"/>
    <mergeCell ref="F1771:H1771"/>
    <mergeCell ref="B1731:L1731"/>
    <mergeCell ref="A1733:L1733"/>
    <mergeCell ref="J1736:L1736"/>
    <mergeCell ref="F1724:H1724"/>
    <mergeCell ref="J1724:L1724"/>
    <mergeCell ref="A1756:L1756"/>
    <mergeCell ref="A1710:L1710"/>
    <mergeCell ref="D1718:H1718"/>
    <mergeCell ref="A1720:L1720"/>
    <mergeCell ref="B1722:L1722"/>
    <mergeCell ref="C1725:D1725"/>
    <mergeCell ref="F1725:H1725"/>
    <mergeCell ref="J1511:L1511"/>
    <mergeCell ref="A1530:L1530"/>
    <mergeCell ref="A1553:L1553"/>
    <mergeCell ref="J1556:L1556"/>
    <mergeCell ref="A1540:L1540"/>
    <mergeCell ref="B1542:L1542"/>
    <mergeCell ref="C1544:F1544"/>
    <mergeCell ref="C1545:D1545"/>
    <mergeCell ref="F1545:H1545"/>
    <mergeCell ref="B1551:L1551"/>
    <mergeCell ref="C1500:D1500"/>
    <mergeCell ref="F1500:H1500"/>
    <mergeCell ref="B1506:L1506"/>
    <mergeCell ref="A1508:L1508"/>
    <mergeCell ref="B1459:L1459"/>
    <mergeCell ref="A1461:L1461"/>
    <mergeCell ref="J1464:L1464"/>
    <mergeCell ref="A1485:L1485"/>
    <mergeCell ref="D1493:H1493"/>
    <mergeCell ref="A1495:L1495"/>
    <mergeCell ref="B1146:L1146"/>
    <mergeCell ref="A1148:L1148"/>
    <mergeCell ref="J1151:L1151"/>
    <mergeCell ref="A1125:L1125"/>
    <mergeCell ref="A1135:L1135"/>
    <mergeCell ref="B1137:L1137"/>
    <mergeCell ref="C1139:F1139"/>
    <mergeCell ref="C1140:D1140"/>
    <mergeCell ref="F1140:H1140"/>
    <mergeCell ref="C1094:F1094"/>
    <mergeCell ref="C1095:D1095"/>
    <mergeCell ref="F1095:H1095"/>
    <mergeCell ref="B1101:L1101"/>
    <mergeCell ref="A1103:L1103"/>
    <mergeCell ref="J1106:L1106"/>
    <mergeCell ref="B1056:L1056"/>
    <mergeCell ref="A1058:L1058"/>
    <mergeCell ref="J1061:L1061"/>
    <mergeCell ref="A1080:L1080"/>
    <mergeCell ref="A1090:L1090"/>
    <mergeCell ref="B1092:L1092"/>
    <mergeCell ref="C1049:F1049"/>
    <mergeCell ref="C1050:D1050"/>
    <mergeCell ref="F1050:H1050"/>
    <mergeCell ref="C1002:F1002"/>
    <mergeCell ref="C1003:D1003"/>
    <mergeCell ref="F1003:H1003"/>
    <mergeCell ref="B1009:L1009"/>
    <mergeCell ref="A1011:L1011"/>
    <mergeCell ref="J1014:L1014"/>
    <mergeCell ref="A338:L338"/>
    <mergeCell ref="A348:L348"/>
    <mergeCell ref="B350:L350"/>
    <mergeCell ref="J780:L780"/>
    <mergeCell ref="B766:L766"/>
    <mergeCell ref="C768:F768"/>
    <mergeCell ref="C769:D769"/>
    <mergeCell ref="F769:H769"/>
    <mergeCell ref="B775:L775"/>
    <mergeCell ref="A777:L777"/>
    <mergeCell ref="B731:L731"/>
    <mergeCell ref="A733:L733"/>
    <mergeCell ref="J736:L736"/>
    <mergeCell ref="A754:L754"/>
    <mergeCell ref="D762:H762"/>
    <mergeCell ref="A764:L764"/>
    <mergeCell ref="C352:F352"/>
    <mergeCell ref="C444:D444"/>
    <mergeCell ref="F444:H444"/>
    <mergeCell ref="C353:D353"/>
    <mergeCell ref="F353:H353"/>
    <mergeCell ref="B359:L359"/>
    <mergeCell ref="A361:L361"/>
    <mergeCell ref="J364:L364"/>
    <mergeCell ref="A264:L264"/>
    <mergeCell ref="J267:L267"/>
    <mergeCell ref="J223:L223"/>
    <mergeCell ref="A241:L241"/>
    <mergeCell ref="A251:L251"/>
    <mergeCell ref="B253:L253"/>
    <mergeCell ref="A710:L710"/>
    <mergeCell ref="A720:L720"/>
    <mergeCell ref="B722:L722"/>
    <mergeCell ref="C255:F255"/>
    <mergeCell ref="A385:L385"/>
    <mergeCell ref="A395:L395"/>
    <mergeCell ref="B397:L397"/>
    <mergeCell ref="C399:F399"/>
    <mergeCell ref="C400:D400"/>
    <mergeCell ref="F400:H400"/>
    <mergeCell ref="A304:L304"/>
    <mergeCell ref="B306:L306"/>
    <mergeCell ref="C308:F308"/>
    <mergeCell ref="C309:D309"/>
    <mergeCell ref="F309:H309"/>
    <mergeCell ref="B315:L315"/>
    <mergeCell ref="A317:L317"/>
    <mergeCell ref="J320:L320"/>
    <mergeCell ref="A207:L207"/>
    <mergeCell ref="A151:L151"/>
    <mergeCell ref="D159:H159"/>
    <mergeCell ref="A161:L161"/>
    <mergeCell ref="B163:L163"/>
    <mergeCell ref="A220:L220"/>
    <mergeCell ref="C256:D256"/>
    <mergeCell ref="F256:H256"/>
    <mergeCell ref="B262:L262"/>
    <mergeCell ref="A9:L9"/>
    <mergeCell ref="D17:H17"/>
    <mergeCell ref="A19:L19"/>
    <mergeCell ref="B21:L21"/>
    <mergeCell ref="C23:F23"/>
    <mergeCell ref="C24:D24"/>
    <mergeCell ref="F24:H24"/>
    <mergeCell ref="B30:L30"/>
    <mergeCell ref="A32:L32"/>
    <mergeCell ref="J35:L35"/>
    <mergeCell ref="A57:L57"/>
    <mergeCell ref="A67:L67"/>
    <mergeCell ref="B69:L69"/>
    <mergeCell ref="C71:F71"/>
    <mergeCell ref="C72:D72"/>
    <mergeCell ref="F72:H72"/>
    <mergeCell ref="J83:L83"/>
    <mergeCell ref="A105:L105"/>
    <mergeCell ref="A115:L115"/>
    <mergeCell ref="B78:L78"/>
    <mergeCell ref="A80:L80"/>
    <mergeCell ref="B117:L117"/>
    <mergeCell ref="C119:F119"/>
    <mergeCell ref="C120:D120"/>
    <mergeCell ref="F120:H120"/>
    <mergeCell ref="A294:L294"/>
    <mergeCell ref="D302:H302"/>
    <mergeCell ref="A128:L128"/>
    <mergeCell ref="J131:L131"/>
    <mergeCell ref="C166:D166"/>
    <mergeCell ref="F166:H166"/>
    <mergeCell ref="C165:F165"/>
    <mergeCell ref="B209:L209"/>
    <mergeCell ref="C211:F211"/>
    <mergeCell ref="C212:D212"/>
    <mergeCell ref="F212:H212"/>
    <mergeCell ref="B218:L218"/>
    <mergeCell ref="B126:L126"/>
    <mergeCell ref="B172:L172"/>
    <mergeCell ref="A174:L174"/>
    <mergeCell ref="J177:L177"/>
    <mergeCell ref="A197:L197"/>
    <mergeCell ref="B406:L406"/>
    <mergeCell ref="A408:L408"/>
    <mergeCell ref="J411:L411"/>
    <mergeCell ref="B450:L450"/>
    <mergeCell ref="A452:L452"/>
    <mergeCell ref="J455:L455"/>
    <mergeCell ref="A476:L476"/>
    <mergeCell ref="A486:L486"/>
    <mergeCell ref="A429:L429"/>
    <mergeCell ref="D437:H437"/>
    <mergeCell ref="A439:L439"/>
    <mergeCell ref="B441:L441"/>
    <mergeCell ref="C443:F443"/>
    <mergeCell ref="B488:L488"/>
    <mergeCell ref="C490:F490"/>
    <mergeCell ref="C491:D491"/>
    <mergeCell ref="F491:H491"/>
    <mergeCell ref="B497:L497"/>
    <mergeCell ref="A499:L499"/>
    <mergeCell ref="J502:L502"/>
    <mergeCell ref="A520:L520"/>
    <mergeCell ref="A530:L530"/>
    <mergeCell ref="B532:L532"/>
    <mergeCell ref="C534:F534"/>
    <mergeCell ref="C535:D535"/>
    <mergeCell ref="F535:H535"/>
    <mergeCell ref="B541:L541"/>
    <mergeCell ref="A543:L543"/>
    <mergeCell ref="J546:L546"/>
    <mergeCell ref="A571:L571"/>
    <mergeCell ref="A581:L581"/>
    <mergeCell ref="B583:L583"/>
    <mergeCell ref="C585:F585"/>
    <mergeCell ref="C586:D586"/>
    <mergeCell ref="F586:H586"/>
    <mergeCell ref="B592:L592"/>
    <mergeCell ref="A594:L594"/>
    <mergeCell ref="J597:L597"/>
    <mergeCell ref="A616:L616"/>
    <mergeCell ref="A626:L626"/>
    <mergeCell ref="B628:L628"/>
    <mergeCell ref="C630:F630"/>
    <mergeCell ref="C631:D631"/>
    <mergeCell ref="F631:H631"/>
    <mergeCell ref="B637:L637"/>
    <mergeCell ref="A639:L639"/>
    <mergeCell ref="J642:L642"/>
    <mergeCell ref="A663:L663"/>
    <mergeCell ref="A673:L673"/>
    <mergeCell ref="B675:L675"/>
    <mergeCell ref="C677:F677"/>
    <mergeCell ref="C678:D678"/>
    <mergeCell ref="F678:H678"/>
    <mergeCell ref="B684:L684"/>
    <mergeCell ref="A686:L686"/>
    <mergeCell ref="J689:L689"/>
    <mergeCell ref="A799:L799"/>
    <mergeCell ref="A809:L809"/>
    <mergeCell ref="C724:F724"/>
    <mergeCell ref="C725:D725"/>
    <mergeCell ref="F725:H725"/>
    <mergeCell ref="B811:L811"/>
    <mergeCell ref="C813:F813"/>
    <mergeCell ref="C814:D814"/>
    <mergeCell ref="F814:H814"/>
    <mergeCell ref="B820:L820"/>
    <mergeCell ref="A822:L822"/>
    <mergeCell ref="J825:L825"/>
    <mergeCell ref="A843:L843"/>
    <mergeCell ref="A853:L853"/>
    <mergeCell ref="B855:L855"/>
    <mergeCell ref="C857:F857"/>
    <mergeCell ref="C858:D858"/>
    <mergeCell ref="F858:H858"/>
    <mergeCell ref="B864:L864"/>
    <mergeCell ref="A866:L866"/>
    <mergeCell ref="J869:L869"/>
    <mergeCell ref="B915:L915"/>
    <mergeCell ref="A917:L917"/>
    <mergeCell ref="J920:L920"/>
    <mergeCell ref="D902:H902"/>
    <mergeCell ref="A894:L894"/>
    <mergeCell ref="A904:L904"/>
    <mergeCell ref="B906:L906"/>
    <mergeCell ref="C908:F908"/>
    <mergeCell ref="C909:D909"/>
    <mergeCell ref="F909:H909"/>
    <mergeCell ref="A1171:L1171"/>
    <mergeCell ref="B966:L966"/>
    <mergeCell ref="A968:L968"/>
    <mergeCell ref="J971:L971"/>
    <mergeCell ref="A988:L988"/>
    <mergeCell ref="A998:L998"/>
    <mergeCell ref="B1000:L1000"/>
    <mergeCell ref="A945:L945"/>
    <mergeCell ref="A955:L955"/>
    <mergeCell ref="B957:L957"/>
    <mergeCell ref="C959:F959"/>
    <mergeCell ref="C960:D960"/>
    <mergeCell ref="F960:H960"/>
    <mergeCell ref="A1035:L1035"/>
    <mergeCell ref="A1045:L1045"/>
    <mergeCell ref="B1047:L1047"/>
    <mergeCell ref="A1181:L1181"/>
    <mergeCell ref="B1183:L1183"/>
    <mergeCell ref="C1185:F1185"/>
    <mergeCell ref="C1186:D1186"/>
    <mergeCell ref="F1186:H1186"/>
    <mergeCell ref="B1192:L1192"/>
    <mergeCell ref="A1194:L1194"/>
    <mergeCell ref="J1197:L1197"/>
    <mergeCell ref="A1217:L1217"/>
    <mergeCell ref="A1227:L1227"/>
    <mergeCell ref="B1229:L1229"/>
    <mergeCell ref="C1231:F1231"/>
    <mergeCell ref="C1232:D1232"/>
    <mergeCell ref="F1232:H1232"/>
    <mergeCell ref="B1238:L1238"/>
    <mergeCell ref="A1240:L1240"/>
    <mergeCell ref="J1243:L1243"/>
    <mergeCell ref="J1242:L1242"/>
    <mergeCell ref="A1262:L1262"/>
    <mergeCell ref="A1272:L1272"/>
    <mergeCell ref="B1274:L1274"/>
    <mergeCell ref="C1276:F1276"/>
    <mergeCell ref="C1277:D1277"/>
    <mergeCell ref="F1277:H1277"/>
    <mergeCell ref="B1283:L1283"/>
    <mergeCell ref="A1285:L1285"/>
    <mergeCell ref="J1288:L1288"/>
    <mergeCell ref="A1306:L1306"/>
    <mergeCell ref="D1314:H1314"/>
    <mergeCell ref="C1364:D1364"/>
    <mergeCell ref="F1364:H1364"/>
    <mergeCell ref="A1316:L1316"/>
    <mergeCell ref="B1318:L1318"/>
    <mergeCell ref="C1320:F1320"/>
    <mergeCell ref="C1321:D1321"/>
    <mergeCell ref="F1321:H1321"/>
    <mergeCell ref="B1327:L1327"/>
    <mergeCell ref="B1370:L1370"/>
    <mergeCell ref="A1372:L1372"/>
    <mergeCell ref="J1375:L1375"/>
    <mergeCell ref="A1329:L1329"/>
    <mergeCell ref="J1332:L1332"/>
    <mergeCell ref="A1349:L1349"/>
    <mergeCell ref="A1359:L1359"/>
    <mergeCell ref="B1361:L1361"/>
    <mergeCell ref="C1363:F1363"/>
    <mergeCell ref="A1574:L1574"/>
    <mergeCell ref="A1584:L1584"/>
    <mergeCell ref="B1586:L1586"/>
    <mergeCell ref="C1588:F1588"/>
    <mergeCell ref="A1393:L1393"/>
    <mergeCell ref="A1403:L1403"/>
    <mergeCell ref="B1405:L1405"/>
    <mergeCell ref="C1407:F1407"/>
    <mergeCell ref="C1589:D1589"/>
    <mergeCell ref="F1589:H1589"/>
    <mergeCell ref="A1438:L1438"/>
    <mergeCell ref="A1448:L1448"/>
    <mergeCell ref="B1450:L1450"/>
    <mergeCell ref="C1452:F1452"/>
    <mergeCell ref="C1453:D1453"/>
    <mergeCell ref="F1453:H1453"/>
    <mergeCell ref="C1408:D1408"/>
    <mergeCell ref="F1408:H1408"/>
    <mergeCell ref="B1414:L1414"/>
    <mergeCell ref="A1416:L1416"/>
    <mergeCell ref="J1418:L1418"/>
    <mergeCell ref="J1419:L1419"/>
    <mergeCell ref="B1497:L1497"/>
    <mergeCell ref="C1499:F1499"/>
    <mergeCell ref="B1595:L1595"/>
    <mergeCell ref="A1597:L1597"/>
    <mergeCell ref="J1600:L1600"/>
    <mergeCell ref="A1617:L1617"/>
    <mergeCell ref="C1678:F1678"/>
    <mergeCell ref="A1627:L1627"/>
    <mergeCell ref="B1629:L1629"/>
    <mergeCell ref="C1631:F1631"/>
    <mergeCell ref="C1632:D1632"/>
    <mergeCell ref="F1632:H1632"/>
    <mergeCell ref="B1638:L1638"/>
    <mergeCell ref="C1679:D1679"/>
    <mergeCell ref="F1679:H1679"/>
    <mergeCell ref="B1685:L1685"/>
    <mergeCell ref="A1687:L1687"/>
    <mergeCell ref="J1690:L1690"/>
    <mergeCell ref="A1640:L1640"/>
    <mergeCell ref="J1643:L1643"/>
    <mergeCell ref="A1664:L1664"/>
    <mergeCell ref="A1674:L1674"/>
    <mergeCell ref="B1676:L1676"/>
    <mergeCell ref="A1803:L1803"/>
    <mergeCell ref="D1811:H1811"/>
    <mergeCell ref="A1813:L1813"/>
    <mergeCell ref="B1815:L1815"/>
    <mergeCell ref="F1817:H1817"/>
    <mergeCell ref="J1817:L1817"/>
    <mergeCell ref="C1818:D1818"/>
    <mergeCell ref="F1818:H1818"/>
    <mergeCell ref="B1824:L1824"/>
    <mergeCell ref="A1826:L1826"/>
    <mergeCell ref="J1829:L1829"/>
    <mergeCell ref="A1846:L1846"/>
    <mergeCell ref="B1867:L1867"/>
    <mergeCell ref="A1869:L1869"/>
    <mergeCell ref="J1872:L1872"/>
    <mergeCell ref="D1854:H1854"/>
    <mergeCell ref="A1856:L1856"/>
    <mergeCell ref="B1858:L1858"/>
    <mergeCell ref="F1860:H1860"/>
    <mergeCell ref="J1860:L1860"/>
    <mergeCell ref="C1861:D1861"/>
    <mergeCell ref="F1861:H1861"/>
  </mergeCells>
  <pageMargins left="0.5" right="0.2" top="0.75" bottom="1" header="0.5" footer="0.5"/>
  <pageSetup paperSize="5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757"/>
  <sheetViews>
    <sheetView topLeftCell="A20" zoomScale="130" zoomScaleNormal="130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2851562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9.140625" style="4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4.25" customHeight="1" x14ac:dyDescent="0.2"/>
    <row r="2" spans="1:12" ht="12" customHeight="1" x14ac:dyDescent="0.2"/>
    <row r="3" spans="1:12" ht="13.5" customHeight="1" x14ac:dyDescent="0.25">
      <c r="A3" s="3" t="s">
        <v>22</v>
      </c>
    </row>
    <row r="4" spans="1:12" ht="15" customHeight="1" x14ac:dyDescent="0.2">
      <c r="A4" s="122" t="s">
        <v>20</v>
      </c>
    </row>
    <row r="5" spans="1:12" ht="15" customHeight="1" x14ac:dyDescent="0.2">
      <c r="A5" s="122" t="s">
        <v>21</v>
      </c>
    </row>
    <row r="6" spans="1:12" ht="27" customHeight="1" x14ac:dyDescent="0.2"/>
    <row r="7" spans="1:12" ht="22.5" customHeight="1" x14ac:dyDescent="0.2"/>
    <row r="8" spans="1:12" ht="13.5" customHeight="1" x14ac:dyDescent="0.2"/>
    <row r="9" spans="1:12" ht="30" customHeight="1" x14ac:dyDescent="0.3">
      <c r="A9" s="276" t="s">
        <v>6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</row>
    <row r="10" spans="1:12" ht="27.7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2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" customHeight="1" x14ac:dyDescent="0.25">
      <c r="A12" s="1"/>
      <c r="B12" s="1"/>
    </row>
    <row r="13" spans="1:12" ht="15" customHeight="1" x14ac:dyDescent="0.25">
      <c r="A13" s="1" t="s">
        <v>7</v>
      </c>
      <c r="B13" s="1"/>
    </row>
    <row r="14" spans="1:12" ht="13.5" customHeight="1" x14ac:dyDescent="0.25">
      <c r="A14" s="1"/>
      <c r="B14" s="1"/>
    </row>
    <row r="15" spans="1:12" ht="15" customHeight="1" x14ac:dyDescent="0.25">
      <c r="A15" s="1" t="s">
        <v>8</v>
      </c>
      <c r="C15" s="9" t="s">
        <v>1</v>
      </c>
      <c r="D15" s="92" t="s">
        <v>77</v>
      </c>
      <c r="E15" s="76"/>
      <c r="F15" s="76"/>
      <c r="G15" s="76"/>
      <c r="H15" s="76"/>
    </row>
    <row r="16" spans="1:12" ht="13.5" customHeight="1" x14ac:dyDescent="0.25">
      <c r="A16" s="1" t="s">
        <v>9</v>
      </c>
      <c r="C16" s="9" t="s">
        <v>1</v>
      </c>
      <c r="D16" s="57" t="s">
        <v>201</v>
      </c>
      <c r="E16" s="76"/>
      <c r="F16" s="76"/>
      <c r="G16" s="76"/>
      <c r="H16" s="76"/>
    </row>
    <row r="17" spans="1:12" s="76" customFormat="1" ht="15" customHeight="1" x14ac:dyDescent="0.2">
      <c r="A17" s="50" t="s">
        <v>10</v>
      </c>
      <c r="C17" s="91" t="s">
        <v>1</v>
      </c>
      <c r="D17" s="314" t="s">
        <v>233</v>
      </c>
      <c r="E17" s="314"/>
      <c r="F17" s="314"/>
      <c r="G17" s="314"/>
      <c r="H17" s="314"/>
    </row>
    <row r="18" spans="1:12" ht="11.25" customHeight="1" x14ac:dyDescent="0.25">
      <c r="A18" s="1"/>
      <c r="B18" s="1"/>
      <c r="D18" s="1"/>
    </row>
    <row r="19" spans="1:12" ht="32.25" customHeight="1" x14ac:dyDescent="0.2">
      <c r="A19" s="277" t="s">
        <v>231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</row>
    <row r="20" spans="1:12" ht="17.25" customHeight="1" x14ac:dyDescent="0.25">
      <c r="A20" s="1"/>
      <c r="B20" s="1"/>
    </row>
    <row r="21" spans="1:12" ht="36" customHeight="1" thickBot="1" x14ac:dyDescent="0.25">
      <c r="A21" s="10" t="s">
        <v>0</v>
      </c>
      <c r="B21" s="278" t="s">
        <v>91</v>
      </c>
      <c r="C21" s="278"/>
      <c r="D21" s="278"/>
      <c r="E21" s="278"/>
      <c r="F21" s="278"/>
      <c r="G21" s="278"/>
      <c r="H21" s="278"/>
      <c r="I21" s="278"/>
      <c r="J21" s="278"/>
      <c r="K21" s="278"/>
      <c r="L21" s="278"/>
    </row>
    <row r="22" spans="1:12" ht="26.25" customHeight="1" thickTop="1" x14ac:dyDescent="0.25">
      <c r="A22" s="1"/>
      <c r="B22" s="11" t="s">
        <v>3</v>
      </c>
      <c r="C22" s="12" t="s">
        <v>4</v>
      </c>
      <c r="D22" s="13"/>
      <c r="E22" s="13"/>
      <c r="F22" s="13"/>
      <c r="G22" s="13"/>
      <c r="H22" s="14"/>
      <c r="I22" s="15" t="s">
        <v>5</v>
      </c>
      <c r="J22" s="12" t="s">
        <v>17</v>
      </c>
      <c r="K22" s="13"/>
      <c r="L22" s="14"/>
    </row>
    <row r="23" spans="1:12" ht="34.5" customHeight="1" x14ac:dyDescent="0.2">
      <c r="A23" s="50"/>
      <c r="B23" s="100">
        <v>1</v>
      </c>
      <c r="C23" s="284" t="s">
        <v>230</v>
      </c>
      <c r="D23" s="285"/>
      <c r="E23" s="285"/>
      <c r="F23" s="285"/>
      <c r="G23" s="76"/>
      <c r="H23" s="79"/>
      <c r="I23" s="56">
        <v>250000</v>
      </c>
      <c r="J23" s="76"/>
      <c r="K23" s="76"/>
      <c r="L23" s="79"/>
    </row>
    <row r="24" spans="1:12" ht="26.25" customHeight="1" x14ac:dyDescent="0.25">
      <c r="A24" s="50"/>
      <c r="B24" s="96">
        <v>2</v>
      </c>
      <c r="C24" s="321" t="s">
        <v>238</v>
      </c>
      <c r="D24" s="297"/>
      <c r="E24" s="127">
        <v>1957000</v>
      </c>
      <c r="F24" s="319" t="s">
        <v>239</v>
      </c>
      <c r="G24" s="297"/>
      <c r="H24" s="320"/>
      <c r="I24" s="56">
        <f>E24*30/100</f>
        <v>587100</v>
      </c>
      <c r="J24" s="50" t="s">
        <v>240</v>
      </c>
      <c r="K24" s="1"/>
      <c r="L24" s="17"/>
    </row>
    <row r="25" spans="1:12" ht="18" customHeight="1" x14ac:dyDescent="0.2">
      <c r="B25" s="16"/>
      <c r="H25" s="17"/>
      <c r="I25" s="19"/>
      <c r="L25" s="17"/>
    </row>
    <row r="26" spans="1:12" ht="15" customHeight="1" x14ac:dyDescent="0.2">
      <c r="B26" s="20"/>
      <c r="C26" s="21"/>
      <c r="D26" s="21"/>
      <c r="E26" s="21"/>
      <c r="F26" s="21"/>
      <c r="G26" s="21"/>
      <c r="H26" s="22"/>
      <c r="I26" s="23"/>
      <c r="J26" s="21"/>
      <c r="K26" s="21"/>
      <c r="L26" s="22"/>
    </row>
    <row r="27" spans="1:12" ht="15" x14ac:dyDescent="0.25">
      <c r="A27" s="1"/>
      <c r="B27" s="39"/>
      <c r="C27" s="1"/>
      <c r="D27" s="1"/>
      <c r="E27" s="1"/>
      <c r="F27" s="40" t="s">
        <v>5</v>
      </c>
      <c r="G27" s="40"/>
      <c r="H27" s="1"/>
      <c r="I27" s="41">
        <f>SUM(I23:I24)</f>
        <v>837100</v>
      </c>
      <c r="J27" s="1"/>
      <c r="K27" s="1"/>
      <c r="L27" s="42"/>
    </row>
    <row r="28" spans="1:12" ht="18" customHeight="1" thickBot="1" x14ac:dyDescent="0.3">
      <c r="A28" s="1"/>
      <c r="B28" s="43"/>
      <c r="C28" s="44"/>
      <c r="D28" s="44"/>
      <c r="E28" s="44"/>
      <c r="F28" s="45"/>
      <c r="G28" s="45"/>
      <c r="H28" s="44"/>
      <c r="I28" s="46"/>
      <c r="J28" s="44"/>
      <c r="K28" s="44"/>
      <c r="L28" s="47"/>
    </row>
    <row r="29" spans="1:12" ht="18" customHeight="1" thickTop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51.75" customHeight="1" x14ac:dyDescent="0.2">
      <c r="A30" s="10" t="s">
        <v>2</v>
      </c>
      <c r="B30" s="279" t="s">
        <v>11</v>
      </c>
      <c r="C30" s="279"/>
      <c r="D30" s="279"/>
      <c r="E30" s="279"/>
      <c r="F30" s="279"/>
      <c r="G30" s="279"/>
      <c r="H30" s="279"/>
      <c r="I30" s="279"/>
      <c r="J30" s="279"/>
      <c r="K30" s="279"/>
      <c r="L30" s="279"/>
    </row>
    <row r="31" spans="1:12" ht="3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9.5" customHeight="1" x14ac:dyDescent="0.2">
      <c r="A32" s="280" t="s">
        <v>12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</row>
    <row r="33" spans="1:12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4" t="s">
        <v>199</v>
      </c>
      <c r="J35" s="286" t="s">
        <v>232</v>
      </c>
      <c r="K35" s="286"/>
      <c r="L35" s="286"/>
    </row>
    <row r="36" spans="1:12" ht="15" x14ac:dyDescent="0.25">
      <c r="A36" s="1"/>
      <c r="B36" s="1" t="s">
        <v>15</v>
      </c>
      <c r="C36" s="1"/>
      <c r="D36" s="1"/>
      <c r="E36" s="1"/>
      <c r="F36" s="1"/>
      <c r="G36" s="1"/>
      <c r="H36" s="4" t="s">
        <v>13</v>
      </c>
    </row>
    <row r="37" spans="1:12" ht="15" x14ac:dyDescent="0.25">
      <c r="A37" s="1"/>
      <c r="B37" s="1" t="s">
        <v>18</v>
      </c>
      <c r="C37" s="1"/>
      <c r="D37" s="1"/>
      <c r="E37" s="1"/>
      <c r="F37" s="1"/>
      <c r="G37" s="1"/>
      <c r="H37" s="4" t="s">
        <v>14</v>
      </c>
    </row>
    <row r="38" spans="1:12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75" customHeight="1" x14ac:dyDescent="0.25">
      <c r="A40" s="1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"/>
    </row>
    <row r="41" spans="1:12" ht="15" x14ac:dyDescent="0.25">
      <c r="A41" s="1"/>
      <c r="K41" s="103"/>
      <c r="L41" s="1"/>
    </row>
    <row r="42" spans="1:12" ht="15" x14ac:dyDescent="0.25">
      <c r="A42" s="1"/>
      <c r="B42" s="95" t="s">
        <v>77</v>
      </c>
      <c r="H42" s="95" t="s">
        <v>77</v>
      </c>
      <c r="I42" s="95"/>
      <c r="J42" s="92"/>
      <c r="K42" s="103"/>
      <c r="L42" s="1"/>
    </row>
    <row r="43" spans="1:12" ht="15" x14ac:dyDescent="0.25">
      <c r="A43" s="1"/>
      <c r="B43" s="99" t="s">
        <v>27</v>
      </c>
      <c r="C43" s="57"/>
      <c r="H43" s="99" t="s">
        <v>27</v>
      </c>
      <c r="K43" s="103"/>
    </row>
    <row r="44" spans="1:12" ht="12.75" x14ac:dyDescent="0.2"/>
    <row r="45" spans="1:12" ht="12.75" x14ac:dyDescent="0.2"/>
    <row r="46" spans="1:12" ht="12.75" x14ac:dyDescent="0.2"/>
    <row r="47" spans="1:12" ht="14.25" customHeight="1" x14ac:dyDescent="0.2"/>
    <row r="48" spans="1:12" ht="14.25" customHeight="1" x14ac:dyDescent="0.2"/>
    <row r="49" spans="1:12" ht="15" customHeight="1" x14ac:dyDescent="0.2"/>
    <row r="50" spans="1:12" ht="15" customHeight="1" x14ac:dyDescent="0.25">
      <c r="A50" s="3" t="s">
        <v>22</v>
      </c>
    </row>
    <row r="51" spans="1:12" ht="18.75" customHeight="1" x14ac:dyDescent="0.2">
      <c r="A51" s="122" t="s">
        <v>20</v>
      </c>
    </row>
    <row r="52" spans="1:12" ht="15" customHeight="1" x14ac:dyDescent="0.2">
      <c r="A52" s="122" t="s">
        <v>21</v>
      </c>
    </row>
    <row r="53" spans="1:12" ht="15" customHeight="1" x14ac:dyDescent="0.2"/>
    <row r="54" spans="1:12" ht="15" customHeight="1" x14ac:dyDescent="0.2"/>
    <row r="55" spans="1:12" ht="18.75" customHeight="1" x14ac:dyDescent="0.2"/>
    <row r="56" spans="1:12" ht="15" customHeight="1" x14ac:dyDescent="0.3">
      <c r="A56" s="276" t="s">
        <v>6</v>
      </c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</row>
    <row r="57" spans="1:12" ht="15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ht="30.75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 ht="15" x14ac:dyDescent="0.25">
      <c r="A59" s="1"/>
      <c r="B59" s="1"/>
    </row>
    <row r="60" spans="1:12" ht="12.75" customHeight="1" x14ac:dyDescent="0.25">
      <c r="A60" s="1" t="s">
        <v>7</v>
      </c>
      <c r="B60" s="1"/>
    </row>
    <row r="61" spans="1:12" ht="16.5" customHeight="1" x14ac:dyDescent="0.25">
      <c r="A61" s="1"/>
      <c r="B61" s="1"/>
    </row>
    <row r="62" spans="1:12" ht="18.75" customHeight="1" x14ac:dyDescent="0.25">
      <c r="A62" s="1" t="s">
        <v>8</v>
      </c>
      <c r="C62" s="91" t="s">
        <v>1</v>
      </c>
      <c r="D62" s="92" t="s">
        <v>96</v>
      </c>
      <c r="E62" s="92"/>
      <c r="F62" s="92"/>
      <c r="G62" s="92"/>
      <c r="H62" s="92"/>
    </row>
    <row r="63" spans="1:12" ht="17.25" customHeight="1" x14ac:dyDescent="0.25">
      <c r="A63" s="1" t="s">
        <v>9</v>
      </c>
      <c r="C63" s="91" t="s">
        <v>1</v>
      </c>
      <c r="D63" s="57" t="s">
        <v>200</v>
      </c>
      <c r="E63" s="57"/>
      <c r="F63" s="57"/>
      <c r="G63" s="57"/>
      <c r="H63" s="57"/>
    </row>
    <row r="64" spans="1:12" ht="21.75" customHeight="1" x14ac:dyDescent="0.2">
      <c r="A64" s="50" t="s">
        <v>10</v>
      </c>
      <c r="C64" s="91" t="s">
        <v>1</v>
      </c>
      <c r="D64" s="50" t="s">
        <v>203</v>
      </c>
      <c r="E64" s="50"/>
      <c r="F64" s="50"/>
      <c r="G64" s="50"/>
      <c r="H64" s="50"/>
    </row>
    <row r="65" spans="1:12" ht="27" customHeight="1" x14ac:dyDescent="0.25">
      <c r="A65" s="1"/>
      <c r="B65" s="1"/>
      <c r="D65" s="1"/>
    </row>
    <row r="66" spans="1:12" ht="36.75" customHeight="1" x14ac:dyDescent="0.2">
      <c r="A66" s="277" t="s">
        <v>231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</row>
    <row r="67" spans="1:12" ht="14.25" customHeight="1" x14ac:dyDescent="0.25">
      <c r="A67" s="1"/>
      <c r="B67" s="1"/>
    </row>
    <row r="68" spans="1:12" ht="37.5" customHeight="1" thickBot="1" x14ac:dyDescent="0.25">
      <c r="A68" s="10" t="s">
        <v>0</v>
      </c>
      <c r="B68" s="278" t="s">
        <v>91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</row>
    <row r="69" spans="1:12" ht="27" customHeight="1" thickTop="1" x14ac:dyDescent="0.25">
      <c r="A69" s="1"/>
      <c r="B69" s="11" t="s">
        <v>3</v>
      </c>
      <c r="C69" s="12" t="s">
        <v>4</v>
      </c>
      <c r="D69" s="13"/>
      <c r="E69" s="13"/>
      <c r="F69" s="13"/>
      <c r="G69" s="13"/>
      <c r="H69" s="14"/>
      <c r="I69" s="15" t="s">
        <v>5</v>
      </c>
      <c r="J69" s="12" t="s">
        <v>17</v>
      </c>
      <c r="K69" s="13"/>
      <c r="L69" s="14"/>
    </row>
    <row r="70" spans="1:12" ht="27" customHeight="1" x14ac:dyDescent="0.2">
      <c r="A70" s="50"/>
      <c r="B70" s="100">
        <v>1</v>
      </c>
      <c r="C70" s="281" t="s">
        <v>230</v>
      </c>
      <c r="D70" s="282"/>
      <c r="E70" s="282"/>
      <c r="F70" s="282"/>
      <c r="G70" s="50"/>
      <c r="H70" s="55"/>
      <c r="I70" s="56">
        <v>250000</v>
      </c>
      <c r="J70" s="50"/>
      <c r="K70" s="50"/>
      <c r="L70" s="79"/>
    </row>
    <row r="71" spans="1:12" ht="24" customHeight="1" x14ac:dyDescent="0.25">
      <c r="A71" s="50"/>
      <c r="B71" s="96">
        <v>2</v>
      </c>
      <c r="C71" s="321" t="s">
        <v>238</v>
      </c>
      <c r="D71" s="297"/>
      <c r="E71" s="127">
        <v>622000</v>
      </c>
      <c r="F71" s="319" t="s">
        <v>239</v>
      </c>
      <c r="G71" s="297"/>
      <c r="H71" s="320"/>
      <c r="I71" s="56">
        <f>E71*30/100</f>
        <v>186600</v>
      </c>
      <c r="J71" s="50" t="s">
        <v>240</v>
      </c>
      <c r="K71" s="1"/>
      <c r="L71" s="17"/>
    </row>
    <row r="72" spans="1:12" ht="27.75" customHeight="1" x14ac:dyDescent="0.2">
      <c r="B72" s="20"/>
      <c r="C72" s="21"/>
      <c r="D72" s="21"/>
      <c r="E72" s="21"/>
      <c r="F72" s="21"/>
      <c r="G72" s="21"/>
      <c r="H72" s="22"/>
      <c r="I72" s="23"/>
      <c r="J72" s="21"/>
      <c r="K72" s="21"/>
      <c r="L72" s="22"/>
    </row>
    <row r="73" spans="1:12" ht="15" x14ac:dyDescent="0.25">
      <c r="A73" s="1"/>
      <c r="B73" s="39"/>
      <c r="C73" s="1"/>
      <c r="D73" s="1"/>
      <c r="E73" s="1"/>
      <c r="F73" s="40" t="s">
        <v>5</v>
      </c>
      <c r="G73" s="40"/>
      <c r="H73" s="1"/>
      <c r="I73" s="41">
        <f>SUM(I70:I71)</f>
        <v>436600</v>
      </c>
      <c r="J73" s="1"/>
      <c r="K73" s="1"/>
      <c r="L73" s="42"/>
    </row>
    <row r="74" spans="1:12" ht="15.75" thickBot="1" x14ac:dyDescent="0.3">
      <c r="A74" s="1"/>
      <c r="B74" s="43"/>
      <c r="C74" s="44"/>
      <c r="D74" s="44"/>
      <c r="E74" s="44"/>
      <c r="F74" s="45"/>
      <c r="G74" s="45"/>
      <c r="H74" s="44"/>
      <c r="I74" s="46"/>
      <c r="J74" s="44"/>
      <c r="K74" s="44"/>
      <c r="L74" s="47"/>
    </row>
    <row r="75" spans="1:12" ht="15.75" thickTop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47.25" customHeight="1" x14ac:dyDescent="0.2">
      <c r="A76" s="10" t="s">
        <v>2</v>
      </c>
      <c r="B76" s="279" t="s">
        <v>11</v>
      </c>
      <c r="C76" s="279"/>
      <c r="D76" s="279"/>
      <c r="E76" s="279"/>
      <c r="F76" s="279"/>
      <c r="G76" s="279"/>
      <c r="H76" s="279"/>
      <c r="I76" s="279"/>
      <c r="J76" s="279"/>
      <c r="K76" s="279"/>
      <c r="L76" s="279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customHeight="1" x14ac:dyDescent="0.2">
      <c r="A78" s="280" t="s">
        <v>12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2" customHeight="1" x14ac:dyDescent="0.25">
      <c r="A81" s="1"/>
      <c r="B81" s="1"/>
      <c r="C81" s="1"/>
      <c r="D81" s="1"/>
      <c r="E81" s="1"/>
      <c r="F81" s="1"/>
      <c r="G81" s="1"/>
      <c r="H81" s="4" t="s">
        <v>199</v>
      </c>
      <c r="J81" s="286" t="s">
        <v>232</v>
      </c>
      <c r="K81" s="286"/>
      <c r="L81" s="286"/>
    </row>
    <row r="82" spans="1:12" ht="15" x14ac:dyDescent="0.25">
      <c r="A82" s="1"/>
      <c r="B82" s="1" t="s">
        <v>15</v>
      </c>
      <c r="C82" s="1"/>
      <c r="D82" s="1"/>
      <c r="E82" s="1"/>
      <c r="F82" s="1"/>
      <c r="G82" s="1"/>
      <c r="H82" s="4" t="s">
        <v>13</v>
      </c>
    </row>
    <row r="83" spans="1:12" ht="15" customHeight="1" x14ac:dyDescent="0.25">
      <c r="A83" s="1"/>
      <c r="B83" s="1" t="s">
        <v>18</v>
      </c>
      <c r="C83" s="1"/>
      <c r="D83" s="1"/>
      <c r="E83" s="1"/>
      <c r="F83" s="1"/>
      <c r="G83" s="1"/>
      <c r="H83" s="4" t="s">
        <v>14</v>
      </c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"/>
    </row>
    <row r="87" spans="1:12" ht="21" customHeight="1" x14ac:dyDescent="0.25">
      <c r="A87" s="1"/>
      <c r="K87" s="103"/>
      <c r="L87" s="1"/>
    </row>
    <row r="88" spans="1:12" ht="15" x14ac:dyDescent="0.25">
      <c r="A88" s="1"/>
      <c r="B88" s="95" t="s">
        <v>77</v>
      </c>
      <c r="H88" s="95" t="s">
        <v>96</v>
      </c>
      <c r="I88" s="95"/>
      <c r="J88" s="92"/>
      <c r="K88" s="103"/>
      <c r="L88" s="1"/>
    </row>
    <row r="89" spans="1:12" ht="15" x14ac:dyDescent="0.25">
      <c r="A89" s="1"/>
      <c r="B89" s="99" t="s">
        <v>27</v>
      </c>
      <c r="C89" s="57"/>
      <c r="H89" s="4" t="s">
        <v>100</v>
      </c>
      <c r="K89" s="103"/>
    </row>
    <row r="90" spans="1:12" ht="12.75" x14ac:dyDescent="0.2"/>
    <row r="91" spans="1:12" ht="12.75" x14ac:dyDescent="0.2"/>
    <row r="92" spans="1:12" ht="12.75" x14ac:dyDescent="0.2"/>
    <row r="93" spans="1:12" ht="12.75" x14ac:dyDescent="0.2"/>
    <row r="94" spans="1:12" ht="12.75" x14ac:dyDescent="0.2"/>
    <row r="95" spans="1:12" ht="12.75" x14ac:dyDescent="0.2"/>
    <row r="96" spans="1:12" ht="12.75" x14ac:dyDescent="0.2"/>
    <row r="97" spans="1:12" ht="18" customHeight="1" x14ac:dyDescent="0.25">
      <c r="A97" s="3" t="s">
        <v>22</v>
      </c>
    </row>
    <row r="98" spans="1:12" ht="23.25" customHeight="1" x14ac:dyDescent="0.2">
      <c r="A98" s="122" t="s">
        <v>20</v>
      </c>
    </row>
    <row r="99" spans="1:12" ht="18.75" customHeight="1" x14ac:dyDescent="0.2">
      <c r="A99" s="122" t="s">
        <v>21</v>
      </c>
    </row>
    <row r="100" spans="1:12" ht="14.25" customHeight="1" x14ac:dyDescent="0.2"/>
    <row r="101" spans="1:12" ht="21" customHeight="1" x14ac:dyDescent="0.2"/>
    <row r="102" spans="1:12" ht="15" customHeight="1" x14ac:dyDescent="0.2"/>
    <row r="103" spans="1:12" ht="18.75" customHeight="1" x14ac:dyDescent="0.3">
      <c r="A103" s="276" t="s">
        <v>6</v>
      </c>
      <c r="B103" s="276"/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</row>
    <row r="104" spans="1:12" ht="14.25" customHeight="1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</row>
    <row r="105" spans="1:12" ht="18.75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</row>
    <row r="106" spans="1:12" ht="17.25" customHeight="1" x14ac:dyDescent="0.25">
      <c r="A106" s="1"/>
      <c r="B106" s="1"/>
    </row>
    <row r="107" spans="1:12" ht="28.5" customHeight="1" x14ac:dyDescent="0.25">
      <c r="A107" s="1" t="s">
        <v>7</v>
      </c>
      <c r="B107" s="1"/>
    </row>
    <row r="108" spans="1:12" ht="13.5" customHeight="1" x14ac:dyDescent="0.25">
      <c r="A108" s="1"/>
      <c r="B108" s="1"/>
    </row>
    <row r="109" spans="1:12" ht="23.25" customHeight="1" x14ac:dyDescent="0.2">
      <c r="A109" s="50" t="s">
        <v>8</v>
      </c>
      <c r="B109" s="76"/>
      <c r="C109" s="91" t="s">
        <v>1</v>
      </c>
      <c r="D109" s="123" t="s">
        <v>78</v>
      </c>
      <c r="E109" s="92"/>
      <c r="F109" s="92"/>
      <c r="G109" s="92"/>
      <c r="H109" s="92"/>
    </row>
    <row r="110" spans="1:12" ht="19.5" customHeight="1" x14ac:dyDescent="0.2">
      <c r="A110" s="50" t="s">
        <v>9</v>
      </c>
      <c r="B110" s="76"/>
      <c r="C110" s="91" t="s">
        <v>1</v>
      </c>
      <c r="D110" s="76" t="s">
        <v>234</v>
      </c>
      <c r="E110" s="57"/>
      <c r="F110" s="57"/>
      <c r="G110" s="57"/>
      <c r="H110" s="57"/>
    </row>
    <row r="111" spans="1:12" ht="24.75" customHeight="1" x14ac:dyDescent="0.2">
      <c r="A111" s="50" t="s">
        <v>10</v>
      </c>
      <c r="B111" s="76"/>
      <c r="C111" s="91" t="s">
        <v>1</v>
      </c>
      <c r="D111" s="50" t="s">
        <v>235</v>
      </c>
      <c r="E111" s="50"/>
      <c r="F111" s="50"/>
      <c r="G111" s="50"/>
      <c r="H111" s="50"/>
    </row>
    <row r="112" spans="1:12" ht="19.5" customHeight="1" x14ac:dyDescent="0.25">
      <c r="A112" s="1"/>
      <c r="B112" s="1"/>
      <c r="D112" s="1"/>
    </row>
    <row r="113" spans="1:12" ht="51" customHeight="1" x14ac:dyDescent="0.2">
      <c r="A113" s="277" t="s">
        <v>231</v>
      </c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</row>
    <row r="114" spans="1:12" ht="18.75" customHeight="1" x14ac:dyDescent="0.25">
      <c r="A114" s="1"/>
      <c r="B114" s="1"/>
    </row>
    <row r="115" spans="1:12" ht="47.25" customHeight="1" thickBot="1" x14ac:dyDescent="0.25">
      <c r="A115" s="10" t="s">
        <v>0</v>
      </c>
      <c r="B115" s="278" t="s">
        <v>91</v>
      </c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</row>
    <row r="116" spans="1:12" ht="24.75" customHeight="1" thickTop="1" x14ac:dyDescent="0.25">
      <c r="A116" s="1"/>
      <c r="B116" s="11" t="s">
        <v>3</v>
      </c>
      <c r="C116" s="12" t="s">
        <v>4</v>
      </c>
      <c r="D116" s="13"/>
      <c r="E116" s="13"/>
      <c r="F116" s="13"/>
      <c r="G116" s="13"/>
      <c r="H116" s="14"/>
      <c r="I116" s="15" t="s">
        <v>5</v>
      </c>
      <c r="J116" s="12" t="s">
        <v>17</v>
      </c>
      <c r="K116" s="13"/>
      <c r="L116" s="14"/>
    </row>
    <row r="117" spans="1:12" ht="31.5" customHeight="1" x14ac:dyDescent="0.2">
      <c r="A117" s="50"/>
      <c r="B117" s="100">
        <v>1</v>
      </c>
      <c r="C117" s="281" t="s">
        <v>230</v>
      </c>
      <c r="D117" s="282"/>
      <c r="E117" s="282"/>
      <c r="F117" s="282"/>
      <c r="G117" s="50"/>
      <c r="H117" s="55"/>
      <c r="I117" s="56">
        <v>250000</v>
      </c>
      <c r="J117" s="50"/>
      <c r="K117" s="50"/>
      <c r="L117" s="79"/>
    </row>
    <row r="118" spans="1:12" ht="26.25" customHeight="1" x14ac:dyDescent="0.25">
      <c r="B118" s="96">
        <v>2</v>
      </c>
      <c r="C118" s="321" t="s">
        <v>238</v>
      </c>
      <c r="D118" s="297"/>
      <c r="E118" s="127">
        <v>622000</v>
      </c>
      <c r="F118" s="319" t="s">
        <v>239</v>
      </c>
      <c r="G118" s="297"/>
      <c r="H118" s="320"/>
      <c r="I118" s="56">
        <f>E118*30/100</f>
        <v>186600</v>
      </c>
      <c r="J118" s="50" t="s">
        <v>240</v>
      </c>
      <c r="K118" s="1"/>
      <c r="L118" s="17"/>
    </row>
    <row r="119" spans="1:12" ht="25.5" customHeight="1" x14ac:dyDescent="0.2">
      <c r="B119" s="20"/>
      <c r="C119" s="21"/>
      <c r="D119" s="21"/>
      <c r="E119" s="21"/>
      <c r="F119" s="21"/>
      <c r="G119" s="21"/>
      <c r="H119" s="22"/>
      <c r="I119" s="23"/>
      <c r="J119" s="21"/>
      <c r="K119" s="21"/>
      <c r="L119" s="22"/>
    </row>
    <row r="120" spans="1:12" ht="22.5" customHeight="1" x14ac:dyDescent="0.25">
      <c r="A120" s="1"/>
      <c r="B120" s="39"/>
      <c r="C120" s="1"/>
      <c r="D120" s="1"/>
      <c r="E120" s="1"/>
      <c r="F120" s="40" t="s">
        <v>5</v>
      </c>
      <c r="G120" s="40"/>
      <c r="H120" s="1"/>
      <c r="I120" s="41">
        <f>SUM(I117:I118)</f>
        <v>436600</v>
      </c>
      <c r="J120" s="1"/>
      <c r="K120" s="1"/>
      <c r="L120" s="42"/>
    </row>
    <row r="121" spans="1:12" ht="12.75" customHeight="1" thickBot="1" x14ac:dyDescent="0.3">
      <c r="A121" s="1"/>
      <c r="B121" s="43"/>
      <c r="C121" s="44"/>
      <c r="D121" s="44"/>
      <c r="E121" s="44"/>
      <c r="F121" s="45"/>
      <c r="G121" s="45"/>
      <c r="H121" s="44"/>
      <c r="I121" s="46"/>
      <c r="J121" s="44"/>
      <c r="K121" s="44"/>
      <c r="L121" s="47"/>
    </row>
    <row r="122" spans="1:12" ht="12.75" customHeight="1" thickTop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49.5" customHeight="1" x14ac:dyDescent="0.2">
      <c r="A123" s="10" t="s">
        <v>2</v>
      </c>
      <c r="B123" s="279" t="s">
        <v>11</v>
      </c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</row>
    <row r="124" spans="1:1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customHeight="1" x14ac:dyDescent="0.2">
      <c r="A125" s="280" t="s">
        <v>12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</row>
    <row r="126" spans="1:12" ht="1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customHeight="1" x14ac:dyDescent="0.25">
      <c r="A128" s="1"/>
      <c r="B128" s="1"/>
      <c r="C128" s="1"/>
      <c r="D128" s="1"/>
      <c r="E128" s="1"/>
      <c r="F128" s="1"/>
      <c r="G128" s="1"/>
      <c r="H128" s="4" t="s">
        <v>199</v>
      </c>
      <c r="J128" s="286" t="s">
        <v>232</v>
      </c>
      <c r="K128" s="286"/>
      <c r="L128" s="286"/>
    </row>
    <row r="129" spans="1:12" ht="15" customHeight="1" x14ac:dyDescent="0.25">
      <c r="A129" s="1"/>
      <c r="B129" s="1" t="s">
        <v>15</v>
      </c>
      <c r="C129" s="1"/>
      <c r="D129" s="1"/>
      <c r="E129" s="1"/>
      <c r="F129" s="1"/>
      <c r="G129" s="1"/>
      <c r="H129" s="4" t="s">
        <v>13</v>
      </c>
    </row>
    <row r="130" spans="1:12" ht="15" x14ac:dyDescent="0.25">
      <c r="A130" s="1"/>
      <c r="B130" s="1" t="s">
        <v>18</v>
      </c>
      <c r="C130" s="1"/>
      <c r="D130" s="1"/>
      <c r="E130" s="1"/>
      <c r="F130" s="1"/>
      <c r="G130" s="1"/>
      <c r="H130" s="4" t="s">
        <v>14</v>
      </c>
    </row>
    <row r="131" spans="1:12" ht="1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" x14ac:dyDescent="0.25">
      <c r="A133" s="1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"/>
    </row>
    <row r="134" spans="1:12" ht="24" customHeight="1" x14ac:dyDescent="0.25">
      <c r="A134" s="1"/>
      <c r="K134" s="103"/>
      <c r="L134" s="1"/>
    </row>
    <row r="135" spans="1:12" ht="15" customHeight="1" x14ac:dyDescent="0.25">
      <c r="A135" s="1"/>
      <c r="B135" s="95" t="s">
        <v>77</v>
      </c>
      <c r="H135" s="95" t="s">
        <v>78</v>
      </c>
      <c r="I135" s="95"/>
      <c r="J135" s="92"/>
      <c r="K135" s="103"/>
      <c r="L135" s="1"/>
    </row>
    <row r="136" spans="1:12" ht="15" x14ac:dyDescent="0.25">
      <c r="A136" s="1"/>
      <c r="B136" s="99" t="s">
        <v>27</v>
      </c>
      <c r="C136" s="57"/>
      <c r="H136" s="99" t="s">
        <v>79</v>
      </c>
      <c r="K136" s="103"/>
    </row>
    <row r="137" spans="1:12" ht="15" customHeight="1" x14ac:dyDescent="0.2"/>
    <row r="138" spans="1:12" ht="12.75" x14ac:dyDescent="0.2"/>
    <row r="139" spans="1:12" ht="12.75" x14ac:dyDescent="0.2"/>
    <row r="140" spans="1:12" ht="12.75" x14ac:dyDescent="0.2"/>
    <row r="141" spans="1:12" ht="14.25" customHeight="1" x14ac:dyDescent="0.2"/>
    <row r="142" spans="1:12" ht="17.25" customHeight="1" x14ac:dyDescent="0.2"/>
    <row r="143" spans="1:12" ht="16.5" customHeight="1" x14ac:dyDescent="0.2"/>
    <row r="144" spans="1:12" ht="21" customHeight="1" x14ac:dyDescent="0.25">
      <c r="A144" s="3" t="s">
        <v>22</v>
      </c>
    </row>
    <row r="145" spans="1:12" ht="15.75" customHeight="1" x14ac:dyDescent="0.2">
      <c r="A145" s="122" t="s">
        <v>20</v>
      </c>
    </row>
    <row r="146" spans="1:12" ht="20.25" customHeight="1" x14ac:dyDescent="0.2">
      <c r="A146" s="122" t="s">
        <v>21</v>
      </c>
    </row>
    <row r="147" spans="1:12" ht="18.75" customHeight="1" x14ac:dyDescent="0.2"/>
    <row r="148" spans="1:12" s="76" customFormat="1" ht="23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7.25" customHeight="1" x14ac:dyDescent="0.2"/>
    <row r="150" spans="1:12" ht="18.75" x14ac:dyDescent="0.3">
      <c r="A150" s="276" t="s">
        <v>6</v>
      </c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6"/>
    </row>
    <row r="151" spans="1:12" ht="18.75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</row>
    <row r="152" spans="1:12" ht="18.75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</row>
    <row r="153" spans="1:12" ht="15" x14ac:dyDescent="0.25">
      <c r="A153" s="1"/>
      <c r="B153" s="1"/>
    </row>
    <row r="154" spans="1:12" ht="15" x14ac:dyDescent="0.25">
      <c r="A154" s="1" t="s">
        <v>7</v>
      </c>
      <c r="B154" s="1"/>
    </row>
    <row r="155" spans="1:12" ht="16.5" customHeight="1" x14ac:dyDescent="0.25">
      <c r="A155" s="1"/>
      <c r="B155" s="1"/>
    </row>
    <row r="156" spans="1:12" ht="15.75" customHeight="1" x14ac:dyDescent="0.2">
      <c r="A156" s="124" t="s">
        <v>8</v>
      </c>
      <c r="B156" s="119"/>
      <c r="C156" s="125" t="s">
        <v>1</v>
      </c>
      <c r="D156" s="126" t="s">
        <v>64</v>
      </c>
      <c r="E156" s="92"/>
      <c r="F156" s="92"/>
      <c r="G156" s="92"/>
      <c r="H156" s="92"/>
    </row>
    <row r="157" spans="1:12" ht="18.75" customHeight="1" x14ac:dyDescent="0.2">
      <c r="A157" s="124" t="s">
        <v>9</v>
      </c>
      <c r="B157" s="119"/>
      <c r="C157" s="125" t="s">
        <v>1</v>
      </c>
      <c r="D157" s="119" t="s">
        <v>236</v>
      </c>
      <c r="E157" s="57"/>
      <c r="F157" s="57"/>
      <c r="G157" s="57"/>
      <c r="H157" s="57"/>
    </row>
    <row r="158" spans="1:12" ht="14.25" customHeight="1" x14ac:dyDescent="0.2">
      <c r="A158" s="124" t="s">
        <v>10</v>
      </c>
      <c r="B158" s="119"/>
      <c r="C158" s="125" t="s">
        <v>1</v>
      </c>
      <c r="D158" s="124" t="s">
        <v>235</v>
      </c>
      <c r="E158" s="50"/>
      <c r="F158" s="50"/>
      <c r="G158" s="50"/>
      <c r="H158" s="50"/>
    </row>
    <row r="159" spans="1:12" ht="16.5" customHeight="1" x14ac:dyDescent="0.25">
      <c r="A159" s="1"/>
      <c r="B159" s="1"/>
      <c r="D159" s="1"/>
    </row>
    <row r="160" spans="1:12" ht="30" customHeight="1" x14ac:dyDescent="0.2">
      <c r="A160" s="277" t="s">
        <v>231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</row>
    <row r="161" spans="1:12" ht="20.25" customHeight="1" x14ac:dyDescent="0.25">
      <c r="A161" s="1"/>
      <c r="B161" s="1"/>
    </row>
    <row r="162" spans="1:12" ht="37.5" customHeight="1" thickBot="1" x14ac:dyDescent="0.25">
      <c r="A162" s="10" t="s">
        <v>0</v>
      </c>
      <c r="B162" s="278" t="s">
        <v>91</v>
      </c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</row>
    <row r="163" spans="1:12" ht="15" customHeight="1" thickTop="1" x14ac:dyDescent="0.25">
      <c r="A163" s="1"/>
      <c r="B163" s="11" t="s">
        <v>3</v>
      </c>
      <c r="C163" s="12" t="s">
        <v>4</v>
      </c>
      <c r="D163" s="13"/>
      <c r="E163" s="13"/>
      <c r="F163" s="13"/>
      <c r="G163" s="13"/>
      <c r="H163" s="14"/>
      <c r="I163" s="15" t="s">
        <v>5</v>
      </c>
      <c r="J163" s="12" t="s">
        <v>17</v>
      </c>
      <c r="K163" s="13"/>
      <c r="L163" s="14"/>
    </row>
    <row r="164" spans="1:12" ht="27" customHeight="1" x14ac:dyDescent="0.2">
      <c r="A164" s="50"/>
      <c r="B164" s="100">
        <v>1</v>
      </c>
      <c r="C164" s="281" t="s">
        <v>230</v>
      </c>
      <c r="D164" s="282"/>
      <c r="E164" s="282"/>
      <c r="F164" s="282"/>
      <c r="G164" s="50"/>
      <c r="H164" s="55"/>
      <c r="I164" s="56">
        <v>250000</v>
      </c>
      <c r="J164" s="50"/>
      <c r="K164" s="50"/>
      <c r="L164" s="79"/>
    </row>
    <row r="165" spans="1:12" ht="14.25" hidden="1" customHeight="1" x14ac:dyDescent="0.2">
      <c r="A165" s="50"/>
      <c r="B165" s="96"/>
      <c r="C165" s="50"/>
      <c r="D165" s="50"/>
      <c r="E165" s="50"/>
      <c r="F165" s="50"/>
      <c r="G165" s="54"/>
      <c r="H165" s="55"/>
      <c r="I165" s="56"/>
      <c r="J165" s="50"/>
      <c r="K165" s="50"/>
      <c r="L165" s="55"/>
    </row>
    <row r="166" spans="1:12" ht="26.25" customHeight="1" x14ac:dyDescent="0.25">
      <c r="B166" s="96">
        <v>2</v>
      </c>
      <c r="C166" s="321" t="s">
        <v>238</v>
      </c>
      <c r="D166" s="297"/>
      <c r="E166" s="127">
        <v>622000</v>
      </c>
      <c r="F166" s="319" t="s">
        <v>239</v>
      </c>
      <c r="G166" s="297"/>
      <c r="H166" s="320"/>
      <c r="I166" s="56">
        <f>E166*30/100</f>
        <v>186600</v>
      </c>
      <c r="J166" s="50" t="s">
        <v>240</v>
      </c>
      <c r="K166" s="1"/>
      <c r="L166" s="17"/>
    </row>
    <row r="167" spans="1:12" ht="22.5" customHeight="1" x14ac:dyDescent="0.2">
      <c r="B167" s="20"/>
      <c r="C167" s="21"/>
      <c r="D167" s="21"/>
      <c r="E167" s="21"/>
      <c r="F167" s="21"/>
      <c r="G167" s="21"/>
      <c r="H167" s="22"/>
      <c r="I167" s="23"/>
      <c r="J167" s="21"/>
      <c r="K167" s="21"/>
      <c r="L167" s="22"/>
    </row>
    <row r="168" spans="1:12" ht="14.25" customHeight="1" x14ac:dyDescent="0.25">
      <c r="A168" s="1"/>
      <c r="B168" s="39"/>
      <c r="C168" s="1"/>
      <c r="D168" s="1"/>
      <c r="E168" s="1"/>
      <c r="F168" s="40" t="s">
        <v>5</v>
      </c>
      <c r="G168" s="40"/>
      <c r="H168" s="1"/>
      <c r="I168" s="41">
        <f>SUM(I164:I166)</f>
        <v>436600</v>
      </c>
      <c r="J168" s="1"/>
      <c r="K168" s="1"/>
      <c r="L168" s="42"/>
    </row>
    <row r="169" spans="1:12" ht="13.5" customHeight="1" thickBot="1" x14ac:dyDescent="0.3">
      <c r="A169" s="1"/>
      <c r="B169" s="43"/>
      <c r="C169" s="44"/>
      <c r="D169" s="44"/>
      <c r="E169" s="44"/>
      <c r="F169" s="45"/>
      <c r="G169" s="45"/>
      <c r="H169" s="44"/>
      <c r="I169" s="46"/>
      <c r="J169" s="44"/>
      <c r="K169" s="44"/>
      <c r="L169" s="47"/>
    </row>
    <row r="170" spans="1:12" ht="18" customHeight="1" thickTop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49.5" customHeight="1" x14ac:dyDescent="0.2">
      <c r="A171" s="10" t="s">
        <v>2</v>
      </c>
      <c r="B171" s="279" t="s">
        <v>11</v>
      </c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</row>
    <row r="172" spans="1:12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6.5" customHeight="1" x14ac:dyDescent="0.2">
      <c r="A173" s="280" t="s">
        <v>12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</row>
    <row r="174" spans="1:12" s="76" customFormat="1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8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 x14ac:dyDescent="0.25">
      <c r="A176" s="1"/>
      <c r="B176" s="1"/>
      <c r="C176" s="1"/>
      <c r="D176" s="1"/>
      <c r="E176" s="1"/>
      <c r="F176" s="1"/>
      <c r="G176" s="1"/>
      <c r="H176" s="4" t="s">
        <v>199</v>
      </c>
      <c r="J176" s="286" t="s">
        <v>232</v>
      </c>
      <c r="K176" s="286"/>
      <c r="L176" s="286"/>
    </row>
    <row r="177" spans="1:12" ht="15" x14ac:dyDescent="0.25">
      <c r="A177" s="1"/>
      <c r="B177" s="1" t="s">
        <v>15</v>
      </c>
      <c r="C177" s="1"/>
      <c r="D177" s="1"/>
      <c r="E177" s="1"/>
      <c r="F177" s="1"/>
      <c r="G177" s="1"/>
      <c r="H177" s="4" t="s">
        <v>13</v>
      </c>
    </row>
    <row r="178" spans="1:12" ht="15" x14ac:dyDescent="0.25">
      <c r="A178" s="1"/>
      <c r="B178" s="1" t="s">
        <v>18</v>
      </c>
      <c r="C178" s="1"/>
      <c r="D178" s="1"/>
      <c r="E178" s="1"/>
      <c r="F178" s="1"/>
      <c r="G178" s="1"/>
      <c r="H178" s="4" t="s">
        <v>14</v>
      </c>
    </row>
    <row r="179" spans="1:12" ht="1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 customHeight="1" x14ac:dyDescent="0.25">
      <c r="A181" s="1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"/>
    </row>
    <row r="182" spans="1:12" ht="15" x14ac:dyDescent="0.25">
      <c r="A182" s="1"/>
      <c r="K182" s="103"/>
      <c r="L182" s="1"/>
    </row>
    <row r="183" spans="1:12" ht="15" customHeight="1" x14ac:dyDescent="0.25">
      <c r="A183" s="1"/>
      <c r="B183" s="95" t="s">
        <v>77</v>
      </c>
      <c r="H183" s="95" t="s">
        <v>64</v>
      </c>
      <c r="I183" s="95"/>
      <c r="J183" s="92"/>
      <c r="K183" s="103"/>
      <c r="L183" s="1"/>
    </row>
    <row r="184" spans="1:12" ht="15" x14ac:dyDescent="0.25">
      <c r="A184" s="1"/>
      <c r="B184" s="99" t="s">
        <v>27</v>
      </c>
      <c r="C184" s="57"/>
      <c r="H184" s="99" t="s">
        <v>46</v>
      </c>
      <c r="K184" s="103"/>
    </row>
    <row r="185" spans="1:12" ht="12.75" x14ac:dyDescent="0.2"/>
    <row r="186" spans="1:12" ht="12.75" x14ac:dyDescent="0.2"/>
    <row r="187" spans="1:12" ht="16.5" customHeight="1" x14ac:dyDescent="0.2"/>
    <row r="188" spans="1:12" ht="15.75" customHeight="1" x14ac:dyDescent="0.2"/>
    <row r="189" spans="1:12" ht="14.25" customHeight="1" x14ac:dyDescent="0.2"/>
    <row r="190" spans="1:12" ht="12.75" x14ac:dyDescent="0.2"/>
    <row r="191" spans="1:12" ht="18.75" customHeight="1" x14ac:dyDescent="0.2"/>
    <row r="192" spans="1:12" ht="19.5" customHeight="1" x14ac:dyDescent="0.2"/>
    <row r="193" spans="1:12" ht="15.75" customHeight="1" x14ac:dyDescent="0.2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</row>
    <row r="194" spans="1:12" ht="20.25" customHeight="1" x14ac:dyDescent="0.2"/>
    <row r="195" spans="1:12" ht="17.25" customHeight="1" x14ac:dyDescent="0.2"/>
    <row r="196" spans="1:12" ht="18" customHeight="1" x14ac:dyDescent="0.2"/>
    <row r="197" spans="1:12" ht="22.5" customHeight="1" x14ac:dyDescent="0.25">
      <c r="A197" s="3" t="s">
        <v>22</v>
      </c>
    </row>
    <row r="198" spans="1:12" ht="14.25" customHeight="1" x14ac:dyDescent="0.2">
      <c r="A198" s="122" t="s">
        <v>20</v>
      </c>
    </row>
    <row r="199" spans="1:12" ht="18.75" customHeight="1" x14ac:dyDescent="0.2">
      <c r="A199" s="122" t="s">
        <v>21</v>
      </c>
    </row>
    <row r="200" spans="1:12" ht="12.75" x14ac:dyDescent="0.2"/>
    <row r="201" spans="1:12" s="76" customFormat="1" ht="17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7.25" customHeight="1" x14ac:dyDescent="0.2"/>
    <row r="203" spans="1:12" ht="17.25" customHeight="1" x14ac:dyDescent="0.3">
      <c r="A203" s="276" t="s">
        <v>6</v>
      </c>
      <c r="B203" s="276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</row>
    <row r="204" spans="1:12" ht="18" customHeigh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</row>
    <row r="205" spans="1:12" ht="17.25" customHeigh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</row>
    <row r="206" spans="1:12" ht="17.25" customHeight="1" x14ac:dyDescent="0.25">
      <c r="A206" s="1"/>
      <c r="B206" s="1"/>
    </row>
    <row r="207" spans="1:12" ht="15.75" customHeight="1" x14ac:dyDescent="0.25">
      <c r="A207" s="1" t="s">
        <v>7</v>
      </c>
      <c r="B207" s="1"/>
    </row>
    <row r="208" spans="1:12" ht="15" x14ac:dyDescent="0.25">
      <c r="A208" s="1"/>
      <c r="B208" s="1"/>
    </row>
    <row r="209" spans="1:12" ht="18" customHeight="1" x14ac:dyDescent="0.25">
      <c r="A209" s="1" t="s">
        <v>8</v>
      </c>
      <c r="C209" s="9" t="s">
        <v>1</v>
      </c>
      <c r="D209" s="92" t="s">
        <v>77</v>
      </c>
      <c r="E209" s="76"/>
      <c r="F209" s="76"/>
      <c r="G209" s="76"/>
      <c r="H209" s="76"/>
    </row>
    <row r="210" spans="1:12" ht="14.25" customHeight="1" x14ac:dyDescent="0.25">
      <c r="A210" s="1" t="s">
        <v>9</v>
      </c>
      <c r="C210" s="9" t="s">
        <v>1</v>
      </c>
      <c r="D210" s="57" t="s">
        <v>201</v>
      </c>
      <c r="E210" s="76"/>
      <c r="F210" s="76"/>
      <c r="G210" s="76"/>
      <c r="H210" s="76"/>
    </row>
    <row r="211" spans="1:12" ht="18.75" customHeight="1" x14ac:dyDescent="0.2">
      <c r="A211" s="50" t="s">
        <v>10</v>
      </c>
      <c r="B211" s="76"/>
      <c r="C211" s="91" t="s">
        <v>1</v>
      </c>
      <c r="D211" s="314" t="s">
        <v>233</v>
      </c>
      <c r="E211" s="314"/>
      <c r="F211" s="314"/>
      <c r="G211" s="314"/>
      <c r="H211" s="314"/>
      <c r="I211" s="76"/>
      <c r="J211" s="76"/>
      <c r="K211" s="76"/>
      <c r="L211" s="76"/>
    </row>
    <row r="212" spans="1:12" ht="18" customHeight="1" x14ac:dyDescent="0.25">
      <c r="A212" s="1"/>
      <c r="B212" s="1"/>
      <c r="D212" s="1"/>
    </row>
    <row r="213" spans="1:12" ht="39.75" customHeight="1" x14ac:dyDescent="0.2">
      <c r="A213" s="277" t="s">
        <v>237</v>
      </c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</row>
    <row r="214" spans="1:12" ht="14.25" customHeight="1" x14ac:dyDescent="0.25">
      <c r="A214" s="1"/>
      <c r="B214" s="1"/>
    </row>
    <row r="215" spans="1:12" ht="36" customHeight="1" thickBot="1" x14ac:dyDescent="0.25">
      <c r="A215" s="10" t="s">
        <v>0</v>
      </c>
      <c r="B215" s="278" t="s">
        <v>91</v>
      </c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</row>
    <row r="216" spans="1:12" ht="21" customHeight="1" thickTop="1" x14ac:dyDescent="0.25">
      <c r="A216" s="1"/>
      <c r="B216" s="11" t="s">
        <v>3</v>
      </c>
      <c r="C216" s="12" t="s">
        <v>4</v>
      </c>
      <c r="D216" s="13"/>
      <c r="E216" s="13"/>
      <c r="F216" s="13"/>
      <c r="G216" s="13"/>
      <c r="H216" s="14"/>
      <c r="I216" s="15" t="s">
        <v>5</v>
      </c>
      <c r="J216" s="12" t="s">
        <v>17</v>
      </c>
      <c r="K216" s="13"/>
      <c r="L216" s="14"/>
    </row>
    <row r="217" spans="1:12" ht="30.75" customHeight="1" x14ac:dyDescent="0.2">
      <c r="A217" s="50"/>
      <c r="B217" s="100">
        <v>1</v>
      </c>
      <c r="C217" s="284" t="s">
        <v>230</v>
      </c>
      <c r="D217" s="285"/>
      <c r="E217" s="285"/>
      <c r="F217" s="285"/>
      <c r="G217" s="76"/>
      <c r="H217" s="79"/>
      <c r="I217" s="56">
        <v>250000</v>
      </c>
      <c r="J217" s="76"/>
      <c r="K217" s="76"/>
      <c r="L217" s="79"/>
    </row>
    <row r="218" spans="1:12" ht="15" x14ac:dyDescent="0.2">
      <c r="A218" s="50"/>
      <c r="B218" s="96"/>
      <c r="C218" s="76"/>
      <c r="D218" s="76"/>
      <c r="E218" s="76"/>
      <c r="F218" s="76"/>
      <c r="G218" s="78"/>
      <c r="H218" s="79"/>
      <c r="I218" s="56"/>
      <c r="J218" s="50"/>
      <c r="K218" s="50"/>
      <c r="L218" s="55"/>
    </row>
    <row r="219" spans="1:12" ht="15" customHeight="1" x14ac:dyDescent="0.2">
      <c r="B219" s="16"/>
      <c r="H219" s="17"/>
      <c r="I219" s="19"/>
      <c r="L219" s="17"/>
    </row>
    <row r="220" spans="1:12" ht="20.25" customHeight="1" x14ac:dyDescent="0.2">
      <c r="B220" s="20"/>
      <c r="C220" s="21"/>
      <c r="D220" s="21"/>
      <c r="E220" s="21"/>
      <c r="F220" s="21"/>
      <c r="G220" s="21"/>
      <c r="H220" s="22"/>
      <c r="I220" s="23"/>
      <c r="J220" s="21"/>
      <c r="K220" s="21"/>
      <c r="L220" s="22"/>
    </row>
    <row r="221" spans="1:12" ht="15" x14ac:dyDescent="0.25">
      <c r="A221" s="1"/>
      <c r="B221" s="39"/>
      <c r="C221" s="1"/>
      <c r="D221" s="1"/>
      <c r="E221" s="1"/>
      <c r="F221" s="40" t="s">
        <v>5</v>
      </c>
      <c r="G221" s="40"/>
      <c r="H221" s="1"/>
      <c r="I221" s="41">
        <f>SUM(I217:I218)</f>
        <v>250000</v>
      </c>
      <c r="J221" s="1"/>
      <c r="K221" s="1"/>
      <c r="L221" s="42"/>
    </row>
    <row r="222" spans="1:12" ht="10.5" customHeight="1" thickBot="1" x14ac:dyDescent="0.3">
      <c r="A222" s="1"/>
      <c r="B222" s="43"/>
      <c r="C222" s="44"/>
      <c r="D222" s="44"/>
      <c r="E222" s="44"/>
      <c r="F222" s="45"/>
      <c r="G222" s="45"/>
      <c r="H222" s="44"/>
      <c r="I222" s="46"/>
      <c r="J222" s="44"/>
      <c r="K222" s="44"/>
      <c r="L222" s="47"/>
    </row>
    <row r="223" spans="1:12" ht="18" customHeight="1" thickTop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46.5" customHeight="1" x14ac:dyDescent="0.2">
      <c r="A224" s="10" t="s">
        <v>2</v>
      </c>
      <c r="B224" s="279" t="s">
        <v>11</v>
      </c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</row>
    <row r="225" spans="1:12" ht="1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24.75" customHeight="1" x14ac:dyDescent="0.2">
      <c r="A226" s="280" t="s">
        <v>12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</row>
    <row r="227" spans="1:1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" x14ac:dyDescent="0.25">
      <c r="A229" s="1"/>
      <c r="B229" s="1"/>
      <c r="C229" s="1"/>
      <c r="D229" s="1"/>
      <c r="E229" s="1"/>
      <c r="F229" s="1"/>
      <c r="G229" s="1"/>
      <c r="H229" s="4" t="s">
        <v>199</v>
      </c>
      <c r="J229" s="286" t="s">
        <v>232</v>
      </c>
      <c r="K229" s="286"/>
      <c r="L229" s="286"/>
    </row>
    <row r="230" spans="1:12" ht="14.25" customHeight="1" x14ac:dyDescent="0.25">
      <c r="A230" s="1"/>
      <c r="B230" s="1" t="s">
        <v>15</v>
      </c>
      <c r="C230" s="1"/>
      <c r="D230" s="1"/>
      <c r="E230" s="1"/>
      <c r="F230" s="1"/>
      <c r="G230" s="1"/>
      <c r="H230" s="4" t="s">
        <v>13</v>
      </c>
    </row>
    <row r="231" spans="1:12" ht="15" x14ac:dyDescent="0.25">
      <c r="A231" s="1"/>
      <c r="B231" s="1" t="s">
        <v>18</v>
      </c>
      <c r="C231" s="1"/>
      <c r="D231" s="1"/>
      <c r="E231" s="1"/>
      <c r="F231" s="1"/>
      <c r="G231" s="1"/>
      <c r="H231" s="4" t="s">
        <v>14</v>
      </c>
    </row>
    <row r="232" spans="1:12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9.5" customHeight="1" x14ac:dyDescent="0.25">
      <c r="A234" s="1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"/>
    </row>
    <row r="235" spans="1:12" ht="15.75" customHeight="1" x14ac:dyDescent="0.25">
      <c r="A235" s="1"/>
      <c r="K235" s="103"/>
      <c r="L235" s="1"/>
    </row>
    <row r="236" spans="1:12" ht="12" customHeight="1" x14ac:dyDescent="0.25">
      <c r="A236" s="1"/>
      <c r="B236" s="95" t="s">
        <v>77</v>
      </c>
      <c r="H236" s="95" t="s">
        <v>77</v>
      </c>
      <c r="I236" s="95"/>
      <c r="J236" s="92"/>
      <c r="K236" s="103"/>
      <c r="L236" s="1"/>
    </row>
    <row r="237" spans="1:12" ht="19.5" customHeight="1" x14ac:dyDescent="0.25">
      <c r="A237" s="1"/>
      <c r="B237" s="99" t="s">
        <v>27</v>
      </c>
      <c r="C237" s="57"/>
      <c r="H237" s="99" t="s">
        <v>27</v>
      </c>
      <c r="K237" s="103"/>
    </row>
    <row r="238" spans="1:12" ht="18.75" customHeight="1" x14ac:dyDescent="0.2"/>
    <row r="239" spans="1:12" s="119" customFormat="1" ht="18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2.75" x14ac:dyDescent="0.2"/>
    <row r="241" spans="1:12" ht="22.5" customHeight="1" x14ac:dyDescent="0.25">
      <c r="A241" s="3" t="s">
        <v>22</v>
      </c>
    </row>
    <row r="242" spans="1:12" ht="19.5" customHeight="1" x14ac:dyDescent="0.2">
      <c r="A242" s="122" t="s">
        <v>20</v>
      </c>
    </row>
    <row r="243" spans="1:12" ht="19.5" customHeight="1" x14ac:dyDescent="0.2">
      <c r="A243" s="122" t="s">
        <v>21</v>
      </c>
    </row>
    <row r="244" spans="1:12" ht="16.5" customHeight="1" x14ac:dyDescent="0.2"/>
    <row r="245" spans="1:12" ht="13.5" customHeight="1" x14ac:dyDescent="0.2"/>
    <row r="246" spans="1:12" ht="12.75" customHeight="1" x14ac:dyDescent="0.2"/>
    <row r="247" spans="1:12" ht="22.5" customHeight="1" x14ac:dyDescent="0.3">
      <c r="A247" s="276" t="s">
        <v>6</v>
      </c>
      <c r="B247" s="276"/>
      <c r="C247" s="276"/>
      <c r="D247" s="276"/>
      <c r="E247" s="276"/>
      <c r="F247" s="276"/>
      <c r="G247" s="276"/>
      <c r="H247" s="276"/>
      <c r="I247" s="276"/>
      <c r="J247" s="276"/>
      <c r="K247" s="276"/>
      <c r="L247" s="276"/>
    </row>
    <row r="248" spans="1:12" ht="15.75" customHeight="1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</row>
    <row r="249" spans="1:12" ht="19.5" customHeight="1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</row>
    <row r="250" spans="1:12" ht="20.25" customHeight="1" x14ac:dyDescent="0.25">
      <c r="A250" s="1"/>
      <c r="B250" s="1"/>
    </row>
    <row r="251" spans="1:12" ht="15.75" customHeight="1" x14ac:dyDescent="0.25">
      <c r="A251" s="1" t="s">
        <v>7</v>
      </c>
      <c r="B251" s="1"/>
    </row>
    <row r="252" spans="1:12" ht="16.5" customHeight="1" x14ac:dyDescent="0.25">
      <c r="A252" s="1"/>
      <c r="B252" s="1"/>
    </row>
    <row r="253" spans="1:12" ht="15" customHeight="1" x14ac:dyDescent="0.25">
      <c r="A253" s="1" t="s">
        <v>8</v>
      </c>
      <c r="C253" s="9" t="s">
        <v>1</v>
      </c>
      <c r="D253" s="126" t="s">
        <v>64</v>
      </c>
      <c r="E253" s="76"/>
      <c r="F253" s="76"/>
      <c r="G253" s="76"/>
      <c r="H253" s="76"/>
    </row>
    <row r="254" spans="1:12" ht="18.75" customHeight="1" x14ac:dyDescent="0.25">
      <c r="A254" s="1" t="s">
        <v>9</v>
      </c>
      <c r="C254" s="9" t="s">
        <v>1</v>
      </c>
      <c r="D254" s="119" t="s">
        <v>236</v>
      </c>
      <c r="E254" s="76"/>
      <c r="F254" s="76"/>
      <c r="G254" s="76"/>
      <c r="H254" s="76"/>
    </row>
    <row r="255" spans="1:12" ht="13.5" customHeight="1" x14ac:dyDescent="0.2">
      <c r="A255" s="50" t="s">
        <v>10</v>
      </c>
      <c r="B255" s="76"/>
      <c r="C255" s="91" t="s">
        <v>1</v>
      </c>
      <c r="D255" s="124" t="s">
        <v>235</v>
      </c>
      <c r="E255" s="76"/>
      <c r="F255" s="76"/>
      <c r="G255" s="76"/>
      <c r="H255" s="76"/>
      <c r="I255" s="76"/>
      <c r="J255" s="76"/>
      <c r="K255" s="76"/>
      <c r="L255" s="76"/>
    </row>
    <row r="256" spans="1:12" ht="16.5" customHeight="1" x14ac:dyDescent="0.25">
      <c r="A256" s="1"/>
      <c r="B256" s="1"/>
      <c r="D256" s="1"/>
    </row>
    <row r="257" spans="1:12" ht="33.75" customHeight="1" x14ac:dyDescent="0.2">
      <c r="A257" s="277" t="s">
        <v>237</v>
      </c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</row>
    <row r="258" spans="1:12" ht="11.25" customHeight="1" x14ac:dyDescent="0.25">
      <c r="A258" s="1"/>
      <c r="B258" s="1"/>
    </row>
    <row r="259" spans="1:12" ht="39" customHeight="1" thickBot="1" x14ac:dyDescent="0.25">
      <c r="A259" s="10" t="s">
        <v>0</v>
      </c>
      <c r="B259" s="278" t="s">
        <v>91</v>
      </c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</row>
    <row r="260" spans="1:12" ht="15" customHeight="1" thickTop="1" x14ac:dyDescent="0.25">
      <c r="A260" s="1"/>
      <c r="B260" s="11" t="s">
        <v>3</v>
      </c>
      <c r="C260" s="12" t="s">
        <v>4</v>
      </c>
      <c r="D260" s="13"/>
      <c r="E260" s="13"/>
      <c r="F260" s="13"/>
      <c r="G260" s="13"/>
      <c r="H260" s="14"/>
      <c r="I260" s="15" t="s">
        <v>5</v>
      </c>
      <c r="J260" s="12" t="s">
        <v>17</v>
      </c>
      <c r="K260" s="13"/>
      <c r="L260" s="14"/>
    </row>
    <row r="261" spans="1:12" ht="29.25" customHeight="1" x14ac:dyDescent="0.2">
      <c r="A261" s="50"/>
      <c r="B261" s="100">
        <v>1</v>
      </c>
      <c r="C261" s="284" t="s">
        <v>230</v>
      </c>
      <c r="D261" s="285"/>
      <c r="E261" s="285"/>
      <c r="F261" s="285"/>
      <c r="G261" s="76"/>
      <c r="H261" s="79"/>
      <c r="I261" s="56">
        <v>250000</v>
      </c>
      <c r="J261" s="76"/>
      <c r="K261" s="76"/>
      <c r="L261" s="79"/>
    </row>
    <row r="262" spans="1:12" ht="15" x14ac:dyDescent="0.2">
      <c r="A262" s="50"/>
      <c r="B262" s="96"/>
      <c r="C262" s="76"/>
      <c r="D262" s="76"/>
      <c r="E262" s="76"/>
      <c r="F262" s="76"/>
      <c r="G262" s="78"/>
      <c r="H262" s="79"/>
      <c r="I262" s="56"/>
      <c r="J262" s="50"/>
      <c r="K262" s="50"/>
      <c r="L262" s="55"/>
    </row>
    <row r="263" spans="1:12" ht="52.5" customHeight="1" x14ac:dyDescent="0.2">
      <c r="B263" s="16"/>
      <c r="H263" s="17"/>
      <c r="I263" s="19"/>
      <c r="L263" s="17"/>
    </row>
    <row r="264" spans="1:12" ht="12.75" x14ac:dyDescent="0.2">
      <c r="B264" s="20"/>
      <c r="C264" s="21"/>
      <c r="D264" s="21"/>
      <c r="E264" s="21"/>
      <c r="F264" s="21"/>
      <c r="G264" s="21"/>
      <c r="H264" s="22"/>
      <c r="I264" s="23"/>
      <c r="J264" s="21"/>
      <c r="K264" s="21"/>
      <c r="L264" s="22"/>
    </row>
    <row r="265" spans="1:12" ht="14.25" customHeight="1" x14ac:dyDescent="0.25">
      <c r="A265" s="1"/>
      <c r="B265" s="39"/>
      <c r="C265" s="1"/>
      <c r="D265" s="1"/>
      <c r="E265" s="1"/>
      <c r="F265" s="40" t="s">
        <v>5</v>
      </c>
      <c r="G265" s="40"/>
      <c r="H265" s="1"/>
      <c r="I265" s="41">
        <f>SUM(I261:I262)</f>
        <v>250000</v>
      </c>
      <c r="J265" s="1"/>
      <c r="K265" s="1"/>
      <c r="L265" s="42"/>
    </row>
    <row r="266" spans="1:12" ht="13.5" customHeight="1" thickBot="1" x14ac:dyDescent="0.3">
      <c r="A266" s="1"/>
      <c r="B266" s="43"/>
      <c r="C266" s="44"/>
      <c r="D266" s="44"/>
      <c r="E266" s="44"/>
      <c r="F266" s="45"/>
      <c r="G266" s="45"/>
      <c r="H266" s="44"/>
      <c r="I266" s="46"/>
      <c r="J266" s="44"/>
      <c r="K266" s="44"/>
      <c r="L266" s="47"/>
    </row>
    <row r="267" spans="1:12" ht="15.75" thickTop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54" customHeight="1" x14ac:dyDescent="0.2">
      <c r="A268" s="10" t="s">
        <v>2</v>
      </c>
      <c r="B268" s="279" t="s">
        <v>11</v>
      </c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</row>
    <row r="269" spans="1:12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8.75" customHeight="1" x14ac:dyDescent="0.2">
      <c r="A270" s="280" t="s">
        <v>12</v>
      </c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</row>
    <row r="271" spans="1:12" ht="22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7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" x14ac:dyDescent="0.25">
      <c r="A273" s="1"/>
      <c r="B273" s="1"/>
      <c r="C273" s="1"/>
      <c r="D273" s="1"/>
      <c r="E273" s="1"/>
      <c r="F273" s="1"/>
      <c r="G273" s="1"/>
      <c r="H273" s="4" t="s">
        <v>199</v>
      </c>
      <c r="J273" s="286" t="s">
        <v>232</v>
      </c>
      <c r="K273" s="286"/>
      <c r="L273" s="286"/>
    </row>
    <row r="274" spans="1:12" ht="18" customHeight="1" x14ac:dyDescent="0.25">
      <c r="A274" s="1"/>
      <c r="B274" s="1" t="s">
        <v>15</v>
      </c>
      <c r="C274" s="1"/>
      <c r="D274" s="1"/>
      <c r="E274" s="1"/>
      <c r="F274" s="1"/>
      <c r="G274" s="1"/>
      <c r="H274" s="4" t="s">
        <v>13</v>
      </c>
    </row>
    <row r="275" spans="1:12" ht="12" customHeight="1" x14ac:dyDescent="0.25">
      <c r="A275" s="1"/>
      <c r="B275" s="1" t="s">
        <v>18</v>
      </c>
      <c r="C275" s="1"/>
      <c r="D275" s="1"/>
      <c r="E275" s="1"/>
      <c r="F275" s="1"/>
      <c r="G275" s="1"/>
      <c r="H275" s="4" t="s">
        <v>14</v>
      </c>
    </row>
    <row r="276" spans="1:12" ht="1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7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9" customHeight="1" x14ac:dyDescent="0.25">
      <c r="A278" s="1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"/>
    </row>
    <row r="279" spans="1:12" ht="21" customHeight="1" x14ac:dyDescent="0.25">
      <c r="A279" s="1"/>
      <c r="K279" s="103"/>
      <c r="L279" s="1"/>
    </row>
    <row r="280" spans="1:12" ht="18.75" customHeight="1" x14ac:dyDescent="0.25">
      <c r="A280" s="1"/>
      <c r="B280" s="95" t="s">
        <v>77</v>
      </c>
      <c r="H280" s="95" t="s">
        <v>64</v>
      </c>
      <c r="I280" s="95"/>
      <c r="J280" s="92"/>
      <c r="K280" s="103"/>
      <c r="L280" s="1"/>
    </row>
    <row r="281" spans="1:12" ht="15.75" customHeight="1" x14ac:dyDescent="0.25">
      <c r="A281" s="1"/>
      <c r="B281" s="99" t="s">
        <v>27</v>
      </c>
      <c r="C281" s="57"/>
      <c r="H281" s="99" t="s">
        <v>46</v>
      </c>
      <c r="K281" s="103"/>
    </row>
    <row r="282" spans="1:12" ht="23.25" customHeight="1" x14ac:dyDescent="0.2"/>
    <row r="283" spans="1:12" ht="10.5" customHeight="1" x14ac:dyDescent="0.2"/>
    <row r="284" spans="1:12" ht="28.5" hidden="1" customHeight="1" x14ac:dyDescent="0.2"/>
    <row r="285" spans="1:12" ht="24" customHeight="1" x14ac:dyDescent="0.2"/>
    <row r="286" spans="1:12" ht="19.5" customHeight="1" x14ac:dyDescent="0.2"/>
    <row r="287" spans="1:12" ht="15" customHeight="1" x14ac:dyDescent="0.2"/>
    <row r="288" spans="1:12" ht="45" customHeight="1" x14ac:dyDescent="0.25">
      <c r="A288" s="3" t="s">
        <v>22</v>
      </c>
    </row>
    <row r="289" spans="1:12" ht="21" customHeight="1" x14ac:dyDescent="0.2">
      <c r="A289" s="122" t="s">
        <v>20</v>
      </c>
    </row>
    <row r="290" spans="1:12" ht="24" customHeight="1" x14ac:dyDescent="0.2">
      <c r="A290" s="122" t="s">
        <v>21</v>
      </c>
    </row>
    <row r="291" spans="1:12" ht="16.5" customHeight="1" x14ac:dyDescent="0.2"/>
    <row r="292" spans="1:12" ht="13.5" customHeight="1" x14ac:dyDescent="0.2"/>
    <row r="293" spans="1:12" ht="12.75" x14ac:dyDescent="0.2"/>
    <row r="294" spans="1:12" ht="18.75" x14ac:dyDescent="0.3">
      <c r="A294" s="276" t="s">
        <v>6</v>
      </c>
      <c r="B294" s="276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</row>
    <row r="295" spans="1:12" ht="15.75" customHeight="1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</row>
    <row r="296" spans="1:12" ht="15" customHeight="1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</row>
    <row r="297" spans="1:12" ht="18" customHeight="1" x14ac:dyDescent="0.25">
      <c r="A297" s="1"/>
      <c r="B297" s="1"/>
    </row>
    <row r="298" spans="1:12" ht="15.75" customHeight="1" x14ac:dyDescent="0.25">
      <c r="A298" s="1" t="s">
        <v>7</v>
      </c>
      <c r="B298" s="1"/>
    </row>
    <row r="299" spans="1:12" ht="11.25" customHeight="1" x14ac:dyDescent="0.25">
      <c r="A299" s="1"/>
      <c r="B299" s="1"/>
    </row>
    <row r="300" spans="1:12" ht="23.25" customHeight="1" x14ac:dyDescent="0.25">
      <c r="A300" s="1" t="s">
        <v>8</v>
      </c>
      <c r="C300" s="9" t="s">
        <v>1</v>
      </c>
      <c r="D300" s="123" t="s">
        <v>78</v>
      </c>
      <c r="E300" s="76"/>
      <c r="F300" s="76"/>
      <c r="G300" s="76"/>
      <c r="H300" s="76"/>
    </row>
    <row r="301" spans="1:12" ht="18" customHeight="1" x14ac:dyDescent="0.25">
      <c r="A301" s="1" t="s">
        <v>9</v>
      </c>
      <c r="C301" s="9" t="s">
        <v>1</v>
      </c>
      <c r="D301" s="76" t="s">
        <v>234</v>
      </c>
      <c r="E301" s="76"/>
      <c r="F301" s="76"/>
      <c r="G301" s="76"/>
      <c r="H301" s="76"/>
    </row>
    <row r="302" spans="1:12" ht="13.5" customHeight="1" x14ac:dyDescent="0.2">
      <c r="A302" s="50" t="s">
        <v>10</v>
      </c>
      <c r="B302" s="76"/>
      <c r="C302" s="91" t="s">
        <v>1</v>
      </c>
      <c r="D302" s="50" t="s">
        <v>235</v>
      </c>
      <c r="E302" s="76"/>
      <c r="F302" s="76"/>
      <c r="G302" s="76"/>
      <c r="H302" s="76"/>
      <c r="I302" s="76"/>
      <c r="J302" s="76"/>
      <c r="K302" s="76"/>
      <c r="L302" s="76"/>
    </row>
    <row r="303" spans="1:12" ht="15" customHeight="1" x14ac:dyDescent="0.25">
      <c r="A303" s="1"/>
      <c r="B303" s="1"/>
      <c r="D303" s="1"/>
    </row>
    <row r="304" spans="1:12" ht="39.75" customHeight="1" x14ac:dyDescent="0.2">
      <c r="A304" s="277" t="s">
        <v>237</v>
      </c>
      <c r="B304" s="277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</row>
    <row r="305" spans="1:12" ht="15" x14ac:dyDescent="0.25">
      <c r="A305" s="1"/>
      <c r="B305" s="1"/>
    </row>
    <row r="306" spans="1:12" ht="39" customHeight="1" thickBot="1" x14ac:dyDescent="0.25">
      <c r="A306" s="10" t="s">
        <v>0</v>
      </c>
      <c r="B306" s="278" t="s">
        <v>91</v>
      </c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</row>
    <row r="307" spans="1:12" ht="18" customHeight="1" thickTop="1" x14ac:dyDescent="0.25">
      <c r="A307" s="1"/>
      <c r="B307" s="11" t="s">
        <v>3</v>
      </c>
      <c r="C307" s="12" t="s">
        <v>4</v>
      </c>
      <c r="D307" s="13"/>
      <c r="E307" s="13"/>
      <c r="F307" s="13"/>
      <c r="G307" s="13"/>
      <c r="H307" s="14"/>
      <c r="I307" s="15" t="s">
        <v>5</v>
      </c>
      <c r="J307" s="12" t="s">
        <v>17</v>
      </c>
      <c r="K307" s="13"/>
      <c r="L307" s="14"/>
    </row>
    <row r="308" spans="1:12" ht="46.5" customHeight="1" x14ac:dyDescent="0.2">
      <c r="A308" s="50"/>
      <c r="B308" s="100">
        <v>1</v>
      </c>
      <c r="C308" s="284" t="s">
        <v>230</v>
      </c>
      <c r="D308" s="285"/>
      <c r="E308" s="285"/>
      <c r="F308" s="285"/>
      <c r="G308" s="76"/>
      <c r="H308" s="79"/>
      <c r="I308" s="56">
        <v>250000</v>
      </c>
      <c r="J308" s="76"/>
      <c r="K308" s="76"/>
      <c r="L308" s="79"/>
    </row>
    <row r="309" spans="1:12" ht="18" customHeight="1" x14ac:dyDescent="0.2">
      <c r="A309" s="50"/>
      <c r="B309" s="96"/>
      <c r="C309" s="76"/>
      <c r="D309" s="76"/>
      <c r="E309" s="76"/>
      <c r="F309" s="76"/>
      <c r="G309" s="78"/>
      <c r="H309" s="79"/>
      <c r="I309" s="56"/>
      <c r="J309" s="50"/>
      <c r="K309" s="50"/>
      <c r="L309" s="55"/>
    </row>
    <row r="310" spans="1:12" ht="13.5" customHeight="1" x14ac:dyDescent="0.2">
      <c r="B310" s="16"/>
      <c r="H310" s="17"/>
      <c r="I310" s="19"/>
      <c r="L310" s="17"/>
    </row>
    <row r="311" spans="1:12" ht="31.5" customHeight="1" x14ac:dyDescent="0.2">
      <c r="B311" s="20"/>
      <c r="C311" s="21"/>
      <c r="D311" s="21"/>
      <c r="E311" s="21"/>
      <c r="F311" s="21"/>
      <c r="G311" s="21"/>
      <c r="H311" s="22"/>
      <c r="I311" s="23"/>
      <c r="J311" s="21"/>
      <c r="K311" s="21"/>
      <c r="L311" s="22"/>
    </row>
    <row r="312" spans="1:12" ht="24" customHeight="1" x14ac:dyDescent="0.25">
      <c r="A312" s="1"/>
      <c r="B312" s="39"/>
      <c r="C312" s="1"/>
      <c r="D312" s="1"/>
      <c r="E312" s="1"/>
      <c r="F312" s="40" t="s">
        <v>5</v>
      </c>
      <c r="G312" s="40"/>
      <c r="H312" s="1"/>
      <c r="I312" s="41">
        <f>SUM(I308:I309)</f>
        <v>250000</v>
      </c>
      <c r="J312" s="1"/>
      <c r="K312" s="1"/>
      <c r="L312" s="42"/>
    </row>
    <row r="313" spans="1:12" ht="7.5" customHeight="1" thickBot="1" x14ac:dyDescent="0.3">
      <c r="A313" s="1"/>
      <c r="B313" s="43"/>
      <c r="C313" s="44"/>
      <c r="D313" s="44"/>
      <c r="E313" s="44"/>
      <c r="F313" s="45"/>
      <c r="G313" s="45"/>
      <c r="H313" s="44"/>
      <c r="I313" s="46"/>
      <c r="J313" s="44"/>
      <c r="K313" s="44"/>
      <c r="L313" s="47"/>
    </row>
    <row r="314" spans="1:12" ht="15.75" thickTop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48" customHeight="1" x14ac:dyDescent="0.2">
      <c r="A315" s="10" t="s">
        <v>2</v>
      </c>
      <c r="B315" s="279" t="s">
        <v>11</v>
      </c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</row>
    <row r="316" spans="1:12" ht="17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20.25" customHeight="1" x14ac:dyDescent="0.2">
      <c r="A317" s="280" t="s">
        <v>12</v>
      </c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</row>
    <row r="318" spans="1:12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9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" x14ac:dyDescent="0.25">
      <c r="A320" s="1"/>
      <c r="B320" s="1"/>
      <c r="C320" s="1"/>
      <c r="D320" s="1"/>
      <c r="E320" s="1"/>
      <c r="F320" s="1"/>
      <c r="G320" s="1"/>
      <c r="H320" s="4" t="s">
        <v>199</v>
      </c>
      <c r="J320" s="286" t="s">
        <v>232</v>
      </c>
      <c r="K320" s="286"/>
      <c r="L320" s="286"/>
    </row>
    <row r="321" spans="1:12" ht="14.25" customHeight="1" x14ac:dyDescent="0.25">
      <c r="A321" s="1"/>
      <c r="B321" s="1" t="s">
        <v>15</v>
      </c>
      <c r="C321" s="1"/>
      <c r="D321" s="1"/>
      <c r="E321" s="1"/>
      <c r="F321" s="1"/>
      <c r="G321" s="1"/>
      <c r="H321" s="4" t="s">
        <v>13</v>
      </c>
    </row>
    <row r="322" spans="1:12" ht="15" x14ac:dyDescent="0.25">
      <c r="A322" s="1"/>
      <c r="B322" s="1" t="s">
        <v>18</v>
      </c>
      <c r="C322" s="1"/>
      <c r="D322" s="1"/>
      <c r="E322" s="1"/>
      <c r="F322" s="1"/>
      <c r="G322" s="1"/>
      <c r="H322" s="4" t="s">
        <v>14</v>
      </c>
    </row>
    <row r="323" spans="1:12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27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5">
      <c r="A325" s="1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"/>
    </row>
    <row r="326" spans="1:12" ht="19.5" customHeight="1" x14ac:dyDescent="0.25">
      <c r="A326" s="1"/>
      <c r="K326" s="103"/>
      <c r="L326" s="1"/>
    </row>
    <row r="327" spans="1:12" ht="15" x14ac:dyDescent="0.25">
      <c r="A327" s="1"/>
      <c r="B327" s="95" t="s">
        <v>77</v>
      </c>
      <c r="H327" s="95" t="s">
        <v>78</v>
      </c>
      <c r="I327" s="95"/>
      <c r="J327" s="92"/>
      <c r="K327" s="103"/>
      <c r="L327" s="1"/>
    </row>
    <row r="328" spans="1:12" ht="15" x14ac:dyDescent="0.25">
      <c r="A328" s="1"/>
      <c r="B328" s="99" t="s">
        <v>27</v>
      </c>
      <c r="C328" s="57"/>
      <c r="H328" s="99" t="s">
        <v>79</v>
      </c>
      <c r="K328" s="103"/>
    </row>
    <row r="329" spans="1:12" ht="18" customHeight="1" x14ac:dyDescent="0.2"/>
    <row r="330" spans="1:12" ht="15.75" customHeight="1" x14ac:dyDescent="0.2"/>
    <row r="331" spans="1:12" ht="19.5" customHeight="1" x14ac:dyDescent="0.2"/>
    <row r="332" spans="1:12" ht="18" customHeight="1" x14ac:dyDescent="0.2"/>
    <row r="333" spans="1:12" ht="12.75" x14ac:dyDescent="0.2"/>
    <row r="334" spans="1:12" ht="16.5" customHeight="1" x14ac:dyDescent="0.2"/>
    <row r="335" spans="1:12" ht="42.75" customHeight="1" x14ac:dyDescent="0.2"/>
    <row r="336" spans="1:12" ht="12.75" x14ac:dyDescent="0.2"/>
    <row r="337" spans="1:1" ht="15" customHeight="1" x14ac:dyDescent="0.2"/>
    <row r="338" spans="1:1" ht="12.75" x14ac:dyDescent="0.2"/>
    <row r="339" spans="1:1" ht="12.75" x14ac:dyDescent="0.2"/>
    <row r="340" spans="1:1" ht="12.75" x14ac:dyDescent="0.2"/>
    <row r="341" spans="1:1" ht="12.75" x14ac:dyDescent="0.2"/>
    <row r="342" spans="1:1" ht="12.75" x14ac:dyDescent="0.2"/>
    <row r="343" spans="1:1" ht="12.75" x14ac:dyDescent="0.2"/>
    <row r="344" spans="1:1" ht="12" customHeight="1" x14ac:dyDescent="0.2"/>
    <row r="345" spans="1:1" ht="12" customHeight="1" x14ac:dyDescent="0.2"/>
    <row r="346" spans="1:1" ht="16.5" customHeight="1" x14ac:dyDescent="0.2"/>
    <row r="347" spans="1:1" ht="16.5" customHeight="1" x14ac:dyDescent="0.2"/>
    <row r="348" spans="1:1" ht="15" customHeight="1" x14ac:dyDescent="0.2"/>
    <row r="349" spans="1:1" ht="15" customHeight="1" x14ac:dyDescent="0.2"/>
    <row r="350" spans="1:1" ht="12.75" x14ac:dyDescent="0.2"/>
    <row r="351" spans="1:1" ht="12.75" x14ac:dyDescent="0.2"/>
    <row r="352" spans="1:1" ht="29.1" customHeight="1" x14ac:dyDescent="0.25">
      <c r="A352" s="3" t="s">
        <v>22</v>
      </c>
    </row>
    <row r="353" spans="1:12" ht="20.100000000000001" customHeight="1" x14ac:dyDescent="0.2">
      <c r="A353" s="122" t="s">
        <v>20</v>
      </c>
    </row>
    <row r="354" spans="1:12" ht="15.75" customHeight="1" x14ac:dyDescent="0.2">
      <c r="A354" s="122" t="s">
        <v>21</v>
      </c>
    </row>
    <row r="355" spans="1:12" ht="12.75" x14ac:dyDescent="0.2"/>
    <row r="356" spans="1:12" ht="12.75" x14ac:dyDescent="0.2"/>
    <row r="357" spans="1:12" ht="38.25" customHeight="1" x14ac:dyDescent="0.2"/>
    <row r="358" spans="1:12" ht="18.75" x14ac:dyDescent="0.3">
      <c r="A358" s="276" t="s">
        <v>6</v>
      </c>
      <c r="B358" s="276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</row>
    <row r="359" spans="1:12" ht="24" customHeight="1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ht="18.75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</row>
    <row r="361" spans="1:12" ht="15" x14ac:dyDescent="0.25">
      <c r="A361" s="1"/>
      <c r="B361" s="1"/>
    </row>
    <row r="362" spans="1:12" ht="25.5" customHeight="1" x14ac:dyDescent="0.25">
      <c r="A362" s="1" t="s">
        <v>7</v>
      </c>
      <c r="B362" s="1"/>
    </row>
    <row r="363" spans="1:12" ht="15" x14ac:dyDescent="0.25">
      <c r="A363" s="1"/>
      <c r="B363" s="1"/>
    </row>
    <row r="364" spans="1:12" ht="15" x14ac:dyDescent="0.25">
      <c r="A364" s="1" t="s">
        <v>8</v>
      </c>
      <c r="C364" s="9" t="s">
        <v>1</v>
      </c>
      <c r="D364" s="92" t="s">
        <v>77</v>
      </c>
      <c r="E364" s="76"/>
      <c r="F364" s="76"/>
      <c r="G364" s="76"/>
      <c r="H364" s="76"/>
    </row>
    <row r="365" spans="1:12" ht="15" customHeight="1" x14ac:dyDescent="0.25">
      <c r="A365" s="1" t="s">
        <v>9</v>
      </c>
      <c r="C365" s="9" t="s">
        <v>1</v>
      </c>
      <c r="D365" s="57" t="s">
        <v>201</v>
      </c>
      <c r="E365" s="76"/>
      <c r="F365" s="76"/>
      <c r="G365" s="76"/>
      <c r="H365" s="76"/>
    </row>
    <row r="366" spans="1:12" ht="15" x14ac:dyDescent="0.2">
      <c r="A366" s="50" t="s">
        <v>10</v>
      </c>
      <c r="B366" s="76"/>
      <c r="C366" s="91" t="s">
        <v>1</v>
      </c>
      <c r="D366" s="314" t="s">
        <v>233</v>
      </c>
      <c r="E366" s="314"/>
      <c r="F366" s="314"/>
      <c r="G366" s="314"/>
      <c r="H366" s="314"/>
      <c r="I366" s="76"/>
      <c r="J366" s="76"/>
      <c r="K366" s="76"/>
      <c r="L366" s="76"/>
    </row>
    <row r="367" spans="1:12" ht="15" customHeight="1" x14ac:dyDescent="0.25">
      <c r="A367" s="1"/>
      <c r="B367" s="1"/>
      <c r="D367" s="1"/>
    </row>
    <row r="368" spans="1:12" ht="39.75" customHeight="1" x14ac:dyDescent="0.2">
      <c r="A368" s="277" t="s">
        <v>241</v>
      </c>
      <c r="B368" s="277"/>
      <c r="C368" s="277"/>
      <c r="D368" s="277"/>
      <c r="E368" s="277"/>
      <c r="F368" s="277"/>
      <c r="G368" s="277"/>
      <c r="H368" s="277"/>
      <c r="I368" s="277"/>
      <c r="J368" s="277"/>
      <c r="K368" s="277"/>
      <c r="L368" s="277"/>
    </row>
    <row r="369" spans="1:12" ht="15.75" customHeight="1" x14ac:dyDescent="0.25">
      <c r="A369" s="1"/>
      <c r="B369" s="1"/>
    </row>
    <row r="370" spans="1:12" ht="43.5" customHeight="1" thickBot="1" x14ac:dyDescent="0.25">
      <c r="A370" s="10" t="s">
        <v>0</v>
      </c>
      <c r="B370" s="278" t="s">
        <v>91</v>
      </c>
      <c r="C370" s="278"/>
      <c r="D370" s="278"/>
      <c r="E370" s="278"/>
      <c r="F370" s="278"/>
      <c r="G370" s="278"/>
      <c r="H370" s="278"/>
      <c r="I370" s="278"/>
      <c r="J370" s="278"/>
      <c r="K370" s="278"/>
      <c r="L370" s="278"/>
    </row>
    <row r="371" spans="1:12" ht="15.75" thickTop="1" x14ac:dyDescent="0.25">
      <c r="A371" s="1"/>
      <c r="B371" s="11" t="s">
        <v>3</v>
      </c>
      <c r="C371" s="12" t="s">
        <v>4</v>
      </c>
      <c r="D371" s="13"/>
      <c r="E371" s="13"/>
      <c r="F371" s="13"/>
      <c r="G371" s="13"/>
      <c r="H371" s="14"/>
      <c r="I371" s="15" t="s">
        <v>5</v>
      </c>
      <c r="J371" s="12" t="s">
        <v>17</v>
      </c>
      <c r="K371" s="13"/>
      <c r="L371" s="14"/>
    </row>
    <row r="372" spans="1:12" ht="23.25" customHeight="1" x14ac:dyDescent="0.2">
      <c r="A372" s="50"/>
      <c r="B372" s="100">
        <v>1</v>
      </c>
      <c r="C372" s="284" t="s">
        <v>230</v>
      </c>
      <c r="D372" s="285"/>
      <c r="E372" s="285"/>
      <c r="F372" s="285"/>
      <c r="G372" s="76"/>
      <c r="H372" s="79"/>
      <c r="I372" s="56">
        <v>250000</v>
      </c>
      <c r="J372" s="76"/>
      <c r="K372" s="76"/>
      <c r="L372" s="79"/>
    </row>
    <row r="373" spans="1:12" ht="18.75" customHeight="1" x14ac:dyDescent="0.2">
      <c r="A373" s="50"/>
      <c r="B373" s="96"/>
      <c r="C373" s="76"/>
      <c r="D373" s="76"/>
      <c r="E373" s="76"/>
      <c r="F373" s="76"/>
      <c r="G373" s="78"/>
      <c r="H373" s="79"/>
      <c r="I373" s="56"/>
      <c r="J373" s="50"/>
      <c r="K373" s="50"/>
      <c r="L373" s="55"/>
    </row>
    <row r="374" spans="1:12" ht="23.25" customHeight="1" x14ac:dyDescent="0.2">
      <c r="B374" s="16"/>
      <c r="H374" s="17"/>
      <c r="I374" s="19"/>
      <c r="L374" s="17"/>
    </row>
    <row r="375" spans="1:12" ht="37.5" customHeight="1" x14ac:dyDescent="0.2">
      <c r="B375" s="20"/>
      <c r="C375" s="21"/>
      <c r="D375" s="21"/>
      <c r="E375" s="21"/>
      <c r="F375" s="21"/>
      <c r="G375" s="21"/>
      <c r="H375" s="22"/>
      <c r="I375" s="23"/>
      <c r="J375" s="21"/>
      <c r="K375" s="21"/>
      <c r="L375" s="22"/>
    </row>
    <row r="376" spans="1:12" ht="18.75" customHeight="1" x14ac:dyDescent="0.25">
      <c r="A376" s="1"/>
      <c r="B376" s="39"/>
      <c r="C376" s="1"/>
      <c r="D376" s="1"/>
      <c r="E376" s="1"/>
      <c r="F376" s="40" t="s">
        <v>5</v>
      </c>
      <c r="G376" s="40"/>
      <c r="H376" s="1"/>
      <c r="I376" s="41">
        <f>SUM(I372:I373)</f>
        <v>250000</v>
      </c>
      <c r="J376" s="1"/>
      <c r="K376" s="1"/>
      <c r="L376" s="42"/>
    </row>
    <row r="377" spans="1:12" ht="15.75" thickBot="1" x14ac:dyDescent="0.3">
      <c r="A377" s="1"/>
      <c r="B377" s="43"/>
      <c r="C377" s="44"/>
      <c r="D377" s="44"/>
      <c r="E377" s="44"/>
      <c r="F377" s="45"/>
      <c r="G377" s="45"/>
      <c r="H377" s="44"/>
      <c r="I377" s="46"/>
      <c r="J377" s="44"/>
      <c r="K377" s="44"/>
      <c r="L377" s="47"/>
    </row>
    <row r="378" spans="1:12" ht="13.5" customHeight="1" thickTop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48.75" customHeight="1" x14ac:dyDescent="0.2">
      <c r="A379" s="10" t="s">
        <v>2</v>
      </c>
      <c r="B379" s="279" t="s">
        <v>11</v>
      </c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</row>
    <row r="380" spans="1:12" ht="16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">
      <c r="A381" s="280" t="s">
        <v>12</v>
      </c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</row>
    <row r="382" spans="1:12" ht="16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21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" customHeight="1" x14ac:dyDescent="0.25">
      <c r="A384" s="1"/>
      <c r="B384" s="1"/>
      <c r="C384" s="1"/>
      <c r="D384" s="1"/>
      <c r="E384" s="1"/>
      <c r="F384" s="1"/>
      <c r="G384" s="1"/>
      <c r="H384" s="4" t="s">
        <v>199</v>
      </c>
      <c r="J384" s="286" t="s">
        <v>232</v>
      </c>
      <c r="K384" s="286"/>
      <c r="L384" s="286"/>
    </row>
    <row r="385" spans="1:12" ht="15" x14ac:dyDescent="0.25">
      <c r="A385" s="1"/>
      <c r="B385" s="1" t="s">
        <v>15</v>
      </c>
      <c r="C385" s="1"/>
      <c r="D385" s="1"/>
      <c r="E385" s="1"/>
      <c r="F385" s="1"/>
      <c r="G385" s="1"/>
      <c r="H385" s="4" t="s">
        <v>13</v>
      </c>
    </row>
    <row r="386" spans="1:12" ht="13.5" customHeight="1" x14ac:dyDescent="0.25">
      <c r="A386" s="1"/>
      <c r="B386" s="1" t="s">
        <v>18</v>
      </c>
      <c r="C386" s="1"/>
      <c r="D386" s="1"/>
      <c r="E386" s="1"/>
      <c r="F386" s="1"/>
      <c r="G386" s="1"/>
      <c r="H386" s="4" t="s">
        <v>14</v>
      </c>
    </row>
    <row r="387" spans="1:12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4.25" customHeight="1" x14ac:dyDescent="0.25">
      <c r="A389" s="1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"/>
    </row>
    <row r="390" spans="1:12" ht="15" customHeight="1" x14ac:dyDescent="0.25">
      <c r="A390" s="1"/>
      <c r="K390" s="103"/>
      <c r="L390" s="1"/>
    </row>
    <row r="391" spans="1:12" ht="15" customHeight="1" x14ac:dyDescent="0.25">
      <c r="A391" s="1"/>
      <c r="B391" s="95" t="s">
        <v>77</v>
      </c>
      <c r="H391" s="95" t="s">
        <v>77</v>
      </c>
      <c r="I391" s="95"/>
      <c r="J391" s="92"/>
      <c r="K391" s="103"/>
      <c r="L391" s="1"/>
    </row>
    <row r="392" spans="1:12" ht="18" customHeight="1" x14ac:dyDescent="0.25">
      <c r="A392" s="1"/>
      <c r="B392" s="99" t="s">
        <v>27</v>
      </c>
      <c r="C392" s="57"/>
      <c r="H392" s="99" t="s">
        <v>27</v>
      </c>
      <c r="K392" s="103"/>
    </row>
    <row r="393" spans="1:12" ht="16.5" customHeight="1" x14ac:dyDescent="0.2"/>
    <row r="394" spans="1:12" ht="15" customHeight="1" x14ac:dyDescent="0.2"/>
    <row r="395" spans="1:12" ht="15" customHeight="1" x14ac:dyDescent="0.2"/>
    <row r="396" spans="1:12" ht="15.75" x14ac:dyDescent="0.25">
      <c r="A396" s="3" t="s">
        <v>22</v>
      </c>
    </row>
    <row r="397" spans="1:12" ht="15.75" x14ac:dyDescent="0.2">
      <c r="A397" s="122" t="s">
        <v>20</v>
      </c>
    </row>
    <row r="398" spans="1:12" ht="15.75" x14ac:dyDescent="0.2">
      <c r="A398" s="122" t="s">
        <v>21</v>
      </c>
    </row>
    <row r="399" spans="1:12" ht="12.75" x14ac:dyDescent="0.2"/>
    <row r="400" spans="1:12" ht="12.75" x14ac:dyDescent="0.2"/>
    <row r="401" spans="1:12" ht="12.75" x14ac:dyDescent="0.2"/>
    <row r="402" spans="1:12" ht="26.45" customHeight="1" x14ac:dyDescent="0.3">
      <c r="A402" s="276" t="s">
        <v>6</v>
      </c>
      <c r="B402" s="276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</row>
    <row r="403" spans="1:12" ht="18.75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2" ht="15.75" customHeight="1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</row>
    <row r="405" spans="1:12" ht="14.25" customHeight="1" x14ac:dyDescent="0.25">
      <c r="A405" s="1"/>
      <c r="B405" s="1"/>
    </row>
    <row r="406" spans="1:12" ht="16.5" customHeight="1" x14ac:dyDescent="0.25">
      <c r="A406" s="1" t="s">
        <v>7</v>
      </c>
      <c r="B406" s="1"/>
    </row>
    <row r="407" spans="1:12" ht="15.75" customHeight="1" x14ac:dyDescent="0.25">
      <c r="A407" s="1"/>
      <c r="B407" s="1"/>
    </row>
    <row r="408" spans="1:12" ht="17.25" customHeight="1" x14ac:dyDescent="0.25">
      <c r="A408" s="1" t="s">
        <v>8</v>
      </c>
      <c r="C408" s="9" t="s">
        <v>1</v>
      </c>
      <c r="D408" s="92" t="s">
        <v>96</v>
      </c>
      <c r="E408" s="76"/>
      <c r="F408" s="76"/>
      <c r="G408" s="76"/>
      <c r="H408" s="76"/>
    </row>
    <row r="409" spans="1:12" ht="16.5" customHeight="1" x14ac:dyDescent="0.25">
      <c r="A409" s="1" t="s">
        <v>9</v>
      </c>
      <c r="C409" s="9" t="s">
        <v>1</v>
      </c>
      <c r="D409" s="57" t="s">
        <v>200</v>
      </c>
      <c r="E409" s="76"/>
      <c r="F409" s="76"/>
      <c r="G409" s="76"/>
      <c r="H409" s="76"/>
    </row>
    <row r="410" spans="1:12" ht="15" x14ac:dyDescent="0.2">
      <c r="A410" s="50" t="s">
        <v>10</v>
      </c>
      <c r="B410" s="76"/>
      <c r="C410" s="91" t="s">
        <v>1</v>
      </c>
      <c r="D410" s="50" t="s">
        <v>203</v>
      </c>
      <c r="E410" s="76"/>
      <c r="F410" s="76"/>
      <c r="G410" s="76"/>
      <c r="H410" s="76"/>
      <c r="I410" s="76"/>
      <c r="J410" s="76"/>
      <c r="K410" s="76"/>
      <c r="L410" s="76"/>
    </row>
    <row r="411" spans="1:12" ht="19.5" customHeight="1" x14ac:dyDescent="0.25">
      <c r="A411" s="1"/>
      <c r="B411" s="1"/>
      <c r="D411" s="1"/>
    </row>
    <row r="412" spans="1:12" ht="32.25" customHeight="1" x14ac:dyDescent="0.2">
      <c r="A412" s="277" t="s">
        <v>241</v>
      </c>
      <c r="B412" s="277"/>
      <c r="C412" s="277"/>
      <c r="D412" s="277"/>
      <c r="E412" s="277"/>
      <c r="F412" s="277"/>
      <c r="G412" s="277"/>
      <c r="H412" s="277"/>
      <c r="I412" s="277"/>
      <c r="J412" s="277"/>
      <c r="K412" s="277"/>
      <c r="L412" s="277"/>
    </row>
    <row r="413" spans="1:12" ht="15" x14ac:dyDescent="0.25">
      <c r="A413" s="1"/>
      <c r="B413" s="1"/>
    </row>
    <row r="414" spans="1:12" ht="32.25" customHeight="1" thickBot="1" x14ac:dyDescent="0.25">
      <c r="A414" s="10" t="s">
        <v>0</v>
      </c>
      <c r="B414" s="278" t="s">
        <v>91</v>
      </c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</row>
    <row r="415" spans="1:12" ht="21" customHeight="1" thickTop="1" x14ac:dyDescent="0.25">
      <c r="A415" s="1"/>
      <c r="B415" s="11" t="s">
        <v>3</v>
      </c>
      <c r="C415" s="12" t="s">
        <v>4</v>
      </c>
      <c r="D415" s="13"/>
      <c r="E415" s="13"/>
      <c r="F415" s="13"/>
      <c r="G415" s="13"/>
      <c r="H415" s="14"/>
      <c r="I415" s="15" t="s">
        <v>5</v>
      </c>
      <c r="J415" s="12" t="s">
        <v>17</v>
      </c>
      <c r="K415" s="13"/>
      <c r="L415" s="14"/>
    </row>
    <row r="416" spans="1:12" ht="26.25" customHeight="1" x14ac:dyDescent="0.2">
      <c r="A416" s="50"/>
      <c r="B416" s="100">
        <v>1</v>
      </c>
      <c r="C416" s="284" t="s">
        <v>230</v>
      </c>
      <c r="D416" s="285"/>
      <c r="E416" s="285"/>
      <c r="F416" s="285"/>
      <c r="G416" s="76"/>
      <c r="H416" s="79"/>
      <c r="I416" s="56">
        <v>250000</v>
      </c>
      <c r="J416" s="76"/>
      <c r="K416" s="76"/>
      <c r="L416" s="79"/>
    </row>
    <row r="417" spans="1:12" ht="15" customHeight="1" x14ac:dyDescent="0.2">
      <c r="A417" s="50"/>
      <c r="B417" s="96"/>
      <c r="C417" s="76"/>
      <c r="D417" s="76"/>
      <c r="E417" s="76"/>
      <c r="F417" s="76"/>
      <c r="G417" s="78"/>
      <c r="H417" s="79"/>
      <c r="I417" s="56"/>
      <c r="J417" s="50"/>
      <c r="K417" s="50"/>
      <c r="L417" s="55"/>
    </row>
    <row r="418" spans="1:12" ht="12.75" x14ac:dyDescent="0.2">
      <c r="B418" s="16"/>
      <c r="H418" s="17"/>
      <c r="I418" s="19"/>
      <c r="L418" s="17"/>
    </row>
    <row r="419" spans="1:12" ht="52.5" customHeight="1" x14ac:dyDescent="0.2">
      <c r="B419" s="20"/>
      <c r="C419" s="21"/>
      <c r="D419" s="21"/>
      <c r="E419" s="21"/>
      <c r="F419" s="21"/>
      <c r="G419" s="21"/>
      <c r="H419" s="22"/>
      <c r="I419" s="23"/>
      <c r="J419" s="21"/>
      <c r="K419" s="21"/>
      <c r="L419" s="22"/>
    </row>
    <row r="420" spans="1:12" ht="21" customHeight="1" x14ac:dyDescent="0.25">
      <c r="A420" s="1"/>
      <c r="B420" s="39"/>
      <c r="C420" s="1"/>
      <c r="D420" s="1"/>
      <c r="E420" s="1"/>
      <c r="F420" s="40" t="s">
        <v>5</v>
      </c>
      <c r="G420" s="40"/>
      <c r="H420" s="1"/>
      <c r="I420" s="41">
        <f>SUM(I416:I417)</f>
        <v>250000</v>
      </c>
      <c r="J420" s="1"/>
      <c r="K420" s="1"/>
      <c r="L420" s="42"/>
    </row>
    <row r="421" spans="1:12" ht="7.5" customHeight="1" thickBot="1" x14ac:dyDescent="0.3">
      <c r="A421" s="1"/>
      <c r="B421" s="43"/>
      <c r="C421" s="44"/>
      <c r="D421" s="44"/>
      <c r="E421" s="44"/>
      <c r="F421" s="45"/>
      <c r="G421" s="45"/>
      <c r="H421" s="44"/>
      <c r="I421" s="46"/>
      <c r="J421" s="44"/>
      <c r="K421" s="44"/>
      <c r="L421" s="47"/>
    </row>
    <row r="422" spans="1:12" ht="15" customHeight="1" thickTop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45" customHeight="1" x14ac:dyDescent="0.2">
      <c r="A423" s="10" t="s">
        <v>2</v>
      </c>
      <c r="B423" s="279" t="s">
        <v>11</v>
      </c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</row>
    <row r="424" spans="1:12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21.75" customHeight="1" x14ac:dyDescent="0.2">
      <c r="A425" s="280" t="s">
        <v>12</v>
      </c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</row>
    <row r="426" spans="1:12" ht="21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31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7.25" customHeight="1" x14ac:dyDescent="0.25">
      <c r="A428" s="1"/>
      <c r="B428" s="1"/>
      <c r="C428" s="1"/>
      <c r="D428" s="1"/>
      <c r="E428" s="1"/>
      <c r="F428" s="1"/>
      <c r="G428" s="1"/>
      <c r="H428" s="4" t="s">
        <v>199</v>
      </c>
      <c r="J428" s="286" t="s">
        <v>232</v>
      </c>
      <c r="K428" s="286"/>
      <c r="L428" s="286"/>
    </row>
    <row r="429" spans="1:12" ht="12.75" customHeight="1" x14ac:dyDescent="0.25">
      <c r="A429" s="1"/>
      <c r="B429" s="1" t="s">
        <v>15</v>
      </c>
      <c r="C429" s="1"/>
      <c r="D429" s="1"/>
      <c r="E429" s="1"/>
      <c r="F429" s="1"/>
      <c r="G429" s="1"/>
      <c r="H429" s="4" t="s">
        <v>13</v>
      </c>
    </row>
    <row r="430" spans="1:12" ht="12.75" customHeight="1" x14ac:dyDescent="0.25">
      <c r="A430" s="1"/>
      <c r="B430" s="1" t="s">
        <v>18</v>
      </c>
      <c r="C430" s="1"/>
      <c r="D430" s="1"/>
      <c r="E430" s="1"/>
      <c r="F430" s="1"/>
      <c r="G430" s="1"/>
      <c r="H430" s="4" t="s">
        <v>14</v>
      </c>
    </row>
    <row r="431" spans="1:12" ht="19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" x14ac:dyDescent="0.25">
      <c r="A433" s="1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"/>
    </row>
    <row r="434" spans="1:12" ht="15" customHeight="1" x14ac:dyDescent="0.25">
      <c r="A434" s="1"/>
      <c r="K434" s="103"/>
      <c r="L434" s="1"/>
    </row>
    <row r="435" spans="1:12" ht="15" x14ac:dyDescent="0.25">
      <c r="A435" s="1"/>
      <c r="B435" s="95" t="s">
        <v>77</v>
      </c>
      <c r="H435" s="95" t="s">
        <v>96</v>
      </c>
      <c r="I435" s="95"/>
      <c r="J435" s="92"/>
      <c r="K435" s="103"/>
      <c r="L435" s="1"/>
    </row>
    <row r="436" spans="1:12" ht="16.5" customHeight="1" x14ac:dyDescent="0.25">
      <c r="A436" s="1"/>
      <c r="B436" s="99" t="s">
        <v>27</v>
      </c>
      <c r="C436" s="57"/>
      <c r="H436" s="99" t="s">
        <v>100</v>
      </c>
      <c r="K436" s="103"/>
    </row>
    <row r="437" spans="1:12" ht="17.25" customHeight="1" x14ac:dyDescent="0.2"/>
    <row r="438" spans="1:12" ht="47.25" customHeight="1" x14ac:dyDescent="0.2"/>
    <row r="439" spans="1:12" ht="15" customHeight="1" x14ac:dyDescent="0.2"/>
    <row r="440" spans="1:12" ht="14.25" customHeight="1" x14ac:dyDescent="0.2"/>
    <row r="441" spans="1:12" ht="15" customHeight="1" x14ac:dyDescent="0.2"/>
    <row r="442" spans="1:12" ht="12.75" x14ac:dyDescent="0.2"/>
    <row r="443" spans="1:12" ht="15.75" x14ac:dyDescent="0.25">
      <c r="A443" s="3" t="s">
        <v>22</v>
      </c>
    </row>
    <row r="444" spans="1:12" s="76" customFormat="1" ht="15.75" x14ac:dyDescent="0.2">
      <c r="A444" s="122" t="s">
        <v>20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s="76" customFormat="1" ht="15.75" x14ac:dyDescent="0.2">
      <c r="A445" s="122" t="s">
        <v>21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s="76" customFormat="1" ht="10.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2.75" customHeight="1" x14ac:dyDescent="0.2"/>
    <row r="448" spans="1:12" ht="30.6" customHeight="1" x14ac:dyDescent="0.2"/>
    <row r="449" spans="1:12" ht="18.75" x14ac:dyDescent="0.3">
      <c r="A449" s="276" t="s">
        <v>6</v>
      </c>
      <c r="B449" s="276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</row>
    <row r="450" spans="1:12" ht="15.75" customHeight="1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</row>
    <row r="451" spans="1:12" ht="18.75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</row>
    <row r="452" spans="1:12" ht="15.75" customHeight="1" x14ac:dyDescent="0.25">
      <c r="A452" s="1"/>
      <c r="B452" s="1"/>
    </row>
    <row r="453" spans="1:12" ht="33" customHeight="1" x14ac:dyDescent="0.25">
      <c r="A453" s="1" t="s">
        <v>7</v>
      </c>
      <c r="B453" s="1"/>
    </row>
    <row r="454" spans="1:12" ht="16.5" customHeight="1" x14ac:dyDescent="0.25">
      <c r="A454" s="1"/>
      <c r="B454" s="1"/>
    </row>
    <row r="455" spans="1:12" ht="12" customHeight="1" x14ac:dyDescent="0.25">
      <c r="A455" s="1" t="s">
        <v>8</v>
      </c>
      <c r="C455" s="9" t="s">
        <v>1</v>
      </c>
      <c r="D455" s="123" t="s">
        <v>78</v>
      </c>
      <c r="E455" s="76"/>
      <c r="F455" s="76"/>
      <c r="G455" s="76"/>
      <c r="H455" s="76"/>
    </row>
    <row r="456" spans="1:12" ht="17.25" customHeight="1" x14ac:dyDescent="0.25">
      <c r="A456" s="1" t="s">
        <v>9</v>
      </c>
      <c r="C456" s="9" t="s">
        <v>1</v>
      </c>
      <c r="D456" s="76" t="s">
        <v>234</v>
      </c>
      <c r="E456" s="76"/>
      <c r="F456" s="76"/>
      <c r="G456" s="76"/>
      <c r="H456" s="76"/>
    </row>
    <row r="457" spans="1:12" ht="16.5" customHeight="1" x14ac:dyDescent="0.2">
      <c r="A457" s="50" t="s">
        <v>10</v>
      </c>
      <c r="B457" s="76"/>
      <c r="C457" s="91" t="s">
        <v>1</v>
      </c>
      <c r="D457" s="50" t="s">
        <v>235</v>
      </c>
      <c r="E457" s="76"/>
      <c r="F457" s="76"/>
      <c r="G457" s="76"/>
      <c r="H457" s="76"/>
      <c r="I457" s="76"/>
      <c r="J457" s="76"/>
      <c r="K457" s="76"/>
      <c r="L457" s="76"/>
    </row>
    <row r="458" spans="1:12" ht="15" x14ac:dyDescent="0.25">
      <c r="A458" s="1"/>
      <c r="B458" s="1"/>
      <c r="D458" s="1"/>
    </row>
    <row r="459" spans="1:12" ht="36" customHeight="1" x14ac:dyDescent="0.2">
      <c r="A459" s="277" t="s">
        <v>241</v>
      </c>
      <c r="B459" s="277"/>
      <c r="C459" s="277"/>
      <c r="D459" s="277"/>
      <c r="E459" s="277"/>
      <c r="F459" s="277"/>
      <c r="G459" s="277"/>
      <c r="H459" s="277"/>
      <c r="I459" s="277"/>
      <c r="J459" s="277"/>
      <c r="K459" s="277"/>
      <c r="L459" s="277"/>
    </row>
    <row r="460" spans="1:12" ht="15" x14ac:dyDescent="0.25">
      <c r="A460" s="1"/>
      <c r="B460" s="1"/>
    </row>
    <row r="461" spans="1:12" ht="40.5" customHeight="1" thickBot="1" x14ac:dyDescent="0.25">
      <c r="A461" s="10" t="s">
        <v>0</v>
      </c>
      <c r="B461" s="278" t="s">
        <v>91</v>
      </c>
      <c r="C461" s="278"/>
      <c r="D461" s="278"/>
      <c r="E461" s="278"/>
      <c r="F461" s="278"/>
      <c r="G461" s="278"/>
      <c r="H461" s="278"/>
      <c r="I461" s="278"/>
      <c r="J461" s="278"/>
      <c r="K461" s="278"/>
      <c r="L461" s="278"/>
    </row>
    <row r="462" spans="1:12" ht="15.75" thickTop="1" x14ac:dyDescent="0.25">
      <c r="A462" s="1"/>
      <c r="B462" s="11" t="s">
        <v>3</v>
      </c>
      <c r="C462" s="12" t="s">
        <v>4</v>
      </c>
      <c r="D462" s="13"/>
      <c r="E462" s="13"/>
      <c r="F462" s="13"/>
      <c r="G462" s="13"/>
      <c r="H462" s="14"/>
      <c r="I462" s="15" t="s">
        <v>5</v>
      </c>
      <c r="J462" s="12" t="s">
        <v>17</v>
      </c>
      <c r="K462" s="13"/>
      <c r="L462" s="14"/>
    </row>
    <row r="463" spans="1:12" ht="15" customHeight="1" x14ac:dyDescent="0.2">
      <c r="A463" s="50"/>
      <c r="B463" s="100">
        <v>1</v>
      </c>
      <c r="C463" s="284" t="s">
        <v>230</v>
      </c>
      <c r="D463" s="285"/>
      <c r="E463" s="285"/>
      <c r="F463" s="285"/>
      <c r="G463" s="76"/>
      <c r="H463" s="79"/>
      <c r="I463" s="56">
        <v>250000</v>
      </c>
      <c r="J463" s="76"/>
      <c r="K463" s="76"/>
      <c r="L463" s="79"/>
    </row>
    <row r="464" spans="1:12" ht="15" x14ac:dyDescent="0.2">
      <c r="A464" s="50"/>
      <c r="B464" s="96"/>
      <c r="C464" s="76"/>
      <c r="D464" s="76"/>
      <c r="E464" s="76"/>
      <c r="F464" s="76"/>
      <c r="G464" s="78"/>
      <c r="H464" s="79"/>
      <c r="I464" s="56"/>
      <c r="J464" s="50"/>
      <c r="K464" s="50"/>
      <c r="L464" s="55"/>
    </row>
    <row r="465" spans="1:12" ht="17.25" customHeight="1" x14ac:dyDescent="0.2">
      <c r="B465" s="16"/>
      <c r="H465" s="17"/>
      <c r="I465" s="19"/>
      <c r="L465" s="17"/>
    </row>
    <row r="466" spans="1:12" ht="22.5" customHeight="1" x14ac:dyDescent="0.2">
      <c r="B466" s="20"/>
      <c r="C466" s="21"/>
      <c r="D466" s="21"/>
      <c r="E466" s="21"/>
      <c r="F466" s="21"/>
      <c r="G466" s="21"/>
      <c r="H466" s="22"/>
      <c r="I466" s="23"/>
      <c r="J466" s="21"/>
      <c r="K466" s="21"/>
      <c r="L466" s="22"/>
    </row>
    <row r="467" spans="1:12" ht="16.5" customHeight="1" x14ac:dyDescent="0.25">
      <c r="A467" s="1"/>
      <c r="B467" s="39"/>
      <c r="C467" s="1"/>
      <c r="D467" s="1"/>
      <c r="E467" s="1"/>
      <c r="F467" s="40" t="s">
        <v>5</v>
      </c>
      <c r="G467" s="40"/>
      <c r="H467" s="1"/>
      <c r="I467" s="41">
        <f>SUM(I463:I464)</f>
        <v>250000</v>
      </c>
      <c r="J467" s="1"/>
      <c r="K467" s="1"/>
      <c r="L467" s="42"/>
    </row>
    <row r="468" spans="1:12" ht="16.5" customHeight="1" thickBot="1" x14ac:dyDescent="0.3">
      <c r="A468" s="1"/>
      <c r="B468" s="43"/>
      <c r="C468" s="44"/>
      <c r="D468" s="44"/>
      <c r="E468" s="44"/>
      <c r="F468" s="45"/>
      <c r="G468" s="45"/>
      <c r="H468" s="44"/>
      <c r="I468" s="46"/>
      <c r="J468" s="44"/>
      <c r="K468" s="44"/>
      <c r="L468" s="47"/>
    </row>
    <row r="469" spans="1:12" ht="16.5" customHeight="1" thickTop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48" customHeight="1" x14ac:dyDescent="0.2">
      <c r="A470" s="10" t="s">
        <v>2</v>
      </c>
      <c r="B470" s="279" t="s">
        <v>11</v>
      </c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</row>
    <row r="471" spans="1:12" ht="34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23.25" customHeight="1" x14ac:dyDescent="0.2">
      <c r="A472" s="280" t="s">
        <v>12</v>
      </c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</row>
    <row r="473" spans="1:12" ht="9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2.75" customHeight="1" x14ac:dyDescent="0.25">
      <c r="A475" s="1"/>
      <c r="B475" s="1"/>
      <c r="C475" s="1"/>
      <c r="D475" s="1"/>
      <c r="E475" s="1"/>
      <c r="F475" s="1"/>
      <c r="G475" s="1"/>
      <c r="H475" s="4" t="s">
        <v>199</v>
      </c>
      <c r="J475" s="286" t="s">
        <v>232</v>
      </c>
      <c r="K475" s="286"/>
      <c r="L475" s="286"/>
    </row>
    <row r="476" spans="1:12" ht="15" x14ac:dyDescent="0.25">
      <c r="A476" s="1"/>
      <c r="B476" s="1" t="s">
        <v>15</v>
      </c>
      <c r="C476" s="1"/>
      <c r="D476" s="1"/>
      <c r="E476" s="1"/>
      <c r="F476" s="1"/>
      <c r="G476" s="1"/>
      <c r="H476" s="4" t="s">
        <v>13</v>
      </c>
    </row>
    <row r="477" spans="1:12" ht="15" x14ac:dyDescent="0.25">
      <c r="A477" s="1"/>
      <c r="B477" s="1" t="s">
        <v>18</v>
      </c>
      <c r="C477" s="1"/>
      <c r="D477" s="1"/>
      <c r="E477" s="1"/>
      <c r="F477" s="1"/>
      <c r="G477" s="1"/>
      <c r="H477" s="4" t="s">
        <v>14</v>
      </c>
    </row>
    <row r="478" spans="1:12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" x14ac:dyDescent="0.25">
      <c r="A480" s="1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"/>
    </row>
    <row r="481" spans="1:12" ht="15" x14ac:dyDescent="0.25">
      <c r="A481" s="1"/>
      <c r="K481" s="103"/>
      <c r="L481" s="1"/>
    </row>
    <row r="482" spans="1:12" ht="15" x14ac:dyDescent="0.25">
      <c r="A482" s="1"/>
      <c r="B482" s="95" t="s">
        <v>77</v>
      </c>
      <c r="H482" s="95" t="s">
        <v>78</v>
      </c>
      <c r="I482" s="95"/>
      <c r="J482" s="92"/>
      <c r="K482" s="103"/>
      <c r="L482" s="1"/>
    </row>
    <row r="483" spans="1:12" ht="36.75" customHeight="1" x14ac:dyDescent="0.25">
      <c r="A483" s="1"/>
      <c r="B483" s="99" t="s">
        <v>27</v>
      </c>
      <c r="C483" s="57"/>
      <c r="H483" s="99" t="s">
        <v>79</v>
      </c>
      <c r="K483" s="103"/>
    </row>
    <row r="484" spans="1:12" ht="20.25" customHeight="1" x14ac:dyDescent="0.2"/>
    <row r="485" spans="1:12" ht="39" customHeight="1" x14ac:dyDescent="0.25">
      <c r="A485" s="3" t="s">
        <v>22</v>
      </c>
    </row>
    <row r="486" spans="1:12" ht="16.5" customHeight="1" x14ac:dyDescent="0.2">
      <c r="A486" s="122" t="s">
        <v>20</v>
      </c>
    </row>
    <row r="487" spans="1:12" ht="16.5" customHeight="1" x14ac:dyDescent="0.2">
      <c r="A487" s="122" t="s">
        <v>21</v>
      </c>
    </row>
    <row r="488" spans="1:12" ht="12.75" x14ac:dyDescent="0.2"/>
    <row r="489" spans="1:12" ht="15" customHeight="1" x14ac:dyDescent="0.2"/>
    <row r="490" spans="1:12" ht="15.75" customHeight="1" x14ac:dyDescent="0.2"/>
    <row r="491" spans="1:12" ht="23.25" customHeight="1" x14ac:dyDescent="0.3">
      <c r="A491" s="276" t="s">
        <v>6</v>
      </c>
      <c r="B491" s="276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</row>
    <row r="492" spans="1:12" ht="16.5" customHeight="1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</row>
    <row r="493" spans="1:12" ht="20.100000000000001" customHeight="1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</row>
    <row r="494" spans="1:12" ht="12.75" customHeight="1" x14ac:dyDescent="0.25">
      <c r="A494" s="1"/>
      <c r="B494" s="1"/>
    </row>
    <row r="495" spans="1:12" ht="15" x14ac:dyDescent="0.25">
      <c r="A495" s="1" t="s">
        <v>7</v>
      </c>
      <c r="B495" s="1"/>
    </row>
    <row r="496" spans="1:12" ht="15" x14ac:dyDescent="0.25">
      <c r="A496" s="1"/>
      <c r="B496" s="1"/>
    </row>
    <row r="497" spans="1:12" ht="15" x14ac:dyDescent="0.25">
      <c r="A497" s="1" t="s">
        <v>8</v>
      </c>
      <c r="C497" s="9" t="s">
        <v>1</v>
      </c>
      <c r="D497" s="92" t="s">
        <v>77</v>
      </c>
      <c r="E497" s="76"/>
      <c r="F497" s="76"/>
      <c r="G497" s="76"/>
      <c r="H497" s="76"/>
    </row>
    <row r="498" spans="1:12" ht="13.5" customHeight="1" x14ac:dyDescent="0.25">
      <c r="A498" s="1" t="s">
        <v>9</v>
      </c>
      <c r="C498" s="9" t="s">
        <v>1</v>
      </c>
      <c r="D498" s="57" t="s">
        <v>201</v>
      </c>
      <c r="E498" s="76"/>
      <c r="F498" s="76"/>
      <c r="G498" s="76"/>
      <c r="H498" s="76"/>
    </row>
    <row r="499" spans="1:12" ht="15" x14ac:dyDescent="0.2">
      <c r="A499" s="50" t="s">
        <v>10</v>
      </c>
      <c r="B499" s="76"/>
      <c r="C499" s="91" t="s">
        <v>1</v>
      </c>
      <c r="D499" s="314" t="s">
        <v>233</v>
      </c>
      <c r="E499" s="314"/>
      <c r="F499" s="314"/>
      <c r="G499" s="314"/>
      <c r="H499" s="314"/>
      <c r="I499" s="76"/>
      <c r="J499" s="76"/>
      <c r="K499" s="76"/>
      <c r="L499" s="76"/>
    </row>
    <row r="500" spans="1:12" ht="12" customHeight="1" x14ac:dyDescent="0.25">
      <c r="A500" s="1"/>
      <c r="B500" s="1"/>
      <c r="D500" s="1"/>
    </row>
    <row r="501" spans="1:12" ht="33.75" customHeight="1" x14ac:dyDescent="0.2">
      <c r="A501" s="277" t="s">
        <v>242</v>
      </c>
      <c r="B501" s="277"/>
      <c r="C501" s="277"/>
      <c r="D501" s="277"/>
      <c r="E501" s="277"/>
      <c r="F501" s="277"/>
      <c r="G501" s="277"/>
      <c r="H501" s="277"/>
      <c r="I501" s="277"/>
      <c r="J501" s="277"/>
      <c r="K501" s="277"/>
      <c r="L501" s="277"/>
    </row>
    <row r="502" spans="1:12" ht="12" customHeight="1" x14ac:dyDescent="0.25">
      <c r="A502" s="1"/>
      <c r="B502" s="1"/>
    </row>
    <row r="503" spans="1:12" ht="35.25" customHeight="1" thickBot="1" x14ac:dyDescent="0.25">
      <c r="A503" s="10" t="s">
        <v>0</v>
      </c>
      <c r="B503" s="278" t="s">
        <v>91</v>
      </c>
      <c r="C503" s="278"/>
      <c r="D503" s="278"/>
      <c r="E503" s="278"/>
      <c r="F503" s="278"/>
      <c r="G503" s="278"/>
      <c r="H503" s="278"/>
      <c r="I503" s="278"/>
      <c r="J503" s="278"/>
      <c r="K503" s="278"/>
      <c r="L503" s="278"/>
    </row>
    <row r="504" spans="1:12" ht="15.75" thickTop="1" x14ac:dyDescent="0.25">
      <c r="A504" s="1"/>
      <c r="B504" s="11" t="s">
        <v>3</v>
      </c>
      <c r="C504" s="12" t="s">
        <v>4</v>
      </c>
      <c r="D504" s="13"/>
      <c r="E504" s="13"/>
      <c r="F504" s="13"/>
      <c r="G504" s="13"/>
      <c r="H504" s="14"/>
      <c r="I504" s="15" t="s">
        <v>5</v>
      </c>
      <c r="J504" s="12" t="s">
        <v>17</v>
      </c>
      <c r="K504" s="13"/>
      <c r="L504" s="14"/>
    </row>
    <row r="505" spans="1:12" ht="26.25" customHeight="1" x14ac:dyDescent="0.2">
      <c r="A505" s="50"/>
      <c r="B505" s="100">
        <v>1</v>
      </c>
      <c r="C505" s="284" t="s">
        <v>230</v>
      </c>
      <c r="D505" s="285"/>
      <c r="E505" s="285"/>
      <c r="F505" s="285"/>
      <c r="G505" s="76"/>
      <c r="H505" s="79"/>
      <c r="I505" s="56">
        <v>180000</v>
      </c>
      <c r="J505" s="76"/>
      <c r="K505" s="76"/>
      <c r="L505" s="79"/>
    </row>
    <row r="506" spans="1:12" ht="24" customHeight="1" x14ac:dyDescent="0.2">
      <c r="A506" s="50"/>
      <c r="B506" s="96"/>
      <c r="C506" s="76"/>
      <c r="D506" s="76"/>
      <c r="E506" s="76"/>
      <c r="F506" s="76"/>
      <c r="G506" s="78"/>
      <c r="H506" s="79"/>
      <c r="I506" s="56"/>
      <c r="J506" s="50"/>
      <c r="K506" s="50"/>
      <c r="L506" s="55"/>
    </row>
    <row r="507" spans="1:12" ht="15" customHeight="1" x14ac:dyDescent="0.2">
      <c r="B507" s="16"/>
      <c r="H507" s="17"/>
      <c r="I507" s="19"/>
      <c r="L507" s="17"/>
    </row>
    <row r="508" spans="1:12" ht="12.75" x14ac:dyDescent="0.2">
      <c r="B508" s="20"/>
      <c r="C508" s="21"/>
      <c r="D508" s="21"/>
      <c r="E508" s="21"/>
      <c r="F508" s="21"/>
      <c r="G508" s="21"/>
      <c r="H508" s="22"/>
      <c r="I508" s="23"/>
      <c r="J508" s="21"/>
      <c r="K508" s="21"/>
      <c r="L508" s="22"/>
    </row>
    <row r="509" spans="1:12" ht="15" x14ac:dyDescent="0.25">
      <c r="A509" s="1"/>
      <c r="B509" s="39"/>
      <c r="C509" s="1"/>
      <c r="D509" s="1"/>
      <c r="E509" s="1"/>
      <c r="F509" s="40" t="s">
        <v>5</v>
      </c>
      <c r="G509" s="40"/>
      <c r="H509" s="1"/>
      <c r="I509" s="41">
        <f>SUM(I505:I506)</f>
        <v>180000</v>
      </c>
      <c r="J509" s="1"/>
      <c r="K509" s="1"/>
      <c r="L509" s="42"/>
    </row>
    <row r="510" spans="1:12" ht="1.5" customHeight="1" thickBot="1" x14ac:dyDescent="0.3">
      <c r="A510" s="1"/>
      <c r="B510" s="43"/>
      <c r="C510" s="44"/>
      <c r="D510" s="44"/>
      <c r="E510" s="44"/>
      <c r="F510" s="45"/>
      <c r="G510" s="45"/>
      <c r="H510" s="44"/>
      <c r="I510" s="46"/>
      <c r="J510" s="44"/>
      <c r="K510" s="44"/>
      <c r="L510" s="47"/>
    </row>
    <row r="511" spans="1:12" ht="18.75" customHeight="1" thickTop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45" customHeight="1" x14ac:dyDescent="0.2">
      <c r="A512" s="10" t="s">
        <v>2</v>
      </c>
      <c r="B512" s="279" t="s">
        <v>11</v>
      </c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</row>
    <row r="513" spans="1:12" ht="1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23.25" customHeight="1" x14ac:dyDescent="0.2">
      <c r="A514" s="280" t="s">
        <v>12</v>
      </c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</row>
    <row r="515" spans="1:12" ht="1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" x14ac:dyDescent="0.25">
      <c r="A517" s="1"/>
      <c r="B517" s="1"/>
      <c r="C517" s="1"/>
      <c r="D517" s="1"/>
      <c r="E517" s="1"/>
      <c r="F517" s="1"/>
      <c r="G517" s="1"/>
      <c r="H517" s="4" t="s">
        <v>199</v>
      </c>
      <c r="J517" s="286" t="s">
        <v>232</v>
      </c>
      <c r="K517" s="286"/>
      <c r="L517" s="286"/>
    </row>
    <row r="518" spans="1:12" ht="13.5" customHeight="1" x14ac:dyDescent="0.25">
      <c r="A518" s="1"/>
      <c r="B518" s="1" t="s">
        <v>15</v>
      </c>
      <c r="C518" s="1"/>
      <c r="D518" s="1"/>
      <c r="E518" s="1"/>
      <c r="F518" s="1"/>
      <c r="G518" s="1"/>
      <c r="H518" s="4" t="s">
        <v>13</v>
      </c>
    </row>
    <row r="519" spans="1:12" ht="15" x14ac:dyDescent="0.25">
      <c r="A519" s="1"/>
      <c r="B519" s="1" t="s">
        <v>18</v>
      </c>
      <c r="C519" s="1"/>
      <c r="D519" s="1"/>
      <c r="E519" s="1"/>
      <c r="F519" s="1"/>
      <c r="G519" s="1"/>
      <c r="H519" s="4" t="s">
        <v>14</v>
      </c>
    </row>
    <row r="520" spans="1:12" ht="17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" hidden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6.5" customHeight="1" x14ac:dyDescent="0.25">
      <c r="A522" s="1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"/>
    </row>
    <row r="523" spans="1:12" ht="21" customHeight="1" x14ac:dyDescent="0.25">
      <c r="A523" s="1"/>
      <c r="K523" s="103"/>
      <c r="L523" s="1"/>
    </row>
    <row r="524" spans="1:12" ht="15" customHeight="1" x14ac:dyDescent="0.25">
      <c r="A524" s="1"/>
      <c r="B524" s="95" t="s">
        <v>77</v>
      </c>
      <c r="H524" s="95" t="s">
        <v>77</v>
      </c>
      <c r="I524" s="95"/>
      <c r="J524" s="92"/>
      <c r="K524" s="103"/>
      <c r="L524" s="1"/>
    </row>
    <row r="525" spans="1:12" ht="15" x14ac:dyDescent="0.25">
      <c r="A525" s="1"/>
      <c r="B525" s="99" t="s">
        <v>27</v>
      </c>
      <c r="C525" s="57"/>
      <c r="H525" s="99" t="s">
        <v>27</v>
      </c>
      <c r="K525" s="103"/>
    </row>
    <row r="526" spans="1:12" ht="12.75" x14ac:dyDescent="0.2"/>
    <row r="527" spans="1:12" ht="33.75" customHeight="1" x14ac:dyDescent="0.2"/>
    <row r="528" spans="1:12" ht="28.5" customHeight="1" x14ac:dyDescent="0.2"/>
    <row r="529" spans="1:12" ht="40.5" customHeight="1" x14ac:dyDescent="0.2"/>
    <row r="530" spans="1:12" ht="12.75" x14ac:dyDescent="0.2"/>
    <row r="531" spans="1:12" ht="18" customHeight="1" x14ac:dyDescent="0.2"/>
    <row r="532" spans="1:12" ht="12.75" x14ac:dyDescent="0.2"/>
    <row r="533" spans="1:12" ht="12.75" x14ac:dyDescent="0.2"/>
    <row r="534" spans="1:12" ht="15" customHeight="1" x14ac:dyDescent="0.2"/>
    <row r="535" spans="1:12" ht="15" customHeight="1" x14ac:dyDescent="0.2"/>
    <row r="536" spans="1:12" ht="12.75" x14ac:dyDescent="0.2"/>
    <row r="537" spans="1:12" ht="12.75" x14ac:dyDescent="0.2"/>
    <row r="538" spans="1:12" ht="19.5" customHeight="1" x14ac:dyDescent="0.25">
      <c r="A538" s="3" t="s">
        <v>22</v>
      </c>
    </row>
    <row r="539" spans="1:12" ht="15.75" x14ac:dyDescent="0.2">
      <c r="A539" s="122" t="s">
        <v>20</v>
      </c>
    </row>
    <row r="540" spans="1:12" ht="25.5" customHeight="1" x14ac:dyDescent="0.2">
      <c r="A540" s="122" t="s">
        <v>21</v>
      </c>
    </row>
    <row r="541" spans="1:12" ht="12.75" x14ac:dyDescent="0.2"/>
    <row r="542" spans="1:12" ht="26.45" customHeight="1" x14ac:dyDescent="0.2"/>
    <row r="543" spans="1:12" ht="12.75" x14ac:dyDescent="0.2"/>
    <row r="544" spans="1:12" ht="15.75" customHeight="1" x14ac:dyDescent="0.3">
      <c r="A544" s="276" t="s">
        <v>6</v>
      </c>
      <c r="B544" s="276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</row>
    <row r="545" spans="1:12" ht="14.25" customHeight="1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</row>
    <row r="546" spans="1:12" ht="16.5" customHeight="1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</row>
    <row r="547" spans="1:12" ht="15.75" customHeight="1" x14ac:dyDescent="0.25">
      <c r="A547" s="1"/>
      <c r="B547" s="1"/>
    </row>
    <row r="548" spans="1:12" ht="15" x14ac:dyDescent="0.25">
      <c r="A548" s="1" t="s">
        <v>7</v>
      </c>
      <c r="B548" s="1"/>
    </row>
    <row r="549" spans="1:12" ht="14.25" customHeight="1" x14ac:dyDescent="0.25">
      <c r="A549" s="1"/>
      <c r="B549" s="1"/>
    </row>
    <row r="550" spans="1:12" ht="14.25" customHeight="1" x14ac:dyDescent="0.25">
      <c r="A550" s="1" t="s">
        <v>8</v>
      </c>
      <c r="C550" s="9" t="s">
        <v>1</v>
      </c>
      <c r="D550" s="123" t="s">
        <v>78</v>
      </c>
      <c r="E550" s="76"/>
      <c r="F550" s="76"/>
      <c r="G550" s="76"/>
      <c r="H550" s="76"/>
    </row>
    <row r="551" spans="1:12" ht="13.5" customHeight="1" x14ac:dyDescent="0.25">
      <c r="A551" s="1" t="s">
        <v>9</v>
      </c>
      <c r="C551" s="9" t="s">
        <v>1</v>
      </c>
      <c r="D551" s="76" t="s">
        <v>234</v>
      </c>
      <c r="E551" s="76"/>
      <c r="F551" s="76"/>
      <c r="G551" s="76"/>
      <c r="H551" s="76"/>
    </row>
    <row r="552" spans="1:12" ht="15" x14ac:dyDescent="0.2">
      <c r="A552" s="50" t="s">
        <v>10</v>
      </c>
      <c r="B552" s="76"/>
      <c r="C552" s="91" t="s">
        <v>1</v>
      </c>
      <c r="D552" s="50" t="s">
        <v>235</v>
      </c>
      <c r="E552" s="76"/>
      <c r="F552" s="76"/>
      <c r="G552" s="76"/>
      <c r="H552" s="76"/>
      <c r="I552" s="76"/>
      <c r="J552" s="76"/>
      <c r="K552" s="76"/>
      <c r="L552" s="76"/>
    </row>
    <row r="553" spans="1:12" ht="15" x14ac:dyDescent="0.25">
      <c r="A553" s="1"/>
      <c r="B553" s="1"/>
      <c r="D553" s="1"/>
    </row>
    <row r="554" spans="1:12" ht="31.5" customHeight="1" x14ac:dyDescent="0.2">
      <c r="A554" s="277" t="s">
        <v>242</v>
      </c>
      <c r="B554" s="277"/>
      <c r="C554" s="277"/>
      <c r="D554" s="277"/>
      <c r="E554" s="277"/>
      <c r="F554" s="277"/>
      <c r="G554" s="277"/>
      <c r="H554" s="277"/>
      <c r="I554" s="277"/>
      <c r="J554" s="277"/>
      <c r="K554" s="277"/>
      <c r="L554" s="277"/>
    </row>
    <row r="555" spans="1:12" ht="15" customHeight="1" x14ac:dyDescent="0.25">
      <c r="A555" s="1"/>
      <c r="B555" s="1"/>
    </row>
    <row r="556" spans="1:12" ht="32.25" customHeight="1" thickBot="1" x14ac:dyDescent="0.25">
      <c r="A556" s="10" t="s">
        <v>0</v>
      </c>
      <c r="B556" s="278" t="s">
        <v>91</v>
      </c>
      <c r="C556" s="278"/>
      <c r="D556" s="278"/>
      <c r="E556" s="278"/>
      <c r="F556" s="278"/>
      <c r="G556" s="278"/>
      <c r="H556" s="278"/>
      <c r="I556" s="278"/>
      <c r="J556" s="278"/>
      <c r="K556" s="278"/>
      <c r="L556" s="278"/>
    </row>
    <row r="557" spans="1:12" ht="15" customHeight="1" thickTop="1" x14ac:dyDescent="0.25">
      <c r="A557" s="1"/>
      <c r="B557" s="11" t="s">
        <v>3</v>
      </c>
      <c r="C557" s="12" t="s">
        <v>4</v>
      </c>
      <c r="D557" s="13"/>
      <c r="E557" s="13"/>
      <c r="F557" s="13"/>
      <c r="G557" s="13"/>
      <c r="H557" s="14"/>
      <c r="I557" s="15" t="s">
        <v>5</v>
      </c>
      <c r="J557" s="12" t="s">
        <v>17</v>
      </c>
      <c r="K557" s="13"/>
      <c r="L557" s="14"/>
    </row>
    <row r="558" spans="1:12" ht="15" x14ac:dyDescent="0.2">
      <c r="A558" s="50"/>
      <c r="B558" s="100">
        <v>1</v>
      </c>
      <c r="C558" s="284" t="s">
        <v>230</v>
      </c>
      <c r="D558" s="285"/>
      <c r="E558" s="285"/>
      <c r="F558" s="285"/>
      <c r="G558" s="76"/>
      <c r="H558" s="79"/>
      <c r="I558" s="56">
        <v>180000</v>
      </c>
      <c r="J558" s="76"/>
      <c r="K558" s="76"/>
      <c r="L558" s="79"/>
    </row>
    <row r="559" spans="1:12" ht="19.5" customHeight="1" x14ac:dyDescent="0.2">
      <c r="A559" s="50"/>
      <c r="B559" s="96"/>
      <c r="C559" s="76"/>
      <c r="D559" s="76"/>
      <c r="E559" s="76"/>
      <c r="F559" s="76"/>
      <c r="G559" s="78"/>
      <c r="H559" s="79"/>
      <c r="I559" s="56"/>
      <c r="J559" s="50"/>
      <c r="K559" s="50"/>
      <c r="L559" s="55"/>
    </row>
    <row r="560" spans="1:12" ht="28.5" customHeight="1" x14ac:dyDescent="0.2">
      <c r="B560" s="16"/>
      <c r="H560" s="17"/>
      <c r="I560" s="19"/>
      <c r="L560" s="17"/>
    </row>
    <row r="561" spans="1:12" ht="15.75" customHeight="1" x14ac:dyDescent="0.2">
      <c r="B561" s="20"/>
      <c r="C561" s="21"/>
      <c r="D561" s="21"/>
      <c r="E561" s="21"/>
      <c r="F561" s="21"/>
      <c r="G561" s="21"/>
      <c r="H561" s="22"/>
      <c r="I561" s="23"/>
      <c r="J561" s="21"/>
      <c r="K561" s="21"/>
      <c r="L561" s="22"/>
    </row>
    <row r="562" spans="1:12" ht="16.5" customHeight="1" x14ac:dyDescent="0.25">
      <c r="A562" s="1"/>
      <c r="B562" s="39"/>
      <c r="C562" s="1"/>
      <c r="D562" s="1"/>
      <c r="E562" s="1"/>
      <c r="F562" s="40" t="s">
        <v>5</v>
      </c>
      <c r="G562" s="40"/>
      <c r="H562" s="1"/>
      <c r="I562" s="41">
        <f>SUM(I558:I559)</f>
        <v>180000</v>
      </c>
      <c r="J562" s="1"/>
      <c r="K562" s="1"/>
      <c r="L562" s="42"/>
    </row>
    <row r="563" spans="1:12" ht="14.25" customHeight="1" thickBot="1" x14ac:dyDescent="0.3">
      <c r="A563" s="1"/>
      <c r="B563" s="43"/>
      <c r="C563" s="44"/>
      <c r="D563" s="44"/>
      <c r="E563" s="44"/>
      <c r="F563" s="45"/>
      <c r="G563" s="45"/>
      <c r="H563" s="44"/>
      <c r="I563" s="46"/>
      <c r="J563" s="44"/>
      <c r="K563" s="44"/>
      <c r="L563" s="47"/>
    </row>
    <row r="564" spans="1:12" ht="13.5" customHeight="1" thickTop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48" customHeight="1" x14ac:dyDescent="0.2">
      <c r="A565" s="10" t="s">
        <v>2</v>
      </c>
      <c r="B565" s="279" t="s">
        <v>11</v>
      </c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</row>
    <row r="566" spans="1:12" ht="16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" x14ac:dyDescent="0.2">
      <c r="A567" s="280" t="s">
        <v>12</v>
      </c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</row>
    <row r="568" spans="1:12" ht="18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25">
      <c r="A570" s="1"/>
      <c r="B570" s="1"/>
      <c r="C570" s="1"/>
      <c r="D570" s="1"/>
      <c r="E570" s="1"/>
      <c r="F570" s="1"/>
      <c r="G570" s="1"/>
      <c r="H570" s="4" t="s">
        <v>199</v>
      </c>
      <c r="J570" s="286" t="s">
        <v>232</v>
      </c>
      <c r="K570" s="286"/>
      <c r="L570" s="286"/>
    </row>
    <row r="571" spans="1:12" ht="15.75" customHeight="1" x14ac:dyDescent="0.25">
      <c r="A571" s="1"/>
      <c r="B571" s="1" t="s">
        <v>15</v>
      </c>
      <c r="C571" s="1"/>
      <c r="D571" s="1"/>
      <c r="E571" s="1"/>
      <c r="F571" s="1"/>
      <c r="G571" s="1"/>
      <c r="H571" s="4" t="s">
        <v>13</v>
      </c>
    </row>
    <row r="572" spans="1:12" ht="15" x14ac:dyDescent="0.25">
      <c r="A572" s="1"/>
      <c r="B572" s="1" t="s">
        <v>18</v>
      </c>
      <c r="C572" s="1"/>
      <c r="D572" s="1"/>
      <c r="E572" s="1"/>
      <c r="F572" s="1"/>
      <c r="G572" s="1"/>
      <c r="H572" s="4" t="s">
        <v>14</v>
      </c>
    </row>
    <row r="573" spans="1:12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" x14ac:dyDescent="0.25">
      <c r="A575" s="1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"/>
    </row>
    <row r="576" spans="1:12" ht="18" customHeight="1" x14ac:dyDescent="0.25">
      <c r="A576" s="1"/>
      <c r="K576" s="103"/>
      <c r="L576" s="1"/>
    </row>
    <row r="577" spans="1:12" ht="17.25" customHeight="1" x14ac:dyDescent="0.25">
      <c r="A577" s="1"/>
      <c r="B577" s="95" t="s">
        <v>77</v>
      </c>
      <c r="H577" s="95" t="s">
        <v>78</v>
      </c>
      <c r="I577" s="95"/>
      <c r="J577" s="92"/>
      <c r="K577" s="103"/>
      <c r="L577" s="1"/>
    </row>
    <row r="578" spans="1:12" ht="16.5" customHeight="1" x14ac:dyDescent="0.25">
      <c r="A578" s="1"/>
      <c r="B578" s="99" t="s">
        <v>27</v>
      </c>
      <c r="C578" s="57"/>
      <c r="H578" s="99" t="s">
        <v>79</v>
      </c>
      <c r="K578" s="103"/>
    </row>
    <row r="579" spans="1:12" ht="24" customHeight="1" x14ac:dyDescent="0.2"/>
    <row r="580" spans="1:12" ht="14.25" customHeight="1" x14ac:dyDescent="0.2"/>
    <row r="581" spans="1:12" ht="12.75" x14ac:dyDescent="0.2"/>
    <row r="582" spans="1:12" ht="12.75" x14ac:dyDescent="0.2"/>
    <row r="583" spans="1:12" ht="12.75" x14ac:dyDescent="0.2"/>
    <row r="584" spans="1:12" s="76" customFormat="1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s="76" customFormat="1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s="76" customFormat="1" ht="17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23.25" customHeight="1" x14ac:dyDescent="0.25">
      <c r="A587" s="3" t="s">
        <v>22</v>
      </c>
    </row>
    <row r="588" spans="1:12" ht="14.25" customHeight="1" x14ac:dyDescent="0.2">
      <c r="A588" s="122" t="s">
        <v>20</v>
      </c>
    </row>
    <row r="589" spans="1:12" ht="20.25" customHeight="1" x14ac:dyDescent="0.2">
      <c r="A589" s="122" t="s">
        <v>21</v>
      </c>
    </row>
    <row r="590" spans="1:12" ht="15.75" customHeight="1" x14ac:dyDescent="0.2"/>
    <row r="591" spans="1:12" ht="15" customHeight="1" x14ac:dyDescent="0.2"/>
    <row r="592" spans="1:12" ht="15.75" customHeight="1" x14ac:dyDescent="0.2"/>
    <row r="593" spans="1:12" ht="18.75" x14ac:dyDescent="0.3">
      <c r="A593" s="276" t="s">
        <v>6</v>
      </c>
      <c r="B593" s="276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</row>
    <row r="594" spans="1:12" ht="16.5" customHeight="1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</row>
    <row r="595" spans="1:12" ht="18.75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</row>
    <row r="596" spans="1:12" ht="17.25" customHeight="1" x14ac:dyDescent="0.25">
      <c r="A596" s="1"/>
      <c r="B596" s="1"/>
    </row>
    <row r="597" spans="1:12" ht="21.75" customHeight="1" x14ac:dyDescent="0.25">
      <c r="A597" s="1" t="s">
        <v>7</v>
      </c>
      <c r="B597" s="1"/>
    </row>
    <row r="598" spans="1:12" ht="15" x14ac:dyDescent="0.25">
      <c r="A598" s="1"/>
      <c r="B598" s="1"/>
    </row>
    <row r="599" spans="1:12" ht="18" customHeight="1" x14ac:dyDescent="0.25">
      <c r="A599" s="1" t="s">
        <v>8</v>
      </c>
      <c r="C599" s="9" t="s">
        <v>1</v>
      </c>
      <c r="D599" s="123" t="s">
        <v>205</v>
      </c>
      <c r="E599" s="76"/>
      <c r="F599" s="76"/>
      <c r="G599" s="76"/>
      <c r="H599" s="76"/>
    </row>
    <row r="600" spans="1:12" ht="14.25" customHeight="1" x14ac:dyDescent="0.25">
      <c r="A600" s="1" t="s">
        <v>9</v>
      </c>
      <c r="C600" s="9" t="s">
        <v>1</v>
      </c>
      <c r="D600" s="76" t="s">
        <v>74</v>
      </c>
      <c r="E600" s="76"/>
      <c r="F600" s="76"/>
      <c r="G600" s="76"/>
      <c r="H600" s="76"/>
    </row>
    <row r="601" spans="1:12" ht="21.75" customHeight="1" x14ac:dyDescent="0.2">
      <c r="A601" s="50" t="s">
        <v>10</v>
      </c>
      <c r="B601" s="76"/>
      <c r="C601" s="91" t="s">
        <v>1</v>
      </c>
      <c r="D601" s="50" t="s">
        <v>243</v>
      </c>
      <c r="E601" s="76"/>
      <c r="F601" s="76"/>
      <c r="G601" s="76"/>
      <c r="H601" s="76"/>
      <c r="I601" s="76"/>
      <c r="J601" s="76"/>
      <c r="K601" s="76"/>
      <c r="L601" s="76"/>
    </row>
    <row r="602" spans="1:12" ht="15" x14ac:dyDescent="0.25">
      <c r="A602" s="1"/>
      <c r="B602" s="1"/>
      <c r="D602" s="1"/>
    </row>
    <row r="603" spans="1:12" ht="30.75" customHeight="1" x14ac:dyDescent="0.2">
      <c r="A603" s="277" t="s">
        <v>242</v>
      </c>
      <c r="B603" s="277"/>
      <c r="C603" s="277"/>
      <c r="D603" s="277"/>
      <c r="E603" s="277"/>
      <c r="F603" s="277"/>
      <c r="G603" s="277"/>
      <c r="H603" s="277"/>
      <c r="I603" s="277"/>
      <c r="J603" s="277"/>
      <c r="K603" s="277"/>
      <c r="L603" s="277"/>
    </row>
    <row r="604" spans="1:12" ht="15" x14ac:dyDescent="0.25">
      <c r="A604" s="1"/>
      <c r="B604" s="1"/>
    </row>
    <row r="605" spans="1:12" ht="35.25" customHeight="1" thickBot="1" x14ac:dyDescent="0.25">
      <c r="A605" s="10" t="s">
        <v>0</v>
      </c>
      <c r="B605" s="278" t="s">
        <v>91</v>
      </c>
      <c r="C605" s="278"/>
      <c r="D605" s="278"/>
      <c r="E605" s="278"/>
      <c r="F605" s="278"/>
      <c r="G605" s="278"/>
      <c r="H605" s="278"/>
      <c r="I605" s="278"/>
      <c r="J605" s="278"/>
      <c r="K605" s="278"/>
      <c r="L605" s="278"/>
    </row>
    <row r="606" spans="1:12" ht="15.75" thickTop="1" x14ac:dyDescent="0.25">
      <c r="A606" s="1"/>
      <c r="B606" s="11" t="s">
        <v>3</v>
      </c>
      <c r="C606" s="12" t="s">
        <v>4</v>
      </c>
      <c r="D606" s="13"/>
      <c r="E606" s="13"/>
      <c r="F606" s="13"/>
      <c r="G606" s="13"/>
      <c r="H606" s="14"/>
      <c r="I606" s="15" t="s">
        <v>5</v>
      </c>
      <c r="J606" s="12" t="s">
        <v>17</v>
      </c>
      <c r="K606" s="13"/>
      <c r="L606" s="14"/>
    </row>
    <row r="607" spans="1:12" ht="15" customHeight="1" x14ac:dyDescent="0.2">
      <c r="A607" s="50"/>
      <c r="B607" s="100">
        <v>1</v>
      </c>
      <c r="C607" s="284" t="s">
        <v>230</v>
      </c>
      <c r="D607" s="285"/>
      <c r="E607" s="285"/>
      <c r="F607" s="285"/>
      <c r="G607" s="76"/>
      <c r="H607" s="79"/>
      <c r="I607" s="56">
        <v>180000</v>
      </c>
      <c r="J607" s="76"/>
      <c r="K607" s="76"/>
      <c r="L607" s="79"/>
    </row>
    <row r="608" spans="1:12" ht="15" x14ac:dyDescent="0.2">
      <c r="A608" s="50"/>
      <c r="B608" s="96"/>
      <c r="C608" s="76"/>
      <c r="D608" s="76"/>
      <c r="E608" s="76"/>
      <c r="F608" s="76"/>
      <c r="G608" s="78"/>
      <c r="H608" s="79"/>
      <c r="I608" s="56"/>
      <c r="J608" s="50"/>
      <c r="K608" s="50"/>
      <c r="L608" s="55"/>
    </row>
    <row r="609" spans="1:12" ht="18" customHeight="1" x14ac:dyDescent="0.2">
      <c r="B609" s="16"/>
      <c r="H609" s="17"/>
      <c r="I609" s="19"/>
      <c r="L609" s="17"/>
    </row>
    <row r="610" spans="1:12" ht="44.25" customHeight="1" x14ac:dyDescent="0.2">
      <c r="B610" s="20"/>
      <c r="C610" s="21"/>
      <c r="D610" s="21"/>
      <c r="E610" s="21"/>
      <c r="F610" s="21"/>
      <c r="G610" s="21"/>
      <c r="H610" s="22"/>
      <c r="I610" s="23"/>
      <c r="J610" s="21"/>
      <c r="K610" s="21"/>
      <c r="L610" s="22"/>
    </row>
    <row r="611" spans="1:12" ht="12.75" customHeight="1" x14ac:dyDescent="0.25">
      <c r="A611" s="1"/>
      <c r="B611" s="39"/>
      <c r="C611" s="1"/>
      <c r="D611" s="1"/>
      <c r="E611" s="1"/>
      <c r="F611" s="40" t="s">
        <v>5</v>
      </c>
      <c r="G611" s="40"/>
      <c r="H611" s="1"/>
      <c r="I611" s="41">
        <f>SUM(I607:I608)</f>
        <v>180000</v>
      </c>
      <c r="J611" s="1"/>
      <c r="K611" s="1"/>
      <c r="L611" s="42"/>
    </row>
    <row r="612" spans="1:12" ht="6" customHeight="1" thickBot="1" x14ac:dyDescent="0.3">
      <c r="A612" s="1"/>
      <c r="B612" s="43"/>
      <c r="C612" s="44"/>
      <c r="D612" s="44"/>
      <c r="E612" s="44"/>
      <c r="F612" s="45"/>
      <c r="G612" s="45"/>
      <c r="H612" s="44"/>
      <c r="I612" s="46"/>
      <c r="J612" s="44"/>
      <c r="K612" s="44"/>
      <c r="L612" s="47"/>
    </row>
    <row r="613" spans="1:12" ht="15.75" customHeight="1" thickTop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48" customHeight="1" x14ac:dyDescent="0.2">
      <c r="A614" s="10" t="s">
        <v>2</v>
      </c>
      <c r="B614" s="279" t="s">
        <v>11</v>
      </c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</row>
    <row r="615" spans="1:12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9.5" customHeight="1" x14ac:dyDescent="0.2">
      <c r="A616" s="280" t="s">
        <v>12</v>
      </c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</row>
    <row r="617" spans="1:12" ht="16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8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7.25" customHeight="1" x14ac:dyDescent="0.25">
      <c r="A619" s="1"/>
      <c r="B619" s="1"/>
      <c r="C619" s="1"/>
      <c r="D619" s="1"/>
      <c r="E619" s="1"/>
      <c r="F619" s="1"/>
      <c r="G619" s="1"/>
      <c r="H619" s="4" t="s">
        <v>199</v>
      </c>
      <c r="J619" s="286" t="s">
        <v>232</v>
      </c>
      <c r="K619" s="286"/>
      <c r="L619" s="286"/>
    </row>
    <row r="620" spans="1:12" ht="15" x14ac:dyDescent="0.25">
      <c r="A620" s="1"/>
      <c r="B620" s="1" t="s">
        <v>15</v>
      </c>
      <c r="C620" s="1"/>
      <c r="D620" s="1"/>
      <c r="E620" s="1"/>
      <c r="F620" s="1"/>
      <c r="G620" s="1"/>
      <c r="H620" s="4" t="s">
        <v>13</v>
      </c>
    </row>
    <row r="621" spans="1:12" ht="15" customHeight="1" x14ac:dyDescent="0.25">
      <c r="A621" s="1"/>
      <c r="B621" s="1" t="s">
        <v>18</v>
      </c>
      <c r="C621" s="1"/>
      <c r="D621" s="1"/>
      <c r="E621" s="1"/>
      <c r="F621" s="1"/>
      <c r="G621" s="1"/>
      <c r="H621" s="4" t="s">
        <v>14</v>
      </c>
    </row>
    <row r="622" spans="1:12" ht="16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7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20.25" customHeight="1" x14ac:dyDescent="0.25">
      <c r="A624" s="1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"/>
    </row>
    <row r="625" spans="1:12" ht="15" customHeight="1" x14ac:dyDescent="0.25">
      <c r="A625" s="1"/>
      <c r="K625" s="103"/>
      <c r="L625" s="1"/>
    </row>
    <row r="626" spans="1:12" ht="30.75" customHeight="1" x14ac:dyDescent="0.25">
      <c r="A626" s="1"/>
      <c r="B626" s="95" t="s">
        <v>77</v>
      </c>
      <c r="H626" s="95" t="str">
        <f>D599</f>
        <v>Meditha Arumsari, S.TP</v>
      </c>
      <c r="I626" s="95"/>
      <c r="J626" s="92"/>
      <c r="K626" s="103"/>
      <c r="L626" s="1"/>
    </row>
    <row r="627" spans="1:12" ht="16.5" customHeight="1" x14ac:dyDescent="0.25">
      <c r="A627" s="1"/>
      <c r="B627" s="99" t="s">
        <v>27</v>
      </c>
      <c r="C627" s="57"/>
      <c r="H627" s="99"/>
      <c r="K627" s="103"/>
    </row>
    <row r="628" spans="1:12" ht="9.75" customHeight="1" x14ac:dyDescent="0.2"/>
    <row r="629" spans="1:12" ht="13.5" customHeight="1" x14ac:dyDescent="0.2"/>
    <row r="630" spans="1:12" ht="8.25" customHeight="1" x14ac:dyDescent="0.2"/>
    <row r="631" spans="1:12" ht="12.75" x14ac:dyDescent="0.2"/>
    <row r="632" spans="1:12" ht="50.25" customHeight="1" x14ac:dyDescent="0.2"/>
    <row r="633" spans="1:12" ht="12.75" x14ac:dyDescent="0.2"/>
    <row r="634" spans="1:12" ht="12.75" x14ac:dyDescent="0.2"/>
    <row r="635" spans="1:12" ht="19.5" customHeight="1" x14ac:dyDescent="0.2"/>
    <row r="636" spans="1:12" ht="22.5" customHeight="1" x14ac:dyDescent="0.2"/>
    <row r="637" spans="1:12" ht="16.5" customHeight="1" x14ac:dyDescent="0.2"/>
    <row r="638" spans="1:12" ht="15.75" customHeight="1" x14ac:dyDescent="0.2"/>
    <row r="639" spans="1:12" ht="15" customHeight="1" x14ac:dyDescent="0.2"/>
    <row r="640" spans="1:12" ht="12.75" x14ac:dyDescent="0.2"/>
    <row r="641" ht="15" customHeight="1" x14ac:dyDescent="0.2"/>
    <row r="642" ht="12.75" x14ac:dyDescent="0.2"/>
    <row r="643" ht="12.75" x14ac:dyDescent="0.2"/>
    <row r="644" ht="12.75" x14ac:dyDescent="0.2"/>
    <row r="645" ht="17.25" customHeight="1" x14ac:dyDescent="0.2"/>
    <row r="646" ht="16.5" customHeight="1" x14ac:dyDescent="0.2"/>
    <row r="647" ht="18" customHeight="1" x14ac:dyDescent="0.2"/>
    <row r="648" ht="13.5" customHeight="1" x14ac:dyDescent="0.2"/>
    <row r="649" ht="21" customHeight="1" x14ac:dyDescent="0.2"/>
    <row r="650" ht="21" customHeight="1" x14ac:dyDescent="0.2"/>
    <row r="651" ht="12.75" x14ac:dyDescent="0.2"/>
    <row r="652" ht="12.75" x14ac:dyDescent="0.2"/>
    <row r="653" ht="12.75" x14ac:dyDescent="0.2"/>
    <row r="654" ht="12.75" x14ac:dyDescent="0.2"/>
    <row r="655" ht="22.5" customHeight="1" x14ac:dyDescent="0.2"/>
    <row r="656" ht="22.5" customHeight="1" x14ac:dyDescent="0.2"/>
    <row r="657" ht="30" customHeight="1" x14ac:dyDescent="0.2"/>
    <row r="658" ht="42.75" customHeight="1" x14ac:dyDescent="0.2"/>
    <row r="659" ht="12.75" x14ac:dyDescent="0.2"/>
    <row r="660" ht="12.75" customHeight="1" x14ac:dyDescent="0.2"/>
    <row r="661" ht="13.5" customHeight="1" x14ac:dyDescent="0.2"/>
    <row r="662" ht="12.75" x14ac:dyDescent="0.2"/>
    <row r="663" ht="17.25" customHeight="1" x14ac:dyDescent="0.2"/>
    <row r="664" ht="22.5" customHeight="1" x14ac:dyDescent="0.2"/>
    <row r="665" ht="14.25" customHeight="1" x14ac:dyDescent="0.2"/>
    <row r="666" ht="46.5" customHeight="1" x14ac:dyDescent="0.2"/>
    <row r="667" ht="24" customHeight="1" x14ac:dyDescent="0.2"/>
    <row r="668" ht="37.5" customHeight="1" x14ac:dyDescent="0.2"/>
    <row r="669" ht="16.5" customHeight="1" x14ac:dyDescent="0.2"/>
    <row r="670" ht="13.5" customHeight="1" x14ac:dyDescent="0.2"/>
    <row r="671" ht="19.5" customHeight="1" x14ac:dyDescent="0.2"/>
    <row r="672" ht="15" customHeight="1" x14ac:dyDescent="0.2"/>
    <row r="673" ht="51.75" customHeight="1" x14ac:dyDescent="0.2"/>
    <row r="674" ht="14.25" customHeight="1" x14ac:dyDescent="0.2"/>
    <row r="675" ht="14.25" customHeight="1" x14ac:dyDescent="0.2"/>
    <row r="676" ht="24" customHeight="1" x14ac:dyDescent="0.2"/>
    <row r="677" ht="54" customHeight="1" x14ac:dyDescent="0.2"/>
    <row r="678" ht="13.5" customHeight="1" x14ac:dyDescent="0.2"/>
    <row r="679" ht="15" customHeight="1" x14ac:dyDescent="0.2"/>
    <row r="680" ht="15.75" customHeight="1" x14ac:dyDescent="0.2"/>
    <row r="681" ht="12.75" customHeight="1" x14ac:dyDescent="0.2"/>
    <row r="682" ht="18" customHeight="1" x14ac:dyDescent="0.2"/>
    <row r="683" ht="18" customHeight="1" x14ac:dyDescent="0.2"/>
    <row r="684" ht="17.25" customHeight="1" x14ac:dyDescent="0.2"/>
    <row r="685" ht="20.25" customHeight="1" x14ac:dyDescent="0.2"/>
    <row r="686" ht="19.5" customHeight="1" x14ac:dyDescent="0.2"/>
    <row r="687" ht="43.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4.25" customHeight="1" x14ac:dyDescent="0.2"/>
    <row r="694" ht="15.75" customHeight="1" x14ac:dyDescent="0.2"/>
    <row r="695" ht="33.75" customHeight="1" x14ac:dyDescent="0.2"/>
    <row r="696" ht="23.25" customHeight="1" x14ac:dyDescent="0.2"/>
    <row r="697" ht="21.75" customHeight="1" x14ac:dyDescent="0.2"/>
    <row r="698" ht="15.75" customHeight="1" x14ac:dyDescent="0.2"/>
    <row r="699" ht="20.25" customHeight="1" x14ac:dyDescent="0.2"/>
    <row r="700" ht="16.5" customHeight="1" x14ac:dyDescent="0.2"/>
    <row r="701" ht="18.75" hidden="1" customHeight="1" x14ac:dyDescent="0.2"/>
    <row r="702" ht="22.5" customHeight="1" x14ac:dyDescent="0.2"/>
    <row r="703" ht="15.75" customHeight="1" x14ac:dyDescent="0.2"/>
    <row r="704" ht="19.5" customHeight="1" x14ac:dyDescent="0.2"/>
    <row r="705" ht="15.75" customHeight="1" x14ac:dyDescent="0.2"/>
    <row r="706" ht="24.75" customHeight="1" x14ac:dyDescent="0.2"/>
    <row r="707" ht="15.75" customHeight="1" x14ac:dyDescent="0.2"/>
    <row r="708" ht="21" customHeight="1" x14ac:dyDescent="0.2"/>
    <row r="709" ht="12.75" customHeight="1" x14ac:dyDescent="0.2"/>
    <row r="710" ht="15.75" customHeight="1" x14ac:dyDescent="0.2"/>
    <row r="711" ht="34.5" customHeight="1" x14ac:dyDescent="0.2"/>
    <row r="712" ht="17.25" customHeight="1" x14ac:dyDescent="0.2"/>
    <row r="713" ht="34.5" customHeight="1" x14ac:dyDescent="0.2"/>
    <row r="714" ht="18.75" customHeight="1" x14ac:dyDescent="0.2"/>
    <row r="715" ht="30" customHeight="1" x14ac:dyDescent="0.2"/>
    <row r="716" ht="15.75" customHeight="1" x14ac:dyDescent="0.2"/>
    <row r="717" ht="15.75" customHeight="1" x14ac:dyDescent="0.2"/>
    <row r="718" ht="15" customHeight="1" x14ac:dyDescent="0.2"/>
    <row r="719" ht="16.5" customHeight="1" x14ac:dyDescent="0.2"/>
    <row r="720" ht="14.25" customHeight="1" x14ac:dyDescent="0.2"/>
    <row r="721" spans="1:12" ht="20.25" customHeight="1" x14ac:dyDescent="0.2"/>
    <row r="722" spans="1:12" ht="49.5" customHeight="1" x14ac:dyDescent="0.2"/>
    <row r="723" spans="1:12" ht="15.75" customHeight="1" x14ac:dyDescent="0.2"/>
    <row r="724" spans="1:12" ht="40.5" customHeight="1" x14ac:dyDescent="0.2"/>
    <row r="725" spans="1:12" ht="15.75" customHeight="1" x14ac:dyDescent="0.2"/>
    <row r="726" spans="1:12" ht="18.75" customHeight="1" x14ac:dyDescent="0.2"/>
    <row r="727" spans="1:12" ht="12.75" customHeight="1" x14ac:dyDescent="0.2"/>
    <row r="728" spans="1:12" ht="15.75" customHeight="1" x14ac:dyDescent="0.2"/>
    <row r="729" spans="1:12" ht="15.75" customHeight="1" x14ac:dyDescent="0.2"/>
    <row r="730" spans="1:12" ht="15.75" customHeight="1" x14ac:dyDescent="0.2"/>
    <row r="731" spans="1:12" ht="17.25" customHeight="1" x14ac:dyDescent="0.2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</row>
    <row r="732" spans="1:12" ht="15" customHeight="1" x14ac:dyDescent="0.2"/>
    <row r="733" spans="1:12" ht="12.75" x14ac:dyDescent="0.2"/>
    <row r="734" spans="1:12" ht="15.75" customHeight="1" x14ac:dyDescent="0.2"/>
    <row r="735" spans="1:12" ht="51" customHeight="1" x14ac:dyDescent="0.2"/>
    <row r="736" spans="1:12" ht="12.75" customHeight="1" x14ac:dyDescent="0.2"/>
    <row r="737" ht="15" customHeight="1" x14ac:dyDescent="0.2"/>
    <row r="738" ht="12.75" x14ac:dyDescent="0.2"/>
    <row r="739" ht="12.75" x14ac:dyDescent="0.2"/>
    <row r="740" ht="12.75" x14ac:dyDescent="0.2"/>
    <row r="741" ht="20.25" customHeight="1" x14ac:dyDescent="0.2"/>
    <row r="742" ht="12.75" x14ac:dyDescent="0.2"/>
    <row r="743" ht="37.5" customHeight="1" x14ac:dyDescent="0.2"/>
    <row r="744" ht="19.5" customHeight="1" x14ac:dyDescent="0.2"/>
    <row r="745" ht="22.5" customHeight="1" x14ac:dyDescent="0.2"/>
    <row r="746" ht="12.75" x14ac:dyDescent="0.2"/>
    <row r="747" ht="21.75" customHeight="1" x14ac:dyDescent="0.2"/>
    <row r="748" ht="12.75" x14ac:dyDescent="0.2"/>
    <row r="749" ht="18" customHeight="1" x14ac:dyDescent="0.2"/>
    <row r="750" ht="23.25" customHeight="1" x14ac:dyDescent="0.2"/>
    <row r="751" ht="24" customHeight="1" x14ac:dyDescent="0.2"/>
    <row r="752" ht="5.25" customHeight="1" x14ac:dyDescent="0.2"/>
    <row r="753" ht="17.25" customHeight="1" x14ac:dyDescent="0.2"/>
    <row r="754" ht="42.75" customHeight="1" x14ac:dyDescent="0.2"/>
    <row r="755" ht="12.75" x14ac:dyDescent="0.2"/>
    <row r="756" ht="20.25" customHeight="1" x14ac:dyDescent="0.2"/>
    <row r="757" ht="17.25" customHeight="1" x14ac:dyDescent="0.2"/>
    <row r="758" ht="12.75" x14ac:dyDescent="0.2"/>
    <row r="759" ht="30.75" customHeight="1" x14ac:dyDescent="0.2"/>
    <row r="760" ht="24.75" customHeight="1" x14ac:dyDescent="0.2"/>
    <row r="761" ht="42" customHeight="1" x14ac:dyDescent="0.2"/>
    <row r="762" ht="15.75" customHeight="1" x14ac:dyDescent="0.2"/>
    <row r="763" ht="17.25" customHeight="1" x14ac:dyDescent="0.2"/>
    <row r="764" ht="27" customHeight="1" x14ac:dyDescent="0.2"/>
    <row r="765" ht="21" customHeight="1" x14ac:dyDescent="0.2"/>
    <row r="766" ht="16.5" customHeight="1" x14ac:dyDescent="0.2"/>
    <row r="767" ht="16.5" customHeight="1" x14ac:dyDescent="0.2"/>
    <row r="768" ht="23.25" customHeight="1" x14ac:dyDescent="0.2"/>
    <row r="769" spans="1:12" ht="22.5" customHeight="1" x14ac:dyDescent="0.2"/>
    <row r="770" spans="1:12" ht="49.5" customHeight="1" x14ac:dyDescent="0.2"/>
    <row r="771" spans="1:12" ht="12.75" x14ac:dyDescent="0.2"/>
    <row r="772" spans="1:12" ht="40.5" customHeight="1" x14ac:dyDescent="0.2"/>
    <row r="773" spans="1:12" ht="12.75" x14ac:dyDescent="0.2"/>
    <row r="774" spans="1:12" ht="12.75" x14ac:dyDescent="0.2"/>
    <row r="775" spans="1:12" ht="12.75" x14ac:dyDescent="0.2"/>
    <row r="776" spans="1:12" ht="12.75" x14ac:dyDescent="0.2"/>
    <row r="777" spans="1:12" s="99" customFormat="1" ht="21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6.5" customHeight="1" x14ac:dyDescent="0.2"/>
    <row r="779" spans="1:12" ht="12.75" x14ac:dyDescent="0.2"/>
    <row r="780" spans="1:12" ht="18.75" customHeight="1" x14ac:dyDescent="0.2"/>
    <row r="781" spans="1:12" ht="18" customHeight="1" x14ac:dyDescent="0.2"/>
    <row r="782" spans="1:12" ht="12.75" x14ac:dyDescent="0.2"/>
    <row r="783" spans="1:12" ht="51" customHeight="1" x14ac:dyDescent="0.2"/>
    <row r="784" spans="1:12" ht="12.75" x14ac:dyDescent="0.2"/>
    <row r="785" ht="36" customHeight="1" x14ac:dyDescent="0.2"/>
    <row r="786" ht="20.25" customHeight="1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38.25" customHeight="1" x14ac:dyDescent="0.2"/>
    <row r="794" ht="12.75" customHeight="1" x14ac:dyDescent="0.2"/>
    <row r="795" ht="24.75" customHeight="1" x14ac:dyDescent="0.2"/>
    <row r="796" ht="24.75" customHeight="1" x14ac:dyDescent="0.2"/>
    <row r="797" ht="16.5" customHeight="1" x14ac:dyDescent="0.2"/>
    <row r="798" ht="18.75" customHeight="1" x14ac:dyDescent="0.2"/>
    <row r="799" ht="17.25" customHeight="1" x14ac:dyDescent="0.2"/>
    <row r="800" ht="12.75" x14ac:dyDescent="0.2"/>
    <row r="801" spans="1:12" ht="15" customHeight="1" x14ac:dyDescent="0.2"/>
    <row r="802" spans="1:12" ht="12.75" x14ac:dyDescent="0.2"/>
    <row r="803" spans="1:12" ht="17.25" customHeight="1" x14ac:dyDescent="0.2"/>
    <row r="804" spans="1:12" ht="12.75" x14ac:dyDescent="0.2"/>
    <row r="805" spans="1:12" ht="18.75" customHeight="1" x14ac:dyDescent="0.2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</row>
    <row r="806" spans="1:12" ht="21.75" customHeight="1" x14ac:dyDescent="0.2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</row>
    <row r="807" spans="1:12" ht="14.25" customHeight="1" x14ac:dyDescent="0.2"/>
    <row r="808" spans="1:12" ht="15" customHeight="1" x14ac:dyDescent="0.2"/>
    <row r="809" spans="1:12" ht="38.25" customHeight="1" x14ac:dyDescent="0.2"/>
    <row r="810" spans="1:12" ht="12.75" x14ac:dyDescent="0.2"/>
    <row r="811" spans="1:12" ht="34.5" customHeight="1" x14ac:dyDescent="0.2"/>
    <row r="812" spans="1:12" ht="12.75" x14ac:dyDescent="0.2"/>
    <row r="813" spans="1:12" ht="15" customHeight="1" x14ac:dyDescent="0.2"/>
    <row r="814" spans="1:12" ht="15.75" customHeight="1" x14ac:dyDescent="0.2"/>
    <row r="815" spans="1:12" ht="12.75" x14ac:dyDescent="0.2"/>
    <row r="816" spans="1:12" ht="29.25" customHeight="1" x14ac:dyDescent="0.2"/>
    <row r="817" ht="17.25" customHeight="1" x14ac:dyDescent="0.2"/>
    <row r="818" ht="8.25" customHeight="1" x14ac:dyDescent="0.2"/>
    <row r="819" ht="15.75" customHeight="1" x14ac:dyDescent="0.2"/>
    <row r="820" ht="46.5" customHeight="1" x14ac:dyDescent="0.2"/>
    <row r="821" ht="12.75" x14ac:dyDescent="0.2"/>
    <row r="822" ht="48.75" customHeight="1" x14ac:dyDescent="0.2"/>
    <row r="823" ht="14.25" customHeight="1" x14ac:dyDescent="0.2"/>
    <row r="824" ht="45.75" customHeight="1" x14ac:dyDescent="0.2"/>
    <row r="825" ht="17.25" customHeight="1" x14ac:dyDescent="0.2"/>
    <row r="826" ht="21.75" customHeight="1" x14ac:dyDescent="0.2"/>
    <row r="827" ht="12.75" x14ac:dyDescent="0.2"/>
    <row r="828" ht="12.75" x14ac:dyDescent="0.2"/>
    <row r="829" ht="12.75" x14ac:dyDescent="0.2"/>
    <row r="830" ht="21" customHeight="1" x14ac:dyDescent="0.2"/>
    <row r="831" ht="12.75" x14ac:dyDescent="0.2"/>
    <row r="832" ht="21" customHeight="1" x14ac:dyDescent="0.2"/>
    <row r="833" spans="1:12" ht="12.75" x14ac:dyDescent="0.2"/>
    <row r="834" spans="1:12" ht="12.75" x14ac:dyDescent="0.2"/>
    <row r="835" spans="1:12" ht="57.75" customHeight="1" x14ac:dyDescent="0.2"/>
    <row r="836" spans="1:12" ht="12.75" x14ac:dyDescent="0.2"/>
    <row r="837" spans="1:12" ht="36" customHeight="1" x14ac:dyDescent="0.2"/>
    <row r="838" spans="1:12" ht="36" customHeight="1" x14ac:dyDescent="0.2"/>
    <row r="839" spans="1:12" ht="18.75" customHeight="1" x14ac:dyDescent="0.2"/>
    <row r="840" spans="1:12" ht="14.25" customHeight="1" x14ac:dyDescent="0.2"/>
    <row r="841" spans="1:12" ht="12.75" customHeight="1" x14ac:dyDescent="0.2"/>
    <row r="842" spans="1:12" ht="20.25" customHeight="1" x14ac:dyDescent="0.2"/>
    <row r="843" spans="1:12" ht="23.25" customHeight="1" x14ac:dyDescent="0.2"/>
    <row r="844" spans="1:12" ht="12.75" x14ac:dyDescent="0.2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</row>
    <row r="845" spans="1:12" ht="15" customHeight="1" x14ac:dyDescent="0.2"/>
    <row r="846" spans="1:12" ht="12.75" x14ac:dyDescent="0.2"/>
    <row r="847" spans="1:12" ht="13.5" customHeight="1" x14ac:dyDescent="0.2"/>
    <row r="848" spans="1:12" ht="19.5" customHeight="1" x14ac:dyDescent="0.2"/>
    <row r="849" spans="1:12" ht="14.25" customHeight="1" x14ac:dyDescent="0.2"/>
    <row r="850" spans="1:12" ht="15" customHeight="1" x14ac:dyDescent="0.2"/>
    <row r="851" spans="1:12" s="76" customFormat="1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s="76" customFormat="1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3.5" customHeight="1" x14ac:dyDescent="0.2"/>
    <row r="854" spans="1:12" ht="38.25" customHeight="1" x14ac:dyDescent="0.2"/>
    <row r="855" spans="1:12" ht="12.75" x14ac:dyDescent="0.2"/>
    <row r="856" spans="1:12" ht="37.5" customHeight="1" x14ac:dyDescent="0.2"/>
    <row r="857" spans="1:12" ht="12.75" customHeight="1" x14ac:dyDescent="0.2"/>
    <row r="858" spans="1:12" ht="19.5" customHeight="1" x14ac:dyDescent="0.2"/>
    <row r="859" spans="1:12" ht="22.5" customHeight="1" x14ac:dyDescent="0.2"/>
    <row r="860" spans="1:12" ht="18.75" customHeight="1" x14ac:dyDescent="0.2"/>
    <row r="861" spans="1:12" ht="30.75" customHeight="1" x14ac:dyDescent="0.2"/>
    <row r="862" spans="1:12" ht="20.25" customHeight="1" x14ac:dyDescent="0.2"/>
    <row r="863" spans="1:12" ht="9.75" customHeight="1" x14ac:dyDescent="0.2"/>
    <row r="864" spans="1:12" ht="18" customHeight="1" x14ac:dyDescent="0.2"/>
    <row r="865" ht="55.5" customHeight="1" x14ac:dyDescent="0.2"/>
    <row r="866" ht="12.75" x14ac:dyDescent="0.2"/>
    <row r="867" ht="12.75" x14ac:dyDescent="0.2"/>
    <row r="868" ht="22.5" customHeight="1" x14ac:dyDescent="0.2"/>
    <row r="869" ht="12.75" x14ac:dyDescent="0.2"/>
    <row r="870" ht="18.75" customHeight="1" x14ac:dyDescent="0.2"/>
    <row r="871" ht="12.75" x14ac:dyDescent="0.2"/>
    <row r="872" ht="22.5" customHeight="1" x14ac:dyDescent="0.2"/>
    <row r="873" ht="12.75" x14ac:dyDescent="0.2"/>
    <row r="874" ht="20.25" customHeight="1" x14ac:dyDescent="0.2"/>
    <row r="875" ht="6" customHeight="1" x14ac:dyDescent="0.2"/>
    <row r="876" ht="12.75" x14ac:dyDescent="0.2"/>
    <row r="877" ht="49.5" customHeight="1" x14ac:dyDescent="0.2"/>
    <row r="878" ht="12.75" x14ac:dyDescent="0.2"/>
    <row r="879" ht="45" customHeight="1" x14ac:dyDescent="0.2"/>
    <row r="880" ht="12.75" x14ac:dyDescent="0.2"/>
    <row r="881" spans="1:12" ht="15.75" customHeight="1" x14ac:dyDescent="0.2"/>
    <row r="882" spans="1:12" ht="21" customHeight="1" x14ac:dyDescent="0.2"/>
    <row r="883" spans="1:12" ht="18" customHeight="1" x14ac:dyDescent="0.2"/>
    <row r="884" spans="1:12" ht="24" customHeight="1" x14ac:dyDescent="0.2"/>
    <row r="885" spans="1:12" ht="12.75" x14ac:dyDescent="0.2"/>
    <row r="886" spans="1:12" ht="18.75" customHeight="1" x14ac:dyDescent="0.2"/>
    <row r="887" spans="1:12" ht="12.75" customHeight="1" x14ac:dyDescent="0.2"/>
    <row r="888" spans="1:12" ht="54.75" customHeight="1" x14ac:dyDescent="0.2"/>
    <row r="889" spans="1:12" ht="15" customHeight="1" x14ac:dyDescent="0.2"/>
    <row r="890" spans="1:12" s="85" customFormat="1" ht="20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" customHeight="1" x14ac:dyDescent="0.2"/>
    <row r="892" spans="1:12" ht="15" customHeight="1" x14ac:dyDescent="0.2"/>
    <row r="893" spans="1:12" ht="12.75" x14ac:dyDescent="0.2"/>
    <row r="894" spans="1:12" ht="21" customHeight="1" x14ac:dyDescent="0.2"/>
    <row r="895" spans="1:12" ht="12.75" customHeight="1" x14ac:dyDescent="0.2"/>
    <row r="896" spans="1:12" ht="21.75" customHeight="1" x14ac:dyDescent="0.2"/>
    <row r="897" ht="27" customHeight="1" x14ac:dyDescent="0.2"/>
    <row r="898" ht="38.25" customHeight="1" x14ac:dyDescent="0.2"/>
    <row r="899" ht="20.25" customHeight="1" x14ac:dyDescent="0.2"/>
    <row r="900" ht="45" customHeight="1" x14ac:dyDescent="0.2"/>
    <row r="901" ht="15.75" customHeight="1" x14ac:dyDescent="0.2"/>
    <row r="902" ht="30.75" customHeight="1" x14ac:dyDescent="0.2"/>
    <row r="903" ht="20.25" customHeight="1" x14ac:dyDescent="0.2"/>
    <row r="904" ht="21.75" customHeight="1" x14ac:dyDescent="0.2"/>
    <row r="905" ht="12.75" x14ac:dyDescent="0.2"/>
    <row r="906" ht="13.5" customHeight="1" x14ac:dyDescent="0.2"/>
    <row r="907" ht="9.75" customHeight="1" x14ac:dyDescent="0.2"/>
    <row r="908" ht="13.5" customHeight="1" x14ac:dyDescent="0.2"/>
    <row r="909" ht="48.75" customHeight="1" x14ac:dyDescent="0.2"/>
    <row r="910" ht="31.5" customHeight="1" x14ac:dyDescent="0.2"/>
    <row r="911" ht="12.75" x14ac:dyDescent="0.2"/>
    <row r="912" ht="17.25" customHeight="1" x14ac:dyDescent="0.2"/>
    <row r="913" ht="12.75" x14ac:dyDescent="0.2"/>
    <row r="914" ht="26.25" customHeight="1" x14ac:dyDescent="0.2"/>
    <row r="915" ht="17.25" customHeight="1" x14ac:dyDescent="0.2"/>
    <row r="916" ht="12.75" x14ac:dyDescent="0.2"/>
    <row r="917" ht="21" customHeight="1" x14ac:dyDescent="0.2"/>
    <row r="918" ht="12.75" x14ac:dyDescent="0.2"/>
    <row r="919" ht="12.75" x14ac:dyDescent="0.2"/>
    <row r="920" ht="12.75" x14ac:dyDescent="0.2"/>
    <row r="921" ht="12.75" x14ac:dyDescent="0.2"/>
    <row r="922" ht="45.75" customHeight="1" x14ac:dyDescent="0.2"/>
    <row r="923" ht="12.75" x14ac:dyDescent="0.2"/>
    <row r="924" ht="12.75" x14ac:dyDescent="0.2"/>
    <row r="925" ht="12.75" x14ac:dyDescent="0.2"/>
    <row r="926" ht="58.5" customHeight="1" x14ac:dyDescent="0.2"/>
    <row r="927" ht="12.75" x14ac:dyDescent="0.2"/>
    <row r="928" ht="36" customHeight="1" x14ac:dyDescent="0.2"/>
    <row r="929" ht="12.75" x14ac:dyDescent="0.2"/>
    <row r="930" ht="12.75" customHeight="1" x14ac:dyDescent="0.2"/>
    <row r="931" ht="34.5" customHeight="1" x14ac:dyDescent="0.2"/>
    <row r="932" ht="3" customHeight="1" x14ac:dyDescent="0.2"/>
    <row r="933" ht="36" hidden="1" customHeight="1" x14ac:dyDescent="0.2"/>
    <row r="934" ht="22.5" customHeight="1" x14ac:dyDescent="0.2"/>
    <row r="935" ht="12.75" x14ac:dyDescent="0.2"/>
    <row r="936" ht="12.75" x14ac:dyDescent="0.2"/>
    <row r="937" ht="12.75" x14ac:dyDescent="0.2"/>
    <row r="938" ht="17.25" customHeight="1" x14ac:dyDescent="0.2"/>
    <row r="939" ht="48.75" customHeight="1" x14ac:dyDescent="0.2"/>
    <row r="940" ht="8.25" customHeight="1" x14ac:dyDescent="0.2"/>
    <row r="941" ht="21" customHeight="1" x14ac:dyDescent="0.2"/>
    <row r="942" ht="12.75" x14ac:dyDescent="0.2"/>
    <row r="943" ht="15" customHeight="1" x14ac:dyDescent="0.2"/>
    <row r="944" ht="21.75" customHeight="1" x14ac:dyDescent="0.2"/>
    <row r="945" spans="1:12" ht="15" customHeight="1" x14ac:dyDescent="0.2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</row>
    <row r="946" spans="1:12" ht="15" customHeight="1" x14ac:dyDescent="0.2"/>
    <row r="947" spans="1:12" ht="18.75" customHeight="1" x14ac:dyDescent="0.2"/>
    <row r="948" spans="1:12" ht="31.5" customHeight="1" x14ac:dyDescent="0.2"/>
    <row r="949" spans="1:12" ht="21.75" customHeight="1" x14ac:dyDescent="0.2"/>
    <row r="950" spans="1:12" ht="12.75" x14ac:dyDescent="0.2"/>
    <row r="951" spans="1:12" ht="14.25" customHeight="1" x14ac:dyDescent="0.2"/>
    <row r="952" spans="1:12" ht="12.75" x14ac:dyDescent="0.2"/>
    <row r="953" spans="1:12" ht="15" customHeight="1" x14ac:dyDescent="0.2"/>
    <row r="954" spans="1:12" ht="12.75" x14ac:dyDescent="0.2"/>
    <row r="955" spans="1:12" ht="12.75" x14ac:dyDescent="0.2"/>
    <row r="956" spans="1:12" ht="15" customHeight="1" x14ac:dyDescent="0.2"/>
    <row r="957" spans="1:12" ht="13.5" customHeight="1" x14ac:dyDescent="0.2"/>
    <row r="958" spans="1:12" ht="12.75" customHeight="1" x14ac:dyDescent="0.2"/>
    <row r="959" spans="1:12" ht="12.75" x14ac:dyDescent="0.2"/>
    <row r="960" spans="1:12" ht="12.75" x14ac:dyDescent="0.2"/>
    <row r="961" ht="12.75" x14ac:dyDescent="0.2"/>
    <row r="962" ht="12.75" x14ac:dyDescent="0.2"/>
    <row r="963" ht="12.75" x14ac:dyDescent="0.2"/>
    <row r="964" ht="48" customHeight="1" x14ac:dyDescent="0.2"/>
    <row r="965" ht="21.75" customHeight="1" x14ac:dyDescent="0.2"/>
    <row r="966" ht="17.25" customHeight="1" x14ac:dyDescent="0.2"/>
    <row r="967" ht="12.75" x14ac:dyDescent="0.2"/>
    <row r="968" ht="22.5" customHeight="1" x14ac:dyDescent="0.2"/>
    <row r="969" ht="28.5" customHeight="1" x14ac:dyDescent="0.2"/>
    <row r="970" ht="20.25" customHeight="1" x14ac:dyDescent="0.2"/>
    <row r="971" ht="15" customHeight="1" x14ac:dyDescent="0.2"/>
    <row r="972" ht="12.75" x14ac:dyDescent="0.2"/>
    <row r="973" ht="12.75" x14ac:dyDescent="0.2"/>
    <row r="974" ht="12.75" x14ac:dyDescent="0.2"/>
    <row r="975" ht="12.75" x14ac:dyDescent="0.2"/>
    <row r="976" ht="28.5" customHeight="1" x14ac:dyDescent="0.2"/>
    <row r="977" ht="12.75" x14ac:dyDescent="0.2"/>
    <row r="978" ht="12.75" x14ac:dyDescent="0.2"/>
    <row r="979" ht="12.75" x14ac:dyDescent="0.2"/>
    <row r="980" ht="46.5" customHeight="1" x14ac:dyDescent="0.2"/>
    <row r="981" ht="12.75" x14ac:dyDescent="0.2"/>
    <row r="982" ht="32.25" customHeight="1" x14ac:dyDescent="0.2"/>
    <row r="983" ht="12.75" x14ac:dyDescent="0.2"/>
    <row r="984" ht="28.5" customHeight="1" x14ac:dyDescent="0.2"/>
    <row r="985" ht="22.5" customHeight="1" x14ac:dyDescent="0.2"/>
    <row r="986" ht="12.75" customHeight="1" x14ac:dyDescent="0.2"/>
    <row r="987" ht="18" customHeight="1" x14ac:dyDescent="0.2"/>
    <row r="988" ht="18" customHeight="1" x14ac:dyDescent="0.2"/>
    <row r="989" ht="12.75" x14ac:dyDescent="0.2"/>
    <row r="990" ht="21" customHeight="1" x14ac:dyDescent="0.2"/>
    <row r="991" ht="21" customHeight="1" x14ac:dyDescent="0.2"/>
    <row r="992" ht="15.75" customHeight="1" x14ac:dyDescent="0.2"/>
    <row r="993" ht="42.75" customHeight="1" x14ac:dyDescent="0.2"/>
    <row r="994" ht="23.25" customHeight="1" x14ac:dyDescent="0.2"/>
    <row r="995" ht="20.25" customHeight="1" x14ac:dyDescent="0.2"/>
    <row r="996" ht="10.5" customHeight="1" x14ac:dyDescent="0.2"/>
    <row r="997" ht="15" customHeight="1" x14ac:dyDescent="0.2"/>
    <row r="998" ht="16.5" customHeight="1" x14ac:dyDescent="0.2"/>
    <row r="999" ht="12.75" x14ac:dyDescent="0.2"/>
    <row r="1000" ht="12.75" x14ac:dyDescent="0.2"/>
    <row r="1001" ht="23.25" customHeight="1" x14ac:dyDescent="0.2"/>
    <row r="1002" ht="12.75" customHeight="1" x14ac:dyDescent="0.2"/>
    <row r="1003" ht="13.5" customHeight="1" x14ac:dyDescent="0.2"/>
    <row r="1004" ht="14.25" customHeight="1" x14ac:dyDescent="0.2"/>
    <row r="1005" ht="12.75" x14ac:dyDescent="0.2"/>
    <row r="1006" ht="20.25" customHeight="1" x14ac:dyDescent="0.2"/>
    <row r="1007" ht="12.75" hidden="1" x14ac:dyDescent="0.2"/>
    <row r="1008" ht="21" customHeight="1" x14ac:dyDescent="0.2"/>
    <row r="1009" ht="12.75" x14ac:dyDescent="0.2"/>
    <row r="1010" ht="18" customHeight="1" x14ac:dyDescent="0.2"/>
    <row r="1011" ht="16.5" customHeight="1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25.5" customHeight="1" x14ac:dyDescent="0.2"/>
    <row r="1018" ht="18" customHeight="1" x14ac:dyDescent="0.2"/>
    <row r="1019" ht="18" customHeight="1" x14ac:dyDescent="0.2"/>
    <row r="1020" ht="20.25" customHeight="1" x14ac:dyDescent="0.2"/>
    <row r="1021" ht="20.25" customHeight="1" x14ac:dyDescent="0.2"/>
    <row r="1022" ht="12.75" x14ac:dyDescent="0.2"/>
    <row r="1023" ht="15" customHeight="1" x14ac:dyDescent="0.2"/>
    <row r="1024" ht="12.75" x14ac:dyDescent="0.2"/>
    <row r="1025" ht="12.75" x14ac:dyDescent="0.2"/>
    <row r="1026" ht="12.75" x14ac:dyDescent="0.2"/>
    <row r="1027" ht="21.75" customHeight="1" x14ac:dyDescent="0.2"/>
    <row r="1028" ht="12.75" x14ac:dyDescent="0.2"/>
    <row r="1029" ht="39" customHeight="1" x14ac:dyDescent="0.2"/>
    <row r="1030" ht="12.75" x14ac:dyDescent="0.2"/>
    <row r="1031" ht="32.25" customHeight="1" x14ac:dyDescent="0.2"/>
    <row r="1032" ht="31.5" customHeight="1" x14ac:dyDescent="0.2"/>
    <row r="1033" ht="39.75" customHeight="1" x14ac:dyDescent="0.2"/>
    <row r="1034" ht="19.5" customHeight="1" x14ac:dyDescent="0.2"/>
    <row r="1035" ht="4.5" customHeight="1" x14ac:dyDescent="0.2"/>
    <row r="1036" ht="27" customHeight="1" x14ac:dyDescent="0.2"/>
    <row r="1037" ht="3.75" customHeight="1" x14ac:dyDescent="0.2"/>
    <row r="1038" ht="23.25" customHeight="1" x14ac:dyDescent="0.2"/>
    <row r="1039" ht="21" customHeight="1" x14ac:dyDescent="0.2"/>
    <row r="1040" ht="12" customHeight="1" x14ac:dyDescent="0.2"/>
    <row r="1041" spans="1:12" ht="21.75" customHeight="1" x14ac:dyDescent="0.2"/>
    <row r="1042" spans="1:12" ht="56.25" customHeight="1" x14ac:dyDescent="0.2"/>
    <row r="1043" spans="1:12" ht="15" customHeight="1" x14ac:dyDescent="0.2"/>
    <row r="1044" spans="1:12" ht="16.5" customHeight="1" x14ac:dyDescent="0.2"/>
    <row r="1045" spans="1:12" ht="19.5" customHeight="1" x14ac:dyDescent="0.2"/>
    <row r="1046" spans="1:12" ht="15" customHeight="1" x14ac:dyDescent="0.2"/>
    <row r="1047" spans="1:12" ht="17.25" customHeight="1" x14ac:dyDescent="0.2"/>
    <row r="1048" spans="1:12" ht="17.25" customHeight="1" x14ac:dyDescent="0.2"/>
    <row r="1049" spans="1:12" ht="12" customHeight="1" x14ac:dyDescent="0.2"/>
    <row r="1050" spans="1:12" ht="23.25" customHeight="1" x14ac:dyDescent="0.2"/>
    <row r="1051" spans="1:12" s="99" customFormat="1" ht="21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</row>
    <row r="1052" spans="1:12" ht="14.25" customHeight="1" x14ac:dyDescent="0.2"/>
    <row r="1053" spans="1:12" ht="12.75" x14ac:dyDescent="0.2"/>
    <row r="1054" spans="1:12" ht="31.5" customHeight="1" x14ac:dyDescent="0.2"/>
    <row r="1055" spans="1:12" ht="12.75" x14ac:dyDescent="0.2"/>
    <row r="1056" spans="1:12" ht="16.5" customHeight="1" x14ac:dyDescent="0.2"/>
    <row r="1057" ht="12.75" x14ac:dyDescent="0.2"/>
    <row r="1058" ht="12.75" x14ac:dyDescent="0.2"/>
    <row r="1059" ht="10.5" customHeight="1" x14ac:dyDescent="0.2"/>
    <row r="1060" ht="10.5" customHeight="1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7.25" customHeight="1" x14ac:dyDescent="0.2"/>
    <row r="1068" ht="17.25" customHeight="1" x14ac:dyDescent="0.2"/>
    <row r="1069" ht="12" customHeight="1" x14ac:dyDescent="0.2"/>
    <row r="1070" ht="12.75" x14ac:dyDescent="0.2"/>
    <row r="1071" ht="12.75" x14ac:dyDescent="0.2"/>
    <row r="1072" ht="28.5" customHeight="1" x14ac:dyDescent="0.2"/>
    <row r="1073" ht="12.75" x14ac:dyDescent="0.2"/>
    <row r="1074" ht="19.5" customHeight="1" x14ac:dyDescent="0.2"/>
    <row r="1075" ht="12.75" x14ac:dyDescent="0.2"/>
    <row r="1076" ht="14.25" customHeight="1" x14ac:dyDescent="0.2"/>
    <row r="1077" ht="12.75" customHeight="1" x14ac:dyDescent="0.2"/>
    <row r="1078" ht="12.75" x14ac:dyDescent="0.2"/>
    <row r="1079" ht="24.75" customHeight="1" x14ac:dyDescent="0.2"/>
    <row r="1080" ht="34.5" customHeight="1" x14ac:dyDescent="0.2"/>
    <row r="1081" ht="12.75" x14ac:dyDescent="0.2"/>
    <row r="1082" ht="37.5" customHeight="1" x14ac:dyDescent="0.2"/>
    <row r="1083" ht="25.5" customHeight="1" x14ac:dyDescent="0.2"/>
    <row r="1084" ht="35.25" customHeight="1" x14ac:dyDescent="0.2"/>
    <row r="1085" ht="27" customHeight="1" x14ac:dyDescent="0.2"/>
    <row r="1086" ht="18" customHeight="1" x14ac:dyDescent="0.2"/>
    <row r="1087" ht="12.75" x14ac:dyDescent="0.2"/>
    <row r="1088" ht="39" customHeight="1" x14ac:dyDescent="0.2"/>
    <row r="1089" ht="20.25" customHeight="1" x14ac:dyDescent="0.2"/>
    <row r="1090" ht="21" customHeight="1" x14ac:dyDescent="0.2"/>
    <row r="1091" ht="10.5" customHeight="1" x14ac:dyDescent="0.2"/>
    <row r="1092" ht="15" customHeight="1" x14ac:dyDescent="0.2"/>
    <row r="1093" ht="57" customHeight="1" x14ac:dyDescent="0.2"/>
    <row r="1094" ht="12.75" x14ac:dyDescent="0.2"/>
    <row r="1095" ht="18.75" customHeight="1" x14ac:dyDescent="0.2"/>
    <row r="1096" ht="23.25" customHeight="1" x14ac:dyDescent="0.2"/>
    <row r="1097" ht="21" customHeight="1" x14ac:dyDescent="0.2"/>
    <row r="1098" ht="21" customHeight="1" x14ac:dyDescent="0.2"/>
    <row r="1099" ht="10.5" customHeight="1" x14ac:dyDescent="0.2"/>
    <row r="1100" ht="9.75" customHeight="1" x14ac:dyDescent="0.2"/>
    <row r="1101" ht="12" customHeight="1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30" customHeight="1" x14ac:dyDescent="0.2"/>
    <row r="1115" ht="12.75" x14ac:dyDescent="0.2"/>
    <row r="1116" ht="15.75" customHeight="1" x14ac:dyDescent="0.2"/>
    <row r="1117" ht="12.75" x14ac:dyDescent="0.2"/>
    <row r="1118" ht="12.75" x14ac:dyDescent="0.2"/>
    <row r="1119" ht="20.25" customHeight="1" x14ac:dyDescent="0.2"/>
    <row r="1120" ht="15" customHeight="1" x14ac:dyDescent="0.2"/>
    <row r="1121" ht="16.5" customHeight="1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6.5" customHeight="1" x14ac:dyDescent="0.2"/>
    <row r="1128" ht="12.75" x14ac:dyDescent="0.2"/>
    <row r="1129" ht="15" customHeight="1" x14ac:dyDescent="0.2"/>
    <row r="1130" ht="38.25" customHeight="1" x14ac:dyDescent="0.2"/>
    <row r="1131" ht="17.25" customHeight="1" x14ac:dyDescent="0.2"/>
    <row r="1132" ht="33" customHeight="1" x14ac:dyDescent="0.2"/>
    <row r="1133" ht="16.5" customHeight="1" x14ac:dyDescent="0.2"/>
    <row r="1134" ht="15.75" customHeight="1" x14ac:dyDescent="0.2"/>
    <row r="1135" ht="39.75" customHeight="1" x14ac:dyDescent="0.2"/>
    <row r="1136" ht="12.75" x14ac:dyDescent="0.2"/>
    <row r="1137" spans="1:12" ht="37.5" customHeight="1" x14ac:dyDescent="0.2"/>
    <row r="1138" spans="1:12" ht="27" customHeight="1" x14ac:dyDescent="0.2"/>
    <row r="1139" spans="1:12" s="120" customFormat="1" ht="33.75" customHeight="1" x14ac:dyDescent="0.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</row>
    <row r="1140" spans="1:12" ht="12.75" x14ac:dyDescent="0.2"/>
    <row r="1141" spans="1:12" ht="12.75" x14ac:dyDescent="0.2"/>
    <row r="1142" spans="1:12" ht="12.75" x14ac:dyDescent="0.2"/>
    <row r="1143" spans="1:12" ht="45.75" customHeight="1" x14ac:dyDescent="0.2"/>
    <row r="1144" spans="1:12" ht="16.5" customHeight="1" x14ac:dyDescent="0.2"/>
    <row r="1145" spans="1:12" ht="11.25" customHeight="1" x14ac:dyDescent="0.2"/>
    <row r="1146" spans="1:12" ht="16.5" customHeight="1" x14ac:dyDescent="0.2"/>
    <row r="1147" spans="1:12" ht="23.25" customHeight="1" x14ac:dyDescent="0.2"/>
    <row r="1148" spans="1:12" ht="17.25" customHeight="1" x14ac:dyDescent="0.2"/>
    <row r="1149" spans="1:12" ht="12.75" customHeight="1" x14ac:dyDescent="0.2"/>
    <row r="1150" spans="1:12" ht="20.25" customHeight="1" x14ac:dyDescent="0.2"/>
    <row r="1151" spans="1:12" ht="12" customHeight="1" x14ac:dyDescent="0.2"/>
    <row r="1152" spans="1:12" ht="12.75" x14ac:dyDescent="0.2"/>
    <row r="1153" ht="12.75" x14ac:dyDescent="0.2"/>
    <row r="1154" ht="12.75" x14ac:dyDescent="0.2"/>
    <row r="1155" ht="12.75" x14ac:dyDescent="0.2"/>
    <row r="1156" ht="18" customHeight="1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35.25" customHeight="1" x14ac:dyDescent="0.2"/>
    <row r="1166" ht="12.75" x14ac:dyDescent="0.2"/>
    <row r="1167" ht="21" customHeight="1" x14ac:dyDescent="0.2"/>
    <row r="1168" ht="12.75" x14ac:dyDescent="0.2"/>
    <row r="1169" ht="20.25" customHeight="1" x14ac:dyDescent="0.2"/>
    <row r="1170" ht="28.5" customHeight="1" x14ac:dyDescent="0.2"/>
    <row r="1171" ht="21" customHeight="1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21" customHeight="1" x14ac:dyDescent="0.2"/>
    <row r="1178" ht="12.75" x14ac:dyDescent="0.2"/>
    <row r="1179" ht="15" customHeight="1" x14ac:dyDescent="0.2"/>
    <row r="1180" ht="19.5" customHeight="1" x14ac:dyDescent="0.2"/>
    <row r="1181" ht="30" customHeight="1" x14ac:dyDescent="0.2"/>
    <row r="1182" ht="19.5" customHeight="1" x14ac:dyDescent="0.2"/>
    <row r="1183" ht="33.75" customHeight="1" x14ac:dyDescent="0.2"/>
    <row r="1184" ht="15" customHeight="1" x14ac:dyDescent="0.2"/>
    <row r="1185" ht="17.25" customHeight="1" x14ac:dyDescent="0.2"/>
    <row r="1186" ht="12.75" x14ac:dyDescent="0.2"/>
    <row r="1187" ht="36" customHeight="1" x14ac:dyDescent="0.2"/>
    <row r="1188" ht="12.75" x14ac:dyDescent="0.2"/>
    <row r="1189" ht="38.25" customHeight="1" x14ac:dyDescent="0.2"/>
    <row r="1190" ht="12.75" x14ac:dyDescent="0.2"/>
    <row r="1191" ht="24" customHeight="1" x14ac:dyDescent="0.2"/>
    <row r="1192" ht="6.75" customHeight="1" x14ac:dyDescent="0.2"/>
    <row r="1193" ht="16.5" customHeight="1" x14ac:dyDescent="0.2"/>
    <row r="1194" ht="42.75" customHeight="1" x14ac:dyDescent="0.2"/>
    <row r="1195" ht="15" customHeight="1" x14ac:dyDescent="0.2"/>
    <row r="1196" ht="15" customHeight="1" x14ac:dyDescent="0.2"/>
    <row r="1197" ht="12.75" x14ac:dyDescent="0.2"/>
    <row r="1198" ht="18" customHeight="1" x14ac:dyDescent="0.2"/>
    <row r="1199" ht="12.75" x14ac:dyDescent="0.2"/>
    <row r="1200" ht="12.75" customHeight="1" x14ac:dyDescent="0.2"/>
    <row r="1201" ht="12.75" x14ac:dyDescent="0.2"/>
    <row r="1202" ht="10.5" customHeight="1" x14ac:dyDescent="0.2"/>
    <row r="1203" ht="10.5" customHeight="1" x14ac:dyDescent="0.2"/>
    <row r="1204" ht="12.75" x14ac:dyDescent="0.2"/>
    <row r="1205" ht="15" customHeight="1" x14ac:dyDescent="0.2"/>
    <row r="1206" ht="12.75" x14ac:dyDescent="0.2"/>
    <row r="1207" ht="15" customHeight="1" x14ac:dyDescent="0.2"/>
    <row r="1208" ht="12.75" x14ac:dyDescent="0.2"/>
    <row r="1209" ht="34.5" customHeight="1" x14ac:dyDescent="0.2"/>
    <row r="1210" ht="12.75" x14ac:dyDescent="0.2"/>
    <row r="1211" ht="29.25" customHeight="1" x14ac:dyDescent="0.2"/>
    <row r="1212" ht="12.75" x14ac:dyDescent="0.2"/>
    <row r="1213" ht="12.75" x14ac:dyDescent="0.2"/>
    <row r="1214" ht="18.75" customHeight="1" x14ac:dyDescent="0.2"/>
    <row r="1215" ht="12.75" x14ac:dyDescent="0.2"/>
    <row r="1216" ht="33" customHeight="1" x14ac:dyDescent="0.2"/>
    <row r="1217" ht="12.75" x14ac:dyDescent="0.2"/>
    <row r="1218" ht="12.75" x14ac:dyDescent="0.2"/>
    <row r="1219" ht="12.75" x14ac:dyDescent="0.2"/>
    <row r="1220" ht="12.75" x14ac:dyDescent="0.2"/>
    <row r="1221" ht="18.75" customHeight="1" x14ac:dyDescent="0.2"/>
    <row r="1222" ht="12.75" x14ac:dyDescent="0.2"/>
    <row r="1223" ht="15" customHeight="1" x14ac:dyDescent="0.2"/>
    <row r="1224" ht="12.75" x14ac:dyDescent="0.2"/>
    <row r="1225" ht="12.75" customHeight="1" x14ac:dyDescent="0.2"/>
    <row r="1226" ht="12.75" customHeight="1" x14ac:dyDescent="0.2"/>
    <row r="1227" ht="36" customHeight="1" x14ac:dyDescent="0.2"/>
    <row r="1228" ht="12.75" x14ac:dyDescent="0.2"/>
    <row r="1229" ht="19.5" customHeight="1" x14ac:dyDescent="0.2"/>
    <row r="1230" ht="21" customHeight="1" x14ac:dyDescent="0.2"/>
    <row r="1231" ht="22.5" customHeight="1" x14ac:dyDescent="0.2"/>
    <row r="1232" ht="34.5" customHeight="1" x14ac:dyDescent="0.2"/>
    <row r="1233" ht="36" customHeight="1" x14ac:dyDescent="0.2"/>
    <row r="1234" ht="19.5" customHeight="1" x14ac:dyDescent="0.2"/>
    <row r="1235" ht="21" customHeight="1" x14ac:dyDescent="0.2"/>
    <row r="1236" ht="13.5" customHeight="1" x14ac:dyDescent="0.2"/>
    <row r="1237" ht="19.5" customHeight="1" x14ac:dyDescent="0.2"/>
    <row r="1238" ht="46.5" customHeight="1" x14ac:dyDescent="0.2"/>
    <row r="1239" ht="12.75" x14ac:dyDescent="0.2"/>
    <row r="1240" ht="15" customHeight="1" x14ac:dyDescent="0.2"/>
    <row r="1241" ht="21" customHeight="1" x14ac:dyDescent="0.2"/>
    <row r="1242" ht="20.25" customHeight="1" x14ac:dyDescent="0.2"/>
    <row r="1243" ht="19.5" hidden="1" customHeight="1" x14ac:dyDescent="0.2"/>
    <row r="1244" ht="16.5" customHeight="1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24" customHeight="1" x14ac:dyDescent="0.2"/>
    <row r="1254" ht="12.75" x14ac:dyDescent="0.2"/>
    <row r="1255" ht="21" customHeight="1" x14ac:dyDescent="0.2"/>
    <row r="1256" ht="21" customHeight="1" x14ac:dyDescent="0.2"/>
    <row r="1257" ht="12.75" x14ac:dyDescent="0.2"/>
    <row r="1258" ht="12.75" x14ac:dyDescent="0.2"/>
    <row r="1259" ht="12.75" x14ac:dyDescent="0.2"/>
    <row r="1260" ht="31.5" customHeight="1" x14ac:dyDescent="0.2"/>
    <row r="1261" ht="12.75" x14ac:dyDescent="0.2"/>
    <row r="1262" ht="16.5" customHeight="1" x14ac:dyDescent="0.2"/>
    <row r="1263" ht="12.75" x14ac:dyDescent="0.2"/>
    <row r="1264" ht="12.75" x14ac:dyDescent="0.2"/>
    <row r="1265" ht="22.5" customHeight="1" x14ac:dyDescent="0.2"/>
    <row r="1266" ht="12.75" x14ac:dyDescent="0.2"/>
    <row r="1267" ht="15" customHeight="1" x14ac:dyDescent="0.2"/>
    <row r="1268" ht="15.75" customHeight="1" x14ac:dyDescent="0.2"/>
    <row r="1269" ht="48" customHeight="1" x14ac:dyDescent="0.2"/>
    <row r="1270" ht="17.25" customHeight="1" x14ac:dyDescent="0.2"/>
    <row r="1271" ht="16.5" customHeight="1" x14ac:dyDescent="0.2"/>
    <row r="1272" ht="25.5" customHeight="1" x14ac:dyDescent="0.2"/>
    <row r="1273" ht="13.5" customHeight="1" x14ac:dyDescent="0.2"/>
    <row r="1274" ht="15.75" customHeight="1" x14ac:dyDescent="0.2"/>
    <row r="1275" ht="15" customHeight="1" x14ac:dyDescent="0.2"/>
    <row r="1276" ht="43.5" customHeight="1" x14ac:dyDescent="0.2"/>
    <row r="1277" ht="12.75" x14ac:dyDescent="0.2"/>
    <row r="1278" ht="34.5" customHeight="1" x14ac:dyDescent="0.2"/>
    <row r="1279" ht="12.75" x14ac:dyDescent="0.2"/>
    <row r="1280" ht="19.5" customHeight="1" x14ac:dyDescent="0.2"/>
    <row r="1281" ht="44.25" customHeight="1" x14ac:dyDescent="0.2"/>
    <row r="1282" ht="17.25" customHeight="1" x14ac:dyDescent="0.2"/>
    <row r="1283" ht="23.25" customHeight="1" x14ac:dyDescent="0.2"/>
    <row r="1284" ht="21" customHeight="1" x14ac:dyDescent="0.2"/>
    <row r="1285" ht="12.75" customHeight="1" x14ac:dyDescent="0.2"/>
    <row r="1286" ht="21" customHeight="1" x14ac:dyDescent="0.2"/>
    <row r="1287" ht="51.75" customHeight="1" x14ac:dyDescent="0.2"/>
    <row r="1288" ht="12.75" x14ac:dyDescent="0.2"/>
    <row r="1289" ht="28.5" customHeight="1" x14ac:dyDescent="0.2"/>
    <row r="1290" ht="12.75" x14ac:dyDescent="0.2"/>
    <row r="1291" ht="12.75" customHeight="1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6.5" customHeight="1" x14ac:dyDescent="0.2"/>
    <row r="1299" ht="12.75" x14ac:dyDescent="0.2"/>
    <row r="1300" ht="20.25" customHeight="1" x14ac:dyDescent="0.2"/>
    <row r="1301" ht="12.75" x14ac:dyDescent="0.2"/>
    <row r="1302" ht="24.75" customHeight="1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8" customHeight="1" x14ac:dyDescent="0.2"/>
    <row r="1311" ht="17.25" customHeight="1" x14ac:dyDescent="0.2"/>
    <row r="1312" ht="18" customHeight="1" x14ac:dyDescent="0.2"/>
    <row r="1313" ht="13.5" customHeight="1" x14ac:dyDescent="0.2"/>
    <row r="1314" ht="29.25" customHeight="1" x14ac:dyDescent="0.2"/>
    <row r="1315" ht="17.25" customHeight="1" x14ac:dyDescent="0.2"/>
    <row r="1316" ht="39.75" customHeight="1" x14ac:dyDescent="0.2"/>
    <row r="1317" ht="15.75" customHeight="1" x14ac:dyDescent="0.2"/>
    <row r="1318" ht="12.75" x14ac:dyDescent="0.2"/>
    <row r="1319" ht="18.75" customHeight="1" x14ac:dyDescent="0.2"/>
    <row r="1320" ht="18.75" customHeight="1" x14ac:dyDescent="0.2"/>
    <row r="1321" ht="12.75" x14ac:dyDescent="0.2"/>
    <row r="1322" ht="28.5" customHeight="1" x14ac:dyDescent="0.2"/>
    <row r="1323" ht="12.75" x14ac:dyDescent="0.2"/>
    <row r="1324" ht="42.75" customHeight="1" x14ac:dyDescent="0.2"/>
    <row r="1325" ht="12.75" x14ac:dyDescent="0.2"/>
    <row r="1326" ht="21" customHeight="1" x14ac:dyDescent="0.2"/>
    <row r="1327" ht="12.75" x14ac:dyDescent="0.2"/>
    <row r="1328" ht="17.25" customHeight="1" x14ac:dyDescent="0.2"/>
    <row r="1329" ht="18" customHeight="1" x14ac:dyDescent="0.2"/>
    <row r="1330" ht="18" customHeight="1" x14ac:dyDescent="0.2"/>
    <row r="1331" ht="11.25" customHeight="1" x14ac:dyDescent="0.2"/>
    <row r="1332" ht="18" customHeight="1" x14ac:dyDescent="0.2"/>
    <row r="1333" ht="46.5" customHeight="1" x14ac:dyDescent="0.2"/>
    <row r="1334" ht="21" customHeight="1" x14ac:dyDescent="0.2"/>
    <row r="1335" ht="19.5" customHeight="1" x14ac:dyDescent="0.2"/>
    <row r="1336" ht="22.5" customHeight="1" x14ac:dyDescent="0.2"/>
    <row r="1337" ht="12.75" x14ac:dyDescent="0.2"/>
    <row r="1338" ht="16.5" customHeight="1" x14ac:dyDescent="0.2"/>
    <row r="1339" ht="16.5" customHeight="1" x14ac:dyDescent="0.2"/>
    <row r="1340" ht="12.75" x14ac:dyDescent="0.2"/>
    <row r="1341" ht="27.75" customHeight="1" x14ac:dyDescent="0.2"/>
    <row r="1342" ht="12.75" x14ac:dyDescent="0.2"/>
    <row r="1343" ht="26.25" customHeight="1" x14ac:dyDescent="0.2"/>
    <row r="1344" ht="12.75" x14ac:dyDescent="0.2"/>
    <row r="1345" ht="18" customHeight="1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45.75" hidden="1" customHeight="1" x14ac:dyDescent="0.2"/>
    <row r="1354" ht="32.25" customHeight="1" x14ac:dyDescent="0.2"/>
    <row r="1355" ht="15" customHeight="1" x14ac:dyDescent="0.2"/>
    <row r="1356" ht="12.75" x14ac:dyDescent="0.2"/>
    <row r="1357" ht="12.75" x14ac:dyDescent="0.2"/>
    <row r="1358" ht="12.75" x14ac:dyDescent="0.2"/>
    <row r="1359" ht="12.75" x14ac:dyDescent="0.2"/>
    <row r="1360" ht="39" customHeight="1" x14ac:dyDescent="0.2"/>
    <row r="1361" ht="12.75" x14ac:dyDescent="0.2"/>
    <row r="1362" ht="19.5" customHeight="1" x14ac:dyDescent="0.2"/>
    <row r="1363" ht="38.25" hidden="1" customHeight="1" x14ac:dyDescent="0.2"/>
    <row r="1364" ht="12.75" x14ac:dyDescent="0.2"/>
    <row r="1365" ht="29.25" customHeight="1" x14ac:dyDescent="0.2"/>
    <row r="1366" ht="12.75" x14ac:dyDescent="0.2"/>
    <row r="1367" ht="15.75" customHeight="1" x14ac:dyDescent="0.2"/>
    <row r="1368" ht="12.75" x14ac:dyDescent="0.2"/>
    <row r="1369" ht="12.75" x14ac:dyDescent="0.2"/>
    <row r="1370" ht="12.75" x14ac:dyDescent="0.2"/>
    <row r="1371" ht="12.75" x14ac:dyDescent="0.2"/>
    <row r="1372" ht="21.75" customHeight="1" x14ac:dyDescent="0.2"/>
    <row r="1373" ht="18" customHeight="1" x14ac:dyDescent="0.2"/>
    <row r="1374" ht="12.75" x14ac:dyDescent="0.2"/>
    <row r="1375" ht="20.25" customHeight="1" x14ac:dyDescent="0.2"/>
    <row r="1376" ht="36.75" customHeight="1" x14ac:dyDescent="0.2"/>
    <row r="1377" ht="15" customHeight="1" x14ac:dyDescent="0.2"/>
    <row r="1378" ht="34.5" customHeight="1" x14ac:dyDescent="0.2"/>
    <row r="1379" ht="16.5" customHeight="1" x14ac:dyDescent="0.2"/>
    <row r="1380" ht="21" customHeight="1" x14ac:dyDescent="0.2"/>
    <row r="1381" ht="42" customHeight="1" x14ac:dyDescent="0.2"/>
    <row r="1382" ht="17.25" customHeight="1" x14ac:dyDescent="0.2"/>
    <row r="1383" ht="39.75" customHeight="1" x14ac:dyDescent="0.2"/>
    <row r="1384" ht="25.5" customHeight="1" x14ac:dyDescent="0.2"/>
    <row r="1385" ht="11.25" customHeight="1" x14ac:dyDescent="0.2"/>
    <row r="1386" ht="18.75" customHeight="1" x14ac:dyDescent="0.2"/>
    <row r="1387" ht="47.25" customHeight="1" x14ac:dyDescent="0.2"/>
    <row r="1388" ht="19.5" customHeight="1" x14ac:dyDescent="0.2"/>
    <row r="1389" ht="18" customHeight="1" x14ac:dyDescent="0.2"/>
    <row r="1390" ht="18" customHeight="1" x14ac:dyDescent="0.2"/>
    <row r="1391" ht="12.75" x14ac:dyDescent="0.2"/>
    <row r="1392" ht="24" customHeight="1" x14ac:dyDescent="0.2"/>
    <row r="1393" ht="12.75" x14ac:dyDescent="0.2"/>
    <row r="1394" ht="12.75" customHeight="1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21.75" customHeight="1" x14ac:dyDescent="0.2"/>
    <row r="1403" ht="12.75" x14ac:dyDescent="0.2"/>
    <row r="1404" ht="15" customHeight="1" x14ac:dyDescent="0.2"/>
    <row r="1405" ht="12.75" x14ac:dyDescent="0.2"/>
    <row r="1406" ht="43.5" customHeight="1" x14ac:dyDescent="0.2"/>
    <row r="1407" ht="12.75" x14ac:dyDescent="0.2"/>
    <row r="1408" ht="41.25" customHeight="1" x14ac:dyDescent="0.2"/>
    <row r="1409" spans="1:12" ht="12.75" x14ac:dyDescent="0.2"/>
    <row r="1410" spans="1:12" ht="22.5" customHeight="1" x14ac:dyDescent="0.2"/>
    <row r="1411" spans="1:12" ht="18.75" customHeight="1" x14ac:dyDescent="0.2"/>
    <row r="1412" spans="1:12" ht="16.5" customHeight="1" x14ac:dyDescent="0.2"/>
    <row r="1413" spans="1:12" ht="12.75" x14ac:dyDescent="0.2"/>
    <row r="1414" spans="1:12" ht="23.25" customHeight="1" x14ac:dyDescent="0.2"/>
    <row r="1415" spans="1:12" ht="12" customHeight="1" x14ac:dyDescent="0.2">
      <c r="A1415" s="76"/>
      <c r="B1415" s="76"/>
      <c r="C1415" s="76"/>
      <c r="D1415" s="76"/>
      <c r="E1415" s="76"/>
      <c r="F1415" s="76"/>
      <c r="G1415" s="76"/>
      <c r="H1415" s="76"/>
      <c r="I1415" s="76"/>
      <c r="J1415" s="76"/>
      <c r="K1415" s="76"/>
      <c r="L1415" s="76"/>
    </row>
    <row r="1416" spans="1:12" ht="12.75" x14ac:dyDescent="0.2"/>
    <row r="1417" spans="1:12" ht="12.75" x14ac:dyDescent="0.2"/>
    <row r="1418" spans="1:12" ht="48.75" customHeight="1" x14ac:dyDescent="0.2"/>
    <row r="1419" spans="1:12" ht="12.75" x14ac:dyDescent="0.2"/>
    <row r="1420" spans="1:12" ht="12.75" x14ac:dyDescent="0.2"/>
    <row r="1421" spans="1:12" ht="12.75" x14ac:dyDescent="0.2"/>
    <row r="1422" spans="1:12" ht="12.75" x14ac:dyDescent="0.2"/>
    <row r="1423" spans="1:12" ht="21" customHeight="1" x14ac:dyDescent="0.2"/>
    <row r="1424" spans="1:12" ht="29.25" customHeight="1" x14ac:dyDescent="0.2"/>
    <row r="1425" ht="14.25" customHeight="1" x14ac:dyDescent="0.2"/>
    <row r="1426" ht="36.75" customHeight="1" x14ac:dyDescent="0.2"/>
    <row r="1427" ht="14.25" customHeight="1" x14ac:dyDescent="0.2"/>
    <row r="1428" ht="39" customHeight="1" x14ac:dyDescent="0.2"/>
    <row r="1429" ht="25.5" customHeight="1" x14ac:dyDescent="0.2"/>
    <row r="1430" ht="18.75" customHeight="1" x14ac:dyDescent="0.2"/>
    <row r="1431" ht="12.75" x14ac:dyDescent="0.2"/>
    <row r="1432" ht="19.5" customHeight="1" x14ac:dyDescent="0.2"/>
    <row r="1433" ht="13.5" customHeight="1" x14ac:dyDescent="0.2"/>
    <row r="1434" ht="21" customHeight="1" x14ac:dyDescent="0.2"/>
    <row r="1435" ht="48" customHeight="1" x14ac:dyDescent="0.2"/>
    <row r="1436" ht="12.75" x14ac:dyDescent="0.2"/>
    <row r="1437" ht="21.75" customHeight="1" x14ac:dyDescent="0.2"/>
    <row r="1438" ht="12.75" x14ac:dyDescent="0.2"/>
    <row r="1439" ht="12.75" customHeight="1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5.25" customHeight="1" x14ac:dyDescent="0.2"/>
    <row r="1447" ht="30" customHeight="1" x14ac:dyDescent="0.2"/>
    <row r="1448" ht="12.75" x14ac:dyDescent="0.2"/>
    <row r="1449" ht="21" customHeight="1" x14ac:dyDescent="0.2"/>
    <row r="1450" ht="21" customHeight="1" x14ac:dyDescent="0.2"/>
    <row r="1451" ht="12.75" customHeight="1" x14ac:dyDescent="0.2"/>
    <row r="1452" ht="12.75" x14ac:dyDescent="0.2"/>
    <row r="1453" ht="12.75" x14ac:dyDescent="0.2"/>
    <row r="1454" ht="12.75" x14ac:dyDescent="0.2"/>
    <row r="1455" ht="12.75" x14ac:dyDescent="0.2"/>
    <row r="1456" ht="45.75" customHeight="1" x14ac:dyDescent="0.2"/>
    <row r="1457" ht="15" customHeight="1" x14ac:dyDescent="0.2"/>
    <row r="1458" ht="23.25" customHeight="1" x14ac:dyDescent="0.2"/>
    <row r="1459" ht="23.25" customHeight="1" x14ac:dyDescent="0.2"/>
    <row r="1460" ht="12.75" x14ac:dyDescent="0.2"/>
    <row r="1461" ht="28.5" customHeight="1" x14ac:dyDescent="0.2"/>
    <row r="1462" ht="21" customHeight="1" x14ac:dyDescent="0.2"/>
    <row r="1463" ht="30.75" customHeight="1" x14ac:dyDescent="0.2"/>
    <row r="1464" ht="21.75" customHeight="1" x14ac:dyDescent="0.2"/>
    <row r="1465" ht="12.75" x14ac:dyDescent="0.2"/>
    <row r="1466" ht="12.75" x14ac:dyDescent="0.2"/>
    <row r="1467" ht="12.75" x14ac:dyDescent="0.2"/>
    <row r="1468" ht="28.5" customHeight="1" x14ac:dyDescent="0.2"/>
    <row r="1469" ht="12.75" x14ac:dyDescent="0.2"/>
    <row r="1470" ht="12.75" x14ac:dyDescent="0.2"/>
    <row r="1471" ht="12.75" x14ac:dyDescent="0.2"/>
    <row r="1472" ht="25.5" customHeight="1" x14ac:dyDescent="0.2"/>
    <row r="1473" ht="18" customHeight="1" x14ac:dyDescent="0.2"/>
    <row r="1474" ht="15" customHeight="1" x14ac:dyDescent="0.2"/>
    <row r="1475" ht="13.5" customHeight="1" x14ac:dyDescent="0.2"/>
    <row r="1476" ht="12.75" customHeight="1" x14ac:dyDescent="0.2"/>
    <row r="1477" ht="12.75" x14ac:dyDescent="0.2"/>
    <row r="1478" ht="12.75" x14ac:dyDescent="0.2"/>
    <row r="1479" ht="29.25" customHeight="1" x14ac:dyDescent="0.2"/>
    <row r="1480" ht="12.75" x14ac:dyDescent="0.2"/>
    <row r="1481" ht="32.25" customHeight="1" x14ac:dyDescent="0.2"/>
    <row r="1482" ht="21.75" customHeight="1" x14ac:dyDescent="0.2"/>
    <row r="1483" ht="39.75" customHeight="1" x14ac:dyDescent="0.2"/>
    <row r="1484" ht="12.75" x14ac:dyDescent="0.2"/>
    <row r="1485" ht="12.75" customHeight="1" x14ac:dyDescent="0.2"/>
    <row r="1486" ht="12.75" x14ac:dyDescent="0.2"/>
    <row r="1487" ht="12.75" x14ac:dyDescent="0.2"/>
    <row r="1488" ht="12.75" x14ac:dyDescent="0.2"/>
    <row r="1489" ht="12.75" x14ac:dyDescent="0.2"/>
    <row r="1490" ht="45" customHeight="1" x14ac:dyDescent="0.2"/>
    <row r="1491" ht="12.75" x14ac:dyDescent="0.2"/>
    <row r="1492" ht="15" customHeight="1" x14ac:dyDescent="0.2"/>
    <row r="1493" ht="12.75" x14ac:dyDescent="0.2"/>
    <row r="1494" ht="12.75" x14ac:dyDescent="0.2"/>
    <row r="1495" ht="19.5" customHeight="1" x14ac:dyDescent="0.2"/>
    <row r="1496" ht="12.75" x14ac:dyDescent="0.2"/>
    <row r="1497" ht="17.25" customHeight="1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54.75" customHeight="1" x14ac:dyDescent="0.2"/>
    <row r="1506" ht="16.5" customHeight="1" x14ac:dyDescent="0.2"/>
    <row r="1507" ht="39.75" customHeight="1" x14ac:dyDescent="0.2"/>
    <row r="1508" ht="18" customHeight="1" x14ac:dyDescent="0.2"/>
    <row r="1509" ht="24.75" customHeight="1" x14ac:dyDescent="0.2"/>
    <row r="1510" ht="7.5" customHeight="1" x14ac:dyDescent="0.2"/>
    <row r="1511" ht="17.25" customHeight="1" x14ac:dyDescent="0.2"/>
    <row r="1512" ht="12.75" customHeight="1" x14ac:dyDescent="0.2"/>
    <row r="1513" ht="18.75" customHeight="1" x14ac:dyDescent="0.2"/>
    <row r="1514" ht="12.75" x14ac:dyDescent="0.2"/>
    <row r="1515" ht="12.75" x14ac:dyDescent="0.2"/>
    <row r="1516" ht="12.75" x14ac:dyDescent="0.2"/>
    <row r="1517" ht="43.5" customHeight="1" x14ac:dyDescent="0.2"/>
    <row r="1518" ht="12.75" x14ac:dyDescent="0.2"/>
    <row r="1519" ht="19.5" customHeight="1" x14ac:dyDescent="0.2"/>
    <row r="1520" ht="12.75" x14ac:dyDescent="0.2"/>
    <row r="1521" ht="18.75" customHeight="1" x14ac:dyDescent="0.2"/>
    <row r="1522" ht="21" customHeight="1" x14ac:dyDescent="0.2"/>
    <row r="1523" ht="23.25" customHeight="1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5" customHeight="1" x14ac:dyDescent="0.2"/>
    <row r="1531" ht="15.75" customHeight="1" x14ac:dyDescent="0.2"/>
    <row r="1532" ht="12.75" x14ac:dyDescent="0.2"/>
    <row r="1533" ht="39.75" customHeight="1" x14ac:dyDescent="0.2"/>
    <row r="1534" ht="12.75" x14ac:dyDescent="0.2"/>
    <row r="1535" ht="50.25" customHeight="1" x14ac:dyDescent="0.2"/>
    <row r="1536" ht="12.75" x14ac:dyDescent="0.2"/>
    <row r="1537" ht="34.5" customHeight="1" x14ac:dyDescent="0.2"/>
    <row r="1538" ht="14.25" customHeight="1" x14ac:dyDescent="0.2"/>
    <row r="1539" ht="41.25" hidden="1" customHeight="1" x14ac:dyDescent="0.2"/>
    <row r="1540" ht="12.75" x14ac:dyDescent="0.2"/>
    <row r="1541" ht="18.75" customHeight="1" x14ac:dyDescent="0.2"/>
    <row r="1542" ht="12.75" x14ac:dyDescent="0.2"/>
    <row r="1543" ht="32.25" customHeight="1" x14ac:dyDescent="0.2"/>
    <row r="1544" ht="14.25" customHeight="1" x14ac:dyDescent="0.2"/>
    <row r="1545" ht="12.75" x14ac:dyDescent="0.2"/>
    <row r="1546" ht="49.5" customHeight="1" x14ac:dyDescent="0.2"/>
    <row r="1547" ht="12.75" x14ac:dyDescent="0.2"/>
    <row r="1548" ht="15" customHeight="1" x14ac:dyDescent="0.2"/>
    <row r="1549" ht="12.75" x14ac:dyDescent="0.2"/>
    <row r="1550" ht="12.75" x14ac:dyDescent="0.2"/>
    <row r="1551" ht="12.75" x14ac:dyDescent="0.2"/>
    <row r="1552" ht="12.75" x14ac:dyDescent="0.2"/>
    <row r="1553" ht="19.5" customHeight="1" x14ac:dyDescent="0.2"/>
    <row r="1554" ht="12.75" x14ac:dyDescent="0.2"/>
    <row r="1555" ht="15.75" customHeight="1" x14ac:dyDescent="0.2"/>
    <row r="1556" ht="12.75" x14ac:dyDescent="0.2"/>
    <row r="1557" ht="43.5" customHeight="1" x14ac:dyDescent="0.2"/>
    <row r="1558" ht="12.75" x14ac:dyDescent="0.2"/>
    <row r="1559" ht="43.5" customHeight="1" x14ac:dyDescent="0.2"/>
    <row r="1560" ht="31.5" customHeight="1" x14ac:dyDescent="0.2"/>
    <row r="1561" ht="31.5" customHeight="1" x14ac:dyDescent="0.2"/>
    <row r="1562" ht="21" customHeight="1" x14ac:dyDescent="0.2"/>
    <row r="1563" ht="20.25" customHeight="1" x14ac:dyDescent="0.2"/>
    <row r="1564" ht="12.75" x14ac:dyDescent="0.2"/>
    <row r="1565" ht="12.75" x14ac:dyDescent="0.2"/>
    <row r="1566" ht="19.5" customHeight="1" x14ac:dyDescent="0.2"/>
    <row r="1567" ht="21.75" customHeight="1" x14ac:dyDescent="0.2"/>
    <row r="1568" ht="18.75" customHeight="1" x14ac:dyDescent="0.2"/>
    <row r="1569" ht="21.75" customHeight="1" x14ac:dyDescent="0.2"/>
    <row r="1570" ht="18" customHeight="1" x14ac:dyDescent="0.2"/>
    <row r="1571" ht="19.5" customHeight="1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27.75" customHeight="1" x14ac:dyDescent="0.2"/>
    <row r="1578" ht="9.75" customHeight="1" x14ac:dyDescent="0.2"/>
    <row r="1579" ht="35.25" customHeight="1" x14ac:dyDescent="0.2"/>
    <row r="1580" ht="15" customHeight="1" x14ac:dyDescent="0.2"/>
    <row r="1581" ht="28.5" customHeight="1" x14ac:dyDescent="0.2"/>
    <row r="1582" ht="21.75" customHeight="1" x14ac:dyDescent="0.2"/>
    <row r="1583" ht="12.75" x14ac:dyDescent="0.2"/>
    <row r="1584" ht="12.75" x14ac:dyDescent="0.2"/>
    <row r="1585" ht="21.75" customHeight="1" x14ac:dyDescent="0.2"/>
    <row r="1586" ht="12.75" x14ac:dyDescent="0.2"/>
    <row r="1587" ht="12.75" x14ac:dyDescent="0.2"/>
    <row r="1588" ht="41.25" customHeight="1" x14ac:dyDescent="0.2"/>
    <row r="1589" ht="12.75" x14ac:dyDescent="0.2"/>
    <row r="1590" ht="12.75" customHeight="1" x14ac:dyDescent="0.2"/>
    <row r="1591" ht="12.75" x14ac:dyDescent="0.2"/>
    <row r="1592" ht="12.75" x14ac:dyDescent="0.2"/>
    <row r="1593" ht="12.75" x14ac:dyDescent="0.2"/>
    <row r="1594" ht="12.75" x14ac:dyDescent="0.2"/>
    <row r="1595" ht="35.25" customHeight="1" x14ac:dyDescent="0.2"/>
    <row r="1596" ht="33" customHeight="1" x14ac:dyDescent="0.2"/>
    <row r="1597" ht="42.75" customHeight="1" x14ac:dyDescent="0.2"/>
    <row r="1598" ht="24" customHeight="1" x14ac:dyDescent="0.2"/>
    <row r="1599" ht="12.75" x14ac:dyDescent="0.2"/>
    <row r="1600" ht="12.75" x14ac:dyDescent="0.2"/>
    <row r="1601" spans="1:12" ht="12.75" x14ac:dyDescent="0.2"/>
    <row r="1602" spans="1:12" ht="18.75" customHeight="1" x14ac:dyDescent="0.2"/>
    <row r="1603" spans="1:12" ht="12.75" x14ac:dyDescent="0.2"/>
    <row r="1604" spans="1:12" ht="40.5" customHeight="1" x14ac:dyDescent="0.2"/>
    <row r="1605" spans="1:12" ht="12.75" x14ac:dyDescent="0.2"/>
    <row r="1606" spans="1:12" ht="13.5" customHeight="1" x14ac:dyDescent="0.2"/>
    <row r="1607" spans="1:12" ht="22.5" customHeight="1" x14ac:dyDescent="0.2"/>
    <row r="1608" spans="1:12" ht="49.5" customHeight="1" x14ac:dyDescent="0.2"/>
    <row r="1609" spans="1:12" s="76" customFormat="1" ht="16.5" customHeight="1" x14ac:dyDescent="0.2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</row>
    <row r="1610" spans="1:12" ht="15" customHeight="1" x14ac:dyDescent="0.2"/>
    <row r="1611" spans="1:12" ht="12.75" x14ac:dyDescent="0.2"/>
    <row r="1612" spans="1:12" ht="12.75" x14ac:dyDescent="0.2"/>
    <row r="1613" spans="1:12" ht="12.75" x14ac:dyDescent="0.2"/>
    <row r="1614" spans="1:12" ht="15" customHeight="1" x14ac:dyDescent="0.2"/>
    <row r="1615" spans="1:12" ht="15.75" customHeight="1" x14ac:dyDescent="0.2"/>
    <row r="1616" spans="1:12" ht="14.25" customHeight="1" x14ac:dyDescent="0.2"/>
    <row r="1617" ht="21.75" customHeight="1" x14ac:dyDescent="0.2"/>
    <row r="1618" ht="18" customHeight="1" x14ac:dyDescent="0.2"/>
    <row r="1619" ht="19.5" customHeight="1" x14ac:dyDescent="0.2"/>
    <row r="1620" ht="17.25" customHeight="1" x14ac:dyDescent="0.2"/>
    <row r="1621" ht="12.75" x14ac:dyDescent="0.2"/>
    <row r="1622" ht="12.75" x14ac:dyDescent="0.2"/>
    <row r="1623" ht="12.75" x14ac:dyDescent="0.2"/>
    <row r="1624" ht="32.25" customHeight="1" x14ac:dyDescent="0.2"/>
    <row r="1625" ht="12.75" x14ac:dyDescent="0.2"/>
    <row r="1626" ht="36" customHeight="1" x14ac:dyDescent="0.2"/>
    <row r="1627" ht="14.25" customHeight="1" x14ac:dyDescent="0.2"/>
    <row r="1628" ht="29.25" customHeight="1" x14ac:dyDescent="0.2"/>
    <row r="1629" ht="12.75" x14ac:dyDescent="0.2"/>
    <row r="1630" ht="30" customHeight="1" x14ac:dyDescent="0.2"/>
    <row r="1631" ht="12.75" x14ac:dyDescent="0.2"/>
    <row r="1632" ht="12.75" x14ac:dyDescent="0.2"/>
    <row r="1633" ht="12.75" x14ac:dyDescent="0.2"/>
    <row r="1634" ht="12.75" x14ac:dyDescent="0.2"/>
    <row r="1635" ht="46.5" customHeight="1" x14ac:dyDescent="0.2"/>
    <row r="1636" ht="12.75" x14ac:dyDescent="0.2"/>
    <row r="1637" ht="12.75" customHeight="1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20.25" customHeight="1" x14ac:dyDescent="0.2"/>
    <row r="1650" ht="12.75" x14ac:dyDescent="0.2"/>
    <row r="1651" ht="42.75" customHeight="1" x14ac:dyDescent="0.2"/>
    <row r="1652" ht="21" customHeight="1" x14ac:dyDescent="0.2"/>
    <row r="1653" ht="38.25" customHeight="1" x14ac:dyDescent="0.2"/>
    <row r="1654" ht="25.5" customHeight="1" x14ac:dyDescent="0.2"/>
    <row r="1655" ht="15.75" customHeight="1" x14ac:dyDescent="0.2"/>
    <row r="1656" ht="21.75" customHeight="1" x14ac:dyDescent="0.2"/>
    <row r="1657" ht="12.75" x14ac:dyDescent="0.2"/>
    <row r="1658" ht="12.75" x14ac:dyDescent="0.2"/>
    <row r="1659" ht="12.75" x14ac:dyDescent="0.2"/>
    <row r="1660" ht="12.75" x14ac:dyDescent="0.2"/>
    <row r="1661" ht="24.75" customHeight="1" x14ac:dyDescent="0.2"/>
    <row r="1662" ht="12.75" x14ac:dyDescent="0.2"/>
    <row r="1663" ht="15" customHeight="1" x14ac:dyDescent="0.2"/>
    <row r="1664" ht="46.5" customHeight="1" x14ac:dyDescent="0.2"/>
    <row r="1665" ht="18.75" customHeight="1" x14ac:dyDescent="0.2"/>
    <row r="1666" ht="24" customHeight="1" x14ac:dyDescent="0.2"/>
    <row r="1667" ht="11.25" customHeight="1" x14ac:dyDescent="0.2"/>
    <row r="1668" ht="6.75" customHeight="1" x14ac:dyDescent="0.2"/>
    <row r="1669" ht="12.75" customHeight="1" x14ac:dyDescent="0.2"/>
    <row r="1670" ht="13.5" customHeight="1" x14ac:dyDescent="0.2"/>
    <row r="1671" ht="12.75" x14ac:dyDescent="0.2"/>
    <row r="1672" ht="19.5" customHeight="1" x14ac:dyDescent="0.2"/>
    <row r="1673" ht="12.75" x14ac:dyDescent="0.2"/>
    <row r="1674" ht="7.5" customHeight="1" x14ac:dyDescent="0.2"/>
    <row r="1675" ht="12.75" x14ac:dyDescent="0.2"/>
    <row r="1676" ht="22.5" customHeight="1" x14ac:dyDescent="0.2"/>
    <row r="1677" ht="12.75" x14ac:dyDescent="0.2"/>
    <row r="1678" ht="21" customHeight="1" x14ac:dyDescent="0.2"/>
    <row r="1679" ht="12.75" x14ac:dyDescent="0.2"/>
    <row r="1680" ht="12.75" x14ac:dyDescent="0.2"/>
    <row r="1681" ht="42" customHeight="1" x14ac:dyDescent="0.2"/>
    <row r="1682" ht="12.75" x14ac:dyDescent="0.2"/>
    <row r="1683" ht="12.75" customHeight="1" x14ac:dyDescent="0.2"/>
    <row r="1684" ht="12.75" x14ac:dyDescent="0.2"/>
    <row r="1685" ht="12.75" x14ac:dyDescent="0.2"/>
    <row r="1686" ht="12.75" customHeight="1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5.75" customHeight="1" x14ac:dyDescent="0.2"/>
    <row r="1699" ht="20.25" customHeight="1" x14ac:dyDescent="0.2"/>
    <row r="1700" ht="19.5" customHeight="1" x14ac:dyDescent="0.2"/>
    <row r="1701" ht="18.75" customHeight="1" x14ac:dyDescent="0.2"/>
    <row r="1702" ht="33.75" customHeight="1" x14ac:dyDescent="0.2"/>
    <row r="1703" ht="14.25" customHeight="1" x14ac:dyDescent="0.2"/>
    <row r="1704" ht="39.75" customHeight="1" x14ac:dyDescent="0.2"/>
    <row r="1705" ht="12.75" x14ac:dyDescent="0.2"/>
    <row r="1706" ht="18.75" customHeight="1" x14ac:dyDescent="0.2"/>
    <row r="1707" ht="12.75" x14ac:dyDescent="0.2"/>
    <row r="1708" ht="36" customHeight="1" x14ac:dyDescent="0.2"/>
    <row r="1709" ht="12.75" x14ac:dyDescent="0.2"/>
    <row r="1710" ht="22.5" customHeight="1" x14ac:dyDescent="0.2"/>
    <row r="1711" ht="27" customHeight="1" x14ac:dyDescent="0.2"/>
    <row r="1712" ht="28.5" customHeight="1" x14ac:dyDescent="0.2"/>
    <row r="1713" ht="10.5" customHeight="1" x14ac:dyDescent="0.2"/>
    <row r="1714" ht="25.5" customHeight="1" x14ac:dyDescent="0.2"/>
    <row r="1715" ht="51" customHeight="1" x14ac:dyDescent="0.2"/>
    <row r="1716" ht="19.5" customHeight="1" x14ac:dyDescent="0.2"/>
    <row r="1717" ht="20.25" customHeight="1" x14ac:dyDescent="0.2"/>
    <row r="1718" ht="14.25" customHeight="1" x14ac:dyDescent="0.2"/>
    <row r="1719" ht="12.75" x14ac:dyDescent="0.2"/>
    <row r="1720" ht="16.5" customHeight="1" x14ac:dyDescent="0.2"/>
    <row r="1721" ht="12.75" x14ac:dyDescent="0.2"/>
    <row r="1722" ht="15" customHeight="1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49.5" customHeight="1" x14ac:dyDescent="0.2"/>
    <row r="1734" ht="19.5" customHeight="1" x14ac:dyDescent="0.2"/>
    <row r="1735" ht="19.5" customHeight="1" x14ac:dyDescent="0.2"/>
    <row r="1736" ht="12.75" x14ac:dyDescent="0.2"/>
    <row r="1737" ht="12.75" x14ac:dyDescent="0.2"/>
    <row r="1738" ht="12.75" x14ac:dyDescent="0.2"/>
    <row r="1739" ht="12" customHeight="1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4.25" customHeight="1" x14ac:dyDescent="0.2"/>
    <row r="1748" ht="12.75" x14ac:dyDescent="0.2"/>
    <row r="1749" ht="21" customHeight="1" x14ac:dyDescent="0.2"/>
    <row r="1750" ht="22.5" customHeight="1" x14ac:dyDescent="0.2"/>
    <row r="1751" ht="31.5" customHeight="1" x14ac:dyDescent="0.2"/>
    <row r="1752" ht="18" customHeight="1" x14ac:dyDescent="0.2"/>
    <row r="1753" ht="33" customHeight="1" x14ac:dyDescent="0.2"/>
    <row r="1754" ht="12.75" x14ac:dyDescent="0.2"/>
    <row r="1755" ht="12.75" x14ac:dyDescent="0.2"/>
    <row r="1756" ht="12.75" x14ac:dyDescent="0.2"/>
    <row r="1757" ht="22.5" customHeight="1" x14ac:dyDescent="0.2"/>
    <row r="1758" ht="34.5" customHeight="1" x14ac:dyDescent="0.2"/>
    <row r="1759" ht="20.25" customHeight="1" x14ac:dyDescent="0.2"/>
    <row r="1760" ht="24" customHeight="1" x14ac:dyDescent="0.2"/>
    <row r="1761" ht="10.5" customHeight="1" x14ac:dyDescent="0.2"/>
    <row r="1762" ht="12.75" x14ac:dyDescent="0.2"/>
    <row r="1763" ht="44.25" customHeight="1" x14ac:dyDescent="0.2"/>
    <row r="1764" ht="12.75" x14ac:dyDescent="0.2"/>
    <row r="1765" ht="15" customHeight="1" x14ac:dyDescent="0.2"/>
    <row r="1766" ht="12.75" customHeight="1" x14ac:dyDescent="0.2"/>
    <row r="1767" ht="12.75" x14ac:dyDescent="0.2"/>
    <row r="1768" ht="12" customHeight="1" x14ac:dyDescent="0.2"/>
    <row r="1769" ht="13.5" customHeight="1" x14ac:dyDescent="0.2"/>
    <row r="1770" ht="19.5" customHeight="1" x14ac:dyDescent="0.2"/>
    <row r="1771" ht="12.75" x14ac:dyDescent="0.2"/>
    <row r="1772" ht="12.75" customHeight="1" x14ac:dyDescent="0.2"/>
    <row r="1773" ht="12.75" x14ac:dyDescent="0.2"/>
    <row r="1774" ht="18.75" customHeight="1" x14ac:dyDescent="0.2"/>
    <row r="1775" ht="12.75" x14ac:dyDescent="0.2"/>
    <row r="1776" ht="36" customHeight="1" x14ac:dyDescent="0.2"/>
    <row r="1777" ht="12.75" x14ac:dyDescent="0.2"/>
    <row r="1778" ht="12.75" x14ac:dyDescent="0.2"/>
    <row r="1779" ht="15" customHeight="1" x14ac:dyDescent="0.2"/>
    <row r="1780" ht="12.75" x14ac:dyDescent="0.2"/>
    <row r="1781" ht="15" customHeight="1" x14ac:dyDescent="0.2"/>
    <row r="1782" ht="12.75" x14ac:dyDescent="0.2"/>
    <row r="1783" ht="12.75" x14ac:dyDescent="0.2"/>
    <row r="1784" ht="16.5" customHeight="1" x14ac:dyDescent="0.2"/>
    <row r="1785" ht="15" customHeight="1" x14ac:dyDescent="0.2"/>
    <row r="1786" ht="12.75" x14ac:dyDescent="0.2"/>
    <row r="1787" ht="48" customHeight="1" x14ac:dyDescent="0.2"/>
    <row r="1788" ht="12.75" x14ac:dyDescent="0.2"/>
    <row r="1789" ht="15" customHeight="1" x14ac:dyDescent="0.2"/>
    <row r="1790" ht="12.75" x14ac:dyDescent="0.2"/>
    <row r="1791" ht="12.75" x14ac:dyDescent="0.2"/>
    <row r="1792" ht="13.5" customHeight="1" x14ac:dyDescent="0.2"/>
    <row r="1793" ht="12.75" x14ac:dyDescent="0.2"/>
    <row r="1794" ht="12.75" customHeight="1" x14ac:dyDescent="0.2"/>
    <row r="1795" ht="12.75" customHeight="1" x14ac:dyDescent="0.2"/>
    <row r="1796" ht="21.75" customHeight="1" x14ac:dyDescent="0.2"/>
    <row r="1797" ht="30" customHeight="1" x14ac:dyDescent="0.2"/>
    <row r="1798" ht="12.75" x14ac:dyDescent="0.2"/>
    <row r="1799" ht="21" customHeight="1" x14ac:dyDescent="0.2"/>
    <row r="1800" ht="12.75" x14ac:dyDescent="0.2"/>
    <row r="1801" ht="12.75" x14ac:dyDescent="0.2"/>
    <row r="1802" ht="12.75" x14ac:dyDescent="0.2"/>
    <row r="1803" ht="40.5" customHeight="1" x14ac:dyDescent="0.2"/>
    <row r="1804" ht="26.25" customHeight="1" x14ac:dyDescent="0.2"/>
    <row r="1805" ht="43.5" customHeight="1" x14ac:dyDescent="0.2"/>
    <row r="1806" ht="26.25" customHeight="1" x14ac:dyDescent="0.2"/>
    <row r="1807" ht="21.75" customHeight="1" x14ac:dyDescent="0.2"/>
    <row r="1808" ht="37.5" customHeight="1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45.75" customHeight="1" x14ac:dyDescent="0.2"/>
    <row r="1816" ht="12.75" x14ac:dyDescent="0.2"/>
    <row r="1817" ht="15" customHeight="1" x14ac:dyDescent="0.2"/>
    <row r="1818" ht="20.25" customHeight="1" x14ac:dyDescent="0.2"/>
    <row r="1819" ht="12.75" x14ac:dyDescent="0.2"/>
    <row r="1820" ht="12.75" x14ac:dyDescent="0.2"/>
    <row r="1821" ht="12.75" x14ac:dyDescent="0.2"/>
    <row r="1822" ht="12.75" x14ac:dyDescent="0.2"/>
    <row r="1823" ht="14.25" customHeight="1" x14ac:dyDescent="0.2"/>
    <row r="1824" ht="33" hidden="1" customHeight="1" x14ac:dyDescent="0.2"/>
    <row r="1825" ht="12.75" x14ac:dyDescent="0.2"/>
    <row r="1826" ht="36" customHeight="1" x14ac:dyDescent="0.2"/>
    <row r="1827" ht="12.75" x14ac:dyDescent="0.2"/>
    <row r="1828" ht="12.75" x14ac:dyDescent="0.2"/>
    <row r="1829" ht="12.75" x14ac:dyDescent="0.2"/>
    <row r="1830" ht="12.75" customHeight="1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51.75" customHeight="1" x14ac:dyDescent="0.2"/>
    <row r="1838" ht="15.75" customHeight="1" x14ac:dyDescent="0.2"/>
    <row r="1839" ht="15" customHeight="1" x14ac:dyDescent="0.2"/>
    <row r="1840" ht="23.25" customHeight="1" x14ac:dyDescent="0.2"/>
    <row r="1841" ht="12.75" x14ac:dyDescent="0.2"/>
    <row r="1842" ht="21" customHeight="1" x14ac:dyDescent="0.2"/>
    <row r="1843" ht="21" customHeight="1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4.25" customHeight="1" x14ac:dyDescent="0.2"/>
    <row r="1850" ht="21.75" customHeight="1" x14ac:dyDescent="0.2"/>
    <row r="1851" ht="15.75" customHeight="1" x14ac:dyDescent="0.2"/>
    <row r="1852" ht="16.5" customHeight="1" x14ac:dyDescent="0.2"/>
    <row r="1853" ht="43.5" customHeight="1" x14ac:dyDescent="0.2"/>
    <row r="1854" ht="24.75" customHeight="1" x14ac:dyDescent="0.2"/>
    <row r="1855" ht="39.75" customHeight="1" x14ac:dyDescent="0.2"/>
    <row r="1856" ht="31.5" customHeight="1" x14ac:dyDescent="0.2"/>
    <row r="1857" ht="12.75" x14ac:dyDescent="0.2"/>
    <row r="1858" ht="27.75" customHeight="1" x14ac:dyDescent="0.2"/>
    <row r="1859" ht="12.75" x14ac:dyDescent="0.2"/>
    <row r="1860" ht="12.75" x14ac:dyDescent="0.2"/>
    <row r="1861" ht="12.75" x14ac:dyDescent="0.2"/>
    <row r="1862" ht="20.25" customHeight="1" x14ac:dyDescent="0.2"/>
    <row r="1863" ht="12.75" x14ac:dyDescent="0.2"/>
    <row r="1864" ht="12.75" x14ac:dyDescent="0.2"/>
    <row r="1865" ht="51" customHeight="1" x14ac:dyDescent="0.2"/>
    <row r="1866" ht="18" customHeight="1" x14ac:dyDescent="0.2"/>
    <row r="1867" ht="15" customHeight="1" x14ac:dyDescent="0.2"/>
    <row r="1868" ht="12.75" x14ac:dyDescent="0.2"/>
    <row r="1869" ht="12.75" x14ac:dyDescent="0.2"/>
    <row r="1870" ht="12.75" x14ac:dyDescent="0.2"/>
    <row r="1871" ht="12.75" x14ac:dyDescent="0.2"/>
    <row r="1872" ht="16.5" customHeight="1" x14ac:dyDescent="0.2"/>
    <row r="1873" ht="12.75" x14ac:dyDescent="0.2"/>
    <row r="1874" ht="36" customHeight="1" x14ac:dyDescent="0.2"/>
    <row r="1875" ht="12.75" x14ac:dyDescent="0.2"/>
    <row r="1876" ht="12.75" x14ac:dyDescent="0.2"/>
    <row r="1877" ht="12.75" x14ac:dyDescent="0.2"/>
    <row r="1878" ht="12" customHeight="1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53.25" customHeight="1" x14ac:dyDescent="0.2"/>
    <row r="1886" ht="9.75" customHeight="1" x14ac:dyDescent="0.2"/>
    <row r="1887" ht="15" customHeight="1" x14ac:dyDescent="0.2"/>
    <row r="1888" ht="23.25" customHeight="1" x14ac:dyDescent="0.2"/>
    <row r="1889" ht="23.25" customHeight="1" x14ac:dyDescent="0.2"/>
    <row r="1890" ht="22.5" customHeight="1" x14ac:dyDescent="0.2"/>
    <row r="1891" ht="13.5" customHeight="1" x14ac:dyDescent="0.2"/>
    <row r="1892" ht="12.75" x14ac:dyDescent="0.2"/>
    <row r="1893" ht="12.75" x14ac:dyDescent="0.2"/>
    <row r="1894" ht="12.75" x14ac:dyDescent="0.2"/>
    <row r="1895" ht="12.75" x14ac:dyDescent="0.2"/>
    <row r="1896" ht="15" customHeight="1" x14ac:dyDescent="0.2"/>
    <row r="1897" ht="21" customHeight="1" x14ac:dyDescent="0.2"/>
    <row r="1898" ht="15.75" customHeight="1" x14ac:dyDescent="0.2"/>
    <row r="1899" ht="15.75" customHeight="1" x14ac:dyDescent="0.2"/>
    <row r="1900" ht="17.25" customHeight="1" x14ac:dyDescent="0.2"/>
    <row r="1901" ht="20.25" customHeight="1" x14ac:dyDescent="0.2"/>
    <row r="1902" ht="30.75" customHeight="1" x14ac:dyDescent="0.2"/>
    <row r="1903" ht="12.75" x14ac:dyDescent="0.2"/>
    <row r="1904" ht="35.25" customHeight="1" x14ac:dyDescent="0.2"/>
    <row r="1905" ht="12.75" x14ac:dyDescent="0.2"/>
    <row r="1906" ht="12.75" x14ac:dyDescent="0.2"/>
    <row r="1907" ht="12.75" x14ac:dyDescent="0.2"/>
    <row r="1908" ht="12.75" x14ac:dyDescent="0.2"/>
    <row r="1909" ht="7.5" customHeight="1" x14ac:dyDescent="0.2"/>
    <row r="1910" ht="12.75" x14ac:dyDescent="0.2"/>
    <row r="1911" ht="12.75" x14ac:dyDescent="0.2"/>
    <row r="1912" ht="12.75" x14ac:dyDescent="0.2"/>
    <row r="1913" ht="12.75" x14ac:dyDescent="0.2"/>
    <row r="1914" ht="47.25" customHeight="1" x14ac:dyDescent="0.2"/>
    <row r="1915" ht="12.75" x14ac:dyDescent="0.2"/>
    <row r="1916" ht="37.5" customHeight="1" x14ac:dyDescent="0.2"/>
    <row r="1917" ht="12.75" x14ac:dyDescent="0.2"/>
    <row r="1918" ht="28.5" customHeight="1" x14ac:dyDescent="0.2"/>
    <row r="1919" ht="12.75" x14ac:dyDescent="0.2"/>
    <row r="1920" ht="27" customHeight="1" x14ac:dyDescent="0.2"/>
    <row r="1921" ht="12.75" x14ac:dyDescent="0.2"/>
    <row r="1922" ht="41.25" customHeight="1" x14ac:dyDescent="0.2"/>
    <row r="1923" ht="12.75" x14ac:dyDescent="0.2"/>
    <row r="1924" ht="12.75" x14ac:dyDescent="0.2"/>
    <row r="1925" ht="12.75" x14ac:dyDescent="0.2"/>
    <row r="1926" ht="12.75" x14ac:dyDescent="0.2"/>
    <row r="1927" ht="47.25" customHeight="1" x14ac:dyDescent="0.2"/>
    <row r="1928" ht="12.75" x14ac:dyDescent="0.2"/>
    <row r="1929" ht="24" customHeight="1" x14ac:dyDescent="0.2"/>
    <row r="1930" ht="12.75" x14ac:dyDescent="0.2"/>
    <row r="1931" ht="17.25" customHeight="1" x14ac:dyDescent="0.2"/>
    <row r="1932" ht="17.25" customHeight="1" x14ac:dyDescent="0.2"/>
    <row r="1933" ht="13.5" customHeight="1" x14ac:dyDescent="0.2"/>
    <row r="1934" ht="12.75" x14ac:dyDescent="0.2"/>
    <row r="1935" ht="38.25" customHeight="1" x14ac:dyDescent="0.2"/>
    <row r="1936" ht="12.75" hidden="1" x14ac:dyDescent="0.2"/>
    <row r="1937" ht="21.75" hidden="1" customHeight="1" x14ac:dyDescent="0.2"/>
    <row r="1938" ht="12.75" x14ac:dyDescent="0.2"/>
    <row r="1939" ht="24.75" customHeight="1" x14ac:dyDescent="0.2"/>
    <row r="1940" ht="20.25" customHeight="1" x14ac:dyDescent="0.2"/>
    <row r="1941" ht="12.75" x14ac:dyDescent="0.2"/>
    <row r="1942" ht="9" customHeight="1" x14ac:dyDescent="0.2"/>
    <row r="1943" ht="14.25" customHeight="1" x14ac:dyDescent="0.2"/>
    <row r="1944" ht="15" customHeight="1" x14ac:dyDescent="0.2"/>
    <row r="1945" ht="18.75" customHeight="1" x14ac:dyDescent="0.2"/>
    <row r="1946" ht="12.75" x14ac:dyDescent="0.2"/>
    <row r="1947" ht="36.75" customHeight="1" x14ac:dyDescent="0.2"/>
    <row r="1948" ht="19.5" customHeight="1" x14ac:dyDescent="0.2"/>
    <row r="1949" ht="19.5" customHeight="1" x14ac:dyDescent="0.2"/>
    <row r="1950" ht="18" customHeight="1" x14ac:dyDescent="0.2"/>
    <row r="1951" ht="22.5" customHeight="1" x14ac:dyDescent="0.2"/>
    <row r="1952" ht="12.75" customHeight="1" x14ac:dyDescent="0.2"/>
    <row r="1953" ht="12.75" x14ac:dyDescent="0.2"/>
    <row r="1954" ht="30.75" customHeight="1" x14ac:dyDescent="0.2"/>
    <row r="1955" ht="12.75" x14ac:dyDescent="0.2"/>
    <row r="1956" ht="12.75" x14ac:dyDescent="0.2"/>
    <row r="1957" ht="12.75" x14ac:dyDescent="0.2"/>
    <row r="1958" ht="12.75" x14ac:dyDescent="0.2"/>
    <row r="1959" ht="24" customHeight="1" x14ac:dyDescent="0.2"/>
    <row r="1960" ht="12.75" x14ac:dyDescent="0.2"/>
    <row r="1961" ht="12.75" x14ac:dyDescent="0.2"/>
    <row r="1962" ht="12.75" x14ac:dyDescent="0.2"/>
    <row r="1963" ht="33.75" customHeight="1" x14ac:dyDescent="0.2"/>
    <row r="1964" ht="12.75" x14ac:dyDescent="0.2"/>
    <row r="1965" ht="34.5" customHeight="1" x14ac:dyDescent="0.2"/>
    <row r="1966" ht="12.75" x14ac:dyDescent="0.2"/>
    <row r="1967" ht="32.25" customHeight="1" x14ac:dyDescent="0.2"/>
    <row r="1968" ht="30.75" customHeight="1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54" customHeight="1" x14ac:dyDescent="0.2"/>
    <row r="1975" ht="12.75" x14ac:dyDescent="0.2"/>
    <row r="1976" ht="15" customHeight="1" x14ac:dyDescent="0.2"/>
    <row r="1977" ht="12.75" x14ac:dyDescent="0.2"/>
    <row r="1978" ht="9.75" customHeight="1" x14ac:dyDescent="0.2"/>
    <row r="1979" ht="12.75" x14ac:dyDescent="0.2"/>
    <row r="1980" ht="15" customHeight="1" x14ac:dyDescent="0.2"/>
    <row r="1981" ht="12.75" x14ac:dyDescent="0.2"/>
    <row r="1982" ht="23.25" customHeight="1" x14ac:dyDescent="0.2"/>
    <row r="1983" ht="2.25" customHeight="1" x14ac:dyDescent="0.2"/>
    <row r="1984" ht="21" customHeight="1" x14ac:dyDescent="0.2"/>
    <row r="1985" ht="12.75" x14ac:dyDescent="0.2"/>
    <row r="1986" ht="16.5" customHeight="1" x14ac:dyDescent="0.2"/>
    <row r="1987" ht="16.5" customHeight="1" x14ac:dyDescent="0.2"/>
    <row r="1988" ht="7.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2.75" x14ac:dyDescent="0.2"/>
    <row r="1995" ht="48" customHeight="1" x14ac:dyDescent="0.2"/>
    <row r="1996" ht="12.75" x14ac:dyDescent="0.2"/>
    <row r="1997" ht="20.25" customHeight="1" x14ac:dyDescent="0.2"/>
    <row r="1998" ht="12.75" x14ac:dyDescent="0.2"/>
    <row r="1999" ht="23.25" customHeight="1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3.5" customHeight="1" x14ac:dyDescent="0.2"/>
    <row r="2006" ht="12.75" x14ac:dyDescent="0.2"/>
    <row r="2007" ht="19.5" customHeight="1" x14ac:dyDescent="0.2"/>
    <row r="2008" ht="12.75" x14ac:dyDescent="0.2"/>
    <row r="2009" ht="12.75" x14ac:dyDescent="0.2"/>
    <row r="2010" ht="12.75" x14ac:dyDescent="0.2"/>
    <row r="2011" ht="51.75" customHeight="1" x14ac:dyDescent="0.2"/>
    <row r="2012" ht="12.75" customHeight="1" x14ac:dyDescent="0.2"/>
    <row r="2013" ht="34.5" customHeight="1" x14ac:dyDescent="0.2"/>
    <row r="2014" ht="24" customHeight="1" x14ac:dyDescent="0.2"/>
    <row r="2015" ht="26.25" customHeight="1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54.75" customHeight="1" x14ac:dyDescent="0.2"/>
    <row r="2023" ht="12.75" x14ac:dyDescent="0.2"/>
    <row r="2024" ht="47.25" customHeight="1" x14ac:dyDescent="0.2"/>
    <row r="2025" ht="12.75" x14ac:dyDescent="0.2"/>
    <row r="2026" ht="15" customHeight="1" x14ac:dyDescent="0.2"/>
    <row r="2027" ht="12.75" x14ac:dyDescent="0.2"/>
    <row r="2028" ht="12.75" x14ac:dyDescent="0.2"/>
    <row r="2029" ht="16.5" customHeight="1" x14ac:dyDescent="0.2"/>
    <row r="2030" ht="15" customHeight="1" x14ac:dyDescent="0.2"/>
    <row r="2031" ht="15" customHeight="1" x14ac:dyDescent="0.2"/>
    <row r="2032" ht="12.75" x14ac:dyDescent="0.2"/>
    <row r="2033" ht="20.25" customHeight="1" x14ac:dyDescent="0.2"/>
    <row r="2034" ht="20.25" customHeight="1" x14ac:dyDescent="0.2"/>
    <row r="2035" ht="12.75" x14ac:dyDescent="0.2"/>
    <row r="2036" ht="12.75" x14ac:dyDescent="0.2"/>
    <row r="2037" ht="13.5" customHeight="1" x14ac:dyDescent="0.2"/>
    <row r="2038" ht="15" customHeight="1" x14ac:dyDescent="0.2"/>
    <row r="2039" ht="15" customHeight="1" x14ac:dyDescent="0.2"/>
    <row r="2040" ht="21.75" customHeight="1" x14ac:dyDescent="0.2"/>
    <row r="2041" ht="12.75" x14ac:dyDescent="0.2"/>
    <row r="2042" ht="21.75" customHeight="1" x14ac:dyDescent="0.2"/>
    <row r="2043" ht="12.75" x14ac:dyDescent="0.2"/>
    <row r="2044" ht="21.75" customHeight="1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9.5" customHeight="1" x14ac:dyDescent="0.2"/>
    <row r="2053" ht="12.75" x14ac:dyDescent="0.2"/>
    <row r="2054" ht="33" customHeight="1" x14ac:dyDescent="0.2"/>
    <row r="2055" ht="12.75" x14ac:dyDescent="0.2"/>
    <row r="2056" ht="12.75" x14ac:dyDescent="0.2"/>
    <row r="2057" ht="12.75" x14ac:dyDescent="0.2"/>
    <row r="2058" ht="17.25" customHeight="1" x14ac:dyDescent="0.2"/>
    <row r="2059" ht="12.75" x14ac:dyDescent="0.2"/>
    <row r="2060" ht="35.25" customHeight="1" x14ac:dyDescent="0.2"/>
    <row r="2061" ht="29.25" customHeight="1" x14ac:dyDescent="0.2"/>
    <row r="2062" ht="38.25" customHeight="1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7.25" customHeight="1" x14ac:dyDescent="0.2"/>
    <row r="2071" ht="45" customHeight="1" x14ac:dyDescent="0.2"/>
    <row r="2072" ht="12.75" x14ac:dyDescent="0.2"/>
    <row r="2073" ht="15" customHeight="1" x14ac:dyDescent="0.2"/>
    <row r="2074" ht="12.75" x14ac:dyDescent="0.2"/>
    <row r="2075" ht="12.75" x14ac:dyDescent="0.2"/>
    <row r="2076" ht="15.75" customHeight="1" x14ac:dyDescent="0.2"/>
    <row r="2077" ht="12.75" x14ac:dyDescent="0.2"/>
    <row r="2078" ht="12.75" customHeight="1" x14ac:dyDescent="0.2"/>
    <row r="2079" ht="17.25" customHeight="1" x14ac:dyDescent="0.2"/>
    <row r="2080" ht="21.75" customHeight="1" x14ac:dyDescent="0.2"/>
    <row r="2081" ht="12.75" x14ac:dyDescent="0.2"/>
    <row r="2082" ht="12.75" x14ac:dyDescent="0.2"/>
    <row r="2083" ht="19.5" customHeight="1" x14ac:dyDescent="0.2"/>
    <row r="2084" ht="19.5" customHeight="1" x14ac:dyDescent="0.2"/>
    <row r="2085" ht="12" customHeight="1" x14ac:dyDescent="0.2"/>
    <row r="2086" ht="14.25" customHeight="1" x14ac:dyDescent="0.2"/>
    <row r="2087" ht="12.75" x14ac:dyDescent="0.2"/>
    <row r="2088" ht="12.75" x14ac:dyDescent="0.2"/>
    <row r="2089" ht="21.75" customHeight="1" x14ac:dyDescent="0.2"/>
    <row r="2090" ht="36" customHeight="1" x14ac:dyDescent="0.2"/>
    <row r="2091" ht="24" customHeight="1" x14ac:dyDescent="0.2"/>
    <row r="2092" ht="23.25" customHeight="1" x14ac:dyDescent="0.2"/>
    <row r="2093" ht="15.75" customHeight="1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5.75" customHeight="1" x14ac:dyDescent="0.2"/>
    <row r="2100" ht="12.75" x14ac:dyDescent="0.2"/>
    <row r="2101" ht="12.75" x14ac:dyDescent="0.2"/>
    <row r="2102" ht="21" customHeight="1" x14ac:dyDescent="0.2"/>
    <row r="2103" ht="21" customHeight="1" x14ac:dyDescent="0.2"/>
    <row r="2104" ht="12.75" x14ac:dyDescent="0.2"/>
    <row r="2105" ht="12.75" x14ac:dyDescent="0.2"/>
    <row r="2106" ht="39.75" customHeight="1" x14ac:dyDescent="0.2"/>
    <row r="2107" ht="12.75" x14ac:dyDescent="0.2"/>
    <row r="2108" ht="36" customHeight="1" x14ac:dyDescent="0.2"/>
    <row r="2109" ht="12.75" x14ac:dyDescent="0.2"/>
    <row r="2110" ht="34.5" customHeight="1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50.25" customHeight="1" x14ac:dyDescent="0.2"/>
    <row r="2118" ht="12.75" x14ac:dyDescent="0.2"/>
    <row r="2119" ht="15" customHeight="1" x14ac:dyDescent="0.2"/>
    <row r="2120" ht="12.75" x14ac:dyDescent="0.2"/>
    <row r="2121" ht="48" customHeight="1" x14ac:dyDescent="0.2"/>
    <row r="2122" ht="19.5" customHeight="1" x14ac:dyDescent="0.2"/>
    <row r="2123" ht="15" customHeight="1" x14ac:dyDescent="0.2"/>
    <row r="2124" ht="12.75" customHeight="1" x14ac:dyDescent="0.2"/>
    <row r="2125" ht="23.25" customHeight="1" x14ac:dyDescent="0.2"/>
    <row r="2126" ht="15.75" customHeight="1" x14ac:dyDescent="0.2"/>
    <row r="2127" ht="13.5" customHeight="1" x14ac:dyDescent="0.2"/>
    <row r="2128" ht="12.75" x14ac:dyDescent="0.2"/>
    <row r="2129" ht="12.75" x14ac:dyDescent="0.2"/>
    <row r="2130" ht="14.25" customHeight="1" x14ac:dyDescent="0.2"/>
    <row r="2131" ht="15" customHeight="1" x14ac:dyDescent="0.2"/>
    <row r="2133" ht="17.25" customHeight="1" x14ac:dyDescent="0.2"/>
    <row r="2134" ht="20.25" customHeight="1" x14ac:dyDescent="0.2"/>
    <row r="2135" ht="17.25" customHeight="1" x14ac:dyDescent="0.2"/>
    <row r="2136" ht="12.75" x14ac:dyDescent="0.2"/>
    <row r="2137" ht="51" customHeight="1" x14ac:dyDescent="0.2"/>
    <row r="2138" ht="12.75" x14ac:dyDescent="0.2"/>
    <row r="2139" ht="13.5" customHeight="1" x14ac:dyDescent="0.2"/>
    <row r="2140" ht="12.75" x14ac:dyDescent="0.2"/>
    <row r="2141" ht="18" customHeight="1" x14ac:dyDescent="0.2"/>
    <row r="2142" ht="12.75" x14ac:dyDescent="0.2"/>
    <row r="2143" ht="12.75" x14ac:dyDescent="0.2"/>
    <row r="2144" ht="12.75" x14ac:dyDescent="0.2"/>
    <row r="2145" ht="17.25" customHeight="1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40.5" customHeight="1" x14ac:dyDescent="0.2"/>
    <row r="2154" ht="12.75" x14ac:dyDescent="0.2"/>
    <row r="2155" ht="32.25" customHeight="1" x14ac:dyDescent="0.2"/>
    <row r="2156" ht="25.5" customHeight="1" x14ac:dyDescent="0.2"/>
    <row r="2157" ht="12.75" x14ac:dyDescent="0.2"/>
    <row r="2158" ht="12.75" x14ac:dyDescent="0.2"/>
    <row r="2159" ht="44.25" customHeight="1" x14ac:dyDescent="0.2"/>
    <row r="2160" ht="12.75" x14ac:dyDescent="0.2"/>
    <row r="2161" ht="12.75" x14ac:dyDescent="0.2"/>
    <row r="2162" ht="12.75" x14ac:dyDescent="0.2"/>
    <row r="2163" ht="12.75" x14ac:dyDescent="0.2"/>
    <row r="2164" ht="48" customHeight="1" x14ac:dyDescent="0.2"/>
    <row r="2165" ht="12.75" x14ac:dyDescent="0.2"/>
    <row r="2166" ht="44.25" customHeight="1" x14ac:dyDescent="0.2"/>
    <row r="2167" ht="19.5" customHeight="1" x14ac:dyDescent="0.2"/>
    <row r="2168" ht="15" customHeight="1" x14ac:dyDescent="0.2"/>
    <row r="2169" ht="20.25" customHeight="1" x14ac:dyDescent="0.2"/>
    <row r="2170" ht="12.75" x14ac:dyDescent="0.2"/>
    <row r="2171" ht="21" customHeight="1" x14ac:dyDescent="0.2"/>
    <row r="2172" ht="12.75" x14ac:dyDescent="0.2"/>
    <row r="2173" ht="21" customHeight="1" x14ac:dyDescent="0.2"/>
    <row r="2174" ht="18.75" customHeight="1" x14ac:dyDescent="0.2"/>
    <row r="2175" ht="19.5" customHeight="1" x14ac:dyDescent="0.2"/>
    <row r="2176" ht="12.75" x14ac:dyDescent="0.2"/>
    <row r="2177" ht="12.75" x14ac:dyDescent="0.2"/>
    <row r="2178" ht="12" customHeight="1" x14ac:dyDescent="0.2"/>
    <row r="2179" ht="13.5" customHeight="1" x14ac:dyDescent="0.2"/>
    <row r="2181" ht="19.5" customHeight="1" x14ac:dyDescent="0.2"/>
    <row r="2182" ht="19.5" customHeight="1" x14ac:dyDescent="0.2"/>
    <row r="2183" ht="12.75" x14ac:dyDescent="0.2"/>
    <row r="2184" ht="25.5" customHeight="1" x14ac:dyDescent="0.2"/>
    <row r="2185" ht="46.5" customHeight="1" x14ac:dyDescent="0.2"/>
    <row r="2186" ht="18.75" customHeight="1" x14ac:dyDescent="0.2"/>
    <row r="2187" ht="25.5" customHeight="1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22.5" customHeight="1" x14ac:dyDescent="0.2"/>
    <row r="2194" ht="12.75" x14ac:dyDescent="0.2"/>
    <row r="2195" ht="12.75" x14ac:dyDescent="0.2"/>
    <row r="2196" ht="12.75" x14ac:dyDescent="0.2"/>
    <row r="2197" ht="46.5" customHeight="1" x14ac:dyDescent="0.2"/>
    <row r="2198" ht="12.75" x14ac:dyDescent="0.2"/>
    <row r="2199" ht="12.75" x14ac:dyDescent="0.2"/>
    <row r="2200" ht="12.75" x14ac:dyDescent="0.2"/>
    <row r="2201" ht="47.25" customHeight="1" x14ac:dyDescent="0.2"/>
    <row r="2202" ht="12.75" x14ac:dyDescent="0.2"/>
    <row r="2203" ht="36.75" customHeight="1" x14ac:dyDescent="0.2"/>
    <row r="2204" ht="24" customHeight="1" x14ac:dyDescent="0.2"/>
    <row r="2205" ht="38.25" customHeight="1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53.25" customHeight="1" x14ac:dyDescent="0.2"/>
    <row r="2213" ht="12.75" x14ac:dyDescent="0.2"/>
    <row r="2214" ht="15" customHeight="1" x14ac:dyDescent="0.2"/>
    <row r="2215" ht="20.25" customHeight="1" x14ac:dyDescent="0.2"/>
    <row r="2216" ht="47.25" customHeight="1" x14ac:dyDescent="0.2"/>
    <row r="2217" ht="18.75" customHeight="1" x14ac:dyDescent="0.2"/>
    <row r="2218" ht="15" customHeight="1" x14ac:dyDescent="0.2"/>
    <row r="2219" ht="20.25" customHeight="1" x14ac:dyDescent="0.2"/>
    <row r="2220" ht="20.25" customHeight="1" x14ac:dyDescent="0.2"/>
    <row r="2221" ht="20.25" customHeight="1" x14ac:dyDescent="0.2"/>
    <row r="2222" ht="15.75" customHeight="1" x14ac:dyDescent="0.2"/>
    <row r="2223" ht="12.75" x14ac:dyDescent="0.2"/>
    <row r="2224" ht="12.75" x14ac:dyDescent="0.2"/>
    <row r="2225" ht="13.5" customHeight="1" x14ac:dyDescent="0.2"/>
    <row r="2226" ht="13.5" customHeight="1" x14ac:dyDescent="0.2"/>
    <row r="2228" ht="50.25" customHeight="1" x14ac:dyDescent="0.2"/>
    <row r="2229" ht="12" customHeight="1" x14ac:dyDescent="0.2"/>
    <row r="2230" ht="21" customHeight="1" x14ac:dyDescent="0.2"/>
    <row r="2231" ht="12.75" x14ac:dyDescent="0.2"/>
    <row r="2232" ht="18" customHeight="1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31.5" customHeight="1" x14ac:dyDescent="0.2"/>
    <row r="2247" ht="12.75" x14ac:dyDescent="0.2"/>
    <row r="2248" ht="24.75" customHeight="1" x14ac:dyDescent="0.2"/>
    <row r="2249" ht="12.75" x14ac:dyDescent="0.2"/>
    <row r="2250" ht="12.75" x14ac:dyDescent="0.2"/>
    <row r="2251" ht="12.75" x14ac:dyDescent="0.2"/>
    <row r="2252" ht="26.25" customHeight="1" x14ac:dyDescent="0.2"/>
    <row r="2253" ht="12.75" x14ac:dyDescent="0.2"/>
    <row r="2254" ht="26.25" customHeight="1" x14ac:dyDescent="0.2"/>
    <row r="2255" ht="12.75" x14ac:dyDescent="0.2"/>
    <row r="2256" ht="12.75" x14ac:dyDescent="0.2"/>
    <row r="2257" ht="12.75" x14ac:dyDescent="0.2"/>
    <row r="2258" ht="22.5" customHeight="1" x14ac:dyDescent="0.2"/>
    <row r="2259" ht="12.75" x14ac:dyDescent="0.2"/>
    <row r="2260" ht="12.75" x14ac:dyDescent="0.2"/>
    <row r="2261" ht="12.75" x14ac:dyDescent="0.2"/>
    <row r="2262" ht="39" customHeight="1" x14ac:dyDescent="0.2"/>
    <row r="2263" ht="12.75" x14ac:dyDescent="0.2"/>
    <row r="2264" ht="37.5" customHeight="1" x14ac:dyDescent="0.2"/>
    <row r="2265" ht="22.5" customHeight="1" x14ac:dyDescent="0.2"/>
    <row r="2266" ht="19.5" customHeight="1" x14ac:dyDescent="0.2"/>
    <row r="2267" ht="19.5" customHeight="1" x14ac:dyDescent="0.2"/>
    <row r="2268" ht="19.5" customHeight="1" x14ac:dyDescent="0.2"/>
    <row r="2269" ht="12.75" x14ac:dyDescent="0.2"/>
    <row r="2270" ht="12.75" x14ac:dyDescent="0.2"/>
    <row r="2271" ht="12.75" x14ac:dyDescent="0.2"/>
    <row r="2272" ht="15" customHeight="1" x14ac:dyDescent="0.2"/>
    <row r="2273" ht="52.5" customHeight="1" x14ac:dyDescent="0.2"/>
    <row r="2274" ht="20.25" customHeight="1" x14ac:dyDescent="0.2"/>
    <row r="2275" ht="30" customHeight="1" x14ac:dyDescent="0.2"/>
    <row r="2277" ht="18" customHeight="1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41.25" customHeight="1" x14ac:dyDescent="0.2"/>
    <row r="2295" ht="12.75" x14ac:dyDescent="0.2"/>
    <row r="2296" ht="15" customHeight="1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45" customHeight="1" x14ac:dyDescent="0.2"/>
    <row r="2307" ht="12.75" x14ac:dyDescent="0.2"/>
    <row r="2308" ht="12.75" x14ac:dyDescent="0.2"/>
    <row r="2309" ht="12.75" x14ac:dyDescent="0.2"/>
    <row r="2310" ht="47.25" customHeight="1" x14ac:dyDescent="0.2"/>
    <row r="2311" ht="12" customHeight="1" x14ac:dyDescent="0.2"/>
    <row r="2312" ht="46.5" customHeight="1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6.5" customHeight="1" x14ac:dyDescent="0.2"/>
    <row r="2319" ht="12.75" x14ac:dyDescent="0.2"/>
    <row r="2320" ht="16.5" customHeight="1" x14ac:dyDescent="0.2"/>
    <row r="2321" ht="45" customHeight="1" x14ac:dyDescent="0.2"/>
    <row r="2322" ht="16.5" customHeight="1" x14ac:dyDescent="0.2"/>
    <row r="2323" ht="23.25" customHeight="1" x14ac:dyDescent="0.2"/>
    <row r="2324" ht="16.5" customHeight="1" x14ac:dyDescent="0.2"/>
    <row r="2325" ht="16.5" customHeight="1" x14ac:dyDescent="0.2"/>
    <row r="2326" ht="16.5" customHeight="1" x14ac:dyDescent="0.2"/>
    <row r="2327" ht="16.5" customHeight="1" x14ac:dyDescent="0.2"/>
    <row r="2328" ht="16.5" customHeight="1" x14ac:dyDescent="0.2"/>
    <row r="2329" ht="16.5" customHeight="1" x14ac:dyDescent="0.2"/>
    <row r="2330" ht="16.5" customHeight="1" x14ac:dyDescent="0.2"/>
    <row r="2331" ht="16.5" customHeight="1" x14ac:dyDescent="0.2"/>
    <row r="2332" ht="16.5" customHeight="1" x14ac:dyDescent="0.2"/>
    <row r="2333" ht="16.5" customHeight="1" x14ac:dyDescent="0.2"/>
    <row r="2334" ht="16.5" customHeight="1" x14ac:dyDescent="0.2"/>
    <row r="2335" ht="16.5" customHeight="1" x14ac:dyDescent="0.2"/>
    <row r="2336" ht="16.5" customHeight="1" x14ac:dyDescent="0.2"/>
    <row r="2337" ht="16.5" customHeight="1" x14ac:dyDescent="0.2"/>
    <row r="2338" ht="16.5" customHeight="1" x14ac:dyDescent="0.2"/>
    <row r="2339" ht="48.75" customHeight="1" x14ac:dyDescent="0.2"/>
    <row r="2340" ht="16.5" customHeight="1" x14ac:dyDescent="0.2"/>
    <row r="2341" ht="40.5" customHeight="1" x14ac:dyDescent="0.2"/>
    <row r="2342" ht="16.5" customHeight="1" x14ac:dyDescent="0.2"/>
    <row r="2343" ht="16.5" customHeight="1" x14ac:dyDescent="0.2"/>
    <row r="2344" ht="16.5" customHeight="1" x14ac:dyDescent="0.2"/>
    <row r="2345" ht="16.5" customHeight="1" x14ac:dyDescent="0.2"/>
    <row r="2346" ht="16.5" customHeight="1" x14ac:dyDescent="0.2"/>
    <row r="2347" ht="16.5" customHeight="1" x14ac:dyDescent="0.2"/>
    <row r="2348" ht="16.5" customHeight="1" x14ac:dyDescent="0.2"/>
    <row r="2349" ht="16.5" customHeight="1" x14ac:dyDescent="0.2"/>
    <row r="2350" ht="16.5" customHeight="1" x14ac:dyDescent="0.2"/>
    <row r="2351" ht="21" customHeight="1" x14ac:dyDescent="0.2"/>
    <row r="2352" ht="16.5" customHeight="1" x14ac:dyDescent="0.2"/>
    <row r="2353" ht="16.5" customHeight="1" x14ac:dyDescent="0.2"/>
    <row r="2354" ht="16.5" customHeight="1" x14ac:dyDescent="0.2"/>
    <row r="2355" ht="39" customHeight="1" x14ac:dyDescent="0.2"/>
    <row r="2356" ht="20.25" customHeight="1" x14ac:dyDescent="0.2"/>
    <row r="2357" ht="39" customHeight="1" x14ac:dyDescent="0.2"/>
    <row r="2358" ht="26.25" customHeight="1" x14ac:dyDescent="0.2"/>
    <row r="2359" ht="45" customHeight="1" x14ac:dyDescent="0.2"/>
    <row r="2360" ht="16.5" customHeight="1" x14ac:dyDescent="0.2"/>
    <row r="2361" ht="16.5" customHeight="1" x14ac:dyDescent="0.2"/>
    <row r="2362" ht="18.75" customHeight="1" x14ac:dyDescent="0.2"/>
    <row r="2363" ht="16.5" customHeight="1" x14ac:dyDescent="0.2"/>
    <row r="2364" ht="16.5" customHeight="1" x14ac:dyDescent="0.2"/>
    <row r="2365" ht="16.5" customHeight="1" x14ac:dyDescent="0.2"/>
    <row r="2366" ht="54.75" customHeight="1" x14ac:dyDescent="0.2"/>
    <row r="2367" ht="16.5" customHeight="1" x14ac:dyDescent="0.2"/>
    <row r="2368" ht="16.5" customHeight="1" x14ac:dyDescent="0.2"/>
    <row r="2369" ht="16.5" customHeight="1" x14ac:dyDescent="0.2"/>
    <row r="2370" ht="19.5" customHeight="1" x14ac:dyDescent="0.2"/>
    <row r="2371" ht="16.5" customHeight="1" x14ac:dyDescent="0.2"/>
    <row r="2372" ht="16.5" customHeight="1" x14ac:dyDescent="0.2"/>
    <row r="2373" ht="16.5" customHeight="1" x14ac:dyDescent="0.2"/>
    <row r="2374" ht="16.5" customHeight="1" x14ac:dyDescent="0.2"/>
    <row r="2375" ht="16.5" customHeight="1" x14ac:dyDescent="0.2"/>
    <row r="2376" ht="16.5" customHeight="1" x14ac:dyDescent="0.2"/>
    <row r="2377" ht="16.5" customHeight="1" x14ac:dyDescent="0.2"/>
    <row r="2378" ht="16.5" customHeight="1" x14ac:dyDescent="0.2"/>
    <row r="2379" ht="16.5" customHeight="1" x14ac:dyDescent="0.2"/>
    <row r="2380" ht="16.5" customHeight="1" x14ac:dyDescent="0.2"/>
    <row r="2381" ht="16.5" customHeight="1" x14ac:dyDescent="0.2"/>
    <row r="2382" ht="16.5" customHeight="1" x14ac:dyDescent="0.2"/>
    <row r="2383" ht="16.5" customHeight="1" x14ac:dyDescent="0.2"/>
    <row r="2384" ht="16.5" customHeight="1" x14ac:dyDescent="0.2"/>
    <row r="2385" ht="45" customHeight="1" x14ac:dyDescent="0.2"/>
    <row r="2386" ht="16.5" customHeight="1" x14ac:dyDescent="0.2"/>
    <row r="2387" ht="33" customHeight="1" x14ac:dyDescent="0.2"/>
    <row r="2388" ht="16.5" customHeight="1" x14ac:dyDescent="0.2"/>
    <row r="2389" ht="30.75" customHeight="1" x14ac:dyDescent="0.2"/>
    <row r="2390" ht="16.5" customHeight="1" x14ac:dyDescent="0.2"/>
    <row r="2391" ht="16.5" customHeight="1" x14ac:dyDescent="0.2"/>
    <row r="2392" ht="16.5" customHeight="1" x14ac:dyDescent="0.2"/>
    <row r="2393" ht="16.5" customHeight="1" x14ac:dyDescent="0.2"/>
    <row r="2394" ht="16.5" customHeight="1" x14ac:dyDescent="0.2"/>
    <row r="2395" ht="16.5" customHeight="1" x14ac:dyDescent="0.2"/>
    <row r="2396" ht="16.5" customHeight="1" x14ac:dyDescent="0.2"/>
    <row r="2397" ht="45.75" customHeight="1" x14ac:dyDescent="0.2"/>
    <row r="2398" ht="16.5" customHeight="1" x14ac:dyDescent="0.2"/>
    <row r="2399" ht="16.5" customHeight="1" x14ac:dyDescent="0.2"/>
    <row r="2400" ht="16.5" customHeight="1" x14ac:dyDescent="0.2"/>
    <row r="2401" ht="37.5" customHeight="1" x14ac:dyDescent="0.2"/>
    <row r="2402" ht="11.25" customHeight="1" x14ac:dyDescent="0.2"/>
    <row r="2403" ht="37.5" customHeight="1" x14ac:dyDescent="0.2"/>
    <row r="2404" ht="25.5" customHeight="1" x14ac:dyDescent="0.2"/>
    <row r="2405" ht="40.5" customHeight="1" x14ac:dyDescent="0.2"/>
    <row r="2406" ht="21" hidden="1" customHeight="1" x14ac:dyDescent="0.2"/>
    <row r="2407" ht="41.25" customHeight="1" x14ac:dyDescent="0.2"/>
    <row r="2408" ht="24.75" customHeight="1" x14ac:dyDescent="0.2"/>
    <row r="2409" ht="16.5" customHeight="1" x14ac:dyDescent="0.2"/>
    <row r="2410" ht="16.5" customHeight="1" x14ac:dyDescent="0.2"/>
    <row r="2411" ht="15" customHeight="1" x14ac:dyDescent="0.2"/>
    <row r="2412" ht="49.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13.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40.5" customHeight="1" x14ac:dyDescent="0.2"/>
    <row r="2434" ht="15" customHeight="1" x14ac:dyDescent="0.2"/>
    <row r="2435" ht="33.7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44.2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45" customHeight="1" x14ac:dyDescent="0.2"/>
    <row r="2462" ht="15" customHeight="1" x14ac:dyDescent="0.2"/>
    <row r="2463" ht="37.5" customHeight="1" x14ac:dyDescent="0.2"/>
    <row r="2464" ht="37.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57.7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34.5" customHeight="1" x14ac:dyDescent="0.2"/>
    <row r="2483" ht="15" customHeight="1" x14ac:dyDescent="0.2"/>
    <row r="2484" ht="38.2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4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42.75" customHeight="1" x14ac:dyDescent="0.2"/>
    <row r="2519" ht="15" customHeight="1" x14ac:dyDescent="0.2"/>
    <row r="2520" ht="41.2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48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15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37.5" customHeight="1" x14ac:dyDescent="0.2"/>
    <row r="2571" ht="15" customHeight="1" x14ac:dyDescent="0.2"/>
    <row r="2572" ht="42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49.5" customHeight="1" x14ac:dyDescent="0.2"/>
    <row r="2584" ht="15" customHeight="1" x14ac:dyDescent="0.2"/>
    <row r="2585" ht="15" customHeight="1" x14ac:dyDescent="0.2"/>
    <row r="2586" ht="15" customHeight="1" x14ac:dyDescent="0.2"/>
    <row r="2587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15" customHeight="1" x14ac:dyDescent="0.2"/>
    <row r="2600" ht="15" customHeight="1" x14ac:dyDescent="0.2"/>
    <row r="2601" ht="15" customHeight="1" x14ac:dyDescent="0.2"/>
    <row r="2602" ht="15" customHeight="1" x14ac:dyDescent="0.2"/>
    <row r="2603" ht="15" customHeight="1" x14ac:dyDescent="0.2"/>
    <row r="2607" ht="30" customHeight="1" x14ac:dyDescent="0.2"/>
    <row r="2608" ht="16.5" customHeight="1" x14ac:dyDescent="0.2"/>
    <row r="2609" ht="19.5" customHeight="1" x14ac:dyDescent="0.2"/>
    <row r="2610" ht="30" customHeight="1" x14ac:dyDescent="0.2"/>
    <row r="2611" ht="30" customHeight="1" x14ac:dyDescent="0.2"/>
    <row r="2612" ht="30" customHeight="1" x14ac:dyDescent="0.2"/>
    <row r="2613" ht="30" customHeight="1" x14ac:dyDescent="0.2"/>
    <row r="2614" ht="7.5" customHeight="1" x14ac:dyDescent="0.2"/>
    <row r="2615" ht="9.75" customHeight="1" x14ac:dyDescent="0.2"/>
    <row r="2616" ht="30" customHeight="1" x14ac:dyDescent="0.2"/>
    <row r="2617" ht="30" customHeight="1" x14ac:dyDescent="0.2"/>
    <row r="2618" ht="10.5" customHeight="1" x14ac:dyDescent="0.2"/>
    <row r="2619" ht="18.75" customHeight="1" x14ac:dyDescent="0.2"/>
    <row r="2620" ht="16.5" customHeight="1" x14ac:dyDescent="0.2"/>
    <row r="2621" ht="17.25" customHeight="1" x14ac:dyDescent="0.2"/>
    <row r="2622" ht="30" customHeight="1" x14ac:dyDescent="0.2"/>
    <row r="2623" ht="30" customHeight="1" x14ac:dyDescent="0.2"/>
    <row r="2624" ht="14.25" customHeight="1" x14ac:dyDescent="0.2"/>
    <row r="2625" ht="30" customHeight="1" x14ac:dyDescent="0.2"/>
    <row r="2626" ht="30" customHeight="1" x14ac:dyDescent="0.2"/>
    <row r="2627" ht="44.25" customHeight="1" x14ac:dyDescent="0.2"/>
    <row r="2628" ht="26.25" customHeight="1" x14ac:dyDescent="0.2"/>
    <row r="2629" ht="13.5" customHeight="1" x14ac:dyDescent="0.2"/>
    <row r="2630" ht="6" customHeight="1" x14ac:dyDescent="0.2"/>
    <row r="2631" ht="13.5" hidden="1" customHeight="1" x14ac:dyDescent="0.2"/>
    <row r="2632" ht="30" customHeight="1" x14ac:dyDescent="0.2"/>
    <row r="2633" ht="21" customHeight="1" x14ac:dyDescent="0.2"/>
    <row r="2634" ht="12" customHeight="1" x14ac:dyDescent="0.2"/>
    <row r="2635" ht="30" customHeight="1" x14ac:dyDescent="0.2"/>
    <row r="2636" ht="50.25" customHeight="1" x14ac:dyDescent="0.2"/>
    <row r="2637" ht="30" customHeight="1" x14ac:dyDescent="0.2"/>
    <row r="2638" ht="18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30" customHeight="1" x14ac:dyDescent="0.2"/>
    <row r="2646" ht="30" customHeight="1" x14ac:dyDescent="0.2"/>
    <row r="2647" ht="30" customHeight="1" x14ac:dyDescent="0.2"/>
    <row r="2648" ht="30" customHeight="1" x14ac:dyDescent="0.2"/>
    <row r="2649" ht="30" customHeight="1" x14ac:dyDescent="0.2"/>
    <row r="2650" ht="30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35.25" customHeight="1" x14ac:dyDescent="0.2"/>
    <row r="2668" ht="15" customHeight="1" x14ac:dyDescent="0.2"/>
    <row r="2669" ht="36.75" customHeight="1" x14ac:dyDescent="0.2"/>
    <row r="2670" ht="25.5" customHeight="1" x14ac:dyDescent="0.2"/>
    <row r="2671" ht="33" customHeight="1" x14ac:dyDescent="0.2"/>
    <row r="2672" ht="15" customHeight="1" x14ac:dyDescent="0.2"/>
    <row r="2673" ht="15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48" customHeight="1" x14ac:dyDescent="0.2"/>
    <row r="2681" ht="15" customHeight="1" x14ac:dyDescent="0.2"/>
    <row r="2682" ht="15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  <row r="2688" ht="15" customHeight="1" x14ac:dyDescent="0.2"/>
    <row r="2689" ht="15" customHeight="1" x14ac:dyDescent="0.2"/>
    <row r="2690" ht="15" customHeight="1" x14ac:dyDescent="0.2"/>
    <row r="2691" ht="15" customHeight="1" x14ac:dyDescent="0.2"/>
    <row r="2692" ht="15" customHeight="1" x14ac:dyDescent="0.2"/>
    <row r="2693" ht="15" customHeight="1" x14ac:dyDescent="0.2"/>
    <row r="2694" ht="15" customHeight="1" x14ac:dyDescent="0.2"/>
    <row r="2695" ht="15" customHeight="1" x14ac:dyDescent="0.2"/>
    <row r="2696" ht="15" customHeight="1" x14ac:dyDescent="0.2"/>
    <row r="2697" ht="15" customHeight="1" x14ac:dyDescent="0.2"/>
    <row r="2698" ht="15" customHeight="1" x14ac:dyDescent="0.2"/>
    <row r="2699" ht="30" customHeight="1" x14ac:dyDescent="0.2"/>
    <row r="2700" ht="30" customHeight="1" x14ac:dyDescent="0.2"/>
    <row r="2701" ht="30" customHeight="1" x14ac:dyDescent="0.2"/>
    <row r="2702" ht="30" customHeight="1" x14ac:dyDescent="0.2"/>
    <row r="2703" ht="30" customHeight="1" x14ac:dyDescent="0.2"/>
    <row r="2704" ht="30" customHeight="1" x14ac:dyDescent="0.2"/>
    <row r="2705" ht="30" customHeight="1" x14ac:dyDescent="0.2"/>
    <row r="2706" ht="30" customHeight="1" x14ac:dyDescent="0.2"/>
    <row r="2707" ht="30" customHeight="1" x14ac:dyDescent="0.2"/>
    <row r="2708" ht="30" customHeight="1" x14ac:dyDescent="0.2"/>
    <row r="2709" ht="30" customHeight="1" x14ac:dyDescent="0.2"/>
    <row r="2710" ht="30" customHeight="1" x14ac:dyDescent="0.2"/>
    <row r="2711" ht="30" customHeight="1" x14ac:dyDescent="0.2"/>
    <row r="2712" ht="30" customHeight="1" x14ac:dyDescent="0.2"/>
    <row r="2713" ht="30" customHeight="1" x14ac:dyDescent="0.2"/>
    <row r="2714" ht="30" customHeight="1" x14ac:dyDescent="0.2"/>
    <row r="2715" ht="30" customHeight="1" x14ac:dyDescent="0.2"/>
    <row r="2716" ht="30" customHeight="1" x14ac:dyDescent="0.2"/>
    <row r="2717" ht="30" customHeight="1" x14ac:dyDescent="0.2"/>
    <row r="2718" ht="30" customHeight="1" x14ac:dyDescent="0.2"/>
    <row r="2719" ht="30" customHeight="1" x14ac:dyDescent="0.2"/>
    <row r="2720" ht="30" customHeight="1" x14ac:dyDescent="0.2"/>
    <row r="2721" ht="30" customHeight="1" x14ac:dyDescent="0.2"/>
    <row r="2722" ht="30" customHeight="1" x14ac:dyDescent="0.2"/>
    <row r="2723" ht="30" customHeight="1" x14ac:dyDescent="0.2"/>
    <row r="2724" ht="30" customHeight="1" x14ac:dyDescent="0.2"/>
    <row r="2725" ht="30" customHeight="1" x14ac:dyDescent="0.2"/>
    <row r="2726" ht="30" customHeight="1" x14ac:dyDescent="0.2"/>
    <row r="2727" ht="30" customHeight="1" x14ac:dyDescent="0.2"/>
    <row r="2728" ht="30" customHeight="1" x14ac:dyDescent="0.2"/>
    <row r="2729" ht="30" customHeight="1" x14ac:dyDescent="0.2"/>
    <row r="2730" ht="30" customHeight="1" x14ac:dyDescent="0.2"/>
    <row r="2731" ht="30" customHeight="1" x14ac:dyDescent="0.2"/>
    <row r="2732" ht="30" customHeight="1" x14ac:dyDescent="0.2"/>
    <row r="2733" ht="30" customHeight="1" x14ac:dyDescent="0.2"/>
    <row r="2734" ht="30" customHeight="1" x14ac:dyDescent="0.2"/>
    <row r="2735" ht="30" customHeight="1" x14ac:dyDescent="0.2"/>
    <row r="2736" ht="30" customHeight="1" x14ac:dyDescent="0.2"/>
    <row r="2737" ht="30" customHeight="1" x14ac:dyDescent="0.2"/>
    <row r="2738" ht="30" customHeight="1" x14ac:dyDescent="0.2"/>
    <row r="2739" ht="30" customHeight="1" x14ac:dyDescent="0.2"/>
    <row r="2740" ht="30" customHeight="1" x14ac:dyDescent="0.2"/>
    <row r="2741" ht="30" customHeight="1" x14ac:dyDescent="0.2"/>
    <row r="2742" ht="30" customHeight="1" x14ac:dyDescent="0.2"/>
    <row r="2743" ht="30" customHeight="1" x14ac:dyDescent="0.2"/>
    <row r="2744" ht="30" customHeight="1" x14ac:dyDescent="0.2"/>
    <row r="2745" ht="30" customHeight="1" x14ac:dyDescent="0.2"/>
    <row r="2746" ht="30" customHeight="1" x14ac:dyDescent="0.2"/>
    <row r="2747" ht="30" customHeight="1" x14ac:dyDescent="0.2"/>
    <row r="2748" ht="30" customHeight="1" x14ac:dyDescent="0.2"/>
    <row r="2749" ht="30" customHeight="1" x14ac:dyDescent="0.2"/>
    <row r="2750" ht="30" customHeight="1" x14ac:dyDescent="0.2"/>
    <row r="2751" ht="30" customHeight="1" x14ac:dyDescent="0.2"/>
    <row r="2752" ht="30" customHeight="1" x14ac:dyDescent="0.2"/>
    <row r="2753" ht="30" customHeight="1" x14ac:dyDescent="0.2"/>
    <row r="2754" ht="30" customHeight="1" x14ac:dyDescent="0.2"/>
    <row r="2755" ht="30" customHeight="1" x14ac:dyDescent="0.2"/>
    <row r="2756" ht="30" customHeight="1" x14ac:dyDescent="0.2"/>
    <row r="2757" ht="30" customHeight="1" x14ac:dyDescent="0.2"/>
  </sheetData>
  <mergeCells count="103">
    <mergeCell ref="B605:L605"/>
    <mergeCell ref="C607:F607"/>
    <mergeCell ref="B614:L614"/>
    <mergeCell ref="A616:L616"/>
    <mergeCell ref="J619:L619"/>
    <mergeCell ref="C558:F558"/>
    <mergeCell ref="B565:L565"/>
    <mergeCell ref="A567:L567"/>
    <mergeCell ref="J570:L570"/>
    <mergeCell ref="A593:L593"/>
    <mergeCell ref="A603:L603"/>
    <mergeCell ref="A514:L514"/>
    <mergeCell ref="J517:L517"/>
    <mergeCell ref="A544:L544"/>
    <mergeCell ref="A554:L554"/>
    <mergeCell ref="B556:L556"/>
    <mergeCell ref="A491:L491"/>
    <mergeCell ref="D499:H499"/>
    <mergeCell ref="A501:L501"/>
    <mergeCell ref="B503:L503"/>
    <mergeCell ref="C505:F505"/>
    <mergeCell ref="B512:L512"/>
    <mergeCell ref="A317:L317"/>
    <mergeCell ref="J320:L320"/>
    <mergeCell ref="C166:D166"/>
    <mergeCell ref="F166:H166"/>
    <mergeCell ref="C118:D118"/>
    <mergeCell ref="F118:H118"/>
    <mergeCell ref="J273:L273"/>
    <mergeCell ref="A294:L294"/>
    <mergeCell ref="A304:L304"/>
    <mergeCell ref="B306:L306"/>
    <mergeCell ref="C308:F308"/>
    <mergeCell ref="B315:L315"/>
    <mergeCell ref="A257:L257"/>
    <mergeCell ref="B259:L259"/>
    <mergeCell ref="C261:F261"/>
    <mergeCell ref="B268:L268"/>
    <mergeCell ref="A270:L270"/>
    <mergeCell ref="B215:L215"/>
    <mergeCell ref="C217:F217"/>
    <mergeCell ref="B224:L224"/>
    <mergeCell ref="A226:L226"/>
    <mergeCell ref="J229:L229"/>
    <mergeCell ref="A247:L247"/>
    <mergeCell ref="A203:L203"/>
    <mergeCell ref="D211:H211"/>
    <mergeCell ref="A213:L213"/>
    <mergeCell ref="C71:D71"/>
    <mergeCell ref="F71:H71"/>
    <mergeCell ref="B76:L76"/>
    <mergeCell ref="A78:L78"/>
    <mergeCell ref="A113:L113"/>
    <mergeCell ref="B115:L115"/>
    <mergeCell ref="C117:F117"/>
    <mergeCell ref="B123:L123"/>
    <mergeCell ref="C164:F164"/>
    <mergeCell ref="B171:L171"/>
    <mergeCell ref="A173:L173"/>
    <mergeCell ref="J176:L176"/>
    <mergeCell ref="A150:L150"/>
    <mergeCell ref="A160:L160"/>
    <mergeCell ref="B162:L162"/>
    <mergeCell ref="A32:L32"/>
    <mergeCell ref="J35:L35"/>
    <mergeCell ref="A56:L56"/>
    <mergeCell ref="A125:L125"/>
    <mergeCell ref="J128:L128"/>
    <mergeCell ref="J81:L81"/>
    <mergeCell ref="A103:L103"/>
    <mergeCell ref="A9:L9"/>
    <mergeCell ref="D17:H17"/>
    <mergeCell ref="A19:L19"/>
    <mergeCell ref="B21:L21"/>
    <mergeCell ref="C23:F23"/>
    <mergeCell ref="B30:L30"/>
    <mergeCell ref="C24:D24"/>
    <mergeCell ref="F24:H24"/>
    <mergeCell ref="A66:L66"/>
    <mergeCell ref="B68:L68"/>
    <mergeCell ref="C70:F70"/>
    <mergeCell ref="A358:L358"/>
    <mergeCell ref="D366:H366"/>
    <mergeCell ref="A368:L368"/>
    <mergeCell ref="B370:L370"/>
    <mergeCell ref="C372:F372"/>
    <mergeCell ref="B379:L379"/>
    <mergeCell ref="A381:L381"/>
    <mergeCell ref="J384:L384"/>
    <mergeCell ref="A402:L402"/>
    <mergeCell ref="A412:L412"/>
    <mergeCell ref="B414:L414"/>
    <mergeCell ref="C416:F416"/>
    <mergeCell ref="C463:F463"/>
    <mergeCell ref="B470:L470"/>
    <mergeCell ref="A472:L472"/>
    <mergeCell ref="J475:L475"/>
    <mergeCell ref="B423:L423"/>
    <mergeCell ref="A425:L425"/>
    <mergeCell ref="J428:L428"/>
    <mergeCell ref="A449:L449"/>
    <mergeCell ref="A459:L459"/>
    <mergeCell ref="B461:L461"/>
  </mergeCells>
  <pageMargins left="0.5" right="0.2" top="0.75" bottom="1" header="0.5" footer="0.5"/>
  <pageSetup paperSize="5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759"/>
  <sheetViews>
    <sheetView topLeftCell="A76" zoomScale="115" zoomScaleNormal="115" zoomScaleSheetLayoutView="100" workbookViewId="0">
      <selection activeCell="D641" sqref="D641:D643"/>
    </sheetView>
  </sheetViews>
  <sheetFormatPr defaultColWidth="9.140625" defaultRowHeight="5.65" customHeight="1" x14ac:dyDescent="0.2"/>
  <cols>
    <col min="1" max="1" width="4" style="4" customWidth="1"/>
    <col min="2" max="2" width="5" style="4" customWidth="1"/>
    <col min="3" max="3" width="4.28515625" style="4" customWidth="1"/>
    <col min="4" max="4" width="27.85546875" style="4" customWidth="1"/>
    <col min="5" max="5" width="14.140625" style="4" customWidth="1"/>
    <col min="6" max="6" width="3.85546875" style="4" customWidth="1"/>
    <col min="7" max="7" width="4.28515625" style="4" hidden="1" customWidth="1"/>
    <col min="8" max="8" width="6.5703125" style="4" customWidth="1"/>
    <col min="9" max="9" width="13.28515625" style="4" customWidth="1"/>
    <col min="10" max="10" width="6.5703125" style="4" customWidth="1"/>
    <col min="11" max="11" width="5.85546875" style="4" customWidth="1"/>
    <col min="12" max="12" width="5.7109375" style="4" customWidth="1"/>
    <col min="13" max="13" width="9.140625" style="4"/>
    <col min="14" max="14" width="13.28515625" style="4" customWidth="1"/>
    <col min="15" max="15" width="3.7109375" style="4" customWidth="1"/>
    <col min="16" max="16" width="10" style="4" bestFit="1" customWidth="1"/>
    <col min="17" max="17" width="11" style="4" customWidth="1"/>
    <col min="18" max="22" width="9.140625" style="4"/>
    <col min="23" max="23" width="12.5703125" style="4" bestFit="1" customWidth="1"/>
    <col min="24" max="16384" width="9.140625" style="4"/>
  </cols>
  <sheetData>
    <row r="1" spans="1:12" ht="14.25" customHeight="1" x14ac:dyDescent="0.2"/>
    <row r="2" spans="1:12" ht="16.5" customHeight="1" x14ac:dyDescent="0.25">
      <c r="A2" s="3" t="s">
        <v>22</v>
      </c>
    </row>
    <row r="3" spans="1:12" ht="13.5" customHeight="1" x14ac:dyDescent="0.2">
      <c r="A3" s="122" t="s">
        <v>20</v>
      </c>
    </row>
    <row r="4" spans="1:12" ht="15" customHeight="1" x14ac:dyDescent="0.2">
      <c r="A4" s="122" t="s">
        <v>21</v>
      </c>
    </row>
    <row r="5" spans="1:12" ht="15" customHeight="1" x14ac:dyDescent="0.2"/>
    <row r="6" spans="1:12" ht="36.75" customHeight="1" x14ac:dyDescent="0.2"/>
    <row r="7" spans="1:12" ht="22.5" customHeight="1" x14ac:dyDescent="0.2"/>
    <row r="8" spans="1:12" ht="42" customHeight="1" x14ac:dyDescent="0.3">
      <c r="A8" s="276" t="s">
        <v>6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</row>
    <row r="9" spans="1:12" ht="18.75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27.7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2.75" customHeight="1" x14ac:dyDescent="0.25">
      <c r="A11" s="1"/>
      <c r="B11" s="1"/>
    </row>
    <row r="12" spans="1:12" ht="15" customHeight="1" x14ac:dyDescent="0.25">
      <c r="A12" s="1" t="s">
        <v>7</v>
      </c>
      <c r="B12" s="1"/>
    </row>
    <row r="13" spans="1:12" ht="15" customHeight="1" x14ac:dyDescent="0.25">
      <c r="A13" s="1"/>
      <c r="B13" s="1"/>
    </row>
    <row r="14" spans="1:12" ht="13.5" customHeight="1" x14ac:dyDescent="0.25">
      <c r="A14" s="1" t="s">
        <v>8</v>
      </c>
      <c r="C14" s="9" t="s">
        <v>1</v>
      </c>
      <c r="D14" s="92" t="s">
        <v>77</v>
      </c>
      <c r="E14" s="76"/>
      <c r="F14" s="76"/>
      <c r="G14" s="76"/>
      <c r="H14" s="76"/>
    </row>
    <row r="15" spans="1:12" ht="15" customHeight="1" x14ac:dyDescent="0.25">
      <c r="A15" s="1" t="s">
        <v>9</v>
      </c>
      <c r="C15" s="9" t="s">
        <v>1</v>
      </c>
      <c r="D15" s="57" t="s">
        <v>201</v>
      </c>
      <c r="E15" s="76"/>
      <c r="F15" s="76"/>
      <c r="G15" s="76"/>
      <c r="H15" s="76"/>
    </row>
    <row r="16" spans="1:12" ht="13.5" customHeight="1" x14ac:dyDescent="0.25">
      <c r="A16" s="1" t="s">
        <v>10</v>
      </c>
      <c r="C16" s="9" t="s">
        <v>1</v>
      </c>
      <c r="D16" s="314" t="s">
        <v>117</v>
      </c>
      <c r="E16" s="314"/>
      <c r="F16" s="314"/>
      <c r="G16" s="314"/>
      <c r="H16" s="314"/>
    </row>
    <row r="17" spans="1:12" ht="18" customHeight="1" x14ac:dyDescent="0.25">
      <c r="A17" s="1"/>
      <c r="B17" s="1"/>
      <c r="D17" s="1"/>
    </row>
    <row r="18" spans="1:12" ht="32.25" customHeight="1" x14ac:dyDescent="0.2">
      <c r="A18" s="277" t="s">
        <v>227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</row>
    <row r="19" spans="1:12" ht="12" customHeight="1" x14ac:dyDescent="0.25">
      <c r="A19" s="1"/>
      <c r="B19" s="1"/>
    </row>
    <row r="20" spans="1:12" ht="39" customHeight="1" thickBot="1" x14ac:dyDescent="0.25">
      <c r="A20" s="10" t="s">
        <v>0</v>
      </c>
      <c r="B20" s="278" t="s">
        <v>91</v>
      </c>
      <c r="C20" s="278"/>
      <c r="D20" s="278"/>
      <c r="E20" s="278"/>
      <c r="F20" s="278"/>
      <c r="G20" s="278"/>
      <c r="H20" s="278"/>
      <c r="I20" s="278"/>
      <c r="J20" s="278"/>
      <c r="K20" s="278"/>
      <c r="L20" s="278"/>
    </row>
    <row r="21" spans="1:12" ht="36" customHeight="1" thickTop="1" x14ac:dyDescent="0.25">
      <c r="A21" s="1"/>
      <c r="B21" s="11" t="s">
        <v>3</v>
      </c>
      <c r="C21" s="12" t="s">
        <v>4</v>
      </c>
      <c r="D21" s="13"/>
      <c r="E21" s="13"/>
      <c r="F21" s="13"/>
      <c r="G21" s="13"/>
      <c r="H21" s="14"/>
      <c r="I21" s="15" t="s">
        <v>5</v>
      </c>
      <c r="J21" s="12" t="s">
        <v>17</v>
      </c>
      <c r="K21" s="13"/>
      <c r="L21" s="14"/>
    </row>
    <row r="22" spans="1:12" ht="26.25" customHeight="1" x14ac:dyDescent="0.2">
      <c r="A22" s="50"/>
      <c r="B22" s="100">
        <v>1</v>
      </c>
      <c r="C22" s="284" t="s">
        <v>228</v>
      </c>
      <c r="D22" s="285"/>
      <c r="E22" s="285"/>
      <c r="F22" s="285"/>
      <c r="G22" s="76"/>
      <c r="H22" s="79"/>
      <c r="I22" s="56">
        <v>150000</v>
      </c>
      <c r="J22" s="76"/>
      <c r="K22" s="76"/>
      <c r="L22" s="79"/>
    </row>
    <row r="23" spans="1:12" ht="43.5" customHeight="1" x14ac:dyDescent="0.2">
      <c r="A23" s="50"/>
      <c r="B23" s="96"/>
      <c r="C23" s="76"/>
      <c r="D23" s="76"/>
      <c r="E23" s="76"/>
      <c r="F23" s="76"/>
      <c r="G23" s="78"/>
      <c r="H23" s="79"/>
      <c r="I23" s="56"/>
      <c r="J23" s="50"/>
      <c r="K23" s="50"/>
      <c r="L23" s="55"/>
    </row>
    <row r="24" spans="1:12" ht="12.75" x14ac:dyDescent="0.2">
      <c r="B24" s="16"/>
      <c r="H24" s="17"/>
      <c r="I24" s="19"/>
      <c r="L24" s="17"/>
    </row>
    <row r="25" spans="1:12" ht="18" customHeight="1" x14ac:dyDescent="0.2">
      <c r="B25" s="20"/>
      <c r="C25" s="21"/>
      <c r="D25" s="21"/>
      <c r="E25" s="21"/>
      <c r="F25" s="21"/>
      <c r="G25" s="21"/>
      <c r="H25" s="22"/>
      <c r="I25" s="23"/>
      <c r="J25" s="21"/>
      <c r="K25" s="21"/>
      <c r="L25" s="22"/>
    </row>
    <row r="26" spans="1:12" ht="15" customHeight="1" x14ac:dyDescent="0.25">
      <c r="A26" s="1"/>
      <c r="B26" s="39"/>
      <c r="C26" s="1"/>
      <c r="D26" s="1"/>
      <c r="E26" s="1"/>
      <c r="F26" s="40" t="s">
        <v>5</v>
      </c>
      <c r="G26" s="40"/>
      <c r="H26" s="1"/>
      <c r="I26" s="41">
        <f>SUM(I22:I23)</f>
        <v>150000</v>
      </c>
      <c r="J26" s="1"/>
      <c r="K26" s="1"/>
      <c r="L26" s="42"/>
    </row>
    <row r="27" spans="1:12" ht="15.75" thickBot="1" x14ac:dyDescent="0.3">
      <c r="A27" s="1"/>
      <c r="B27" s="43"/>
      <c r="C27" s="44"/>
      <c r="D27" s="44"/>
      <c r="E27" s="44"/>
      <c r="F27" s="45"/>
      <c r="G27" s="45"/>
      <c r="H27" s="44"/>
      <c r="I27" s="46"/>
      <c r="J27" s="44"/>
      <c r="K27" s="44"/>
      <c r="L27" s="47"/>
    </row>
    <row r="28" spans="1:12" ht="15.75" thickTop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53.25" customHeight="1" x14ac:dyDescent="0.2">
      <c r="A29" s="10" t="s">
        <v>2</v>
      </c>
      <c r="B29" s="279" t="s">
        <v>11</v>
      </c>
      <c r="C29" s="279"/>
      <c r="D29" s="279"/>
      <c r="E29" s="279"/>
      <c r="F29" s="279"/>
      <c r="G29" s="279"/>
      <c r="H29" s="279"/>
      <c r="I29" s="279"/>
      <c r="J29" s="279"/>
      <c r="K29" s="279"/>
      <c r="L29" s="279"/>
    </row>
    <row r="30" spans="1:12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30" customHeight="1" x14ac:dyDescent="0.2">
      <c r="A31" s="280" t="s">
        <v>12</v>
      </c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</row>
    <row r="32" spans="1:12" ht="19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4" t="s">
        <v>199</v>
      </c>
      <c r="J34" s="286" t="s">
        <v>229</v>
      </c>
      <c r="K34" s="286"/>
      <c r="L34" s="286"/>
    </row>
    <row r="35" spans="1:12" ht="15" x14ac:dyDescent="0.25">
      <c r="A35" s="1"/>
      <c r="B35" s="1" t="s">
        <v>15</v>
      </c>
      <c r="C35" s="1"/>
      <c r="D35" s="1"/>
      <c r="E35" s="1"/>
      <c r="F35" s="1"/>
      <c r="G35" s="1"/>
      <c r="H35" s="4" t="s">
        <v>13</v>
      </c>
    </row>
    <row r="36" spans="1:12" ht="15" x14ac:dyDescent="0.25">
      <c r="A36" s="1"/>
      <c r="B36" s="1" t="s">
        <v>18</v>
      </c>
      <c r="C36" s="1"/>
      <c r="D36" s="1"/>
      <c r="E36" s="1"/>
      <c r="F36" s="1"/>
      <c r="G36" s="1"/>
      <c r="H36" s="4" t="s">
        <v>14</v>
      </c>
    </row>
    <row r="37" spans="1:12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x14ac:dyDescent="0.25">
      <c r="A39" s="1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"/>
    </row>
    <row r="40" spans="1:12" ht="18.75" customHeight="1" x14ac:dyDescent="0.25">
      <c r="A40" s="1"/>
      <c r="K40" s="103"/>
      <c r="L40" s="1"/>
    </row>
    <row r="41" spans="1:12" ht="15" x14ac:dyDescent="0.25">
      <c r="A41" s="1"/>
      <c r="B41" s="95" t="s">
        <v>77</v>
      </c>
      <c r="H41" s="95" t="s">
        <v>77</v>
      </c>
      <c r="I41" s="95"/>
      <c r="J41" s="92"/>
      <c r="K41" s="103"/>
      <c r="L41" s="1"/>
    </row>
    <row r="42" spans="1:12" ht="15" x14ac:dyDescent="0.25">
      <c r="A42" s="1"/>
      <c r="B42" s="99" t="s">
        <v>27</v>
      </c>
      <c r="C42" s="57"/>
      <c r="H42" s="99" t="s">
        <v>27</v>
      </c>
      <c r="K42" s="103"/>
    </row>
    <row r="43" spans="1:12" ht="12.75" x14ac:dyDescent="0.2"/>
    <row r="44" spans="1:12" ht="12.75" x14ac:dyDescent="0.2"/>
    <row r="45" spans="1:12" ht="12.75" x14ac:dyDescent="0.2"/>
    <row r="46" spans="1:12" ht="12.75" x14ac:dyDescent="0.2"/>
    <row r="47" spans="1:12" ht="14.25" customHeight="1" x14ac:dyDescent="0.2"/>
    <row r="48" spans="1:12" ht="14.25" customHeight="1" x14ac:dyDescent="0.2"/>
    <row r="49" spans="1:12" ht="15" customHeight="1" x14ac:dyDescent="0.2"/>
    <row r="50" spans="1:12" ht="15" customHeight="1" x14ac:dyDescent="0.25">
      <c r="A50" s="3" t="s">
        <v>22</v>
      </c>
    </row>
    <row r="51" spans="1:12" ht="18.75" customHeight="1" x14ac:dyDescent="0.2">
      <c r="A51" s="122" t="s">
        <v>20</v>
      </c>
    </row>
    <row r="52" spans="1:12" ht="15" customHeight="1" x14ac:dyDescent="0.2">
      <c r="A52" s="122" t="s">
        <v>21</v>
      </c>
    </row>
    <row r="53" spans="1:12" ht="15" customHeight="1" x14ac:dyDescent="0.2"/>
    <row r="54" spans="1:12" ht="15" customHeight="1" x14ac:dyDescent="0.2"/>
    <row r="55" spans="1:12" ht="18.75" customHeight="1" x14ac:dyDescent="0.2"/>
    <row r="56" spans="1:12" ht="15" customHeight="1" x14ac:dyDescent="0.3">
      <c r="A56" s="276" t="s">
        <v>6</v>
      </c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</row>
    <row r="57" spans="1:12" ht="15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ht="30.75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 ht="15" x14ac:dyDescent="0.25">
      <c r="A59" s="1"/>
      <c r="B59" s="1"/>
    </row>
    <row r="60" spans="1:12" ht="37.5" customHeight="1" x14ac:dyDescent="0.25">
      <c r="A60" s="1" t="s">
        <v>7</v>
      </c>
      <c r="B60" s="1"/>
    </row>
    <row r="61" spans="1:12" ht="16.5" customHeight="1" x14ac:dyDescent="0.25">
      <c r="A61" s="1"/>
      <c r="B61" s="1"/>
    </row>
    <row r="62" spans="1:12" ht="18.75" customHeight="1" x14ac:dyDescent="0.25">
      <c r="A62" s="1" t="s">
        <v>8</v>
      </c>
      <c r="C62" s="9" t="s">
        <v>1</v>
      </c>
      <c r="D62" s="67" t="s">
        <v>120</v>
      </c>
      <c r="E62" s="76"/>
      <c r="F62" s="76"/>
      <c r="G62" s="76"/>
      <c r="H62" s="76"/>
    </row>
    <row r="63" spans="1:12" ht="17.25" customHeight="1" x14ac:dyDescent="0.25">
      <c r="A63" s="1" t="s">
        <v>9</v>
      </c>
      <c r="C63" s="9" t="s">
        <v>1</v>
      </c>
      <c r="D63" s="68" t="s">
        <v>202</v>
      </c>
      <c r="E63" s="76"/>
      <c r="F63" s="76"/>
      <c r="G63" s="76"/>
      <c r="H63" s="76"/>
    </row>
    <row r="64" spans="1:12" ht="15" customHeight="1" x14ac:dyDescent="0.25">
      <c r="A64" s="1" t="s">
        <v>10</v>
      </c>
      <c r="C64" s="9" t="s">
        <v>1</v>
      </c>
      <c r="D64" s="50" t="s">
        <v>81</v>
      </c>
      <c r="E64" s="76"/>
      <c r="F64" s="76"/>
      <c r="G64" s="76"/>
      <c r="H64" s="76"/>
    </row>
    <row r="65" spans="1:12" ht="27" customHeight="1" x14ac:dyDescent="0.25">
      <c r="A65" s="1"/>
      <c r="B65" s="1"/>
      <c r="D65" s="1"/>
    </row>
    <row r="66" spans="1:12" ht="45.75" customHeight="1" x14ac:dyDescent="0.2">
      <c r="A66" s="277" t="s">
        <v>227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</row>
    <row r="67" spans="1:12" ht="15" customHeight="1" x14ac:dyDescent="0.25">
      <c r="A67" s="1"/>
      <c r="B67" s="1"/>
    </row>
    <row r="68" spans="1:12" ht="41.25" customHeight="1" thickBot="1" x14ac:dyDescent="0.25">
      <c r="A68" s="10" t="s">
        <v>0</v>
      </c>
      <c r="B68" s="278" t="s">
        <v>91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</row>
    <row r="69" spans="1:12" ht="41.25" customHeight="1" thickTop="1" x14ac:dyDescent="0.25">
      <c r="A69" s="1"/>
      <c r="B69" s="11" t="s">
        <v>3</v>
      </c>
      <c r="C69" s="12" t="s">
        <v>4</v>
      </c>
      <c r="D69" s="13"/>
      <c r="E69" s="13"/>
      <c r="F69" s="13"/>
      <c r="G69" s="13"/>
      <c r="H69" s="14"/>
      <c r="I69" s="15" t="s">
        <v>5</v>
      </c>
      <c r="J69" s="12" t="s">
        <v>17</v>
      </c>
      <c r="K69" s="13"/>
      <c r="L69" s="14"/>
    </row>
    <row r="70" spans="1:12" ht="15" x14ac:dyDescent="0.2">
      <c r="A70" s="50"/>
      <c r="B70" s="100">
        <v>1</v>
      </c>
      <c r="C70" s="284" t="s">
        <v>228</v>
      </c>
      <c r="D70" s="285"/>
      <c r="E70" s="285"/>
      <c r="F70" s="285"/>
      <c r="G70" s="76"/>
      <c r="H70" s="79"/>
      <c r="I70" s="56">
        <v>150000</v>
      </c>
      <c r="J70" s="76"/>
      <c r="K70" s="76"/>
      <c r="L70" s="79"/>
    </row>
    <row r="71" spans="1:12" ht="39" customHeight="1" x14ac:dyDescent="0.2">
      <c r="A71" s="50"/>
      <c r="B71" s="96"/>
      <c r="C71" s="76"/>
      <c r="D71" s="76"/>
      <c r="E71" s="76"/>
      <c r="F71" s="76"/>
      <c r="G71" s="78"/>
      <c r="H71" s="79"/>
      <c r="I71" s="56"/>
      <c r="J71" s="50"/>
      <c r="K71" s="50"/>
      <c r="L71" s="55"/>
    </row>
    <row r="72" spans="1:12" ht="17.25" customHeight="1" x14ac:dyDescent="0.2">
      <c r="B72" s="16"/>
      <c r="H72" s="17"/>
      <c r="I72" s="19"/>
      <c r="L72" s="17"/>
    </row>
    <row r="73" spans="1:12" ht="38.25" customHeight="1" x14ac:dyDescent="0.2">
      <c r="B73" s="20"/>
      <c r="C73" s="21"/>
      <c r="D73" s="21"/>
      <c r="E73" s="21"/>
      <c r="F73" s="21"/>
      <c r="G73" s="21"/>
      <c r="H73" s="22"/>
      <c r="I73" s="23"/>
      <c r="J73" s="21"/>
      <c r="K73" s="21"/>
      <c r="L73" s="22"/>
    </row>
    <row r="74" spans="1:12" ht="15" x14ac:dyDescent="0.25">
      <c r="A74" s="1"/>
      <c r="B74" s="39"/>
      <c r="C74" s="1"/>
      <c r="D74" s="1"/>
      <c r="E74" s="1"/>
      <c r="F74" s="40" t="s">
        <v>5</v>
      </c>
      <c r="G74" s="40"/>
      <c r="H74" s="1"/>
      <c r="I74" s="41">
        <f>SUM(I70:I71)</f>
        <v>150000</v>
      </c>
      <c r="J74" s="1"/>
      <c r="K74" s="1"/>
      <c r="L74" s="42"/>
    </row>
    <row r="75" spans="1:12" ht="15.75" thickBot="1" x14ac:dyDescent="0.3">
      <c r="A75" s="1"/>
      <c r="B75" s="43"/>
      <c r="C75" s="44"/>
      <c r="D75" s="44"/>
      <c r="E75" s="44"/>
      <c r="F75" s="45"/>
      <c r="G75" s="45"/>
      <c r="H75" s="44"/>
      <c r="I75" s="46"/>
      <c r="J75" s="44"/>
      <c r="K75" s="44"/>
      <c r="L75" s="47"/>
    </row>
    <row r="76" spans="1:12" ht="15.75" thickTop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47.25" customHeight="1" x14ac:dyDescent="0.2">
      <c r="A77" s="10" t="s">
        <v>2</v>
      </c>
      <c r="B77" s="279" t="s">
        <v>11</v>
      </c>
      <c r="C77" s="279"/>
      <c r="D77" s="279"/>
      <c r="E77" s="279"/>
      <c r="F77" s="279"/>
      <c r="G77" s="279"/>
      <c r="H77" s="279"/>
      <c r="I77" s="279"/>
      <c r="J77" s="279"/>
      <c r="K77" s="279"/>
      <c r="L77" s="279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customHeight="1" x14ac:dyDescent="0.2">
      <c r="A79" s="280" t="s">
        <v>12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51.75" customHeight="1" x14ac:dyDescent="0.25">
      <c r="A82" s="1"/>
      <c r="B82" s="1"/>
      <c r="C82" s="1"/>
      <c r="D82" s="1"/>
      <c r="E82" s="1"/>
      <c r="F82" s="1"/>
      <c r="G82" s="1"/>
      <c r="H82" s="4" t="s">
        <v>199</v>
      </c>
      <c r="J82" s="286" t="s">
        <v>229</v>
      </c>
      <c r="K82" s="286"/>
      <c r="L82" s="286"/>
    </row>
    <row r="83" spans="1:12" ht="15" x14ac:dyDescent="0.25">
      <c r="A83" s="1"/>
      <c r="B83" s="1" t="s">
        <v>15</v>
      </c>
      <c r="C83" s="1"/>
      <c r="D83" s="1"/>
      <c r="E83" s="1"/>
      <c r="F83" s="1"/>
      <c r="G83" s="1"/>
      <c r="H83" s="4" t="s">
        <v>13</v>
      </c>
    </row>
    <row r="84" spans="1:12" ht="15" customHeight="1" x14ac:dyDescent="0.25">
      <c r="A84" s="1"/>
      <c r="B84" s="1" t="s">
        <v>18</v>
      </c>
      <c r="C84" s="1"/>
      <c r="D84" s="1"/>
      <c r="E84" s="1"/>
      <c r="F84" s="1"/>
      <c r="G84" s="1"/>
      <c r="H84" s="4" t="s">
        <v>14</v>
      </c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"/>
    </row>
    <row r="88" spans="1:12" ht="21" customHeight="1" x14ac:dyDescent="0.25">
      <c r="A88" s="1"/>
      <c r="K88" s="103"/>
      <c r="L88" s="1"/>
    </row>
    <row r="89" spans="1:12" ht="15" x14ac:dyDescent="0.25">
      <c r="A89" s="1"/>
      <c r="B89" s="95" t="s">
        <v>77</v>
      </c>
      <c r="H89" s="117" t="s">
        <v>120</v>
      </c>
      <c r="I89" s="95"/>
      <c r="J89" s="92"/>
      <c r="K89" s="103"/>
      <c r="L89" s="1"/>
    </row>
    <row r="90" spans="1:12" ht="15" x14ac:dyDescent="0.25">
      <c r="A90" s="1"/>
      <c r="B90" s="99" t="s">
        <v>27</v>
      </c>
      <c r="C90" s="57"/>
      <c r="H90" s="76" t="s">
        <v>108</v>
      </c>
      <c r="K90" s="103"/>
    </row>
    <row r="91" spans="1:12" ht="12.75" x14ac:dyDescent="0.2"/>
    <row r="92" spans="1:12" ht="12.75" x14ac:dyDescent="0.2"/>
    <row r="93" spans="1:12" ht="12.75" x14ac:dyDescent="0.2"/>
    <row r="94" spans="1:12" ht="12.75" x14ac:dyDescent="0.2"/>
    <row r="95" spans="1:12" ht="12.75" x14ac:dyDescent="0.2"/>
    <row r="96" spans="1:12" ht="12.75" x14ac:dyDescent="0.2"/>
    <row r="97" spans="1:12" ht="12.75" x14ac:dyDescent="0.2"/>
    <row r="98" spans="1:12" ht="18" customHeight="1" x14ac:dyDescent="0.25">
      <c r="A98" s="3" t="s">
        <v>22</v>
      </c>
    </row>
    <row r="99" spans="1:12" ht="23.25" customHeight="1" x14ac:dyDescent="0.2">
      <c r="A99" s="122" t="s">
        <v>20</v>
      </c>
    </row>
    <row r="100" spans="1:12" ht="18.75" customHeight="1" x14ac:dyDescent="0.2">
      <c r="A100" s="122" t="s">
        <v>21</v>
      </c>
    </row>
    <row r="101" spans="1:12" ht="14.25" customHeight="1" x14ac:dyDescent="0.2"/>
    <row r="102" spans="1:12" ht="21" customHeight="1" x14ac:dyDescent="0.2"/>
    <row r="103" spans="1:12" ht="15" customHeight="1" x14ac:dyDescent="0.2"/>
    <row r="104" spans="1:12" ht="18.75" customHeight="1" x14ac:dyDescent="0.3">
      <c r="A104" s="276" t="s">
        <v>6</v>
      </c>
      <c r="B104" s="276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</row>
    <row r="105" spans="1:12" ht="14.25" customHeight="1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</row>
    <row r="106" spans="1:12" ht="18.75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</row>
    <row r="107" spans="1:12" ht="17.25" customHeight="1" x14ac:dyDescent="0.25">
      <c r="A107" s="1"/>
      <c r="B107" s="1"/>
    </row>
    <row r="108" spans="1:12" ht="28.5" customHeight="1" x14ac:dyDescent="0.25">
      <c r="A108" s="1" t="s">
        <v>7</v>
      </c>
      <c r="B108" s="1"/>
    </row>
    <row r="109" spans="1:12" ht="13.5" customHeight="1" x14ac:dyDescent="0.25">
      <c r="A109" s="1"/>
      <c r="B109" s="1"/>
    </row>
    <row r="110" spans="1:12" ht="23.25" customHeight="1" x14ac:dyDescent="0.25">
      <c r="A110" s="1" t="s">
        <v>8</v>
      </c>
      <c r="C110" s="9" t="s">
        <v>1</v>
      </c>
      <c r="D110" s="92" t="s">
        <v>96</v>
      </c>
      <c r="E110" s="76"/>
      <c r="F110" s="76"/>
      <c r="G110" s="76"/>
      <c r="H110" s="76"/>
    </row>
    <row r="111" spans="1:12" ht="19.5" customHeight="1" x14ac:dyDescent="0.25">
      <c r="A111" s="1" t="s">
        <v>9</v>
      </c>
      <c r="C111" s="9" t="s">
        <v>1</v>
      </c>
      <c r="D111" s="57" t="s">
        <v>200</v>
      </c>
      <c r="E111" s="76"/>
      <c r="F111" s="76"/>
      <c r="G111" s="76"/>
      <c r="H111" s="76"/>
    </row>
    <row r="112" spans="1:12" ht="24.75" customHeight="1" x14ac:dyDescent="0.25">
      <c r="A112" s="1" t="s">
        <v>10</v>
      </c>
      <c r="C112" s="9" t="s">
        <v>1</v>
      </c>
      <c r="D112" s="50" t="s">
        <v>203</v>
      </c>
      <c r="E112" s="76"/>
      <c r="F112" s="76"/>
      <c r="G112" s="76"/>
      <c r="H112" s="76"/>
    </row>
    <row r="113" spans="1:12" ht="19.5" customHeight="1" x14ac:dyDescent="0.25">
      <c r="A113" s="1"/>
      <c r="B113" s="1"/>
      <c r="D113" s="1"/>
    </row>
    <row r="114" spans="1:12" ht="51" customHeight="1" x14ac:dyDescent="0.2">
      <c r="A114" s="277" t="s">
        <v>227</v>
      </c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</row>
    <row r="115" spans="1:12" ht="18.75" customHeight="1" x14ac:dyDescent="0.25">
      <c r="A115" s="1"/>
      <c r="B115" s="1"/>
    </row>
    <row r="116" spans="1:12" ht="47.25" customHeight="1" thickBot="1" x14ac:dyDescent="0.25">
      <c r="A116" s="10" t="s">
        <v>0</v>
      </c>
      <c r="B116" s="278" t="s">
        <v>91</v>
      </c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</row>
    <row r="117" spans="1:12" ht="24.75" customHeight="1" thickTop="1" x14ac:dyDescent="0.25">
      <c r="A117" s="1"/>
      <c r="B117" s="11" t="s">
        <v>3</v>
      </c>
      <c r="C117" s="12" t="s">
        <v>4</v>
      </c>
      <c r="D117" s="13"/>
      <c r="E117" s="13"/>
      <c r="F117" s="13"/>
      <c r="G117" s="13"/>
      <c r="H117" s="14"/>
      <c r="I117" s="15" t="s">
        <v>5</v>
      </c>
      <c r="J117" s="12" t="s">
        <v>17</v>
      </c>
      <c r="K117" s="13"/>
      <c r="L117" s="14"/>
    </row>
    <row r="118" spans="1:12" ht="31.5" customHeight="1" x14ac:dyDescent="0.2">
      <c r="A118" s="50"/>
      <c r="B118" s="100">
        <v>1</v>
      </c>
      <c r="C118" s="284" t="s">
        <v>228</v>
      </c>
      <c r="D118" s="285"/>
      <c r="E118" s="285"/>
      <c r="F118" s="285"/>
      <c r="G118" s="76"/>
      <c r="H118" s="79"/>
      <c r="I118" s="56">
        <v>150000</v>
      </c>
      <c r="J118" s="76"/>
      <c r="K118" s="76"/>
      <c r="L118" s="79"/>
    </row>
    <row r="119" spans="1:12" ht="15.75" customHeight="1" x14ac:dyDescent="0.2">
      <c r="A119" s="50"/>
      <c r="B119" s="96"/>
      <c r="C119" s="76"/>
      <c r="D119" s="76"/>
      <c r="E119" s="76"/>
      <c r="F119" s="76"/>
      <c r="G119" s="78"/>
      <c r="H119" s="79"/>
      <c r="I119" s="56"/>
      <c r="J119" s="50"/>
      <c r="K119" s="50"/>
      <c r="L119" s="55"/>
    </row>
    <row r="120" spans="1:12" ht="26.25" customHeight="1" x14ac:dyDescent="0.2">
      <c r="B120" s="16"/>
      <c r="H120" s="17"/>
      <c r="I120" s="19"/>
      <c r="L120" s="17"/>
    </row>
    <row r="121" spans="1:12" ht="25.5" customHeight="1" x14ac:dyDescent="0.2">
      <c r="B121" s="20"/>
      <c r="C121" s="21"/>
      <c r="D121" s="21"/>
      <c r="E121" s="21"/>
      <c r="F121" s="21"/>
      <c r="G121" s="21"/>
      <c r="H121" s="22"/>
      <c r="I121" s="23"/>
      <c r="J121" s="21"/>
      <c r="K121" s="21"/>
      <c r="L121" s="22"/>
    </row>
    <row r="122" spans="1:12" ht="21" customHeight="1" x14ac:dyDescent="0.25">
      <c r="A122" s="1"/>
      <c r="B122" s="39"/>
      <c r="C122" s="1"/>
      <c r="D122" s="1"/>
      <c r="E122" s="1"/>
      <c r="F122" s="40" t="s">
        <v>5</v>
      </c>
      <c r="G122" s="40"/>
      <c r="H122" s="1"/>
      <c r="I122" s="41">
        <f>SUM(I118:I119)</f>
        <v>150000</v>
      </c>
      <c r="J122" s="1"/>
      <c r="K122" s="1"/>
      <c r="L122" s="42"/>
    </row>
    <row r="123" spans="1:12" ht="12.75" customHeight="1" thickBot="1" x14ac:dyDescent="0.3">
      <c r="A123" s="1"/>
      <c r="B123" s="43"/>
      <c r="C123" s="44"/>
      <c r="D123" s="44"/>
      <c r="E123" s="44"/>
      <c r="F123" s="45"/>
      <c r="G123" s="45"/>
      <c r="H123" s="44"/>
      <c r="I123" s="46"/>
      <c r="J123" s="44"/>
      <c r="K123" s="44"/>
      <c r="L123" s="47"/>
    </row>
    <row r="124" spans="1:12" ht="12.75" customHeight="1" thickTop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49.5" customHeight="1" x14ac:dyDescent="0.2">
      <c r="A125" s="10" t="s">
        <v>2</v>
      </c>
      <c r="B125" s="279" t="s">
        <v>11</v>
      </c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</row>
    <row r="126" spans="1:1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x14ac:dyDescent="0.2">
      <c r="A127" s="280" t="s">
        <v>12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</row>
    <row r="128" spans="1:12" ht="1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customHeight="1" x14ac:dyDescent="0.25">
      <c r="A130" s="1"/>
      <c r="B130" s="1"/>
      <c r="C130" s="1"/>
      <c r="D130" s="1"/>
      <c r="E130" s="1"/>
      <c r="F130" s="1"/>
      <c r="G130" s="1"/>
      <c r="H130" s="4" t="s">
        <v>199</v>
      </c>
      <c r="J130" s="286" t="s">
        <v>229</v>
      </c>
      <c r="K130" s="286"/>
      <c r="L130" s="286"/>
    </row>
    <row r="131" spans="1:12" ht="15" customHeight="1" x14ac:dyDescent="0.25">
      <c r="A131" s="1"/>
      <c r="B131" s="1" t="s">
        <v>15</v>
      </c>
      <c r="C131" s="1"/>
      <c r="D131" s="1"/>
      <c r="E131" s="1"/>
      <c r="F131" s="1"/>
      <c r="G131" s="1"/>
      <c r="H131" s="4" t="s">
        <v>13</v>
      </c>
    </row>
    <row r="132" spans="1:12" ht="15" x14ac:dyDescent="0.25">
      <c r="A132" s="1"/>
      <c r="B132" s="1" t="s">
        <v>18</v>
      </c>
      <c r="C132" s="1"/>
      <c r="D132" s="1"/>
      <c r="E132" s="1"/>
      <c r="F132" s="1"/>
      <c r="G132" s="1"/>
      <c r="H132" s="4" t="s">
        <v>14</v>
      </c>
    </row>
    <row r="133" spans="1:12" ht="1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 x14ac:dyDescent="0.25">
      <c r="A135" s="1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"/>
    </row>
    <row r="136" spans="1:12" ht="24" customHeight="1" x14ac:dyDescent="0.25">
      <c r="A136" s="1"/>
      <c r="K136" s="103"/>
      <c r="L136" s="1"/>
    </row>
    <row r="137" spans="1:12" ht="15" customHeight="1" x14ac:dyDescent="0.25">
      <c r="A137" s="1"/>
      <c r="B137" s="95" t="s">
        <v>77</v>
      </c>
      <c r="H137" s="95" t="s">
        <v>96</v>
      </c>
      <c r="I137" s="95"/>
      <c r="J137" s="92"/>
      <c r="K137" s="103"/>
      <c r="L137" s="1"/>
    </row>
    <row r="138" spans="1:12" ht="15" x14ac:dyDescent="0.25">
      <c r="A138" s="1"/>
      <c r="B138" s="99" t="s">
        <v>27</v>
      </c>
      <c r="C138" s="57"/>
      <c r="H138" s="4" t="s">
        <v>100</v>
      </c>
      <c r="K138" s="103"/>
    </row>
    <row r="139" spans="1:12" ht="15" customHeight="1" x14ac:dyDescent="0.2"/>
    <row r="140" spans="1:12" ht="12.75" x14ac:dyDescent="0.2"/>
    <row r="141" spans="1:12" ht="12.75" x14ac:dyDescent="0.2"/>
    <row r="142" spans="1:12" ht="12.75" x14ac:dyDescent="0.2"/>
    <row r="143" spans="1:12" ht="14.25" customHeight="1" x14ac:dyDescent="0.2"/>
    <row r="144" spans="1:12" ht="17.25" customHeight="1" x14ac:dyDescent="0.2"/>
    <row r="145" ht="16.5" customHeight="1" x14ac:dyDescent="0.2"/>
    <row r="146" ht="21" customHeight="1" x14ac:dyDescent="0.2"/>
    <row r="147" ht="15.75" customHeight="1" x14ac:dyDescent="0.2"/>
    <row r="148" ht="20.25" customHeight="1" x14ac:dyDescent="0.2"/>
    <row r="149" ht="18.75" customHeight="1" x14ac:dyDescent="0.2"/>
    <row r="150" s="76" customFormat="1" ht="23.25" customHeight="1" x14ac:dyDescent="0.2"/>
    <row r="151" ht="17.25" customHeight="1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6.5" customHeight="1" x14ac:dyDescent="0.2"/>
    <row r="158" ht="15.75" customHeight="1" x14ac:dyDescent="0.2"/>
    <row r="159" ht="42.75" customHeight="1" x14ac:dyDescent="0.2"/>
    <row r="160" ht="14.25" customHeight="1" x14ac:dyDescent="0.2"/>
    <row r="161" ht="20.25" customHeight="1" x14ac:dyDescent="0.2"/>
    <row r="162" ht="23.25" customHeight="1" x14ac:dyDescent="0.2"/>
    <row r="163" ht="20.25" customHeight="1" x14ac:dyDescent="0.2"/>
    <row r="164" ht="13.5" customHeight="1" x14ac:dyDescent="0.2"/>
    <row r="165" ht="15" customHeight="1" x14ac:dyDescent="0.2"/>
    <row r="166" ht="42.75" customHeight="1" x14ac:dyDescent="0.2"/>
    <row r="167" ht="14.25" hidden="1" customHeight="1" x14ac:dyDescent="0.2"/>
    <row r="168" ht="41.25" customHeight="1" x14ac:dyDescent="0.2"/>
    <row r="169" ht="15.75" customHeight="1" x14ac:dyDescent="0.2"/>
    <row r="170" ht="28.5" customHeight="1" x14ac:dyDescent="0.2"/>
    <row r="171" ht="21" customHeight="1" x14ac:dyDescent="0.2"/>
    <row r="172" ht="40.5" customHeight="1" x14ac:dyDescent="0.2"/>
    <row r="173" ht="15" customHeight="1" x14ac:dyDescent="0.2"/>
    <row r="174" ht="12.75" customHeight="1" x14ac:dyDescent="0.2"/>
    <row r="175" ht="16.5" customHeight="1" x14ac:dyDescent="0.2"/>
    <row r="176" s="76" customFormat="1" ht="12.75" x14ac:dyDescent="0.2"/>
    <row r="177" ht="48" customHeight="1" x14ac:dyDescent="0.2"/>
    <row r="178" ht="12.75" x14ac:dyDescent="0.2"/>
    <row r="179" ht="12.75" x14ac:dyDescent="0.2"/>
    <row r="180" ht="12.75" x14ac:dyDescent="0.2"/>
    <row r="181" ht="15" customHeight="1" x14ac:dyDescent="0.2"/>
    <row r="182" ht="12.75" x14ac:dyDescent="0.2"/>
    <row r="183" ht="15" customHeight="1" x14ac:dyDescent="0.2"/>
    <row r="184" ht="12.75" x14ac:dyDescent="0.2"/>
    <row r="185" ht="15" customHeight="1" x14ac:dyDescent="0.2"/>
    <row r="186" ht="12.75" x14ac:dyDescent="0.2"/>
    <row r="187" ht="12.75" x14ac:dyDescent="0.2"/>
    <row r="188" ht="12.75" x14ac:dyDescent="0.2"/>
    <row r="189" ht="16.5" customHeight="1" x14ac:dyDescent="0.2"/>
    <row r="190" ht="15.75" customHeight="1" x14ac:dyDescent="0.2"/>
    <row r="191" ht="14.25" customHeight="1" x14ac:dyDescent="0.2"/>
    <row r="192" ht="12.75" x14ac:dyDescent="0.2"/>
    <row r="193" ht="18.75" customHeight="1" x14ac:dyDescent="0.2"/>
    <row r="194" ht="19.5" customHeight="1" x14ac:dyDescent="0.2"/>
    <row r="195" ht="15.75" customHeight="1" x14ac:dyDescent="0.2"/>
    <row r="196" ht="20.25" customHeight="1" x14ac:dyDescent="0.2"/>
    <row r="197" ht="17.25" customHeight="1" x14ac:dyDescent="0.2"/>
    <row r="198" ht="18" customHeight="1" x14ac:dyDescent="0.2"/>
    <row r="199" ht="22.5" customHeight="1" x14ac:dyDescent="0.2"/>
    <row r="200" ht="14.25" customHeight="1" x14ac:dyDescent="0.2"/>
    <row r="201" ht="18.75" customHeight="1" x14ac:dyDescent="0.2"/>
    <row r="202" ht="12.75" x14ac:dyDescent="0.2"/>
    <row r="203" s="76" customFormat="1" ht="17.25" customHeight="1" x14ac:dyDescent="0.2"/>
    <row r="204" ht="17.25" customHeight="1" x14ac:dyDescent="0.2"/>
    <row r="205" ht="17.25" customHeight="1" x14ac:dyDescent="0.2"/>
    <row r="206" ht="18" customHeight="1" x14ac:dyDescent="0.2"/>
    <row r="207" ht="17.25" customHeight="1" x14ac:dyDescent="0.2"/>
    <row r="208" ht="17.25" customHeight="1" x14ac:dyDescent="0.2"/>
    <row r="209" ht="15.75" customHeight="1" x14ac:dyDescent="0.2"/>
    <row r="210" ht="12.75" x14ac:dyDescent="0.2"/>
    <row r="211" ht="18" customHeight="1" x14ac:dyDescent="0.2"/>
    <row r="212" ht="14.25" customHeight="1" x14ac:dyDescent="0.2"/>
    <row r="213" ht="18.75" customHeight="1" x14ac:dyDescent="0.2"/>
    <row r="214" ht="39" customHeight="1" x14ac:dyDescent="0.2"/>
    <row r="215" ht="24.75" customHeight="1" x14ac:dyDescent="0.2"/>
    <row r="216" ht="42.75" customHeight="1" x14ac:dyDescent="0.2"/>
    <row r="217" ht="24" customHeight="1" x14ac:dyDescent="0.2"/>
    <row r="218" ht="37.5" customHeight="1" x14ac:dyDescent="0.2"/>
    <row r="219" ht="30.75" customHeight="1" x14ac:dyDescent="0.2"/>
    <row r="220" ht="12.75" x14ac:dyDescent="0.2"/>
    <row r="221" ht="15" customHeight="1" x14ac:dyDescent="0.2"/>
    <row r="222" ht="20.25" customHeight="1" x14ac:dyDescent="0.2"/>
    <row r="223" ht="12.75" x14ac:dyDescent="0.2"/>
    <row r="224" ht="36.75" customHeight="1" x14ac:dyDescent="0.2"/>
    <row r="225" ht="48" customHeight="1" x14ac:dyDescent="0.2"/>
    <row r="226" ht="15" customHeight="1" x14ac:dyDescent="0.2"/>
    <row r="227" ht="15" customHeight="1" x14ac:dyDescent="0.2"/>
    <row r="228" ht="45.75" customHeight="1" x14ac:dyDescent="0.2"/>
    <row r="229" ht="15.75" customHeight="1" x14ac:dyDescent="0.2"/>
    <row r="230" ht="15" customHeight="1" x14ac:dyDescent="0.2"/>
    <row r="231" ht="12.75" x14ac:dyDescent="0.2"/>
    <row r="232" ht="14.25" customHeight="1" x14ac:dyDescent="0.2"/>
    <row r="233" ht="12.75" x14ac:dyDescent="0.2"/>
    <row r="234" ht="12.75" x14ac:dyDescent="0.2"/>
    <row r="235" ht="12.75" x14ac:dyDescent="0.2"/>
    <row r="236" ht="19.5" customHeight="1" x14ac:dyDescent="0.2"/>
    <row r="237" ht="15.75" customHeight="1" x14ac:dyDescent="0.2"/>
    <row r="238" ht="12" customHeight="1" x14ac:dyDescent="0.2"/>
    <row r="239" ht="19.5" customHeight="1" x14ac:dyDescent="0.2"/>
    <row r="240" ht="18.75" customHeight="1" x14ac:dyDescent="0.2"/>
    <row r="241" s="119" customFormat="1" ht="18" customHeight="1" x14ac:dyDescent="0.2"/>
    <row r="242" ht="12.75" x14ac:dyDescent="0.2"/>
    <row r="243" ht="22.5" customHeight="1" x14ac:dyDescent="0.2"/>
    <row r="244" ht="19.5" customHeight="1" x14ac:dyDescent="0.2"/>
    <row r="245" ht="19.5" customHeight="1" x14ac:dyDescent="0.2"/>
    <row r="246" ht="16.5" customHeight="1" x14ac:dyDescent="0.2"/>
    <row r="247" ht="13.5" customHeight="1" x14ac:dyDescent="0.2"/>
    <row r="248" ht="12.75" customHeight="1" x14ac:dyDescent="0.2"/>
    <row r="249" ht="22.5" customHeight="1" x14ac:dyDescent="0.2"/>
    <row r="250" ht="15.75" customHeight="1" x14ac:dyDescent="0.2"/>
    <row r="251" ht="19.5" customHeight="1" x14ac:dyDescent="0.2"/>
    <row r="252" ht="20.25" customHeight="1" x14ac:dyDescent="0.2"/>
    <row r="253" ht="15.75" customHeight="1" x14ac:dyDescent="0.2"/>
    <row r="254" ht="16.5" customHeight="1" x14ac:dyDescent="0.2"/>
    <row r="255" ht="15" customHeight="1" x14ac:dyDescent="0.2"/>
    <row r="256" ht="18.75" customHeight="1" x14ac:dyDescent="0.2"/>
    <row r="257" ht="13.5" customHeight="1" x14ac:dyDescent="0.2"/>
    <row r="258" ht="16.5" customHeight="1" x14ac:dyDescent="0.2"/>
    <row r="259" ht="17.25" customHeight="1" x14ac:dyDescent="0.2"/>
    <row r="260" ht="11.25" customHeight="1" x14ac:dyDescent="0.2"/>
    <row r="261" ht="34.5" customHeight="1" x14ac:dyDescent="0.2"/>
    <row r="262" ht="15" customHeight="1" x14ac:dyDescent="0.2"/>
    <row r="263" ht="21" customHeight="1" x14ac:dyDescent="0.2"/>
    <row r="264" ht="12.75" x14ac:dyDescent="0.2"/>
    <row r="265" ht="39" customHeight="1" x14ac:dyDescent="0.2"/>
    <row r="266" ht="12.75" x14ac:dyDescent="0.2"/>
    <row r="267" ht="35.25" customHeight="1" x14ac:dyDescent="0.2"/>
    <row r="268" ht="30.75" customHeight="1" x14ac:dyDescent="0.2"/>
    <row r="269" ht="12.75" x14ac:dyDescent="0.2"/>
    <row r="270" ht="15" customHeight="1" x14ac:dyDescent="0.2"/>
    <row r="271" ht="12.75" x14ac:dyDescent="0.2"/>
    <row r="272" ht="32.25" customHeight="1" x14ac:dyDescent="0.2"/>
    <row r="273" ht="22.5" customHeight="1" x14ac:dyDescent="0.2"/>
    <row r="274" ht="7.5" customHeight="1" x14ac:dyDescent="0.2"/>
    <row r="275" ht="12.75" x14ac:dyDescent="0.2"/>
    <row r="276" ht="51.75" customHeight="1" x14ac:dyDescent="0.2"/>
    <row r="277" ht="27.75" customHeight="1" x14ac:dyDescent="0.2"/>
    <row r="278" ht="15" customHeight="1" x14ac:dyDescent="0.2"/>
    <row r="279" ht="17.25" customHeight="1" x14ac:dyDescent="0.2"/>
    <row r="280" ht="9" customHeight="1" x14ac:dyDescent="0.2"/>
    <row r="281" ht="21" customHeight="1" x14ac:dyDescent="0.2"/>
    <row r="282" ht="18.75" customHeight="1" x14ac:dyDescent="0.2"/>
    <row r="283" ht="15.75" customHeight="1" x14ac:dyDescent="0.2"/>
    <row r="284" ht="23.25" customHeight="1" x14ac:dyDescent="0.2"/>
    <row r="285" ht="10.5" customHeight="1" x14ac:dyDescent="0.2"/>
    <row r="286" ht="28.5" hidden="1" customHeight="1" x14ac:dyDescent="0.2"/>
    <row r="287" ht="24" customHeight="1" x14ac:dyDescent="0.2"/>
    <row r="288" ht="19.5" customHeight="1" x14ac:dyDescent="0.2"/>
    <row r="289" ht="15" customHeight="1" x14ac:dyDescent="0.2"/>
    <row r="290" ht="45" customHeight="1" x14ac:dyDescent="0.2"/>
    <row r="291" ht="21" customHeight="1" x14ac:dyDescent="0.2"/>
    <row r="292" ht="24" customHeight="1" x14ac:dyDescent="0.2"/>
    <row r="293" ht="16.5" customHeight="1" x14ac:dyDescent="0.2"/>
    <row r="294" ht="13.5" customHeight="1" x14ac:dyDescent="0.2"/>
    <row r="295" ht="12.75" x14ac:dyDescent="0.2"/>
    <row r="296" ht="12.75" x14ac:dyDescent="0.2"/>
    <row r="297" ht="15.75" customHeight="1" x14ac:dyDescent="0.2"/>
    <row r="298" ht="15" customHeight="1" x14ac:dyDescent="0.2"/>
    <row r="299" ht="18" customHeight="1" x14ac:dyDescent="0.2"/>
    <row r="300" ht="15.75" customHeight="1" x14ac:dyDescent="0.2"/>
    <row r="301" ht="11.25" customHeight="1" x14ac:dyDescent="0.2"/>
    <row r="302" ht="23.25" customHeight="1" x14ac:dyDescent="0.2"/>
    <row r="303" ht="18" customHeight="1" x14ac:dyDescent="0.2"/>
    <row r="304" ht="13.5" customHeight="1" x14ac:dyDescent="0.2"/>
    <row r="305" ht="15" customHeight="1" x14ac:dyDescent="0.2"/>
    <row r="306" ht="14.25" customHeight="1" x14ac:dyDescent="0.2"/>
    <row r="307" ht="12.75" x14ac:dyDescent="0.2"/>
    <row r="308" ht="18" customHeight="1" x14ac:dyDescent="0.2"/>
    <row r="309" ht="18" customHeight="1" x14ac:dyDescent="0.2"/>
    <row r="310" ht="46.5" customHeight="1" x14ac:dyDescent="0.2"/>
    <row r="311" ht="18" customHeight="1" x14ac:dyDescent="0.2"/>
    <row r="312" ht="38.25" customHeight="1" x14ac:dyDescent="0.2"/>
    <row r="313" ht="31.5" customHeight="1" x14ac:dyDescent="0.2"/>
    <row r="314" ht="39" customHeight="1" x14ac:dyDescent="0.2"/>
    <row r="315" ht="36.75" customHeight="1" x14ac:dyDescent="0.2"/>
    <row r="316" ht="12.75" x14ac:dyDescent="0.2"/>
    <row r="317" ht="12.75" x14ac:dyDescent="0.2"/>
    <row r="318" ht="17.25" customHeight="1" x14ac:dyDescent="0.2"/>
    <row r="319" ht="9" customHeight="1" x14ac:dyDescent="0.2"/>
    <row r="320" ht="12.75" x14ac:dyDescent="0.2"/>
    <row r="321" ht="47.25" customHeight="1" x14ac:dyDescent="0.2"/>
    <row r="322" ht="12.75" x14ac:dyDescent="0.2"/>
    <row r="323" ht="25.5" customHeight="1" x14ac:dyDescent="0.2"/>
    <row r="324" ht="12.75" x14ac:dyDescent="0.2"/>
    <row r="325" ht="12.75" x14ac:dyDescent="0.2"/>
    <row r="326" ht="27" customHeight="1" x14ac:dyDescent="0.2"/>
    <row r="327" ht="15.75" customHeight="1" x14ac:dyDescent="0.2"/>
    <row r="328" ht="19.5" customHeight="1" x14ac:dyDescent="0.2"/>
    <row r="329" ht="12.75" x14ac:dyDescent="0.2"/>
    <row r="330" ht="12.75" x14ac:dyDescent="0.2"/>
    <row r="331" ht="18" customHeight="1" x14ac:dyDescent="0.2"/>
    <row r="332" ht="15.75" customHeight="1" x14ac:dyDescent="0.2"/>
    <row r="333" ht="19.5" customHeight="1" x14ac:dyDescent="0.2"/>
    <row r="334" ht="18" customHeight="1" x14ac:dyDescent="0.2"/>
    <row r="335" ht="12.75" x14ac:dyDescent="0.2"/>
    <row r="336" ht="16.5" customHeight="1" x14ac:dyDescent="0.2"/>
    <row r="337" ht="42.75" customHeight="1" x14ac:dyDescent="0.2"/>
    <row r="338" ht="12.75" x14ac:dyDescent="0.2"/>
    <row r="339" ht="15" customHeight="1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" customHeight="1" x14ac:dyDescent="0.2"/>
    <row r="347" ht="12" customHeight="1" x14ac:dyDescent="0.2"/>
    <row r="348" ht="16.5" customHeight="1" x14ac:dyDescent="0.2"/>
    <row r="349" ht="16.5" customHeight="1" x14ac:dyDescent="0.2"/>
    <row r="350" ht="15" customHeight="1" x14ac:dyDescent="0.2"/>
    <row r="351" ht="15" customHeight="1" x14ac:dyDescent="0.2"/>
    <row r="352" ht="12.75" x14ac:dyDescent="0.2"/>
    <row r="353" ht="12.75" x14ac:dyDescent="0.2"/>
    <row r="354" ht="29.1" customHeight="1" x14ac:dyDescent="0.2"/>
    <row r="355" ht="20.100000000000001" customHeight="1" x14ac:dyDescent="0.2"/>
    <row r="356" ht="15.75" customHeight="1" x14ac:dyDescent="0.2"/>
    <row r="357" ht="12.75" x14ac:dyDescent="0.2"/>
    <row r="358" ht="12.75" x14ac:dyDescent="0.2"/>
    <row r="359" ht="38.25" customHeight="1" x14ac:dyDescent="0.2"/>
    <row r="360" ht="12.75" x14ac:dyDescent="0.2"/>
    <row r="361" ht="24" customHeight="1" x14ac:dyDescent="0.2"/>
    <row r="362" ht="12.75" x14ac:dyDescent="0.2"/>
    <row r="363" ht="12.75" x14ac:dyDescent="0.2"/>
    <row r="364" ht="25.5" customHeight="1" x14ac:dyDescent="0.2"/>
    <row r="365" ht="12.75" x14ac:dyDescent="0.2"/>
    <row r="366" ht="12.75" x14ac:dyDescent="0.2"/>
    <row r="367" ht="15" customHeight="1" x14ac:dyDescent="0.2"/>
    <row r="368" ht="12.75" x14ac:dyDescent="0.2"/>
    <row r="369" ht="15" customHeight="1" x14ac:dyDescent="0.2"/>
    <row r="370" ht="12.75" x14ac:dyDescent="0.2"/>
    <row r="371" ht="12.75" x14ac:dyDescent="0.2"/>
    <row r="372" ht="15" customHeight="1" x14ac:dyDescent="0.2"/>
    <row r="373" ht="12.75" x14ac:dyDescent="0.2"/>
    <row r="374" ht="12.75" customHeight="1" x14ac:dyDescent="0.2"/>
    <row r="375" ht="36.75" customHeight="1" x14ac:dyDescent="0.2"/>
    <row r="376" ht="23.25" customHeight="1" x14ac:dyDescent="0.2"/>
    <row r="377" ht="37.5" customHeight="1" x14ac:dyDescent="0.2"/>
    <row r="378" ht="23.25" customHeight="1" x14ac:dyDescent="0.2"/>
    <row r="379" ht="12.75" x14ac:dyDescent="0.2"/>
    <row r="380" ht="13.5" customHeight="1" x14ac:dyDescent="0.2"/>
    <row r="381" ht="12.75" customHeight="1" x14ac:dyDescent="0.2"/>
    <row r="382" ht="30" customHeight="1" x14ac:dyDescent="0.2"/>
    <row r="383" ht="15.75" customHeight="1" x14ac:dyDescent="0.2"/>
    <row r="384" ht="16.5" customHeight="1" x14ac:dyDescent="0.2"/>
    <row r="385" ht="21" customHeight="1" x14ac:dyDescent="0.2"/>
    <row r="386" ht="46.5" customHeight="1" x14ac:dyDescent="0.2"/>
    <row r="387" ht="12.75" x14ac:dyDescent="0.2"/>
    <row r="388" ht="30.75" customHeight="1" x14ac:dyDescent="0.2"/>
    <row r="389" ht="12.75" x14ac:dyDescent="0.2"/>
    <row r="390" ht="15" customHeight="1" x14ac:dyDescent="0.2"/>
    <row r="391" ht="14.25" customHeight="1" x14ac:dyDescent="0.2"/>
    <row r="392" ht="15" customHeight="1" x14ac:dyDescent="0.2"/>
    <row r="393" ht="15" customHeight="1" x14ac:dyDescent="0.2"/>
    <row r="394" ht="18" customHeight="1" x14ac:dyDescent="0.2"/>
    <row r="395" ht="16.5" customHeight="1" x14ac:dyDescent="0.2"/>
    <row r="396" ht="15" customHeight="1" x14ac:dyDescent="0.2"/>
    <row r="397" ht="15" customHeight="1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26.45" customHeight="1" x14ac:dyDescent="0.2"/>
    <row r="405" ht="12.75" x14ac:dyDescent="0.2"/>
    <row r="406" ht="15.75" customHeight="1" x14ac:dyDescent="0.2"/>
    <row r="407" ht="14.25" customHeight="1" x14ac:dyDescent="0.2"/>
    <row r="408" ht="16.5" customHeight="1" x14ac:dyDescent="0.2"/>
    <row r="409" ht="41.25" customHeight="1" x14ac:dyDescent="0.2"/>
    <row r="410" ht="10.5" customHeight="1" x14ac:dyDescent="0.2"/>
    <row r="411" ht="42.75" customHeight="1" x14ac:dyDescent="0.2"/>
    <row r="412" ht="12.75" x14ac:dyDescent="0.2"/>
    <row r="413" ht="19.5" customHeight="1" x14ac:dyDescent="0.2"/>
    <row r="414" ht="12.75" x14ac:dyDescent="0.2"/>
    <row r="415" ht="12.75" x14ac:dyDescent="0.2"/>
    <row r="416" ht="12.75" x14ac:dyDescent="0.2"/>
    <row r="417" ht="21" customHeight="1" x14ac:dyDescent="0.2"/>
    <row r="418" ht="12.75" x14ac:dyDescent="0.2"/>
    <row r="419" ht="15" customHeight="1" x14ac:dyDescent="0.2"/>
    <row r="420" ht="12.75" x14ac:dyDescent="0.2"/>
    <row r="421" ht="19.5" customHeight="1" x14ac:dyDescent="0.2"/>
    <row r="422" ht="45" customHeight="1" x14ac:dyDescent="0.2"/>
    <row r="423" ht="15.75" customHeight="1" x14ac:dyDescent="0.2"/>
    <row r="424" ht="15" customHeight="1" x14ac:dyDescent="0.2"/>
    <row r="425" ht="14.25" customHeight="1" x14ac:dyDescent="0.2"/>
    <row r="426" ht="13.5" customHeight="1" x14ac:dyDescent="0.2"/>
    <row r="427" ht="30" customHeight="1" x14ac:dyDescent="0.2"/>
    <row r="428" ht="21.75" customHeight="1" x14ac:dyDescent="0.2"/>
    <row r="429" ht="31.5" customHeight="1" x14ac:dyDescent="0.2"/>
    <row r="430" ht="32.25" customHeight="1" x14ac:dyDescent="0.2"/>
    <row r="431" ht="21.75" customHeight="1" x14ac:dyDescent="0.2"/>
    <row r="432" ht="19.5" customHeight="1" x14ac:dyDescent="0.2"/>
    <row r="433" ht="19.5" customHeight="1" x14ac:dyDescent="0.2"/>
    <row r="434" ht="12.75" x14ac:dyDescent="0.2"/>
    <row r="435" ht="12.75" x14ac:dyDescent="0.2"/>
    <row r="436" ht="15" customHeight="1" x14ac:dyDescent="0.2"/>
    <row r="437" ht="12.75" x14ac:dyDescent="0.2"/>
    <row r="438" ht="48" customHeight="1" x14ac:dyDescent="0.2"/>
    <row r="439" ht="17.25" customHeight="1" x14ac:dyDescent="0.2"/>
    <row r="440" ht="47.25" customHeight="1" x14ac:dyDescent="0.2"/>
    <row r="441" ht="15" customHeight="1" x14ac:dyDescent="0.2"/>
    <row r="442" ht="14.25" customHeight="1" x14ac:dyDescent="0.2"/>
    <row r="443" ht="15" customHeight="1" x14ac:dyDescent="0.2"/>
    <row r="444" ht="12.75" x14ac:dyDescent="0.2"/>
    <row r="445" ht="12.75" x14ac:dyDescent="0.2"/>
    <row r="446" s="76" customFormat="1" ht="12.75" x14ac:dyDescent="0.2"/>
    <row r="447" s="76" customFormat="1" ht="12.75" x14ac:dyDescent="0.2"/>
    <row r="448" s="76" customFormat="1" ht="10.5" customHeight="1" x14ac:dyDescent="0.2"/>
    <row r="449" ht="12.75" customHeight="1" x14ac:dyDescent="0.2"/>
    <row r="450" ht="30.6" customHeight="1" x14ac:dyDescent="0.2"/>
    <row r="451" ht="12.75" x14ac:dyDescent="0.2"/>
    <row r="452" ht="15.75" customHeight="1" x14ac:dyDescent="0.2"/>
    <row r="453" ht="12.75" x14ac:dyDescent="0.2"/>
    <row r="454" ht="15.75" customHeight="1" x14ac:dyDescent="0.2"/>
    <row r="455" ht="33" customHeight="1" x14ac:dyDescent="0.2"/>
    <row r="456" ht="16.5" customHeight="1" x14ac:dyDescent="0.2"/>
    <row r="457" ht="30.75" customHeight="1" x14ac:dyDescent="0.2"/>
    <row r="458" ht="17.25" customHeight="1" x14ac:dyDescent="0.2"/>
    <row r="459" ht="16.5" customHeight="1" x14ac:dyDescent="0.2"/>
    <row r="460" ht="12.75" x14ac:dyDescent="0.2"/>
    <row r="461" ht="12.75" x14ac:dyDescent="0.2"/>
    <row r="462" ht="12.75" x14ac:dyDescent="0.2"/>
    <row r="463" ht="15" customHeight="1" x14ac:dyDescent="0.2"/>
    <row r="464" ht="12.75" x14ac:dyDescent="0.2"/>
    <row r="465" ht="15" customHeight="1" x14ac:dyDescent="0.2"/>
    <row r="466" ht="12.75" x14ac:dyDescent="0.2"/>
    <row r="467" ht="17.25" customHeight="1" x14ac:dyDescent="0.2"/>
    <row r="468" ht="22.5" customHeight="1" x14ac:dyDescent="0.2"/>
    <row r="469" ht="16.5" customHeight="1" x14ac:dyDescent="0.2"/>
    <row r="470" ht="16.5" customHeight="1" x14ac:dyDescent="0.2"/>
    <row r="471" ht="16.5" customHeight="1" x14ac:dyDescent="0.2"/>
    <row r="472" ht="26.25" customHeight="1" x14ac:dyDescent="0.2"/>
    <row r="473" ht="34.5" customHeight="1" x14ac:dyDescent="0.2"/>
    <row r="474" ht="30.75" customHeight="1" x14ac:dyDescent="0.2"/>
    <row r="475" ht="39" customHeight="1" x14ac:dyDescent="0.2"/>
    <row r="476" ht="15.75" customHeight="1" x14ac:dyDescent="0.2"/>
    <row r="477" ht="27.75" customHeight="1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36.75" customHeight="1" x14ac:dyDescent="0.2"/>
    <row r="486" ht="20.25" customHeight="1" x14ac:dyDescent="0.2"/>
    <row r="487" ht="39" customHeight="1" x14ac:dyDescent="0.2"/>
    <row r="488" ht="16.5" customHeight="1" x14ac:dyDescent="0.2"/>
    <row r="489" ht="16.5" customHeight="1" x14ac:dyDescent="0.2"/>
    <row r="490" ht="12.75" x14ac:dyDescent="0.2"/>
    <row r="491" ht="15" customHeight="1" x14ac:dyDescent="0.2"/>
    <row r="492" ht="39.75" customHeight="1" x14ac:dyDescent="0.2"/>
    <row r="493" ht="23.25" customHeight="1" x14ac:dyDescent="0.2"/>
    <row r="494" ht="16.5" customHeight="1" x14ac:dyDescent="0.2"/>
    <row r="495" ht="20.100000000000001" customHeight="1" x14ac:dyDescent="0.2"/>
    <row r="496" ht="50.25" customHeight="1" x14ac:dyDescent="0.2"/>
    <row r="497" ht="12.75" x14ac:dyDescent="0.2"/>
    <row r="498" ht="12.75" x14ac:dyDescent="0.2"/>
    <row r="499" ht="12.75" x14ac:dyDescent="0.2"/>
    <row r="500" ht="38.25" customHeight="1" x14ac:dyDescent="0.2"/>
    <row r="501" ht="12.75" x14ac:dyDescent="0.2"/>
    <row r="502" ht="12" customHeight="1" x14ac:dyDescent="0.2"/>
    <row r="503" ht="12.75" x14ac:dyDescent="0.2"/>
    <row r="504" ht="25.5" customHeight="1" x14ac:dyDescent="0.2"/>
    <row r="505" ht="12.75" x14ac:dyDescent="0.2"/>
    <row r="506" ht="12.75" x14ac:dyDescent="0.2"/>
    <row r="507" ht="15" customHeight="1" x14ac:dyDescent="0.2"/>
    <row r="508" ht="12.75" x14ac:dyDescent="0.2"/>
    <row r="509" ht="15" customHeight="1" x14ac:dyDescent="0.2"/>
    <row r="510" ht="12.75" x14ac:dyDescent="0.2"/>
    <row r="511" ht="12.75" x14ac:dyDescent="0.2"/>
    <row r="512" ht="12.75" x14ac:dyDescent="0.2"/>
    <row r="513" ht="42.75" customHeight="1" x14ac:dyDescent="0.2"/>
    <row r="514" ht="12.75" x14ac:dyDescent="0.2"/>
    <row r="515" ht="15" customHeight="1" x14ac:dyDescent="0.2"/>
    <row r="516" ht="23.25" customHeight="1" x14ac:dyDescent="0.2"/>
    <row r="517" ht="15" customHeight="1" x14ac:dyDescent="0.2"/>
    <row r="518" ht="13.5" customHeight="1" x14ac:dyDescent="0.2"/>
    <row r="519" ht="12.75" x14ac:dyDescent="0.2"/>
    <row r="520" ht="13.5" customHeight="1" x14ac:dyDescent="0.2"/>
    <row r="521" ht="12.75" x14ac:dyDescent="0.2"/>
    <row r="522" ht="30" customHeight="1" x14ac:dyDescent="0.2"/>
    <row r="523" ht="12.75" x14ac:dyDescent="0.2"/>
    <row r="524" ht="16.5" customHeight="1" x14ac:dyDescent="0.2"/>
    <row r="525" ht="21" customHeight="1" x14ac:dyDescent="0.2"/>
    <row r="526" ht="15" customHeight="1" x14ac:dyDescent="0.2"/>
    <row r="527" ht="12.75" x14ac:dyDescent="0.2"/>
    <row r="528" ht="12.75" x14ac:dyDescent="0.2"/>
    <row r="529" ht="33.75" customHeight="1" x14ac:dyDescent="0.2"/>
    <row r="530" ht="28.5" customHeight="1" x14ac:dyDescent="0.2"/>
    <row r="531" ht="40.5" customHeight="1" x14ac:dyDescent="0.2"/>
    <row r="532" ht="12.75" x14ac:dyDescent="0.2"/>
    <row r="533" ht="18" customHeight="1" x14ac:dyDescent="0.2"/>
    <row r="534" ht="12.75" x14ac:dyDescent="0.2"/>
    <row r="535" ht="12.75" x14ac:dyDescent="0.2"/>
    <row r="536" ht="15" customHeight="1" x14ac:dyDescent="0.2"/>
    <row r="537" ht="15" customHeight="1" x14ac:dyDescent="0.2"/>
    <row r="538" ht="12.75" x14ac:dyDescent="0.2"/>
    <row r="539" ht="12.75" x14ac:dyDescent="0.2"/>
    <row r="540" ht="49.5" customHeight="1" x14ac:dyDescent="0.2"/>
    <row r="541" ht="12.75" x14ac:dyDescent="0.2"/>
    <row r="542" ht="25.5" customHeight="1" x14ac:dyDescent="0.2"/>
    <row r="543" ht="12.75" x14ac:dyDescent="0.2"/>
    <row r="544" ht="26.45" customHeight="1" x14ac:dyDescent="0.2"/>
    <row r="545" ht="12.75" x14ac:dyDescent="0.2"/>
    <row r="546" ht="15.75" customHeight="1" x14ac:dyDescent="0.2"/>
    <row r="547" ht="14.25" customHeight="1" x14ac:dyDescent="0.2"/>
    <row r="548" ht="16.5" customHeight="1" x14ac:dyDescent="0.2"/>
    <row r="549" ht="15.75" customHeight="1" x14ac:dyDescent="0.2"/>
    <row r="550" ht="12.75" x14ac:dyDescent="0.2"/>
    <row r="551" ht="33" customHeight="1" x14ac:dyDescent="0.2"/>
    <row r="552" ht="12.75" x14ac:dyDescent="0.2"/>
    <row r="553" ht="22.5" customHeight="1" x14ac:dyDescent="0.2"/>
    <row r="554" ht="12.75" x14ac:dyDescent="0.2"/>
    <row r="555" ht="12.75" x14ac:dyDescent="0.2"/>
    <row r="556" ht="12.75" x14ac:dyDescent="0.2"/>
    <row r="557" ht="15" customHeight="1" x14ac:dyDescent="0.2"/>
    <row r="558" ht="12.75" x14ac:dyDescent="0.2"/>
    <row r="559" ht="15" customHeight="1" x14ac:dyDescent="0.2"/>
    <row r="560" ht="12.75" x14ac:dyDescent="0.2"/>
    <row r="561" ht="19.5" customHeight="1" x14ac:dyDescent="0.2"/>
    <row r="562" ht="28.5" customHeight="1" x14ac:dyDescent="0.2"/>
    <row r="563" ht="15.75" customHeight="1" x14ac:dyDescent="0.2"/>
    <row r="564" ht="16.5" customHeight="1" x14ac:dyDescent="0.2"/>
    <row r="565" ht="14.25" customHeight="1" x14ac:dyDescent="0.2"/>
    <row r="566" ht="13.5" customHeight="1" x14ac:dyDescent="0.2"/>
    <row r="567" ht="10.5" customHeight="1" x14ac:dyDescent="0.2"/>
    <row r="568" ht="21.75" customHeight="1" x14ac:dyDescent="0.2"/>
    <row r="569" ht="12.75" x14ac:dyDescent="0.2"/>
    <row r="570" ht="18.75" customHeight="1" x14ac:dyDescent="0.2"/>
    <row r="571" ht="12" customHeight="1" x14ac:dyDescent="0.2"/>
    <row r="572" ht="15.75" customHeight="1" x14ac:dyDescent="0.2"/>
    <row r="573" ht="19.5" customHeight="1" x14ac:dyDescent="0.2"/>
    <row r="574" ht="12.75" x14ac:dyDescent="0.2"/>
    <row r="575" ht="12.75" x14ac:dyDescent="0.2"/>
    <row r="576" ht="15" customHeight="1" x14ac:dyDescent="0.2"/>
    <row r="577" ht="12.75" x14ac:dyDescent="0.2"/>
    <row r="578" ht="41.25" customHeight="1" x14ac:dyDescent="0.2"/>
    <row r="579" ht="17.25" customHeight="1" x14ac:dyDescent="0.2"/>
    <row r="580" ht="35.25" customHeight="1" x14ac:dyDescent="0.2"/>
    <row r="581" ht="24" customHeight="1" x14ac:dyDescent="0.2"/>
    <row r="582" ht="14.25" customHeight="1" x14ac:dyDescent="0.2"/>
    <row r="583" ht="12.75" x14ac:dyDescent="0.2"/>
    <row r="584" ht="12.75" x14ac:dyDescent="0.2"/>
    <row r="585" ht="12.75" x14ac:dyDescent="0.2"/>
    <row r="586" s="76" customFormat="1" ht="12.75" x14ac:dyDescent="0.2"/>
    <row r="587" s="76" customFormat="1" ht="12.75" x14ac:dyDescent="0.2"/>
    <row r="588" s="76" customFormat="1" ht="17.25" customHeight="1" x14ac:dyDescent="0.2"/>
    <row r="589" ht="49.5" customHeight="1" x14ac:dyDescent="0.2"/>
    <row r="590" ht="30.6" customHeight="1" x14ac:dyDescent="0.2"/>
    <row r="591" ht="44.25" customHeight="1" x14ac:dyDescent="0.2"/>
    <row r="592" ht="15.75" customHeight="1" x14ac:dyDescent="0.2"/>
    <row r="593" ht="15" customHeight="1" x14ac:dyDescent="0.2"/>
    <row r="594" ht="15.75" customHeight="1" x14ac:dyDescent="0.2"/>
    <row r="595" ht="12.75" x14ac:dyDescent="0.2"/>
    <row r="596" ht="16.5" customHeight="1" x14ac:dyDescent="0.2"/>
    <row r="597" ht="12.75" x14ac:dyDescent="0.2"/>
    <row r="598" ht="17.25" customHeight="1" x14ac:dyDescent="0.2"/>
    <row r="599" ht="21.75" customHeight="1" x14ac:dyDescent="0.2"/>
    <row r="600" ht="12.75" x14ac:dyDescent="0.2"/>
    <row r="601" ht="18" customHeight="1" x14ac:dyDescent="0.2"/>
    <row r="602" ht="14.25" customHeight="1" x14ac:dyDescent="0.2"/>
    <row r="603" ht="24" customHeight="1" x14ac:dyDescent="0.2"/>
    <row r="604" ht="12.75" x14ac:dyDescent="0.2"/>
    <row r="605" ht="15" customHeight="1" x14ac:dyDescent="0.2"/>
    <row r="606" ht="12.75" x14ac:dyDescent="0.2"/>
    <row r="607" ht="17.25" customHeight="1" x14ac:dyDescent="0.2"/>
    <row r="608" ht="12.75" x14ac:dyDescent="0.2"/>
    <row r="609" ht="15" customHeight="1" x14ac:dyDescent="0.2"/>
    <row r="610" ht="12.75" x14ac:dyDescent="0.2"/>
    <row r="611" ht="18" customHeight="1" x14ac:dyDescent="0.2"/>
    <row r="612" ht="44.25" customHeight="1" x14ac:dyDescent="0.2"/>
    <row r="613" ht="12.75" customHeight="1" x14ac:dyDescent="0.2"/>
    <row r="614" ht="20.25" customHeight="1" x14ac:dyDescent="0.2"/>
    <row r="615" ht="15.75" customHeight="1" x14ac:dyDescent="0.2"/>
    <row r="616" ht="15.75" customHeight="1" x14ac:dyDescent="0.2"/>
    <row r="617" ht="13.5" customHeight="1" x14ac:dyDescent="0.2"/>
    <row r="618" ht="19.5" customHeight="1" x14ac:dyDescent="0.2"/>
    <row r="619" ht="16.5" customHeight="1" x14ac:dyDescent="0.2"/>
    <row r="620" ht="18" customHeight="1" x14ac:dyDescent="0.2"/>
    <row r="621" ht="17.25" customHeight="1" x14ac:dyDescent="0.2"/>
    <row r="622" ht="12.75" x14ac:dyDescent="0.2"/>
    <row r="623" ht="51" customHeight="1" x14ac:dyDescent="0.2"/>
    <row r="624" ht="16.5" customHeight="1" x14ac:dyDescent="0.2"/>
    <row r="625" ht="42.75" customHeight="1" x14ac:dyDescent="0.2"/>
    <row r="626" ht="20.25" customHeight="1" x14ac:dyDescent="0.2"/>
    <row r="627" ht="15" customHeight="1" x14ac:dyDescent="0.2"/>
    <row r="628" ht="30.75" customHeight="1" x14ac:dyDescent="0.2"/>
    <row r="629" ht="10.5" customHeight="1" x14ac:dyDescent="0.2"/>
    <row r="630" ht="9.75" customHeight="1" x14ac:dyDescent="0.2"/>
    <row r="631" ht="13.5" customHeight="1" x14ac:dyDescent="0.2"/>
    <row r="632" ht="8.25" customHeight="1" x14ac:dyDescent="0.2"/>
    <row r="633" ht="12.75" x14ac:dyDescent="0.2"/>
    <row r="634" ht="50.25" customHeight="1" x14ac:dyDescent="0.2"/>
    <row r="635" ht="12.75" x14ac:dyDescent="0.2"/>
    <row r="636" ht="12.75" x14ac:dyDescent="0.2"/>
    <row r="637" ht="19.5" customHeight="1" x14ac:dyDescent="0.2"/>
    <row r="638" ht="22.5" customHeight="1" x14ac:dyDescent="0.2"/>
    <row r="639" ht="16.5" customHeight="1" x14ac:dyDescent="0.2"/>
    <row r="640" ht="15.75" customHeight="1" x14ac:dyDescent="0.2"/>
    <row r="641" ht="15" customHeight="1" x14ac:dyDescent="0.2"/>
    <row r="642" ht="12.75" x14ac:dyDescent="0.2"/>
    <row r="643" ht="15" customHeight="1" x14ac:dyDescent="0.2"/>
    <row r="644" ht="12.75" x14ac:dyDescent="0.2"/>
    <row r="645" ht="12.75" x14ac:dyDescent="0.2"/>
    <row r="646" ht="12.75" x14ac:dyDescent="0.2"/>
    <row r="647" ht="17.25" customHeight="1" x14ac:dyDescent="0.2"/>
    <row r="648" ht="16.5" customHeight="1" x14ac:dyDescent="0.2"/>
    <row r="649" ht="18" customHeight="1" x14ac:dyDescent="0.2"/>
    <row r="650" ht="13.5" customHeight="1" x14ac:dyDescent="0.2"/>
    <row r="651" ht="21" customHeight="1" x14ac:dyDescent="0.2"/>
    <row r="652" ht="21" customHeight="1" x14ac:dyDescent="0.2"/>
    <row r="653" ht="12.75" x14ac:dyDescent="0.2"/>
    <row r="654" ht="12.75" x14ac:dyDescent="0.2"/>
    <row r="655" ht="12.75" x14ac:dyDescent="0.2"/>
    <row r="656" ht="12.75" x14ac:dyDescent="0.2"/>
    <row r="657" ht="22.5" customHeight="1" x14ac:dyDescent="0.2"/>
    <row r="658" ht="22.5" customHeight="1" x14ac:dyDescent="0.2"/>
    <row r="659" ht="30" customHeight="1" x14ac:dyDescent="0.2"/>
    <row r="660" ht="42.75" customHeight="1" x14ac:dyDescent="0.2"/>
    <row r="661" ht="12.75" x14ac:dyDescent="0.2"/>
    <row r="662" ht="12.75" customHeight="1" x14ac:dyDescent="0.2"/>
    <row r="663" ht="13.5" customHeight="1" x14ac:dyDescent="0.2"/>
    <row r="664" ht="12.75" x14ac:dyDescent="0.2"/>
    <row r="665" ht="17.25" customHeight="1" x14ac:dyDescent="0.2"/>
    <row r="666" ht="22.5" customHeight="1" x14ac:dyDescent="0.2"/>
    <row r="667" ht="14.25" customHeight="1" x14ac:dyDescent="0.2"/>
    <row r="668" ht="46.5" customHeight="1" x14ac:dyDescent="0.2"/>
    <row r="669" ht="24" customHeight="1" x14ac:dyDescent="0.2"/>
    <row r="670" ht="37.5" customHeight="1" x14ac:dyDescent="0.2"/>
    <row r="671" ht="16.5" customHeight="1" x14ac:dyDescent="0.2"/>
    <row r="672" ht="13.5" customHeight="1" x14ac:dyDescent="0.2"/>
    <row r="673" ht="19.5" customHeight="1" x14ac:dyDescent="0.2"/>
    <row r="674" ht="15" customHeight="1" x14ac:dyDescent="0.2"/>
    <row r="675" ht="51.75" customHeight="1" x14ac:dyDescent="0.2"/>
    <row r="676" ht="14.25" customHeight="1" x14ac:dyDescent="0.2"/>
    <row r="677" ht="14.25" customHeight="1" x14ac:dyDescent="0.2"/>
    <row r="678" ht="24" customHeight="1" x14ac:dyDescent="0.2"/>
    <row r="679" ht="54" customHeight="1" x14ac:dyDescent="0.2"/>
    <row r="680" ht="13.5" customHeight="1" x14ac:dyDescent="0.2"/>
    <row r="681" ht="15" customHeight="1" x14ac:dyDescent="0.2"/>
    <row r="682" ht="15.75" customHeight="1" x14ac:dyDescent="0.2"/>
    <row r="683" ht="12.75" customHeight="1" x14ac:dyDescent="0.2"/>
    <row r="684" ht="18" customHeight="1" x14ac:dyDescent="0.2"/>
    <row r="685" ht="18" customHeight="1" x14ac:dyDescent="0.2"/>
    <row r="686" ht="17.25" customHeight="1" x14ac:dyDescent="0.2"/>
    <row r="687" ht="20.25" customHeight="1" x14ac:dyDescent="0.2"/>
    <row r="688" ht="19.5" customHeight="1" x14ac:dyDescent="0.2"/>
    <row r="689" ht="43.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4.25" customHeight="1" x14ac:dyDescent="0.2"/>
    <row r="696" ht="15.75" customHeight="1" x14ac:dyDescent="0.2"/>
    <row r="697" ht="33.75" customHeight="1" x14ac:dyDescent="0.2"/>
    <row r="698" ht="23.25" customHeight="1" x14ac:dyDescent="0.2"/>
    <row r="699" ht="21.75" customHeight="1" x14ac:dyDescent="0.2"/>
    <row r="700" ht="15.75" customHeight="1" x14ac:dyDescent="0.2"/>
    <row r="701" ht="20.25" customHeight="1" x14ac:dyDescent="0.2"/>
    <row r="702" ht="16.5" customHeight="1" x14ac:dyDescent="0.2"/>
    <row r="703" ht="18.75" hidden="1" customHeight="1" x14ac:dyDescent="0.2"/>
    <row r="704" ht="22.5" customHeight="1" x14ac:dyDescent="0.2"/>
    <row r="705" ht="15.75" customHeight="1" x14ac:dyDescent="0.2"/>
    <row r="706" ht="19.5" customHeight="1" x14ac:dyDescent="0.2"/>
    <row r="707" ht="15.75" customHeight="1" x14ac:dyDescent="0.2"/>
    <row r="708" ht="24.75" customHeight="1" x14ac:dyDescent="0.2"/>
    <row r="709" ht="15.75" customHeight="1" x14ac:dyDescent="0.2"/>
    <row r="710" ht="21" customHeight="1" x14ac:dyDescent="0.2"/>
    <row r="711" ht="12.75" customHeight="1" x14ac:dyDescent="0.2"/>
    <row r="712" ht="15.75" customHeight="1" x14ac:dyDescent="0.2"/>
    <row r="713" ht="34.5" customHeight="1" x14ac:dyDescent="0.2"/>
    <row r="714" ht="17.25" customHeight="1" x14ac:dyDescent="0.2"/>
    <row r="715" ht="34.5" customHeight="1" x14ac:dyDescent="0.2"/>
    <row r="716" ht="18.75" customHeight="1" x14ac:dyDescent="0.2"/>
    <row r="717" ht="30" customHeight="1" x14ac:dyDescent="0.2"/>
    <row r="718" ht="15.75" customHeight="1" x14ac:dyDescent="0.2"/>
    <row r="719" ht="15.75" customHeight="1" x14ac:dyDescent="0.2"/>
    <row r="720" ht="15" customHeight="1" x14ac:dyDescent="0.2"/>
    <row r="721" ht="16.5" customHeight="1" x14ac:dyDescent="0.2"/>
    <row r="722" ht="14.25" customHeight="1" x14ac:dyDescent="0.2"/>
    <row r="723" ht="20.25" customHeight="1" x14ac:dyDescent="0.2"/>
    <row r="724" ht="49.5" customHeight="1" x14ac:dyDescent="0.2"/>
    <row r="725" ht="15.75" customHeight="1" x14ac:dyDescent="0.2"/>
    <row r="726" ht="40.5" customHeight="1" x14ac:dyDescent="0.2"/>
    <row r="727" ht="15.75" customHeight="1" x14ac:dyDescent="0.2"/>
    <row r="728" ht="18.75" customHeight="1" x14ac:dyDescent="0.2"/>
    <row r="729" ht="12.75" customHeight="1" x14ac:dyDescent="0.2"/>
    <row r="730" ht="15.75" customHeight="1" x14ac:dyDescent="0.2"/>
    <row r="731" ht="15.75" customHeight="1" x14ac:dyDescent="0.2"/>
    <row r="732" ht="15.75" customHeight="1" x14ac:dyDescent="0.2"/>
    <row r="733" ht="17.25" customHeight="1" x14ac:dyDescent="0.2"/>
    <row r="734" ht="15" customHeight="1" x14ac:dyDescent="0.2"/>
    <row r="735" ht="12.75" x14ac:dyDescent="0.2"/>
    <row r="736" ht="15.75" customHeight="1" x14ac:dyDescent="0.2"/>
    <row r="737" ht="51" customHeight="1" x14ac:dyDescent="0.2"/>
    <row r="738" ht="12.75" customHeight="1" x14ac:dyDescent="0.2"/>
    <row r="739" ht="15" customHeight="1" x14ac:dyDescent="0.2"/>
    <row r="740" ht="12.75" x14ac:dyDescent="0.2"/>
    <row r="741" ht="12.75" x14ac:dyDescent="0.2"/>
    <row r="742" ht="12.75" x14ac:dyDescent="0.2"/>
    <row r="743" ht="20.25" customHeight="1" x14ac:dyDescent="0.2"/>
    <row r="744" ht="12.75" x14ac:dyDescent="0.2"/>
    <row r="745" ht="37.5" customHeight="1" x14ac:dyDescent="0.2"/>
    <row r="746" ht="19.5" customHeight="1" x14ac:dyDescent="0.2"/>
    <row r="747" ht="22.5" customHeight="1" x14ac:dyDescent="0.2"/>
    <row r="748" ht="12.75" x14ac:dyDescent="0.2"/>
    <row r="749" ht="21.75" customHeight="1" x14ac:dyDescent="0.2"/>
    <row r="750" ht="12.75" x14ac:dyDescent="0.2"/>
    <row r="751" ht="18" customHeight="1" x14ac:dyDescent="0.2"/>
    <row r="752" ht="23.25" customHeight="1" x14ac:dyDescent="0.2"/>
    <row r="753" ht="24" customHeight="1" x14ac:dyDescent="0.2"/>
    <row r="754" ht="5.25" customHeight="1" x14ac:dyDescent="0.2"/>
    <row r="755" ht="17.25" customHeight="1" x14ac:dyDescent="0.2"/>
    <row r="756" ht="42.75" customHeight="1" x14ac:dyDescent="0.2"/>
    <row r="757" ht="12.75" x14ac:dyDescent="0.2"/>
    <row r="758" ht="20.25" customHeight="1" x14ac:dyDescent="0.2"/>
    <row r="759" ht="17.25" customHeight="1" x14ac:dyDescent="0.2"/>
    <row r="760" ht="12.75" x14ac:dyDescent="0.2"/>
    <row r="761" ht="30.75" customHeight="1" x14ac:dyDescent="0.2"/>
    <row r="762" ht="24.75" customHeight="1" x14ac:dyDescent="0.2"/>
    <row r="763" ht="42" customHeight="1" x14ac:dyDescent="0.2"/>
    <row r="764" ht="15.75" customHeight="1" x14ac:dyDescent="0.2"/>
    <row r="765" ht="17.25" customHeight="1" x14ac:dyDescent="0.2"/>
    <row r="766" ht="27" customHeight="1" x14ac:dyDescent="0.2"/>
    <row r="767" ht="21" customHeight="1" x14ac:dyDescent="0.2"/>
    <row r="768" ht="16.5" customHeight="1" x14ac:dyDescent="0.2"/>
    <row r="769" ht="16.5" customHeight="1" x14ac:dyDescent="0.2"/>
    <row r="770" ht="23.25" customHeight="1" x14ac:dyDescent="0.2"/>
    <row r="771" ht="22.5" customHeight="1" x14ac:dyDescent="0.2"/>
    <row r="772" ht="49.5" customHeight="1" x14ac:dyDescent="0.2"/>
    <row r="773" ht="12.75" x14ac:dyDescent="0.2"/>
    <row r="774" ht="40.5" customHeight="1" x14ac:dyDescent="0.2"/>
    <row r="775" ht="12.75" x14ac:dyDescent="0.2"/>
    <row r="776" ht="12.75" x14ac:dyDescent="0.2"/>
    <row r="777" ht="12.75" x14ac:dyDescent="0.2"/>
    <row r="778" ht="12.75" x14ac:dyDescent="0.2"/>
    <row r="779" s="99" customFormat="1" ht="21.75" customHeight="1" x14ac:dyDescent="0.2"/>
    <row r="780" ht="16.5" customHeight="1" x14ac:dyDescent="0.2"/>
    <row r="781" ht="12.75" x14ac:dyDescent="0.2"/>
    <row r="782" ht="18.75" customHeight="1" x14ac:dyDescent="0.2"/>
    <row r="783" ht="18" customHeight="1" x14ac:dyDescent="0.2"/>
    <row r="784" ht="12.75" x14ac:dyDescent="0.2"/>
    <row r="785" ht="51" customHeight="1" x14ac:dyDescent="0.2"/>
    <row r="786" ht="12.75" x14ac:dyDescent="0.2"/>
    <row r="787" ht="36" customHeight="1" x14ac:dyDescent="0.2"/>
    <row r="788" ht="20.25" customHeight="1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38.25" customHeight="1" x14ac:dyDescent="0.2"/>
    <row r="796" ht="12.75" customHeight="1" x14ac:dyDescent="0.2"/>
    <row r="797" ht="24.75" customHeight="1" x14ac:dyDescent="0.2"/>
    <row r="798" ht="24.75" customHeight="1" x14ac:dyDescent="0.2"/>
    <row r="799" ht="16.5" customHeight="1" x14ac:dyDescent="0.2"/>
    <row r="800" ht="18.75" customHeight="1" x14ac:dyDescent="0.2"/>
    <row r="801" ht="17.25" customHeight="1" x14ac:dyDescent="0.2"/>
    <row r="802" ht="12.75" x14ac:dyDescent="0.2"/>
    <row r="803" ht="15" customHeight="1" x14ac:dyDescent="0.2"/>
    <row r="804" ht="12.75" x14ac:dyDescent="0.2"/>
    <row r="805" ht="17.25" customHeight="1" x14ac:dyDescent="0.2"/>
    <row r="806" ht="12.75" x14ac:dyDescent="0.2"/>
    <row r="807" ht="18.75" customHeight="1" x14ac:dyDescent="0.2"/>
    <row r="808" ht="21.75" customHeight="1" x14ac:dyDescent="0.2"/>
    <row r="809" ht="14.25" customHeight="1" x14ac:dyDescent="0.2"/>
    <row r="810" ht="15" customHeight="1" x14ac:dyDescent="0.2"/>
    <row r="811" ht="38.25" customHeight="1" x14ac:dyDescent="0.2"/>
    <row r="812" ht="12.75" x14ac:dyDescent="0.2"/>
    <row r="813" ht="34.5" customHeight="1" x14ac:dyDescent="0.2"/>
    <row r="814" ht="12.75" x14ac:dyDescent="0.2"/>
    <row r="815" ht="15" customHeight="1" x14ac:dyDescent="0.2"/>
    <row r="816" ht="15.75" customHeight="1" x14ac:dyDescent="0.2"/>
    <row r="817" ht="12.75" x14ac:dyDescent="0.2"/>
    <row r="818" ht="29.25" customHeight="1" x14ac:dyDescent="0.2"/>
    <row r="819" ht="17.25" customHeight="1" x14ac:dyDescent="0.2"/>
    <row r="820" ht="8.25" customHeight="1" x14ac:dyDescent="0.2"/>
    <row r="821" ht="15.75" customHeight="1" x14ac:dyDescent="0.2"/>
    <row r="822" ht="46.5" customHeight="1" x14ac:dyDescent="0.2"/>
    <row r="823" ht="12.75" x14ac:dyDescent="0.2"/>
    <row r="824" ht="48.75" customHeight="1" x14ac:dyDescent="0.2"/>
    <row r="825" ht="14.25" customHeight="1" x14ac:dyDescent="0.2"/>
    <row r="826" ht="45.75" customHeight="1" x14ac:dyDescent="0.2"/>
    <row r="827" ht="17.25" customHeight="1" x14ac:dyDescent="0.2"/>
    <row r="828" ht="21.75" customHeight="1" x14ac:dyDescent="0.2"/>
    <row r="829" ht="12.75" x14ac:dyDescent="0.2"/>
    <row r="830" ht="12.75" x14ac:dyDescent="0.2"/>
    <row r="831" ht="12.75" x14ac:dyDescent="0.2"/>
    <row r="832" ht="21" customHeight="1" x14ac:dyDescent="0.2"/>
    <row r="833" ht="12.75" x14ac:dyDescent="0.2"/>
    <row r="834" ht="21" customHeight="1" x14ac:dyDescent="0.2"/>
    <row r="835" ht="12.75" x14ac:dyDescent="0.2"/>
    <row r="836" ht="12.75" x14ac:dyDescent="0.2"/>
    <row r="837" ht="57.75" customHeight="1" x14ac:dyDescent="0.2"/>
    <row r="838" ht="12.75" x14ac:dyDescent="0.2"/>
    <row r="839" ht="36" customHeight="1" x14ac:dyDescent="0.2"/>
    <row r="840" ht="36" customHeight="1" x14ac:dyDescent="0.2"/>
    <row r="841" ht="18.75" customHeight="1" x14ac:dyDescent="0.2"/>
    <row r="842" ht="14.25" customHeight="1" x14ac:dyDescent="0.2"/>
    <row r="843" ht="12.75" customHeight="1" x14ac:dyDescent="0.2"/>
    <row r="844" ht="20.25" customHeight="1" x14ac:dyDescent="0.2"/>
    <row r="845" ht="23.25" customHeight="1" x14ac:dyDescent="0.2"/>
    <row r="846" ht="12.75" x14ac:dyDescent="0.2"/>
    <row r="847" ht="15" customHeight="1" x14ac:dyDescent="0.2"/>
    <row r="848" ht="12.75" x14ac:dyDescent="0.2"/>
    <row r="849" ht="13.5" customHeight="1" x14ac:dyDescent="0.2"/>
    <row r="850" ht="19.5" customHeight="1" x14ac:dyDescent="0.2"/>
    <row r="851" ht="14.25" customHeight="1" x14ac:dyDescent="0.2"/>
    <row r="852" ht="15" customHeight="1" x14ac:dyDescent="0.2"/>
    <row r="853" s="76" customFormat="1" ht="12.75" customHeight="1" x14ac:dyDescent="0.2"/>
    <row r="854" s="76" customFormat="1" ht="15.75" customHeight="1" x14ac:dyDescent="0.2"/>
    <row r="855" ht="13.5" customHeight="1" x14ac:dyDescent="0.2"/>
    <row r="856" ht="38.25" customHeight="1" x14ac:dyDescent="0.2"/>
    <row r="857" ht="12.75" x14ac:dyDescent="0.2"/>
    <row r="858" ht="37.5" customHeight="1" x14ac:dyDescent="0.2"/>
    <row r="859" ht="12.75" customHeight="1" x14ac:dyDescent="0.2"/>
    <row r="860" ht="19.5" customHeight="1" x14ac:dyDescent="0.2"/>
    <row r="861" ht="22.5" customHeight="1" x14ac:dyDescent="0.2"/>
    <row r="862" ht="18.75" customHeight="1" x14ac:dyDescent="0.2"/>
    <row r="863" ht="30.75" customHeight="1" x14ac:dyDescent="0.2"/>
    <row r="864" ht="20.25" customHeight="1" x14ac:dyDescent="0.2"/>
    <row r="865" ht="9.75" customHeight="1" x14ac:dyDescent="0.2"/>
    <row r="866" ht="18" customHeight="1" x14ac:dyDescent="0.2"/>
    <row r="867" ht="55.5" customHeight="1" x14ac:dyDescent="0.2"/>
    <row r="868" ht="12.75" x14ac:dyDescent="0.2"/>
    <row r="869" ht="12.75" x14ac:dyDescent="0.2"/>
    <row r="870" ht="22.5" customHeight="1" x14ac:dyDescent="0.2"/>
    <row r="871" ht="12.75" x14ac:dyDescent="0.2"/>
    <row r="872" ht="18.75" customHeight="1" x14ac:dyDescent="0.2"/>
    <row r="873" ht="12.75" x14ac:dyDescent="0.2"/>
    <row r="874" ht="22.5" customHeight="1" x14ac:dyDescent="0.2"/>
    <row r="875" ht="12.75" x14ac:dyDescent="0.2"/>
    <row r="876" ht="20.25" customHeight="1" x14ac:dyDescent="0.2"/>
    <row r="877" ht="6" customHeight="1" x14ac:dyDescent="0.2"/>
    <row r="878" ht="12.75" x14ac:dyDescent="0.2"/>
    <row r="879" ht="49.5" customHeight="1" x14ac:dyDescent="0.2"/>
    <row r="880" ht="12.75" x14ac:dyDescent="0.2"/>
    <row r="881" ht="45" customHeight="1" x14ac:dyDescent="0.2"/>
    <row r="882" ht="12.75" x14ac:dyDescent="0.2"/>
    <row r="883" ht="15.75" customHeight="1" x14ac:dyDescent="0.2"/>
    <row r="884" ht="21" customHeight="1" x14ac:dyDescent="0.2"/>
    <row r="885" ht="18" customHeight="1" x14ac:dyDescent="0.2"/>
    <row r="886" ht="24" customHeight="1" x14ac:dyDescent="0.2"/>
    <row r="887" ht="12.75" x14ac:dyDescent="0.2"/>
    <row r="888" ht="18.75" customHeight="1" x14ac:dyDescent="0.2"/>
    <row r="889" ht="12.75" customHeight="1" x14ac:dyDescent="0.2"/>
    <row r="890" ht="54.75" customHeight="1" x14ac:dyDescent="0.2"/>
    <row r="891" ht="15" customHeight="1" x14ac:dyDescent="0.2"/>
    <row r="892" s="85" customFormat="1" ht="20.25" customHeight="1" x14ac:dyDescent="0.2"/>
    <row r="893" ht="15" customHeight="1" x14ac:dyDescent="0.2"/>
    <row r="894" ht="15" customHeight="1" x14ac:dyDescent="0.2"/>
    <row r="895" ht="12.75" x14ac:dyDescent="0.2"/>
    <row r="896" ht="21" customHeight="1" x14ac:dyDescent="0.2"/>
    <row r="897" ht="12.75" customHeight="1" x14ac:dyDescent="0.2"/>
    <row r="898" ht="21.75" customHeight="1" x14ac:dyDescent="0.2"/>
    <row r="899" ht="27" customHeight="1" x14ac:dyDescent="0.2"/>
    <row r="900" ht="38.25" customHeight="1" x14ac:dyDescent="0.2"/>
    <row r="901" ht="20.25" customHeight="1" x14ac:dyDescent="0.2"/>
    <row r="902" ht="45" customHeight="1" x14ac:dyDescent="0.2"/>
    <row r="903" ht="15.75" customHeight="1" x14ac:dyDescent="0.2"/>
    <row r="904" ht="30.75" customHeight="1" x14ac:dyDescent="0.2"/>
    <row r="905" ht="20.25" customHeight="1" x14ac:dyDescent="0.2"/>
    <row r="906" ht="21.75" customHeight="1" x14ac:dyDescent="0.2"/>
    <row r="907" ht="12.75" x14ac:dyDescent="0.2"/>
    <row r="908" ht="13.5" customHeight="1" x14ac:dyDescent="0.2"/>
    <row r="909" ht="9.75" customHeight="1" x14ac:dyDescent="0.2"/>
    <row r="910" ht="13.5" customHeight="1" x14ac:dyDescent="0.2"/>
    <row r="911" ht="48.75" customHeight="1" x14ac:dyDescent="0.2"/>
    <row r="912" ht="31.5" customHeight="1" x14ac:dyDescent="0.2"/>
    <row r="913" ht="12.75" x14ac:dyDescent="0.2"/>
    <row r="914" ht="17.25" customHeight="1" x14ac:dyDescent="0.2"/>
    <row r="915" ht="12.75" x14ac:dyDescent="0.2"/>
    <row r="916" ht="26.25" customHeight="1" x14ac:dyDescent="0.2"/>
    <row r="917" ht="17.25" customHeight="1" x14ac:dyDescent="0.2"/>
    <row r="918" ht="12.75" x14ac:dyDescent="0.2"/>
    <row r="919" ht="21" customHeight="1" x14ac:dyDescent="0.2"/>
    <row r="920" ht="12.75" x14ac:dyDescent="0.2"/>
    <row r="921" ht="12.75" x14ac:dyDescent="0.2"/>
    <row r="922" ht="12.75" x14ac:dyDescent="0.2"/>
    <row r="923" ht="12.75" x14ac:dyDescent="0.2"/>
    <row r="924" ht="45.75" customHeight="1" x14ac:dyDescent="0.2"/>
    <row r="925" ht="12.75" x14ac:dyDescent="0.2"/>
    <row r="926" ht="12.75" x14ac:dyDescent="0.2"/>
    <row r="927" ht="12.75" x14ac:dyDescent="0.2"/>
    <row r="928" ht="58.5" customHeight="1" x14ac:dyDescent="0.2"/>
    <row r="929" ht="12.75" x14ac:dyDescent="0.2"/>
    <row r="930" ht="36" customHeight="1" x14ac:dyDescent="0.2"/>
    <row r="931" ht="12.75" x14ac:dyDescent="0.2"/>
    <row r="932" ht="12.75" customHeight="1" x14ac:dyDescent="0.2"/>
    <row r="933" ht="34.5" customHeight="1" x14ac:dyDescent="0.2"/>
    <row r="934" ht="3" customHeight="1" x14ac:dyDescent="0.2"/>
    <row r="935" ht="36" hidden="1" customHeight="1" x14ac:dyDescent="0.2"/>
    <row r="936" ht="22.5" customHeight="1" x14ac:dyDescent="0.2"/>
    <row r="937" ht="12.75" x14ac:dyDescent="0.2"/>
    <row r="938" ht="12.75" x14ac:dyDescent="0.2"/>
    <row r="939" ht="12.75" x14ac:dyDescent="0.2"/>
    <row r="940" ht="17.25" customHeight="1" x14ac:dyDescent="0.2"/>
    <row r="941" ht="48.75" customHeight="1" x14ac:dyDescent="0.2"/>
    <row r="942" ht="8.25" customHeight="1" x14ac:dyDescent="0.2"/>
    <row r="943" ht="21" customHeight="1" x14ac:dyDescent="0.2"/>
    <row r="944" ht="12.75" x14ac:dyDescent="0.2"/>
    <row r="945" ht="15" customHeight="1" x14ac:dyDescent="0.2"/>
    <row r="946" ht="21.75" customHeight="1" x14ac:dyDescent="0.2"/>
    <row r="947" ht="15" customHeight="1" x14ac:dyDescent="0.2"/>
    <row r="948" ht="15" customHeight="1" x14ac:dyDescent="0.2"/>
    <row r="949" ht="18.75" customHeight="1" x14ac:dyDescent="0.2"/>
    <row r="950" ht="31.5" customHeight="1" x14ac:dyDescent="0.2"/>
    <row r="951" ht="21.75" customHeight="1" x14ac:dyDescent="0.2"/>
    <row r="952" ht="12.75" x14ac:dyDescent="0.2"/>
    <row r="953" ht="14.25" customHeight="1" x14ac:dyDescent="0.2"/>
    <row r="954" ht="12.75" x14ac:dyDescent="0.2"/>
    <row r="955" ht="15" customHeight="1" x14ac:dyDescent="0.2"/>
    <row r="956" ht="12.75" x14ac:dyDescent="0.2"/>
    <row r="957" ht="12.75" x14ac:dyDescent="0.2"/>
    <row r="958" ht="15" customHeight="1" x14ac:dyDescent="0.2"/>
    <row r="959" ht="13.5" customHeight="1" x14ac:dyDescent="0.2"/>
    <row r="960" ht="12.75" customHeight="1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48" customHeight="1" x14ac:dyDescent="0.2"/>
    <row r="967" ht="21.75" customHeight="1" x14ac:dyDescent="0.2"/>
    <row r="968" ht="17.25" customHeight="1" x14ac:dyDescent="0.2"/>
    <row r="969" ht="12.75" x14ac:dyDescent="0.2"/>
    <row r="970" ht="22.5" customHeight="1" x14ac:dyDescent="0.2"/>
    <row r="971" ht="28.5" customHeight="1" x14ac:dyDescent="0.2"/>
    <row r="972" ht="20.25" customHeight="1" x14ac:dyDescent="0.2"/>
    <row r="973" ht="15" customHeight="1" x14ac:dyDescent="0.2"/>
    <row r="974" ht="12.75" x14ac:dyDescent="0.2"/>
    <row r="975" ht="12.75" x14ac:dyDescent="0.2"/>
    <row r="976" ht="12.75" x14ac:dyDescent="0.2"/>
    <row r="977" ht="12.75" x14ac:dyDescent="0.2"/>
    <row r="978" ht="28.5" customHeight="1" x14ac:dyDescent="0.2"/>
    <row r="979" ht="12.75" x14ac:dyDescent="0.2"/>
    <row r="980" ht="12.75" x14ac:dyDescent="0.2"/>
    <row r="981" ht="12.75" x14ac:dyDescent="0.2"/>
    <row r="982" ht="46.5" customHeight="1" x14ac:dyDescent="0.2"/>
    <row r="983" ht="12.75" x14ac:dyDescent="0.2"/>
    <row r="984" ht="32.25" customHeight="1" x14ac:dyDescent="0.2"/>
    <row r="985" ht="12.75" x14ac:dyDescent="0.2"/>
    <row r="986" ht="28.5" customHeight="1" x14ac:dyDescent="0.2"/>
    <row r="987" ht="22.5" customHeight="1" x14ac:dyDescent="0.2"/>
    <row r="988" ht="12.75" customHeight="1" x14ac:dyDescent="0.2"/>
    <row r="989" ht="18" customHeight="1" x14ac:dyDescent="0.2"/>
    <row r="990" ht="18" customHeight="1" x14ac:dyDescent="0.2"/>
    <row r="991" ht="12.75" x14ac:dyDescent="0.2"/>
    <row r="992" ht="21" customHeight="1" x14ac:dyDescent="0.2"/>
    <row r="993" spans="1:12" ht="21" customHeight="1" x14ac:dyDescent="0.2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</row>
    <row r="994" spans="1:12" ht="15.75" customHeight="1" x14ac:dyDescent="0.2"/>
    <row r="995" spans="1:12" ht="42.75" customHeight="1" x14ac:dyDescent="0.2"/>
    <row r="996" spans="1:12" ht="23.25" customHeight="1" x14ac:dyDescent="0.2"/>
    <row r="997" spans="1:12" ht="20.25" customHeight="1" x14ac:dyDescent="0.2"/>
    <row r="998" spans="1:12" ht="10.5" customHeight="1" x14ac:dyDescent="0.2"/>
    <row r="999" spans="1:12" ht="15" customHeight="1" x14ac:dyDescent="0.2"/>
    <row r="1000" spans="1:12" ht="16.5" customHeight="1" x14ac:dyDescent="0.2"/>
    <row r="1001" spans="1:12" ht="12.75" x14ac:dyDescent="0.2"/>
    <row r="1002" spans="1:12" ht="12.75" x14ac:dyDescent="0.2"/>
    <row r="1003" spans="1:12" ht="23.25" customHeight="1" x14ac:dyDescent="0.2"/>
    <row r="1004" spans="1:12" ht="12.75" customHeight="1" x14ac:dyDescent="0.2"/>
    <row r="1005" spans="1:12" ht="13.5" customHeight="1" x14ac:dyDescent="0.2"/>
    <row r="1006" spans="1:12" ht="14.25" customHeight="1" x14ac:dyDescent="0.2"/>
    <row r="1007" spans="1:12" ht="12.75" x14ac:dyDescent="0.2"/>
    <row r="1008" spans="1:12" ht="20.25" customHeight="1" x14ac:dyDescent="0.2"/>
    <row r="1009" ht="12.75" hidden="1" x14ac:dyDescent="0.2"/>
    <row r="1010" ht="21" customHeight="1" x14ac:dyDescent="0.2"/>
    <row r="1011" ht="12.75" x14ac:dyDescent="0.2"/>
    <row r="1012" ht="18" customHeight="1" x14ac:dyDescent="0.2"/>
    <row r="1013" ht="16.5" customHeight="1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25.5" customHeight="1" x14ac:dyDescent="0.2"/>
    <row r="1020" ht="18" customHeight="1" x14ac:dyDescent="0.2"/>
    <row r="1021" ht="18" customHeight="1" x14ac:dyDescent="0.2"/>
    <row r="1022" ht="20.25" customHeight="1" x14ac:dyDescent="0.2"/>
    <row r="1023" ht="20.25" customHeight="1" x14ac:dyDescent="0.2"/>
    <row r="1024" ht="12.75" x14ac:dyDescent="0.2"/>
    <row r="1025" ht="15" customHeight="1" x14ac:dyDescent="0.2"/>
    <row r="1026" ht="12.75" x14ac:dyDescent="0.2"/>
    <row r="1027" ht="12.75" x14ac:dyDescent="0.2"/>
    <row r="1028" ht="12.75" x14ac:dyDescent="0.2"/>
    <row r="1029" ht="21.75" customHeight="1" x14ac:dyDescent="0.2"/>
    <row r="1030" ht="12.75" x14ac:dyDescent="0.2"/>
    <row r="1031" ht="39" customHeight="1" x14ac:dyDescent="0.2"/>
    <row r="1032" ht="12.75" x14ac:dyDescent="0.2"/>
    <row r="1033" ht="32.25" customHeight="1" x14ac:dyDescent="0.2"/>
    <row r="1034" ht="31.5" customHeight="1" x14ac:dyDescent="0.2"/>
    <row r="1035" ht="39.75" customHeight="1" x14ac:dyDescent="0.2"/>
    <row r="1036" ht="19.5" customHeight="1" x14ac:dyDescent="0.2"/>
    <row r="1037" ht="4.5" customHeight="1" x14ac:dyDescent="0.2"/>
    <row r="1038" ht="27" customHeight="1" x14ac:dyDescent="0.2"/>
    <row r="1039" ht="3.75" customHeight="1" x14ac:dyDescent="0.2"/>
    <row r="1040" ht="23.25" customHeight="1" x14ac:dyDescent="0.2"/>
    <row r="1041" spans="1:12" ht="21" customHeight="1" x14ac:dyDescent="0.2"/>
    <row r="1042" spans="1:12" ht="12" customHeight="1" x14ac:dyDescent="0.2"/>
    <row r="1043" spans="1:12" ht="21.75" customHeight="1" x14ac:dyDescent="0.2"/>
    <row r="1044" spans="1:12" ht="56.25" customHeight="1" x14ac:dyDescent="0.2"/>
    <row r="1045" spans="1:12" ht="15" customHeight="1" x14ac:dyDescent="0.2"/>
    <row r="1046" spans="1:12" ht="16.5" customHeight="1" x14ac:dyDescent="0.2"/>
    <row r="1047" spans="1:12" ht="19.5" customHeight="1" x14ac:dyDescent="0.2"/>
    <row r="1048" spans="1:12" ht="15" customHeight="1" x14ac:dyDescent="0.2"/>
    <row r="1049" spans="1:12" ht="17.25" customHeight="1" x14ac:dyDescent="0.2"/>
    <row r="1050" spans="1:12" ht="17.25" customHeight="1" x14ac:dyDescent="0.2"/>
    <row r="1051" spans="1:12" ht="12" customHeight="1" x14ac:dyDescent="0.2"/>
    <row r="1052" spans="1:12" ht="23.25" customHeight="1" x14ac:dyDescent="0.2"/>
    <row r="1053" spans="1:12" s="99" customFormat="1" ht="21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</row>
    <row r="1054" spans="1:12" ht="14.25" customHeight="1" x14ac:dyDescent="0.2"/>
    <row r="1055" spans="1:12" ht="12.75" x14ac:dyDescent="0.2"/>
    <row r="1056" spans="1:12" ht="31.5" customHeight="1" x14ac:dyDescent="0.2"/>
    <row r="1057" ht="12.75" x14ac:dyDescent="0.2"/>
    <row r="1058" ht="16.5" customHeight="1" x14ac:dyDescent="0.2"/>
    <row r="1059" ht="12.75" x14ac:dyDescent="0.2"/>
    <row r="1060" ht="12.75" x14ac:dyDescent="0.2"/>
    <row r="1061" ht="10.5" customHeight="1" x14ac:dyDescent="0.2"/>
    <row r="1062" ht="10.5" customHeight="1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7.25" customHeight="1" x14ac:dyDescent="0.2"/>
    <row r="1070" ht="17.25" customHeight="1" x14ac:dyDescent="0.2"/>
    <row r="1071" ht="12" customHeight="1" x14ac:dyDescent="0.2"/>
    <row r="1072" ht="12.75" x14ac:dyDescent="0.2"/>
    <row r="1073" ht="12.75" x14ac:dyDescent="0.2"/>
    <row r="1074" ht="28.5" customHeight="1" x14ac:dyDescent="0.2"/>
    <row r="1075" ht="12.75" x14ac:dyDescent="0.2"/>
    <row r="1076" ht="19.5" customHeight="1" x14ac:dyDescent="0.2"/>
    <row r="1077" ht="12.75" x14ac:dyDescent="0.2"/>
    <row r="1078" ht="14.25" customHeight="1" x14ac:dyDescent="0.2"/>
    <row r="1079" ht="12.75" customHeight="1" x14ac:dyDescent="0.2"/>
    <row r="1080" ht="12.75" x14ac:dyDescent="0.2"/>
    <row r="1081" ht="24.75" customHeight="1" x14ac:dyDescent="0.2"/>
    <row r="1082" ht="34.5" customHeight="1" x14ac:dyDescent="0.2"/>
    <row r="1083" ht="12.75" x14ac:dyDescent="0.2"/>
    <row r="1084" ht="37.5" customHeight="1" x14ac:dyDescent="0.2"/>
    <row r="1085" ht="25.5" customHeight="1" x14ac:dyDescent="0.2"/>
    <row r="1086" ht="35.25" customHeight="1" x14ac:dyDescent="0.2"/>
    <row r="1087" ht="27" customHeight="1" x14ac:dyDescent="0.2"/>
    <row r="1088" ht="18" customHeight="1" x14ac:dyDescent="0.2"/>
    <row r="1089" ht="12.75" x14ac:dyDescent="0.2"/>
    <row r="1090" ht="39" customHeight="1" x14ac:dyDescent="0.2"/>
    <row r="1091" ht="20.25" customHeight="1" x14ac:dyDescent="0.2"/>
    <row r="1092" ht="21" customHeight="1" x14ac:dyDescent="0.2"/>
    <row r="1093" ht="10.5" customHeight="1" x14ac:dyDescent="0.2"/>
    <row r="1094" ht="15" customHeight="1" x14ac:dyDescent="0.2"/>
    <row r="1095" ht="57" customHeight="1" x14ac:dyDescent="0.2"/>
    <row r="1096" ht="12.75" x14ac:dyDescent="0.2"/>
    <row r="1097" ht="18.75" customHeight="1" x14ac:dyDescent="0.2"/>
    <row r="1098" ht="23.25" customHeight="1" x14ac:dyDescent="0.2"/>
    <row r="1099" ht="21" customHeight="1" x14ac:dyDescent="0.2"/>
    <row r="1100" ht="21" customHeight="1" x14ac:dyDescent="0.2"/>
    <row r="1101" ht="10.5" customHeight="1" x14ac:dyDescent="0.2"/>
    <row r="1102" ht="9.75" customHeight="1" x14ac:dyDescent="0.2"/>
    <row r="1103" ht="12" customHeight="1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30" customHeight="1" x14ac:dyDescent="0.2"/>
    <row r="1117" ht="12.75" x14ac:dyDescent="0.2"/>
    <row r="1118" ht="15.75" customHeight="1" x14ac:dyDescent="0.2"/>
    <row r="1119" ht="12.75" x14ac:dyDescent="0.2"/>
    <row r="1120" ht="12.75" x14ac:dyDescent="0.2"/>
    <row r="1121" ht="20.25" customHeight="1" x14ac:dyDescent="0.2"/>
    <row r="1122" ht="15" customHeight="1" x14ac:dyDescent="0.2"/>
    <row r="1123" ht="16.5" customHeight="1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6.5" customHeight="1" x14ac:dyDescent="0.2"/>
    <row r="1130" ht="12.75" x14ac:dyDescent="0.2"/>
    <row r="1131" ht="15" customHeight="1" x14ac:dyDescent="0.2"/>
    <row r="1132" ht="38.25" customHeight="1" x14ac:dyDescent="0.2"/>
    <row r="1133" ht="17.25" customHeight="1" x14ac:dyDescent="0.2"/>
    <row r="1134" ht="33" customHeight="1" x14ac:dyDescent="0.2"/>
    <row r="1135" ht="16.5" customHeight="1" x14ac:dyDescent="0.2"/>
    <row r="1136" ht="15.75" customHeight="1" x14ac:dyDescent="0.2"/>
    <row r="1137" spans="1:12" ht="39.75" customHeight="1" x14ac:dyDescent="0.2"/>
    <row r="1138" spans="1:12" ht="12.75" x14ac:dyDescent="0.2"/>
    <row r="1139" spans="1:12" ht="37.5" customHeight="1" x14ac:dyDescent="0.2"/>
    <row r="1140" spans="1:12" ht="27" customHeight="1" x14ac:dyDescent="0.2"/>
    <row r="1141" spans="1:12" s="120" customFormat="1" ht="33.75" customHeight="1" x14ac:dyDescent="0.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</row>
    <row r="1142" spans="1:12" ht="12.75" x14ac:dyDescent="0.2"/>
    <row r="1143" spans="1:12" ht="12.75" x14ac:dyDescent="0.2"/>
    <row r="1144" spans="1:12" ht="12.75" x14ac:dyDescent="0.2"/>
    <row r="1145" spans="1:12" ht="45.75" customHeight="1" x14ac:dyDescent="0.2"/>
    <row r="1146" spans="1:12" ht="16.5" customHeight="1" x14ac:dyDescent="0.2"/>
    <row r="1147" spans="1:12" ht="11.25" customHeight="1" x14ac:dyDescent="0.2"/>
    <row r="1148" spans="1:12" ht="16.5" customHeight="1" x14ac:dyDescent="0.2"/>
    <row r="1149" spans="1:12" ht="23.25" customHeight="1" x14ac:dyDescent="0.2"/>
    <row r="1150" spans="1:12" ht="17.25" customHeight="1" x14ac:dyDescent="0.2"/>
    <row r="1151" spans="1:12" ht="12.75" customHeight="1" x14ac:dyDescent="0.2"/>
    <row r="1152" spans="1:12" ht="20.25" customHeight="1" x14ac:dyDescent="0.2"/>
    <row r="1153" ht="12" customHeight="1" x14ac:dyDescent="0.2"/>
    <row r="1154" ht="12.75" x14ac:dyDescent="0.2"/>
    <row r="1155" ht="12.75" x14ac:dyDescent="0.2"/>
    <row r="1156" ht="12.75" x14ac:dyDescent="0.2"/>
    <row r="1157" ht="12.75" x14ac:dyDescent="0.2"/>
    <row r="1158" ht="18" customHeight="1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35.25" customHeight="1" x14ac:dyDescent="0.2"/>
    <row r="1168" ht="12.75" x14ac:dyDescent="0.2"/>
    <row r="1169" ht="21" customHeight="1" x14ac:dyDescent="0.2"/>
    <row r="1170" ht="12.75" x14ac:dyDescent="0.2"/>
    <row r="1171" ht="20.25" customHeight="1" x14ac:dyDescent="0.2"/>
    <row r="1172" ht="28.5" customHeight="1" x14ac:dyDescent="0.2"/>
    <row r="1173" ht="21" customHeight="1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21" customHeight="1" x14ac:dyDescent="0.2"/>
    <row r="1180" ht="12.75" x14ac:dyDescent="0.2"/>
    <row r="1181" ht="15" customHeight="1" x14ac:dyDescent="0.2"/>
    <row r="1182" ht="19.5" customHeight="1" x14ac:dyDescent="0.2"/>
    <row r="1183" ht="30" customHeight="1" x14ac:dyDescent="0.2"/>
    <row r="1184" ht="19.5" customHeight="1" x14ac:dyDescent="0.2"/>
    <row r="1185" ht="33.75" customHeight="1" x14ac:dyDescent="0.2"/>
    <row r="1186" ht="15" customHeight="1" x14ac:dyDescent="0.2"/>
    <row r="1187" ht="17.25" customHeight="1" x14ac:dyDescent="0.2"/>
    <row r="1188" ht="12.75" x14ac:dyDescent="0.2"/>
    <row r="1189" ht="36" customHeight="1" x14ac:dyDescent="0.2"/>
    <row r="1190" ht="12.75" x14ac:dyDescent="0.2"/>
    <row r="1191" ht="38.25" customHeight="1" x14ac:dyDescent="0.2"/>
    <row r="1192" ht="12.75" x14ac:dyDescent="0.2"/>
    <row r="1193" ht="24" customHeight="1" x14ac:dyDescent="0.2"/>
    <row r="1194" ht="6.75" customHeight="1" x14ac:dyDescent="0.2"/>
    <row r="1195" ht="16.5" customHeight="1" x14ac:dyDescent="0.2"/>
    <row r="1196" ht="42.75" customHeight="1" x14ac:dyDescent="0.2"/>
    <row r="1197" ht="15" customHeight="1" x14ac:dyDescent="0.2"/>
    <row r="1198" ht="15" customHeight="1" x14ac:dyDescent="0.2"/>
    <row r="1199" ht="12.75" x14ac:dyDescent="0.2"/>
    <row r="1200" ht="18" customHeight="1" x14ac:dyDescent="0.2"/>
    <row r="1201" ht="12.75" x14ac:dyDescent="0.2"/>
    <row r="1202" ht="12.75" customHeight="1" x14ac:dyDescent="0.2"/>
    <row r="1203" ht="12.75" x14ac:dyDescent="0.2"/>
    <row r="1204" ht="10.5" customHeight="1" x14ac:dyDescent="0.2"/>
    <row r="1205" ht="10.5" customHeight="1" x14ac:dyDescent="0.2"/>
    <row r="1206" ht="12.75" x14ac:dyDescent="0.2"/>
    <row r="1207" ht="15" customHeight="1" x14ac:dyDescent="0.2"/>
    <row r="1208" ht="12.75" x14ac:dyDescent="0.2"/>
    <row r="1209" ht="15" customHeight="1" x14ac:dyDescent="0.2"/>
    <row r="1210" ht="12.75" x14ac:dyDescent="0.2"/>
    <row r="1211" ht="34.5" customHeight="1" x14ac:dyDescent="0.2"/>
    <row r="1212" ht="12.75" x14ac:dyDescent="0.2"/>
    <row r="1213" ht="29.25" customHeight="1" x14ac:dyDescent="0.2"/>
    <row r="1214" ht="12.75" x14ac:dyDescent="0.2"/>
    <row r="1215" ht="12.75" x14ac:dyDescent="0.2"/>
    <row r="1216" ht="18.75" customHeight="1" x14ac:dyDescent="0.2"/>
    <row r="1217" ht="12.75" x14ac:dyDescent="0.2"/>
    <row r="1218" ht="33" customHeight="1" x14ac:dyDescent="0.2"/>
    <row r="1219" ht="12.75" x14ac:dyDescent="0.2"/>
    <row r="1220" ht="12.75" x14ac:dyDescent="0.2"/>
    <row r="1221" ht="12.75" x14ac:dyDescent="0.2"/>
    <row r="1222" ht="12.75" x14ac:dyDescent="0.2"/>
    <row r="1223" ht="18.75" customHeight="1" x14ac:dyDescent="0.2"/>
    <row r="1224" ht="12.75" x14ac:dyDescent="0.2"/>
    <row r="1225" ht="15" customHeight="1" x14ac:dyDescent="0.2"/>
    <row r="1226" ht="12.75" x14ac:dyDescent="0.2"/>
    <row r="1227" ht="12.75" customHeight="1" x14ac:dyDescent="0.2"/>
    <row r="1228" ht="12.75" customHeight="1" x14ac:dyDescent="0.2"/>
    <row r="1229" ht="36" customHeight="1" x14ac:dyDescent="0.2"/>
    <row r="1230" ht="12.75" x14ac:dyDescent="0.2"/>
    <row r="1231" ht="19.5" customHeight="1" x14ac:dyDescent="0.2"/>
    <row r="1232" ht="21" customHeight="1" x14ac:dyDescent="0.2"/>
    <row r="1233" ht="22.5" customHeight="1" x14ac:dyDescent="0.2"/>
    <row r="1234" ht="34.5" customHeight="1" x14ac:dyDescent="0.2"/>
    <row r="1235" ht="36" customHeight="1" x14ac:dyDescent="0.2"/>
    <row r="1236" ht="19.5" customHeight="1" x14ac:dyDescent="0.2"/>
    <row r="1237" ht="21" customHeight="1" x14ac:dyDescent="0.2"/>
    <row r="1238" ht="13.5" customHeight="1" x14ac:dyDescent="0.2"/>
    <row r="1239" ht="19.5" customHeight="1" x14ac:dyDescent="0.2"/>
    <row r="1240" ht="46.5" customHeight="1" x14ac:dyDescent="0.2"/>
    <row r="1241" ht="12.75" x14ac:dyDescent="0.2"/>
    <row r="1242" ht="15" customHeight="1" x14ac:dyDescent="0.2"/>
    <row r="1243" ht="21" customHeight="1" x14ac:dyDescent="0.2"/>
    <row r="1244" ht="20.25" customHeight="1" x14ac:dyDescent="0.2"/>
    <row r="1245" ht="19.5" hidden="1" customHeight="1" x14ac:dyDescent="0.2"/>
    <row r="1246" ht="16.5" customHeight="1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24" customHeight="1" x14ac:dyDescent="0.2"/>
    <row r="1256" ht="12.75" x14ac:dyDescent="0.2"/>
    <row r="1257" ht="21" customHeight="1" x14ac:dyDescent="0.2"/>
    <row r="1258" ht="21" customHeight="1" x14ac:dyDescent="0.2"/>
    <row r="1259" ht="12.75" x14ac:dyDescent="0.2"/>
    <row r="1260" ht="12.75" x14ac:dyDescent="0.2"/>
    <row r="1261" ht="12.75" x14ac:dyDescent="0.2"/>
    <row r="1262" ht="31.5" customHeight="1" x14ac:dyDescent="0.2"/>
    <row r="1263" ht="12.75" x14ac:dyDescent="0.2"/>
    <row r="1264" ht="16.5" customHeight="1" x14ac:dyDescent="0.2"/>
    <row r="1265" ht="12.75" x14ac:dyDescent="0.2"/>
    <row r="1266" ht="12.75" x14ac:dyDescent="0.2"/>
    <row r="1267" ht="22.5" customHeight="1" x14ac:dyDescent="0.2"/>
    <row r="1268" ht="12.75" x14ac:dyDescent="0.2"/>
    <row r="1269" ht="15" customHeight="1" x14ac:dyDescent="0.2"/>
    <row r="1270" ht="15.75" customHeight="1" x14ac:dyDescent="0.2"/>
    <row r="1271" ht="48" customHeight="1" x14ac:dyDescent="0.2"/>
    <row r="1272" ht="17.25" customHeight="1" x14ac:dyDescent="0.2"/>
    <row r="1273" ht="16.5" customHeight="1" x14ac:dyDescent="0.2"/>
    <row r="1274" ht="25.5" customHeight="1" x14ac:dyDescent="0.2"/>
    <row r="1275" ht="13.5" customHeight="1" x14ac:dyDescent="0.2"/>
    <row r="1276" ht="15.75" customHeight="1" x14ac:dyDescent="0.2"/>
    <row r="1277" ht="15" customHeight="1" x14ac:dyDescent="0.2"/>
    <row r="1278" ht="43.5" customHeight="1" x14ac:dyDescent="0.2"/>
    <row r="1279" ht="12.75" x14ac:dyDescent="0.2"/>
    <row r="1280" ht="34.5" customHeight="1" x14ac:dyDescent="0.2"/>
    <row r="1281" ht="12.75" x14ac:dyDescent="0.2"/>
    <row r="1282" ht="19.5" customHeight="1" x14ac:dyDescent="0.2"/>
    <row r="1283" ht="44.25" customHeight="1" x14ac:dyDescent="0.2"/>
    <row r="1284" ht="17.25" customHeight="1" x14ac:dyDescent="0.2"/>
    <row r="1285" ht="23.25" customHeight="1" x14ac:dyDescent="0.2"/>
    <row r="1286" ht="21" customHeight="1" x14ac:dyDescent="0.2"/>
    <row r="1287" ht="12.75" customHeight="1" x14ac:dyDescent="0.2"/>
    <row r="1288" ht="21" customHeight="1" x14ac:dyDescent="0.2"/>
    <row r="1289" ht="51.75" customHeight="1" x14ac:dyDescent="0.2"/>
    <row r="1290" ht="12.75" x14ac:dyDescent="0.2"/>
    <row r="1291" ht="28.5" customHeight="1" x14ac:dyDescent="0.2"/>
    <row r="1292" ht="12.75" x14ac:dyDescent="0.2"/>
    <row r="1293" ht="12.75" customHeight="1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6.5" customHeight="1" x14ac:dyDescent="0.2"/>
    <row r="1301" ht="12.75" x14ac:dyDescent="0.2"/>
    <row r="1302" ht="20.25" customHeight="1" x14ac:dyDescent="0.2"/>
    <row r="1303" ht="12.75" x14ac:dyDescent="0.2"/>
    <row r="1304" ht="24.75" customHeight="1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8" customHeight="1" x14ac:dyDescent="0.2"/>
    <row r="1313" ht="17.25" customHeight="1" x14ac:dyDescent="0.2"/>
    <row r="1314" ht="18" customHeight="1" x14ac:dyDescent="0.2"/>
    <row r="1315" ht="13.5" customHeight="1" x14ac:dyDescent="0.2"/>
    <row r="1316" ht="29.25" customHeight="1" x14ac:dyDescent="0.2"/>
    <row r="1317" ht="17.25" customHeight="1" x14ac:dyDescent="0.2"/>
    <row r="1318" ht="39.75" customHeight="1" x14ac:dyDescent="0.2"/>
    <row r="1319" ht="15.75" customHeight="1" x14ac:dyDescent="0.2"/>
    <row r="1320" ht="12.75" x14ac:dyDescent="0.2"/>
    <row r="1321" ht="18.75" customHeight="1" x14ac:dyDescent="0.2"/>
    <row r="1322" ht="18.75" customHeight="1" x14ac:dyDescent="0.2"/>
    <row r="1323" ht="12.75" x14ac:dyDescent="0.2"/>
    <row r="1324" ht="28.5" customHeight="1" x14ac:dyDescent="0.2"/>
    <row r="1325" ht="12.75" x14ac:dyDescent="0.2"/>
    <row r="1326" ht="42.75" customHeight="1" x14ac:dyDescent="0.2"/>
    <row r="1327" ht="12.75" x14ac:dyDescent="0.2"/>
    <row r="1328" ht="21" customHeight="1" x14ac:dyDescent="0.2"/>
    <row r="1329" ht="12.75" x14ac:dyDescent="0.2"/>
    <row r="1330" ht="17.25" customHeight="1" x14ac:dyDescent="0.2"/>
    <row r="1331" ht="18" customHeight="1" x14ac:dyDescent="0.2"/>
    <row r="1332" ht="18" customHeight="1" x14ac:dyDescent="0.2"/>
    <row r="1333" ht="11.25" customHeight="1" x14ac:dyDescent="0.2"/>
    <row r="1334" ht="18" customHeight="1" x14ac:dyDescent="0.2"/>
    <row r="1335" ht="46.5" customHeight="1" x14ac:dyDescent="0.2"/>
    <row r="1336" ht="21" customHeight="1" x14ac:dyDescent="0.2"/>
    <row r="1337" ht="19.5" customHeight="1" x14ac:dyDescent="0.2"/>
    <row r="1338" ht="22.5" customHeight="1" x14ac:dyDescent="0.2"/>
    <row r="1339" ht="12.75" x14ac:dyDescent="0.2"/>
    <row r="1340" ht="16.5" customHeight="1" x14ac:dyDescent="0.2"/>
    <row r="1341" ht="16.5" customHeight="1" x14ac:dyDescent="0.2"/>
    <row r="1342" ht="12.75" x14ac:dyDescent="0.2"/>
    <row r="1343" ht="27.75" customHeight="1" x14ac:dyDescent="0.2"/>
    <row r="1344" ht="12.75" x14ac:dyDescent="0.2"/>
    <row r="1345" ht="26.25" customHeight="1" x14ac:dyDescent="0.2"/>
    <row r="1346" ht="12.75" x14ac:dyDescent="0.2"/>
    <row r="1347" ht="18" customHeight="1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45.75" hidden="1" customHeight="1" x14ac:dyDescent="0.2"/>
    <row r="1356" ht="32.25" customHeight="1" x14ac:dyDescent="0.2"/>
    <row r="1357" ht="15" customHeight="1" x14ac:dyDescent="0.2"/>
    <row r="1358" ht="12.75" x14ac:dyDescent="0.2"/>
    <row r="1359" ht="12.75" x14ac:dyDescent="0.2"/>
    <row r="1360" ht="12.75" x14ac:dyDescent="0.2"/>
    <row r="1361" ht="12.75" x14ac:dyDescent="0.2"/>
    <row r="1362" ht="39" customHeight="1" x14ac:dyDescent="0.2"/>
    <row r="1363" ht="12.75" x14ac:dyDescent="0.2"/>
    <row r="1364" ht="19.5" customHeight="1" x14ac:dyDescent="0.2"/>
    <row r="1365" ht="38.25" hidden="1" customHeight="1" x14ac:dyDescent="0.2"/>
    <row r="1366" ht="12.75" x14ac:dyDescent="0.2"/>
    <row r="1367" ht="29.25" customHeight="1" x14ac:dyDescent="0.2"/>
    <row r="1368" ht="12.75" x14ac:dyDescent="0.2"/>
    <row r="1369" ht="15.75" customHeight="1" x14ac:dyDescent="0.2"/>
    <row r="1370" ht="12.75" x14ac:dyDescent="0.2"/>
    <row r="1371" ht="12.75" x14ac:dyDescent="0.2"/>
    <row r="1372" ht="12.75" x14ac:dyDescent="0.2"/>
    <row r="1373" ht="12.75" x14ac:dyDescent="0.2"/>
    <row r="1374" ht="21.75" customHeight="1" x14ac:dyDescent="0.2"/>
    <row r="1375" ht="18" customHeight="1" x14ac:dyDescent="0.2"/>
    <row r="1376" ht="12.75" x14ac:dyDescent="0.2"/>
    <row r="1377" ht="20.25" customHeight="1" x14ac:dyDescent="0.2"/>
    <row r="1378" ht="36.75" customHeight="1" x14ac:dyDescent="0.2"/>
    <row r="1379" ht="15" customHeight="1" x14ac:dyDescent="0.2"/>
    <row r="1380" ht="34.5" customHeight="1" x14ac:dyDescent="0.2"/>
    <row r="1381" ht="16.5" customHeight="1" x14ac:dyDescent="0.2"/>
    <row r="1382" ht="21" customHeight="1" x14ac:dyDescent="0.2"/>
    <row r="1383" ht="42" customHeight="1" x14ac:dyDescent="0.2"/>
    <row r="1384" ht="17.25" customHeight="1" x14ac:dyDescent="0.2"/>
    <row r="1385" ht="39.75" customHeight="1" x14ac:dyDescent="0.2"/>
    <row r="1386" ht="25.5" customHeight="1" x14ac:dyDescent="0.2"/>
    <row r="1387" ht="11.25" customHeight="1" x14ac:dyDescent="0.2"/>
    <row r="1388" ht="18.75" customHeight="1" x14ac:dyDescent="0.2"/>
    <row r="1389" ht="47.25" customHeight="1" x14ac:dyDescent="0.2"/>
    <row r="1390" ht="19.5" customHeight="1" x14ac:dyDescent="0.2"/>
    <row r="1391" ht="18" customHeight="1" x14ac:dyDescent="0.2"/>
    <row r="1392" ht="18" customHeight="1" x14ac:dyDescent="0.2"/>
    <row r="1393" ht="12.75" x14ac:dyDescent="0.2"/>
    <row r="1394" ht="24" customHeight="1" x14ac:dyDescent="0.2"/>
    <row r="1395" ht="12.75" x14ac:dyDescent="0.2"/>
    <row r="1396" ht="12.75" customHeight="1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21.75" customHeight="1" x14ac:dyDescent="0.2"/>
    <row r="1405" ht="12.75" x14ac:dyDescent="0.2"/>
    <row r="1406" ht="15" customHeight="1" x14ac:dyDescent="0.2"/>
    <row r="1407" ht="12.75" x14ac:dyDescent="0.2"/>
    <row r="1408" ht="43.5" customHeight="1" x14ac:dyDescent="0.2"/>
    <row r="1409" ht="12.75" x14ac:dyDescent="0.2"/>
    <row r="1410" ht="41.25" customHeight="1" x14ac:dyDescent="0.2"/>
    <row r="1411" ht="12.75" x14ac:dyDescent="0.2"/>
    <row r="1412" ht="22.5" customHeight="1" x14ac:dyDescent="0.2"/>
    <row r="1413" ht="18.75" customHeight="1" x14ac:dyDescent="0.2"/>
    <row r="1414" ht="16.5" customHeight="1" x14ac:dyDescent="0.2"/>
    <row r="1415" ht="12.75" x14ac:dyDescent="0.2"/>
    <row r="1416" ht="23.25" customHeight="1" x14ac:dyDescent="0.2"/>
    <row r="1417" ht="12" customHeight="1" x14ac:dyDescent="0.2"/>
    <row r="1418" ht="12.75" x14ac:dyDescent="0.2"/>
    <row r="1419" ht="12.75" x14ac:dyDescent="0.2"/>
    <row r="1420" ht="48.75" customHeight="1" x14ac:dyDescent="0.2"/>
    <row r="1421" ht="12.75" x14ac:dyDescent="0.2"/>
    <row r="1422" ht="12.75" x14ac:dyDescent="0.2"/>
    <row r="1423" ht="12.75" x14ac:dyDescent="0.2"/>
    <row r="1424" ht="12.75" x14ac:dyDescent="0.2"/>
    <row r="1425" ht="21" customHeight="1" x14ac:dyDescent="0.2"/>
    <row r="1426" ht="29.25" customHeight="1" x14ac:dyDescent="0.2"/>
    <row r="1427" ht="14.25" customHeight="1" x14ac:dyDescent="0.2"/>
    <row r="1428" ht="36.75" customHeight="1" x14ac:dyDescent="0.2"/>
    <row r="1429" ht="14.25" customHeight="1" x14ac:dyDescent="0.2"/>
    <row r="1430" ht="39" customHeight="1" x14ac:dyDescent="0.2"/>
    <row r="1431" ht="25.5" customHeight="1" x14ac:dyDescent="0.2"/>
    <row r="1432" ht="18.75" customHeight="1" x14ac:dyDescent="0.2"/>
    <row r="1433" ht="12.75" x14ac:dyDescent="0.2"/>
    <row r="1434" ht="19.5" customHeight="1" x14ac:dyDescent="0.2"/>
    <row r="1435" ht="13.5" customHeight="1" x14ac:dyDescent="0.2"/>
    <row r="1436" ht="21" customHeight="1" x14ac:dyDescent="0.2"/>
    <row r="1437" ht="48" customHeight="1" x14ac:dyDescent="0.2"/>
    <row r="1438" ht="12.75" x14ac:dyDescent="0.2"/>
    <row r="1439" ht="21.75" customHeight="1" x14ac:dyDescent="0.2"/>
    <row r="1440" ht="12.75" x14ac:dyDescent="0.2"/>
    <row r="1441" ht="12.75" customHeight="1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5.25" customHeight="1" x14ac:dyDescent="0.2"/>
    <row r="1449" ht="30" customHeight="1" x14ac:dyDescent="0.2"/>
    <row r="1450" ht="12.75" x14ac:dyDescent="0.2"/>
    <row r="1451" ht="21" customHeight="1" x14ac:dyDescent="0.2"/>
    <row r="1452" ht="21" customHeight="1" x14ac:dyDescent="0.2"/>
    <row r="1453" ht="12.75" customHeight="1" x14ac:dyDescent="0.2"/>
    <row r="1454" ht="12.75" x14ac:dyDescent="0.2"/>
    <row r="1455" ht="12.75" x14ac:dyDescent="0.2"/>
    <row r="1456" ht="12.75" x14ac:dyDescent="0.2"/>
    <row r="1457" spans="1:12" ht="12.75" x14ac:dyDescent="0.2"/>
    <row r="1458" spans="1:12" ht="45.75" customHeight="1" x14ac:dyDescent="0.2"/>
    <row r="1459" spans="1:12" ht="15" customHeight="1" x14ac:dyDescent="0.2"/>
    <row r="1460" spans="1:12" ht="23.25" customHeight="1" x14ac:dyDescent="0.2"/>
    <row r="1461" spans="1:12" ht="23.25" customHeight="1" x14ac:dyDescent="0.2"/>
    <row r="1462" spans="1:12" ht="12.75" x14ac:dyDescent="0.2"/>
    <row r="1463" spans="1:12" ht="28.5" customHeight="1" x14ac:dyDescent="0.2">
      <c r="A1463" s="76"/>
      <c r="B1463" s="76"/>
      <c r="C1463" s="76"/>
      <c r="D1463" s="76"/>
      <c r="E1463" s="76"/>
      <c r="F1463" s="76"/>
      <c r="G1463" s="76"/>
      <c r="H1463" s="76"/>
      <c r="I1463" s="76"/>
      <c r="J1463" s="76"/>
      <c r="K1463" s="76"/>
      <c r="L1463" s="76"/>
    </row>
    <row r="1464" spans="1:12" ht="21" customHeight="1" x14ac:dyDescent="0.2"/>
    <row r="1465" spans="1:12" ht="30.75" customHeight="1" x14ac:dyDescent="0.2"/>
    <row r="1466" spans="1:12" ht="21.75" customHeight="1" x14ac:dyDescent="0.2"/>
    <row r="1467" spans="1:12" ht="12.75" x14ac:dyDescent="0.2"/>
    <row r="1468" spans="1:12" ht="12.75" x14ac:dyDescent="0.2"/>
    <row r="1469" spans="1:12" ht="12.75" x14ac:dyDescent="0.2"/>
    <row r="1470" spans="1:12" ht="28.5" customHeight="1" x14ac:dyDescent="0.2"/>
    <row r="1471" spans="1:12" ht="12.75" x14ac:dyDescent="0.2"/>
    <row r="1472" spans="1:12" ht="12.75" x14ac:dyDescent="0.2"/>
    <row r="1473" ht="12.75" x14ac:dyDescent="0.2"/>
    <row r="1474" ht="25.5" customHeight="1" x14ac:dyDescent="0.2"/>
    <row r="1475" ht="18" customHeight="1" x14ac:dyDescent="0.2"/>
    <row r="1476" ht="15" customHeight="1" x14ac:dyDescent="0.2"/>
    <row r="1477" ht="13.5" customHeight="1" x14ac:dyDescent="0.2"/>
    <row r="1478" ht="12.75" customHeight="1" x14ac:dyDescent="0.2"/>
    <row r="1479" ht="12.75" x14ac:dyDescent="0.2"/>
    <row r="1480" ht="12.75" x14ac:dyDescent="0.2"/>
    <row r="1481" ht="29.25" customHeight="1" x14ac:dyDescent="0.2"/>
    <row r="1482" ht="12.75" x14ac:dyDescent="0.2"/>
    <row r="1483" ht="32.25" customHeight="1" x14ac:dyDescent="0.2"/>
    <row r="1484" ht="21.75" customHeight="1" x14ac:dyDescent="0.2"/>
    <row r="1485" ht="39.75" customHeight="1" x14ac:dyDescent="0.2"/>
    <row r="1486" ht="12.75" x14ac:dyDescent="0.2"/>
    <row r="1487" ht="12.75" customHeight="1" x14ac:dyDescent="0.2"/>
    <row r="1488" ht="12.75" x14ac:dyDescent="0.2"/>
    <row r="1489" ht="12.75" x14ac:dyDescent="0.2"/>
    <row r="1490" ht="12.75" x14ac:dyDescent="0.2"/>
    <row r="1491" ht="12.75" x14ac:dyDescent="0.2"/>
    <row r="1492" ht="45" customHeight="1" x14ac:dyDescent="0.2"/>
    <row r="1493" ht="12.75" x14ac:dyDescent="0.2"/>
    <row r="1494" ht="15" customHeight="1" x14ac:dyDescent="0.2"/>
    <row r="1495" ht="12.75" x14ac:dyDescent="0.2"/>
    <row r="1496" ht="12.75" x14ac:dyDescent="0.2"/>
    <row r="1497" ht="19.5" customHeight="1" x14ac:dyDescent="0.2"/>
    <row r="1498" ht="12.75" x14ac:dyDescent="0.2"/>
    <row r="1499" ht="17.25" customHeight="1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54.75" customHeight="1" x14ac:dyDescent="0.2"/>
    <row r="1508" ht="16.5" customHeight="1" x14ac:dyDescent="0.2"/>
    <row r="1509" ht="39.75" customHeight="1" x14ac:dyDescent="0.2"/>
    <row r="1510" ht="18" customHeight="1" x14ac:dyDescent="0.2"/>
    <row r="1511" ht="24.75" customHeight="1" x14ac:dyDescent="0.2"/>
    <row r="1512" ht="7.5" customHeight="1" x14ac:dyDescent="0.2"/>
    <row r="1513" ht="17.25" customHeight="1" x14ac:dyDescent="0.2"/>
    <row r="1514" ht="12.75" customHeight="1" x14ac:dyDescent="0.2"/>
    <row r="1515" ht="18.75" customHeight="1" x14ac:dyDescent="0.2"/>
    <row r="1516" ht="12.75" x14ac:dyDescent="0.2"/>
    <row r="1517" ht="12.75" x14ac:dyDescent="0.2"/>
    <row r="1518" ht="12.75" x14ac:dyDescent="0.2"/>
    <row r="1519" ht="43.5" customHeight="1" x14ac:dyDescent="0.2"/>
    <row r="1520" ht="12.75" x14ac:dyDescent="0.2"/>
    <row r="1521" ht="19.5" customHeight="1" x14ac:dyDescent="0.2"/>
    <row r="1522" ht="12.75" x14ac:dyDescent="0.2"/>
    <row r="1523" ht="18.75" customHeight="1" x14ac:dyDescent="0.2"/>
    <row r="1524" ht="21" customHeight="1" x14ac:dyDescent="0.2"/>
    <row r="1525" ht="23.25" customHeight="1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5" customHeight="1" x14ac:dyDescent="0.2"/>
    <row r="1533" ht="15.75" customHeight="1" x14ac:dyDescent="0.2"/>
    <row r="1534" ht="12.75" x14ac:dyDescent="0.2"/>
    <row r="1535" ht="39.75" customHeight="1" x14ac:dyDescent="0.2"/>
    <row r="1536" ht="12.75" x14ac:dyDescent="0.2"/>
    <row r="1537" ht="50.25" customHeight="1" x14ac:dyDescent="0.2"/>
    <row r="1538" ht="12.75" x14ac:dyDescent="0.2"/>
    <row r="1539" ht="34.5" customHeight="1" x14ac:dyDescent="0.2"/>
    <row r="1540" ht="14.25" customHeight="1" x14ac:dyDescent="0.2"/>
    <row r="1541" ht="41.25" hidden="1" customHeight="1" x14ac:dyDescent="0.2"/>
    <row r="1542" ht="12.75" x14ac:dyDescent="0.2"/>
    <row r="1543" ht="18.75" customHeight="1" x14ac:dyDescent="0.2"/>
    <row r="1544" ht="12.75" x14ac:dyDescent="0.2"/>
    <row r="1545" ht="32.25" customHeight="1" x14ac:dyDescent="0.2"/>
    <row r="1546" ht="14.25" customHeight="1" x14ac:dyDescent="0.2"/>
    <row r="1547" ht="12.75" x14ac:dyDescent="0.2"/>
    <row r="1548" ht="49.5" customHeight="1" x14ac:dyDescent="0.2"/>
    <row r="1549" ht="12.75" x14ac:dyDescent="0.2"/>
    <row r="1550" ht="15" customHeight="1" x14ac:dyDescent="0.2"/>
    <row r="1551" ht="12.75" x14ac:dyDescent="0.2"/>
    <row r="1552" ht="12.75" x14ac:dyDescent="0.2"/>
    <row r="1553" ht="12.75" x14ac:dyDescent="0.2"/>
    <row r="1554" ht="12.75" x14ac:dyDescent="0.2"/>
    <row r="1555" ht="19.5" customHeight="1" x14ac:dyDescent="0.2"/>
    <row r="1556" ht="12.75" x14ac:dyDescent="0.2"/>
    <row r="1557" ht="15.75" customHeight="1" x14ac:dyDescent="0.2"/>
    <row r="1558" ht="12.75" x14ac:dyDescent="0.2"/>
    <row r="1559" ht="43.5" customHeight="1" x14ac:dyDescent="0.2"/>
    <row r="1560" ht="12.75" x14ac:dyDescent="0.2"/>
    <row r="1561" ht="43.5" customHeight="1" x14ac:dyDescent="0.2"/>
    <row r="1562" ht="31.5" customHeight="1" x14ac:dyDescent="0.2"/>
    <row r="1563" ht="31.5" customHeight="1" x14ac:dyDescent="0.2"/>
    <row r="1564" ht="21" customHeight="1" x14ac:dyDescent="0.2"/>
    <row r="1565" ht="20.25" customHeight="1" x14ac:dyDescent="0.2"/>
    <row r="1566" ht="12.75" x14ac:dyDescent="0.2"/>
    <row r="1567" ht="12.75" x14ac:dyDescent="0.2"/>
    <row r="1568" ht="19.5" customHeight="1" x14ac:dyDescent="0.2"/>
    <row r="1569" ht="21.75" customHeight="1" x14ac:dyDescent="0.2"/>
    <row r="1570" ht="18.75" customHeight="1" x14ac:dyDescent="0.2"/>
    <row r="1571" ht="21.75" customHeight="1" x14ac:dyDescent="0.2"/>
    <row r="1572" ht="18" customHeight="1" x14ac:dyDescent="0.2"/>
    <row r="1573" ht="19.5" customHeight="1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27.75" customHeight="1" x14ac:dyDescent="0.2"/>
    <row r="1580" ht="9.75" customHeight="1" x14ac:dyDescent="0.2"/>
    <row r="1581" ht="35.25" customHeight="1" x14ac:dyDescent="0.2"/>
    <row r="1582" ht="15" customHeight="1" x14ac:dyDescent="0.2"/>
    <row r="1583" ht="28.5" customHeight="1" x14ac:dyDescent="0.2"/>
    <row r="1584" ht="21.75" customHeight="1" x14ac:dyDescent="0.2"/>
    <row r="1585" ht="12.75" x14ac:dyDescent="0.2"/>
    <row r="1586" ht="12.75" x14ac:dyDescent="0.2"/>
    <row r="1587" ht="21.75" customHeight="1" x14ac:dyDescent="0.2"/>
    <row r="1588" ht="12.75" x14ac:dyDescent="0.2"/>
    <row r="1589" ht="12.75" x14ac:dyDescent="0.2"/>
    <row r="1590" ht="41.25" customHeight="1" x14ac:dyDescent="0.2"/>
    <row r="1591" ht="12.75" x14ac:dyDescent="0.2"/>
    <row r="1592" ht="12.75" customHeight="1" x14ac:dyDescent="0.2"/>
    <row r="1593" ht="12.75" x14ac:dyDescent="0.2"/>
    <row r="1594" ht="12.75" x14ac:dyDescent="0.2"/>
    <row r="1595" ht="12.75" x14ac:dyDescent="0.2"/>
    <row r="1596" ht="12.75" x14ac:dyDescent="0.2"/>
    <row r="1597" ht="35.25" customHeight="1" x14ac:dyDescent="0.2"/>
    <row r="1598" ht="33" customHeight="1" x14ac:dyDescent="0.2"/>
    <row r="1599" ht="42.75" customHeight="1" x14ac:dyDescent="0.2"/>
    <row r="1600" ht="24" customHeight="1" x14ac:dyDescent="0.2"/>
    <row r="1601" spans="1:12" ht="12.75" x14ac:dyDescent="0.2"/>
    <row r="1602" spans="1:12" ht="12.75" x14ac:dyDescent="0.2"/>
    <row r="1603" spans="1:12" ht="12.75" x14ac:dyDescent="0.2"/>
    <row r="1604" spans="1:12" ht="18.75" customHeight="1" x14ac:dyDescent="0.2"/>
    <row r="1605" spans="1:12" ht="12.75" x14ac:dyDescent="0.2"/>
    <row r="1606" spans="1:12" ht="40.5" customHeight="1" x14ac:dyDescent="0.2"/>
    <row r="1607" spans="1:12" ht="12.75" x14ac:dyDescent="0.2"/>
    <row r="1608" spans="1:12" ht="13.5" customHeight="1" x14ac:dyDescent="0.2"/>
    <row r="1609" spans="1:12" ht="22.5" customHeight="1" x14ac:dyDescent="0.2"/>
    <row r="1610" spans="1:12" ht="49.5" customHeight="1" x14ac:dyDescent="0.2"/>
    <row r="1611" spans="1:12" s="76" customFormat="1" ht="16.5" customHeight="1" x14ac:dyDescent="0.2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</row>
    <row r="1612" spans="1:12" ht="15" customHeight="1" x14ac:dyDescent="0.2"/>
    <row r="1613" spans="1:12" ht="12.75" x14ac:dyDescent="0.2"/>
    <row r="1614" spans="1:12" ht="12.75" x14ac:dyDescent="0.2"/>
    <row r="1615" spans="1:12" ht="12.75" x14ac:dyDescent="0.2"/>
    <row r="1616" spans="1:12" ht="15" customHeight="1" x14ac:dyDescent="0.2"/>
    <row r="1617" ht="15.75" customHeight="1" x14ac:dyDescent="0.2"/>
    <row r="1618" ht="14.25" customHeight="1" x14ac:dyDescent="0.2"/>
    <row r="1619" ht="21.75" customHeight="1" x14ac:dyDescent="0.2"/>
    <row r="1620" ht="18" customHeight="1" x14ac:dyDescent="0.2"/>
    <row r="1621" ht="19.5" customHeight="1" x14ac:dyDescent="0.2"/>
    <row r="1622" ht="17.25" customHeight="1" x14ac:dyDescent="0.2"/>
    <row r="1623" ht="12.75" x14ac:dyDescent="0.2"/>
    <row r="1624" ht="12.75" x14ac:dyDescent="0.2"/>
    <row r="1625" ht="12.75" x14ac:dyDescent="0.2"/>
    <row r="1626" ht="32.25" customHeight="1" x14ac:dyDescent="0.2"/>
    <row r="1627" ht="12.75" x14ac:dyDescent="0.2"/>
    <row r="1628" ht="36" customHeight="1" x14ac:dyDescent="0.2"/>
    <row r="1629" ht="14.25" customHeight="1" x14ac:dyDescent="0.2"/>
    <row r="1630" ht="29.25" customHeight="1" x14ac:dyDescent="0.2"/>
    <row r="1631" ht="12.75" x14ac:dyDescent="0.2"/>
    <row r="1632" ht="30" customHeight="1" x14ac:dyDescent="0.2"/>
    <row r="1633" ht="12.75" x14ac:dyDescent="0.2"/>
    <row r="1634" ht="12.75" x14ac:dyDescent="0.2"/>
    <row r="1635" ht="12.75" x14ac:dyDescent="0.2"/>
    <row r="1636" ht="12.75" x14ac:dyDescent="0.2"/>
    <row r="1637" ht="46.5" customHeight="1" x14ac:dyDescent="0.2"/>
    <row r="1638" ht="12.75" x14ac:dyDescent="0.2"/>
    <row r="1639" ht="12.75" customHeight="1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20.25" customHeight="1" x14ac:dyDescent="0.2"/>
    <row r="1652" ht="12.75" x14ac:dyDescent="0.2"/>
    <row r="1653" ht="42.75" customHeight="1" x14ac:dyDescent="0.2"/>
    <row r="1654" ht="21" customHeight="1" x14ac:dyDescent="0.2"/>
    <row r="1655" ht="38.25" customHeight="1" x14ac:dyDescent="0.2"/>
    <row r="1656" ht="25.5" customHeight="1" x14ac:dyDescent="0.2"/>
    <row r="1657" ht="15.75" customHeight="1" x14ac:dyDescent="0.2"/>
    <row r="1658" ht="21.75" customHeight="1" x14ac:dyDescent="0.2"/>
    <row r="1659" ht="12.75" x14ac:dyDescent="0.2"/>
    <row r="1660" ht="12.75" x14ac:dyDescent="0.2"/>
    <row r="1661" ht="12.75" x14ac:dyDescent="0.2"/>
    <row r="1662" ht="12.75" x14ac:dyDescent="0.2"/>
    <row r="1663" ht="24.75" customHeight="1" x14ac:dyDescent="0.2"/>
    <row r="1664" ht="12.75" x14ac:dyDescent="0.2"/>
    <row r="1665" ht="15" customHeight="1" x14ac:dyDescent="0.2"/>
    <row r="1666" ht="46.5" customHeight="1" x14ac:dyDescent="0.2"/>
    <row r="1667" ht="18.75" customHeight="1" x14ac:dyDescent="0.2"/>
    <row r="1668" ht="24" customHeight="1" x14ac:dyDescent="0.2"/>
    <row r="1669" ht="11.25" customHeight="1" x14ac:dyDescent="0.2"/>
    <row r="1670" ht="6.75" customHeight="1" x14ac:dyDescent="0.2"/>
    <row r="1671" ht="12.75" customHeight="1" x14ac:dyDescent="0.2"/>
    <row r="1672" ht="13.5" customHeight="1" x14ac:dyDescent="0.2"/>
    <row r="1673" ht="12.75" x14ac:dyDescent="0.2"/>
    <row r="1674" ht="19.5" customHeight="1" x14ac:dyDescent="0.2"/>
    <row r="1675" ht="12.75" x14ac:dyDescent="0.2"/>
    <row r="1676" ht="7.5" customHeight="1" x14ac:dyDescent="0.2"/>
    <row r="1677" ht="12.75" x14ac:dyDescent="0.2"/>
    <row r="1678" ht="22.5" customHeight="1" x14ac:dyDescent="0.2"/>
    <row r="1679" ht="12.75" x14ac:dyDescent="0.2"/>
    <row r="1680" ht="21" customHeight="1" x14ac:dyDescent="0.2"/>
    <row r="1681" ht="12.75" x14ac:dyDescent="0.2"/>
    <row r="1682" ht="12.75" x14ac:dyDescent="0.2"/>
    <row r="1683" ht="42" customHeight="1" x14ac:dyDescent="0.2"/>
    <row r="1684" ht="12.75" x14ac:dyDescent="0.2"/>
    <row r="1685" ht="12.75" customHeight="1" x14ac:dyDescent="0.2"/>
    <row r="1686" ht="12.75" x14ac:dyDescent="0.2"/>
    <row r="1687" ht="12.75" x14ac:dyDescent="0.2"/>
    <row r="1688" ht="12.75" customHeight="1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5.75" customHeight="1" x14ac:dyDescent="0.2"/>
    <row r="1701" ht="20.25" customHeight="1" x14ac:dyDescent="0.2"/>
    <row r="1702" ht="19.5" customHeight="1" x14ac:dyDescent="0.2"/>
    <row r="1703" ht="18.75" customHeight="1" x14ac:dyDescent="0.2"/>
    <row r="1704" ht="33.75" customHeight="1" x14ac:dyDescent="0.2"/>
    <row r="1705" ht="14.25" customHeight="1" x14ac:dyDescent="0.2"/>
    <row r="1706" ht="39.75" customHeight="1" x14ac:dyDescent="0.2"/>
    <row r="1707" ht="12.75" x14ac:dyDescent="0.2"/>
    <row r="1708" ht="18.75" customHeight="1" x14ac:dyDescent="0.2"/>
    <row r="1709" ht="12.75" x14ac:dyDescent="0.2"/>
    <row r="1710" ht="36" customHeight="1" x14ac:dyDescent="0.2"/>
    <row r="1711" ht="12.75" x14ac:dyDescent="0.2"/>
    <row r="1712" ht="22.5" customHeight="1" x14ac:dyDescent="0.2"/>
    <row r="1713" ht="27" customHeight="1" x14ac:dyDescent="0.2"/>
    <row r="1714" ht="28.5" customHeight="1" x14ac:dyDescent="0.2"/>
    <row r="1715" ht="10.5" customHeight="1" x14ac:dyDescent="0.2"/>
    <row r="1716" ht="25.5" customHeight="1" x14ac:dyDescent="0.2"/>
    <row r="1717" ht="51" customHeight="1" x14ac:dyDescent="0.2"/>
    <row r="1718" ht="19.5" customHeight="1" x14ac:dyDescent="0.2"/>
    <row r="1719" ht="20.25" customHeight="1" x14ac:dyDescent="0.2"/>
    <row r="1720" ht="14.25" customHeight="1" x14ac:dyDescent="0.2"/>
    <row r="1721" ht="12.75" x14ac:dyDescent="0.2"/>
    <row r="1722" ht="16.5" customHeight="1" x14ac:dyDescent="0.2"/>
    <row r="1723" ht="12.75" x14ac:dyDescent="0.2"/>
    <row r="1724" ht="15" customHeight="1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49.5" customHeight="1" x14ac:dyDescent="0.2"/>
    <row r="1736" ht="19.5" customHeight="1" x14ac:dyDescent="0.2"/>
    <row r="1737" ht="19.5" customHeight="1" x14ac:dyDescent="0.2"/>
    <row r="1738" ht="12.75" x14ac:dyDescent="0.2"/>
    <row r="1739" ht="12.75" x14ac:dyDescent="0.2"/>
    <row r="1740" ht="12.75" x14ac:dyDescent="0.2"/>
    <row r="1741" ht="12" customHeight="1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4.25" customHeight="1" x14ac:dyDescent="0.2"/>
    <row r="1750" ht="12.75" x14ac:dyDescent="0.2"/>
    <row r="1751" ht="21" customHeight="1" x14ac:dyDescent="0.2"/>
    <row r="1752" ht="22.5" customHeight="1" x14ac:dyDescent="0.2"/>
    <row r="1753" ht="31.5" customHeight="1" x14ac:dyDescent="0.2"/>
    <row r="1754" ht="18" customHeight="1" x14ac:dyDescent="0.2"/>
    <row r="1755" ht="33" customHeight="1" x14ac:dyDescent="0.2"/>
    <row r="1756" ht="12.75" x14ac:dyDescent="0.2"/>
    <row r="1757" ht="12.75" x14ac:dyDescent="0.2"/>
    <row r="1758" ht="12.75" x14ac:dyDescent="0.2"/>
    <row r="1759" ht="22.5" customHeight="1" x14ac:dyDescent="0.2"/>
    <row r="1760" ht="34.5" customHeight="1" x14ac:dyDescent="0.2"/>
    <row r="1761" ht="20.25" customHeight="1" x14ac:dyDescent="0.2"/>
    <row r="1762" ht="24" customHeight="1" x14ac:dyDescent="0.2"/>
    <row r="1763" ht="10.5" customHeight="1" x14ac:dyDescent="0.2"/>
    <row r="1764" ht="12.75" x14ac:dyDescent="0.2"/>
    <row r="1765" ht="44.25" customHeight="1" x14ac:dyDescent="0.2"/>
    <row r="1766" ht="12.75" x14ac:dyDescent="0.2"/>
    <row r="1767" ht="15" customHeight="1" x14ac:dyDescent="0.2"/>
    <row r="1768" ht="12.75" customHeight="1" x14ac:dyDescent="0.2"/>
    <row r="1769" ht="12.75" x14ac:dyDescent="0.2"/>
    <row r="1770" ht="12" customHeight="1" x14ac:dyDescent="0.2"/>
    <row r="1771" ht="13.5" customHeight="1" x14ac:dyDescent="0.2"/>
    <row r="1772" ht="19.5" customHeight="1" x14ac:dyDescent="0.2"/>
    <row r="1773" ht="12.75" x14ac:dyDescent="0.2"/>
    <row r="1774" ht="12.75" customHeight="1" x14ac:dyDescent="0.2"/>
    <row r="1775" ht="12.75" x14ac:dyDescent="0.2"/>
    <row r="1776" ht="18.75" customHeight="1" x14ac:dyDescent="0.2"/>
    <row r="1777" ht="12.75" x14ac:dyDescent="0.2"/>
    <row r="1778" ht="36" customHeight="1" x14ac:dyDescent="0.2"/>
    <row r="1779" ht="12.75" x14ac:dyDescent="0.2"/>
    <row r="1780" ht="12.75" x14ac:dyDescent="0.2"/>
    <row r="1781" ht="15" customHeight="1" x14ac:dyDescent="0.2"/>
    <row r="1782" ht="12.75" x14ac:dyDescent="0.2"/>
    <row r="1783" ht="15" customHeight="1" x14ac:dyDescent="0.2"/>
    <row r="1784" ht="12.75" x14ac:dyDescent="0.2"/>
    <row r="1785" ht="12.75" x14ac:dyDescent="0.2"/>
    <row r="1786" ht="16.5" customHeight="1" x14ac:dyDescent="0.2"/>
    <row r="1787" ht="15" customHeight="1" x14ac:dyDescent="0.2"/>
    <row r="1788" ht="12.75" x14ac:dyDescent="0.2"/>
    <row r="1789" ht="48" customHeight="1" x14ac:dyDescent="0.2"/>
    <row r="1790" ht="12.75" x14ac:dyDescent="0.2"/>
    <row r="1791" ht="15" customHeight="1" x14ac:dyDescent="0.2"/>
    <row r="1792" ht="12.75" x14ac:dyDescent="0.2"/>
    <row r="1793" ht="12.75" x14ac:dyDescent="0.2"/>
    <row r="1794" ht="13.5" customHeight="1" x14ac:dyDescent="0.2"/>
    <row r="1795" ht="12.75" x14ac:dyDescent="0.2"/>
    <row r="1796" ht="12.75" customHeight="1" x14ac:dyDescent="0.2"/>
    <row r="1797" ht="12.75" customHeight="1" x14ac:dyDescent="0.2"/>
    <row r="1798" ht="21.75" customHeight="1" x14ac:dyDescent="0.2"/>
    <row r="1799" ht="30" customHeight="1" x14ac:dyDescent="0.2"/>
    <row r="1800" ht="12.75" x14ac:dyDescent="0.2"/>
    <row r="1801" ht="21" customHeight="1" x14ac:dyDescent="0.2"/>
    <row r="1802" ht="12.75" x14ac:dyDescent="0.2"/>
    <row r="1803" ht="12.75" x14ac:dyDescent="0.2"/>
    <row r="1804" ht="12.75" x14ac:dyDescent="0.2"/>
    <row r="1805" ht="40.5" customHeight="1" x14ac:dyDescent="0.2"/>
    <row r="1806" ht="26.25" customHeight="1" x14ac:dyDescent="0.2"/>
    <row r="1807" ht="43.5" customHeight="1" x14ac:dyDescent="0.2"/>
    <row r="1808" ht="26.25" customHeight="1" x14ac:dyDescent="0.2"/>
    <row r="1809" ht="21.75" customHeight="1" x14ac:dyDescent="0.2"/>
    <row r="1810" ht="37.5" customHeight="1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45.75" customHeight="1" x14ac:dyDescent="0.2"/>
    <row r="1818" ht="12.75" x14ac:dyDescent="0.2"/>
    <row r="1819" ht="15" customHeight="1" x14ac:dyDescent="0.2"/>
    <row r="1820" ht="20.25" customHeight="1" x14ac:dyDescent="0.2"/>
    <row r="1821" ht="12.75" x14ac:dyDescent="0.2"/>
    <row r="1822" ht="12.75" x14ac:dyDescent="0.2"/>
    <row r="1823" ht="12.75" x14ac:dyDescent="0.2"/>
    <row r="1824" ht="12.75" x14ac:dyDescent="0.2"/>
    <row r="1825" ht="14.25" customHeight="1" x14ac:dyDescent="0.2"/>
    <row r="1826" ht="33" hidden="1" customHeight="1" x14ac:dyDescent="0.2"/>
    <row r="1827" ht="12.75" x14ac:dyDescent="0.2"/>
    <row r="1828" ht="36" customHeight="1" x14ac:dyDescent="0.2"/>
    <row r="1829" ht="12.75" x14ac:dyDescent="0.2"/>
    <row r="1830" ht="12.75" x14ac:dyDescent="0.2"/>
    <row r="1831" ht="12.75" x14ac:dyDescent="0.2"/>
    <row r="1832" ht="12.75" customHeight="1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51.75" customHeight="1" x14ac:dyDescent="0.2"/>
    <row r="1840" ht="15.75" customHeight="1" x14ac:dyDescent="0.2"/>
    <row r="1841" ht="15" customHeight="1" x14ac:dyDescent="0.2"/>
    <row r="1842" ht="23.25" customHeight="1" x14ac:dyDescent="0.2"/>
    <row r="1843" ht="12.75" x14ac:dyDescent="0.2"/>
    <row r="1844" ht="21" customHeight="1" x14ac:dyDescent="0.2"/>
    <row r="1845" ht="21" customHeight="1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4.25" customHeight="1" x14ac:dyDescent="0.2"/>
    <row r="1852" ht="21.75" customHeight="1" x14ac:dyDescent="0.2"/>
    <row r="1853" ht="15.75" customHeight="1" x14ac:dyDescent="0.2"/>
    <row r="1854" ht="16.5" customHeight="1" x14ac:dyDescent="0.2"/>
    <row r="1855" ht="43.5" customHeight="1" x14ac:dyDescent="0.2"/>
    <row r="1856" ht="24.75" customHeight="1" x14ac:dyDescent="0.2"/>
    <row r="1857" ht="39.75" customHeight="1" x14ac:dyDescent="0.2"/>
    <row r="1858" ht="31.5" customHeight="1" x14ac:dyDescent="0.2"/>
    <row r="1859" ht="12.75" x14ac:dyDescent="0.2"/>
    <row r="1860" ht="27.75" customHeight="1" x14ac:dyDescent="0.2"/>
    <row r="1861" ht="12.75" x14ac:dyDescent="0.2"/>
    <row r="1862" ht="12.75" x14ac:dyDescent="0.2"/>
    <row r="1863" ht="12.75" x14ac:dyDescent="0.2"/>
    <row r="1864" ht="20.25" customHeight="1" x14ac:dyDescent="0.2"/>
    <row r="1865" ht="12.75" x14ac:dyDescent="0.2"/>
    <row r="1866" ht="12.75" x14ac:dyDescent="0.2"/>
    <row r="1867" ht="51" customHeight="1" x14ac:dyDescent="0.2"/>
    <row r="1868" ht="18" customHeight="1" x14ac:dyDescent="0.2"/>
    <row r="1869" ht="15" customHeight="1" x14ac:dyDescent="0.2"/>
    <row r="1870" ht="12.75" x14ac:dyDescent="0.2"/>
    <row r="1871" ht="12.75" x14ac:dyDescent="0.2"/>
    <row r="1872" ht="12.75" x14ac:dyDescent="0.2"/>
    <row r="1873" ht="12.75" x14ac:dyDescent="0.2"/>
    <row r="1874" ht="16.5" customHeight="1" x14ac:dyDescent="0.2"/>
    <row r="1875" ht="12.75" x14ac:dyDescent="0.2"/>
    <row r="1876" ht="36" customHeight="1" x14ac:dyDescent="0.2"/>
    <row r="1877" ht="12.75" x14ac:dyDescent="0.2"/>
    <row r="1878" ht="12.75" x14ac:dyDescent="0.2"/>
    <row r="1879" ht="12.75" x14ac:dyDescent="0.2"/>
    <row r="1880" ht="12" customHeight="1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53.25" customHeight="1" x14ac:dyDescent="0.2"/>
    <row r="1888" ht="9.75" customHeight="1" x14ac:dyDescent="0.2"/>
    <row r="1889" ht="15" customHeight="1" x14ac:dyDescent="0.2"/>
    <row r="1890" ht="23.25" customHeight="1" x14ac:dyDescent="0.2"/>
    <row r="1891" ht="23.25" customHeight="1" x14ac:dyDescent="0.2"/>
    <row r="1892" ht="22.5" customHeight="1" x14ac:dyDescent="0.2"/>
    <row r="1893" ht="13.5" customHeight="1" x14ac:dyDescent="0.2"/>
    <row r="1894" ht="12.75" x14ac:dyDescent="0.2"/>
    <row r="1895" ht="12.75" x14ac:dyDescent="0.2"/>
    <row r="1896" ht="12.75" x14ac:dyDescent="0.2"/>
    <row r="1897" ht="12.75" x14ac:dyDescent="0.2"/>
    <row r="1898" ht="15" customHeight="1" x14ac:dyDescent="0.2"/>
    <row r="1899" ht="21" customHeight="1" x14ac:dyDescent="0.2"/>
    <row r="1900" ht="15.75" customHeight="1" x14ac:dyDescent="0.2"/>
    <row r="1901" ht="15.75" customHeight="1" x14ac:dyDescent="0.2"/>
    <row r="1902" ht="17.25" customHeight="1" x14ac:dyDescent="0.2"/>
    <row r="1903" ht="20.25" customHeight="1" x14ac:dyDescent="0.2"/>
    <row r="1904" ht="30.75" customHeight="1" x14ac:dyDescent="0.2"/>
    <row r="1905" ht="12.75" x14ac:dyDescent="0.2"/>
    <row r="1906" ht="35.25" customHeight="1" x14ac:dyDescent="0.2"/>
    <row r="1907" ht="12.75" x14ac:dyDescent="0.2"/>
    <row r="1908" ht="12.75" x14ac:dyDescent="0.2"/>
    <row r="1909" ht="12.75" x14ac:dyDescent="0.2"/>
    <row r="1910" ht="12.75" x14ac:dyDescent="0.2"/>
    <row r="1911" ht="7.5" customHeight="1" x14ac:dyDescent="0.2"/>
    <row r="1912" ht="12.75" x14ac:dyDescent="0.2"/>
    <row r="1913" ht="12.75" x14ac:dyDescent="0.2"/>
    <row r="1914" ht="12.75" x14ac:dyDescent="0.2"/>
    <row r="1915" ht="12.75" x14ac:dyDescent="0.2"/>
    <row r="1916" ht="47.25" customHeight="1" x14ac:dyDescent="0.2"/>
    <row r="1917" ht="12.75" x14ac:dyDescent="0.2"/>
    <row r="1918" ht="37.5" customHeight="1" x14ac:dyDescent="0.2"/>
    <row r="1919" ht="12.75" x14ac:dyDescent="0.2"/>
    <row r="1920" ht="28.5" customHeight="1" x14ac:dyDescent="0.2"/>
    <row r="1921" ht="12.75" x14ac:dyDescent="0.2"/>
    <row r="1922" ht="27" customHeight="1" x14ac:dyDescent="0.2"/>
    <row r="1923" ht="12.75" x14ac:dyDescent="0.2"/>
    <row r="1924" ht="41.25" customHeight="1" x14ac:dyDescent="0.2"/>
    <row r="1925" ht="12.75" x14ac:dyDescent="0.2"/>
    <row r="1926" ht="12.75" x14ac:dyDescent="0.2"/>
    <row r="1927" ht="12.75" x14ac:dyDescent="0.2"/>
    <row r="1928" ht="12.75" x14ac:dyDescent="0.2"/>
    <row r="1929" ht="47.25" customHeight="1" x14ac:dyDescent="0.2"/>
    <row r="1930" ht="12.75" x14ac:dyDescent="0.2"/>
    <row r="1931" ht="24" customHeight="1" x14ac:dyDescent="0.2"/>
    <row r="1932" ht="12.75" x14ac:dyDescent="0.2"/>
    <row r="1933" ht="17.25" customHeight="1" x14ac:dyDescent="0.2"/>
    <row r="1934" ht="17.25" customHeight="1" x14ac:dyDescent="0.2"/>
    <row r="1935" ht="13.5" customHeight="1" x14ac:dyDescent="0.2"/>
    <row r="1936" ht="12.75" x14ac:dyDescent="0.2"/>
    <row r="1937" ht="38.25" customHeight="1" x14ac:dyDescent="0.2"/>
    <row r="1938" ht="12.75" hidden="1" x14ac:dyDescent="0.2"/>
    <row r="1939" ht="21.75" hidden="1" customHeight="1" x14ac:dyDescent="0.2"/>
    <row r="1940" ht="12.75" x14ac:dyDescent="0.2"/>
    <row r="1941" ht="24.75" customHeight="1" x14ac:dyDescent="0.2"/>
    <row r="1942" ht="20.25" customHeight="1" x14ac:dyDescent="0.2"/>
    <row r="1943" ht="12.75" x14ac:dyDescent="0.2"/>
    <row r="1944" ht="9" customHeight="1" x14ac:dyDescent="0.2"/>
    <row r="1945" ht="14.25" customHeight="1" x14ac:dyDescent="0.2"/>
    <row r="1946" ht="15" customHeight="1" x14ac:dyDescent="0.2"/>
    <row r="1947" ht="18.75" customHeight="1" x14ac:dyDescent="0.2"/>
    <row r="1948" ht="12.75" x14ac:dyDescent="0.2"/>
    <row r="1949" ht="36.75" customHeight="1" x14ac:dyDescent="0.2"/>
    <row r="1950" ht="19.5" customHeight="1" x14ac:dyDescent="0.2"/>
    <row r="1951" ht="19.5" customHeight="1" x14ac:dyDescent="0.2"/>
    <row r="1952" ht="18" customHeight="1" x14ac:dyDescent="0.2"/>
    <row r="1953" ht="22.5" customHeight="1" x14ac:dyDescent="0.2"/>
    <row r="1954" ht="12.75" customHeight="1" x14ac:dyDescent="0.2"/>
    <row r="1955" ht="12.75" x14ac:dyDescent="0.2"/>
    <row r="1956" ht="30.75" customHeight="1" x14ac:dyDescent="0.2"/>
    <row r="1957" ht="12.75" x14ac:dyDescent="0.2"/>
    <row r="1958" ht="12.75" x14ac:dyDescent="0.2"/>
    <row r="1959" ht="12.75" x14ac:dyDescent="0.2"/>
    <row r="1960" ht="12.75" x14ac:dyDescent="0.2"/>
    <row r="1961" ht="24" customHeight="1" x14ac:dyDescent="0.2"/>
    <row r="1962" ht="12.75" x14ac:dyDescent="0.2"/>
    <row r="1963" ht="12.75" x14ac:dyDescent="0.2"/>
    <row r="1964" ht="12.75" x14ac:dyDescent="0.2"/>
    <row r="1965" ht="33.75" customHeight="1" x14ac:dyDescent="0.2"/>
    <row r="1966" ht="12.75" x14ac:dyDescent="0.2"/>
    <row r="1967" ht="34.5" customHeight="1" x14ac:dyDescent="0.2"/>
    <row r="1968" ht="12.75" x14ac:dyDescent="0.2"/>
    <row r="1969" ht="32.25" customHeight="1" x14ac:dyDescent="0.2"/>
    <row r="1970" ht="30.75" customHeight="1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54" customHeight="1" x14ac:dyDescent="0.2"/>
    <row r="1977" ht="12.75" x14ac:dyDescent="0.2"/>
    <row r="1978" ht="15" customHeight="1" x14ac:dyDescent="0.2"/>
    <row r="1979" ht="12.75" x14ac:dyDescent="0.2"/>
    <row r="1980" ht="9.75" customHeight="1" x14ac:dyDescent="0.2"/>
    <row r="1981" ht="12.75" x14ac:dyDescent="0.2"/>
    <row r="1982" ht="15" customHeight="1" x14ac:dyDescent="0.2"/>
    <row r="1983" ht="12.75" x14ac:dyDescent="0.2"/>
    <row r="1984" ht="23.25" customHeight="1" x14ac:dyDescent="0.2"/>
    <row r="1985" ht="2.25" customHeight="1" x14ac:dyDescent="0.2"/>
    <row r="1986" ht="21" customHeight="1" x14ac:dyDescent="0.2"/>
    <row r="1987" ht="12.75" x14ac:dyDescent="0.2"/>
    <row r="1988" ht="16.5" customHeight="1" x14ac:dyDescent="0.2"/>
    <row r="1989" ht="16.5" customHeight="1" x14ac:dyDescent="0.2"/>
    <row r="1990" ht="7.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2.75" x14ac:dyDescent="0.2"/>
    <row r="1997" ht="48" customHeight="1" x14ac:dyDescent="0.2"/>
    <row r="1998" ht="12.75" x14ac:dyDescent="0.2"/>
    <row r="1999" ht="20.25" customHeight="1" x14ac:dyDescent="0.2"/>
    <row r="2000" ht="12.75" x14ac:dyDescent="0.2"/>
    <row r="2001" ht="23.25" customHeight="1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3.5" customHeight="1" x14ac:dyDescent="0.2"/>
    <row r="2008" ht="12.75" x14ac:dyDescent="0.2"/>
    <row r="2009" ht="19.5" customHeight="1" x14ac:dyDescent="0.2"/>
    <row r="2010" ht="12.75" x14ac:dyDescent="0.2"/>
    <row r="2011" ht="12.75" x14ac:dyDescent="0.2"/>
    <row r="2012" ht="12.75" x14ac:dyDescent="0.2"/>
    <row r="2013" ht="51.75" customHeight="1" x14ac:dyDescent="0.2"/>
    <row r="2014" ht="12.75" customHeight="1" x14ac:dyDescent="0.2"/>
    <row r="2015" ht="34.5" customHeight="1" x14ac:dyDescent="0.2"/>
    <row r="2016" ht="24" customHeight="1" x14ac:dyDescent="0.2"/>
    <row r="2017" ht="26.25" customHeight="1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54.75" customHeight="1" x14ac:dyDescent="0.2"/>
    <row r="2025" ht="12.75" x14ac:dyDescent="0.2"/>
    <row r="2026" ht="47.25" customHeight="1" x14ac:dyDescent="0.2"/>
    <row r="2027" ht="12.75" x14ac:dyDescent="0.2"/>
    <row r="2028" ht="15" customHeight="1" x14ac:dyDescent="0.2"/>
    <row r="2029" ht="12.75" x14ac:dyDescent="0.2"/>
    <row r="2030" ht="12.75" x14ac:dyDescent="0.2"/>
    <row r="2031" ht="16.5" customHeight="1" x14ac:dyDescent="0.2"/>
    <row r="2032" ht="15" customHeight="1" x14ac:dyDescent="0.2"/>
    <row r="2033" ht="15" customHeight="1" x14ac:dyDescent="0.2"/>
    <row r="2034" ht="12.75" x14ac:dyDescent="0.2"/>
    <row r="2035" ht="20.25" customHeight="1" x14ac:dyDescent="0.2"/>
    <row r="2036" ht="20.25" customHeight="1" x14ac:dyDescent="0.2"/>
    <row r="2037" ht="12.75" x14ac:dyDescent="0.2"/>
    <row r="2038" ht="12.75" x14ac:dyDescent="0.2"/>
    <row r="2039" ht="13.5" customHeight="1" x14ac:dyDescent="0.2"/>
    <row r="2040" ht="15" customHeight="1" x14ac:dyDescent="0.2"/>
    <row r="2041" ht="15" customHeight="1" x14ac:dyDescent="0.2"/>
    <row r="2042" ht="21.75" customHeight="1" x14ac:dyDescent="0.2"/>
    <row r="2043" ht="12.75" x14ac:dyDescent="0.2"/>
    <row r="2044" ht="21.75" customHeight="1" x14ac:dyDescent="0.2"/>
    <row r="2045" ht="12.75" x14ac:dyDescent="0.2"/>
    <row r="2046" ht="21.75" customHeight="1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9.5" customHeight="1" x14ac:dyDescent="0.2"/>
    <row r="2055" ht="12.75" x14ac:dyDescent="0.2"/>
    <row r="2056" ht="33" customHeight="1" x14ac:dyDescent="0.2"/>
    <row r="2057" ht="12.75" x14ac:dyDescent="0.2"/>
    <row r="2058" ht="12.75" x14ac:dyDescent="0.2"/>
    <row r="2059" ht="12.75" x14ac:dyDescent="0.2"/>
    <row r="2060" ht="17.25" customHeight="1" x14ac:dyDescent="0.2"/>
    <row r="2061" ht="12.75" x14ac:dyDescent="0.2"/>
    <row r="2062" ht="35.25" customHeight="1" x14ac:dyDescent="0.2"/>
    <row r="2063" ht="29.25" customHeight="1" x14ac:dyDescent="0.2"/>
    <row r="2064" ht="38.25" customHeight="1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7.25" customHeight="1" x14ac:dyDescent="0.2"/>
    <row r="2073" ht="45" customHeight="1" x14ac:dyDescent="0.2"/>
    <row r="2074" ht="12.75" x14ac:dyDescent="0.2"/>
    <row r="2075" ht="15" customHeight="1" x14ac:dyDescent="0.2"/>
    <row r="2076" ht="12.75" x14ac:dyDescent="0.2"/>
    <row r="2077" ht="12.75" x14ac:dyDescent="0.2"/>
    <row r="2078" ht="15.75" customHeight="1" x14ac:dyDescent="0.2"/>
    <row r="2079" ht="12.75" x14ac:dyDescent="0.2"/>
    <row r="2080" ht="12.75" customHeight="1" x14ac:dyDescent="0.2"/>
    <row r="2081" ht="17.25" customHeight="1" x14ac:dyDescent="0.2"/>
    <row r="2082" ht="21.75" customHeight="1" x14ac:dyDescent="0.2"/>
    <row r="2083" ht="12.75" x14ac:dyDescent="0.2"/>
    <row r="2084" ht="12.75" x14ac:dyDescent="0.2"/>
    <row r="2085" ht="19.5" customHeight="1" x14ac:dyDescent="0.2"/>
    <row r="2086" ht="19.5" customHeight="1" x14ac:dyDescent="0.2"/>
    <row r="2087" ht="12" customHeight="1" x14ac:dyDescent="0.2"/>
    <row r="2088" ht="14.25" customHeight="1" x14ac:dyDescent="0.2"/>
    <row r="2089" ht="12.75" x14ac:dyDescent="0.2"/>
    <row r="2090" ht="12.75" x14ac:dyDescent="0.2"/>
    <row r="2091" ht="21.75" customHeight="1" x14ac:dyDescent="0.2"/>
    <row r="2092" ht="36" customHeight="1" x14ac:dyDescent="0.2"/>
    <row r="2093" ht="24" customHeight="1" x14ac:dyDescent="0.2"/>
    <row r="2094" ht="23.25" customHeight="1" x14ac:dyDescent="0.2"/>
    <row r="2095" ht="15.75" customHeight="1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5.75" customHeight="1" x14ac:dyDescent="0.2"/>
    <row r="2102" ht="12.75" x14ac:dyDescent="0.2"/>
    <row r="2103" ht="12.75" x14ac:dyDescent="0.2"/>
    <row r="2104" ht="21" customHeight="1" x14ac:dyDescent="0.2"/>
    <row r="2105" ht="21" customHeight="1" x14ac:dyDescent="0.2"/>
    <row r="2106" ht="12.75" x14ac:dyDescent="0.2"/>
    <row r="2107" ht="12.75" x14ac:dyDescent="0.2"/>
    <row r="2108" ht="39.75" customHeight="1" x14ac:dyDescent="0.2"/>
    <row r="2109" ht="12.75" x14ac:dyDescent="0.2"/>
    <row r="2110" ht="36" customHeight="1" x14ac:dyDescent="0.2"/>
    <row r="2111" ht="12.75" x14ac:dyDescent="0.2"/>
    <row r="2112" ht="34.5" customHeight="1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50.25" customHeight="1" x14ac:dyDescent="0.2"/>
    <row r="2120" ht="12.75" x14ac:dyDescent="0.2"/>
    <row r="2121" ht="15" customHeight="1" x14ac:dyDescent="0.2"/>
    <row r="2122" ht="12.75" x14ac:dyDescent="0.2"/>
    <row r="2123" ht="48" customHeight="1" x14ac:dyDescent="0.2"/>
    <row r="2124" ht="19.5" customHeight="1" x14ac:dyDescent="0.2"/>
    <row r="2125" ht="15" customHeight="1" x14ac:dyDescent="0.2"/>
    <row r="2126" ht="12.75" customHeight="1" x14ac:dyDescent="0.2"/>
    <row r="2127" ht="23.25" customHeight="1" x14ac:dyDescent="0.2"/>
    <row r="2128" ht="15.75" customHeight="1" x14ac:dyDescent="0.2"/>
    <row r="2129" ht="13.5" customHeight="1" x14ac:dyDescent="0.2"/>
    <row r="2130" ht="12.75" x14ac:dyDescent="0.2"/>
    <row r="2131" ht="12.75" x14ac:dyDescent="0.2"/>
    <row r="2132" ht="14.25" customHeight="1" x14ac:dyDescent="0.2"/>
    <row r="2133" ht="15" customHeight="1" x14ac:dyDescent="0.2"/>
    <row r="2135" ht="17.25" customHeight="1" x14ac:dyDescent="0.2"/>
    <row r="2136" ht="20.25" customHeight="1" x14ac:dyDescent="0.2"/>
    <row r="2137" ht="17.25" customHeight="1" x14ac:dyDescent="0.2"/>
    <row r="2138" ht="12.75" x14ac:dyDescent="0.2"/>
    <row r="2139" ht="51" customHeight="1" x14ac:dyDescent="0.2"/>
    <row r="2140" ht="12.75" x14ac:dyDescent="0.2"/>
    <row r="2141" ht="13.5" customHeight="1" x14ac:dyDescent="0.2"/>
    <row r="2142" ht="12.75" x14ac:dyDescent="0.2"/>
    <row r="2143" ht="18" customHeight="1" x14ac:dyDescent="0.2"/>
    <row r="2144" ht="12.75" x14ac:dyDescent="0.2"/>
    <row r="2145" ht="12.75" x14ac:dyDescent="0.2"/>
    <row r="2146" ht="12.75" x14ac:dyDescent="0.2"/>
    <row r="2147" ht="17.25" customHeight="1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40.5" customHeight="1" x14ac:dyDescent="0.2"/>
    <row r="2156" ht="12.75" x14ac:dyDescent="0.2"/>
    <row r="2157" ht="32.25" customHeight="1" x14ac:dyDescent="0.2"/>
    <row r="2158" ht="25.5" customHeight="1" x14ac:dyDescent="0.2"/>
    <row r="2159" ht="12.75" x14ac:dyDescent="0.2"/>
    <row r="2160" ht="12.75" x14ac:dyDescent="0.2"/>
    <row r="2161" ht="44.25" customHeight="1" x14ac:dyDescent="0.2"/>
    <row r="2162" ht="12.75" x14ac:dyDescent="0.2"/>
    <row r="2163" ht="12.75" x14ac:dyDescent="0.2"/>
    <row r="2164" ht="12.75" x14ac:dyDescent="0.2"/>
    <row r="2165" ht="12.75" x14ac:dyDescent="0.2"/>
    <row r="2166" ht="48" customHeight="1" x14ac:dyDescent="0.2"/>
    <row r="2167" ht="12.75" x14ac:dyDescent="0.2"/>
    <row r="2168" ht="44.25" customHeight="1" x14ac:dyDescent="0.2"/>
    <row r="2169" ht="19.5" customHeight="1" x14ac:dyDescent="0.2"/>
    <row r="2170" ht="15" customHeight="1" x14ac:dyDescent="0.2"/>
    <row r="2171" ht="20.25" customHeight="1" x14ac:dyDescent="0.2"/>
    <row r="2172" ht="12.75" x14ac:dyDescent="0.2"/>
    <row r="2173" ht="21" customHeight="1" x14ac:dyDescent="0.2"/>
    <row r="2174" ht="12.75" x14ac:dyDescent="0.2"/>
    <row r="2175" ht="21" customHeight="1" x14ac:dyDescent="0.2"/>
    <row r="2176" ht="18.75" customHeight="1" x14ac:dyDescent="0.2"/>
    <row r="2177" ht="19.5" customHeight="1" x14ac:dyDescent="0.2"/>
    <row r="2178" ht="12.75" x14ac:dyDescent="0.2"/>
    <row r="2179" ht="12.75" x14ac:dyDescent="0.2"/>
    <row r="2180" ht="12" customHeight="1" x14ac:dyDescent="0.2"/>
    <row r="2181" ht="13.5" customHeight="1" x14ac:dyDescent="0.2"/>
    <row r="2183" ht="19.5" customHeight="1" x14ac:dyDescent="0.2"/>
    <row r="2184" ht="19.5" customHeight="1" x14ac:dyDescent="0.2"/>
    <row r="2185" ht="12.75" x14ac:dyDescent="0.2"/>
    <row r="2186" ht="25.5" customHeight="1" x14ac:dyDescent="0.2"/>
    <row r="2187" ht="46.5" customHeight="1" x14ac:dyDescent="0.2"/>
    <row r="2188" ht="18.75" customHeight="1" x14ac:dyDescent="0.2"/>
    <row r="2189" ht="25.5" customHeight="1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22.5" customHeight="1" x14ac:dyDescent="0.2"/>
    <row r="2196" ht="12.75" x14ac:dyDescent="0.2"/>
    <row r="2197" ht="12.75" x14ac:dyDescent="0.2"/>
    <row r="2198" ht="12.75" x14ac:dyDescent="0.2"/>
    <row r="2199" ht="46.5" customHeight="1" x14ac:dyDescent="0.2"/>
    <row r="2200" ht="12.75" x14ac:dyDescent="0.2"/>
    <row r="2201" ht="12.75" x14ac:dyDescent="0.2"/>
    <row r="2202" ht="12.75" x14ac:dyDescent="0.2"/>
    <row r="2203" ht="47.25" customHeight="1" x14ac:dyDescent="0.2"/>
    <row r="2204" ht="12.75" x14ac:dyDescent="0.2"/>
    <row r="2205" ht="36.75" customHeight="1" x14ac:dyDescent="0.2"/>
    <row r="2206" ht="24" customHeight="1" x14ac:dyDescent="0.2"/>
    <row r="2207" ht="38.25" customHeight="1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53.25" customHeight="1" x14ac:dyDescent="0.2"/>
    <row r="2215" ht="12.75" x14ac:dyDescent="0.2"/>
    <row r="2216" ht="15" customHeight="1" x14ac:dyDescent="0.2"/>
    <row r="2217" ht="20.25" customHeight="1" x14ac:dyDescent="0.2"/>
    <row r="2218" ht="47.25" customHeight="1" x14ac:dyDescent="0.2"/>
    <row r="2219" ht="18.75" customHeight="1" x14ac:dyDescent="0.2"/>
    <row r="2220" ht="15" customHeight="1" x14ac:dyDescent="0.2"/>
    <row r="2221" ht="20.25" customHeight="1" x14ac:dyDescent="0.2"/>
    <row r="2222" ht="20.25" customHeight="1" x14ac:dyDescent="0.2"/>
    <row r="2223" ht="20.25" customHeight="1" x14ac:dyDescent="0.2"/>
    <row r="2224" ht="15.75" customHeight="1" x14ac:dyDescent="0.2"/>
    <row r="2225" ht="12.75" x14ac:dyDescent="0.2"/>
    <row r="2226" ht="12.75" x14ac:dyDescent="0.2"/>
    <row r="2227" ht="13.5" customHeight="1" x14ac:dyDescent="0.2"/>
    <row r="2228" ht="13.5" customHeight="1" x14ac:dyDescent="0.2"/>
    <row r="2230" ht="50.25" customHeight="1" x14ac:dyDescent="0.2"/>
    <row r="2231" ht="12" customHeight="1" x14ac:dyDescent="0.2"/>
    <row r="2232" ht="21" customHeight="1" x14ac:dyDescent="0.2"/>
    <row r="2233" ht="12.75" x14ac:dyDescent="0.2"/>
    <row r="2234" ht="18" customHeight="1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31.5" customHeight="1" x14ac:dyDescent="0.2"/>
    <row r="2249" ht="12.75" x14ac:dyDescent="0.2"/>
    <row r="2250" ht="24.75" customHeight="1" x14ac:dyDescent="0.2"/>
    <row r="2251" ht="12.75" x14ac:dyDescent="0.2"/>
    <row r="2252" ht="12.75" x14ac:dyDescent="0.2"/>
    <row r="2253" ht="12.75" x14ac:dyDescent="0.2"/>
    <row r="2254" ht="26.25" customHeight="1" x14ac:dyDescent="0.2"/>
    <row r="2255" ht="12.75" x14ac:dyDescent="0.2"/>
    <row r="2256" ht="26.25" customHeight="1" x14ac:dyDescent="0.2"/>
    <row r="2257" ht="12.75" x14ac:dyDescent="0.2"/>
    <row r="2258" ht="12.75" x14ac:dyDescent="0.2"/>
    <row r="2259" ht="12.75" x14ac:dyDescent="0.2"/>
    <row r="2260" ht="22.5" customHeight="1" x14ac:dyDescent="0.2"/>
    <row r="2261" ht="12.75" x14ac:dyDescent="0.2"/>
    <row r="2262" ht="12.75" x14ac:dyDescent="0.2"/>
    <row r="2263" ht="12.75" x14ac:dyDescent="0.2"/>
    <row r="2264" ht="39" customHeight="1" x14ac:dyDescent="0.2"/>
    <row r="2265" ht="12.75" x14ac:dyDescent="0.2"/>
    <row r="2266" ht="37.5" customHeight="1" x14ac:dyDescent="0.2"/>
    <row r="2267" ht="22.5" customHeight="1" x14ac:dyDescent="0.2"/>
    <row r="2268" ht="19.5" customHeight="1" x14ac:dyDescent="0.2"/>
    <row r="2269" ht="19.5" customHeight="1" x14ac:dyDescent="0.2"/>
    <row r="2270" ht="19.5" customHeight="1" x14ac:dyDescent="0.2"/>
    <row r="2271" ht="12.75" x14ac:dyDescent="0.2"/>
    <row r="2272" ht="12.75" x14ac:dyDescent="0.2"/>
    <row r="2273" ht="12.75" x14ac:dyDescent="0.2"/>
    <row r="2274" ht="15" customHeight="1" x14ac:dyDescent="0.2"/>
    <row r="2275" ht="52.5" customHeight="1" x14ac:dyDescent="0.2"/>
    <row r="2276" ht="20.25" customHeight="1" x14ac:dyDescent="0.2"/>
    <row r="2277" ht="30" customHeight="1" x14ac:dyDescent="0.2"/>
    <row r="2279" ht="18" customHeight="1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41.25" customHeight="1" x14ac:dyDescent="0.2"/>
    <row r="2297" ht="12.75" x14ac:dyDescent="0.2"/>
    <row r="2298" ht="15" customHeight="1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45" customHeight="1" x14ac:dyDescent="0.2"/>
    <row r="2309" ht="12.75" x14ac:dyDescent="0.2"/>
    <row r="2310" ht="12.75" x14ac:dyDescent="0.2"/>
    <row r="2311" ht="12.75" x14ac:dyDescent="0.2"/>
    <row r="2312" ht="47.25" customHeight="1" x14ac:dyDescent="0.2"/>
    <row r="2313" ht="12" customHeight="1" x14ac:dyDescent="0.2"/>
    <row r="2314" ht="46.5" customHeight="1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6.5" customHeight="1" x14ac:dyDescent="0.2"/>
    <row r="2321" ht="12.75" x14ac:dyDescent="0.2"/>
    <row r="2322" ht="16.5" customHeight="1" x14ac:dyDescent="0.2"/>
    <row r="2323" ht="45" customHeight="1" x14ac:dyDescent="0.2"/>
    <row r="2324" ht="16.5" customHeight="1" x14ac:dyDescent="0.2"/>
    <row r="2325" ht="23.25" customHeight="1" x14ac:dyDescent="0.2"/>
    <row r="2326" ht="16.5" customHeight="1" x14ac:dyDescent="0.2"/>
    <row r="2327" ht="16.5" customHeight="1" x14ac:dyDescent="0.2"/>
    <row r="2328" ht="16.5" customHeight="1" x14ac:dyDescent="0.2"/>
    <row r="2329" ht="16.5" customHeight="1" x14ac:dyDescent="0.2"/>
    <row r="2330" ht="16.5" customHeight="1" x14ac:dyDescent="0.2"/>
    <row r="2331" ht="16.5" customHeight="1" x14ac:dyDescent="0.2"/>
    <row r="2332" ht="16.5" customHeight="1" x14ac:dyDescent="0.2"/>
    <row r="2333" ht="16.5" customHeight="1" x14ac:dyDescent="0.2"/>
    <row r="2334" ht="16.5" customHeight="1" x14ac:dyDescent="0.2"/>
    <row r="2335" ht="16.5" customHeight="1" x14ac:dyDescent="0.2"/>
    <row r="2336" ht="16.5" customHeight="1" x14ac:dyDescent="0.2"/>
    <row r="2337" ht="16.5" customHeight="1" x14ac:dyDescent="0.2"/>
    <row r="2338" ht="16.5" customHeight="1" x14ac:dyDescent="0.2"/>
    <row r="2339" ht="16.5" customHeight="1" x14ac:dyDescent="0.2"/>
    <row r="2340" ht="16.5" customHeight="1" x14ac:dyDescent="0.2"/>
    <row r="2341" ht="48.75" customHeight="1" x14ac:dyDescent="0.2"/>
    <row r="2342" ht="16.5" customHeight="1" x14ac:dyDescent="0.2"/>
    <row r="2343" ht="40.5" customHeight="1" x14ac:dyDescent="0.2"/>
    <row r="2344" ht="16.5" customHeight="1" x14ac:dyDescent="0.2"/>
    <row r="2345" ht="16.5" customHeight="1" x14ac:dyDescent="0.2"/>
    <row r="2346" ht="16.5" customHeight="1" x14ac:dyDescent="0.2"/>
    <row r="2347" ht="16.5" customHeight="1" x14ac:dyDescent="0.2"/>
    <row r="2348" ht="16.5" customHeight="1" x14ac:dyDescent="0.2"/>
    <row r="2349" ht="16.5" customHeight="1" x14ac:dyDescent="0.2"/>
    <row r="2350" ht="16.5" customHeight="1" x14ac:dyDescent="0.2"/>
    <row r="2351" ht="16.5" customHeight="1" x14ac:dyDescent="0.2"/>
    <row r="2352" ht="16.5" customHeight="1" x14ac:dyDescent="0.2"/>
    <row r="2353" ht="21" customHeight="1" x14ac:dyDescent="0.2"/>
    <row r="2354" ht="16.5" customHeight="1" x14ac:dyDescent="0.2"/>
    <row r="2355" ht="16.5" customHeight="1" x14ac:dyDescent="0.2"/>
    <row r="2356" ht="16.5" customHeight="1" x14ac:dyDescent="0.2"/>
    <row r="2357" ht="39" customHeight="1" x14ac:dyDescent="0.2"/>
    <row r="2358" ht="20.25" customHeight="1" x14ac:dyDescent="0.2"/>
    <row r="2359" ht="39" customHeight="1" x14ac:dyDescent="0.2"/>
    <row r="2360" ht="26.25" customHeight="1" x14ac:dyDescent="0.2"/>
    <row r="2361" ht="45" customHeight="1" x14ac:dyDescent="0.2"/>
    <row r="2362" ht="16.5" customHeight="1" x14ac:dyDescent="0.2"/>
    <row r="2363" ht="16.5" customHeight="1" x14ac:dyDescent="0.2"/>
    <row r="2364" ht="18.75" customHeight="1" x14ac:dyDescent="0.2"/>
    <row r="2365" ht="16.5" customHeight="1" x14ac:dyDescent="0.2"/>
    <row r="2366" ht="16.5" customHeight="1" x14ac:dyDescent="0.2"/>
    <row r="2367" ht="16.5" customHeight="1" x14ac:dyDescent="0.2"/>
    <row r="2368" ht="54.75" customHeight="1" x14ac:dyDescent="0.2"/>
    <row r="2369" ht="16.5" customHeight="1" x14ac:dyDescent="0.2"/>
    <row r="2370" ht="16.5" customHeight="1" x14ac:dyDescent="0.2"/>
    <row r="2371" ht="16.5" customHeight="1" x14ac:dyDescent="0.2"/>
    <row r="2372" ht="19.5" customHeight="1" x14ac:dyDescent="0.2"/>
    <row r="2373" ht="16.5" customHeight="1" x14ac:dyDescent="0.2"/>
    <row r="2374" ht="16.5" customHeight="1" x14ac:dyDescent="0.2"/>
    <row r="2375" ht="16.5" customHeight="1" x14ac:dyDescent="0.2"/>
    <row r="2376" ht="16.5" customHeight="1" x14ac:dyDescent="0.2"/>
    <row r="2377" ht="16.5" customHeight="1" x14ac:dyDescent="0.2"/>
    <row r="2378" ht="16.5" customHeight="1" x14ac:dyDescent="0.2"/>
    <row r="2379" ht="16.5" customHeight="1" x14ac:dyDescent="0.2"/>
    <row r="2380" ht="16.5" customHeight="1" x14ac:dyDescent="0.2"/>
    <row r="2381" ht="16.5" customHeight="1" x14ac:dyDescent="0.2"/>
    <row r="2382" ht="16.5" customHeight="1" x14ac:dyDescent="0.2"/>
    <row r="2383" ht="16.5" customHeight="1" x14ac:dyDescent="0.2"/>
    <row r="2384" ht="16.5" customHeight="1" x14ac:dyDescent="0.2"/>
    <row r="2385" ht="16.5" customHeight="1" x14ac:dyDescent="0.2"/>
    <row r="2386" ht="16.5" customHeight="1" x14ac:dyDescent="0.2"/>
    <row r="2387" ht="45" customHeight="1" x14ac:dyDescent="0.2"/>
    <row r="2388" ht="16.5" customHeight="1" x14ac:dyDescent="0.2"/>
    <row r="2389" ht="33" customHeight="1" x14ac:dyDescent="0.2"/>
    <row r="2390" ht="16.5" customHeight="1" x14ac:dyDescent="0.2"/>
    <row r="2391" ht="30.75" customHeight="1" x14ac:dyDescent="0.2"/>
    <row r="2392" ht="16.5" customHeight="1" x14ac:dyDescent="0.2"/>
    <row r="2393" ht="16.5" customHeight="1" x14ac:dyDescent="0.2"/>
    <row r="2394" ht="16.5" customHeight="1" x14ac:dyDescent="0.2"/>
    <row r="2395" ht="16.5" customHeight="1" x14ac:dyDescent="0.2"/>
    <row r="2396" ht="16.5" customHeight="1" x14ac:dyDescent="0.2"/>
    <row r="2397" ht="16.5" customHeight="1" x14ac:dyDescent="0.2"/>
    <row r="2398" ht="16.5" customHeight="1" x14ac:dyDescent="0.2"/>
    <row r="2399" ht="45.75" customHeight="1" x14ac:dyDescent="0.2"/>
    <row r="2400" ht="16.5" customHeight="1" x14ac:dyDescent="0.2"/>
    <row r="2401" ht="16.5" customHeight="1" x14ac:dyDescent="0.2"/>
    <row r="2402" ht="16.5" customHeight="1" x14ac:dyDescent="0.2"/>
    <row r="2403" ht="37.5" customHeight="1" x14ac:dyDescent="0.2"/>
    <row r="2404" ht="11.25" customHeight="1" x14ac:dyDescent="0.2"/>
    <row r="2405" ht="37.5" customHeight="1" x14ac:dyDescent="0.2"/>
    <row r="2406" ht="25.5" customHeight="1" x14ac:dyDescent="0.2"/>
    <row r="2407" ht="40.5" customHeight="1" x14ac:dyDescent="0.2"/>
    <row r="2408" ht="21" hidden="1" customHeight="1" x14ac:dyDescent="0.2"/>
    <row r="2409" ht="41.25" customHeight="1" x14ac:dyDescent="0.2"/>
    <row r="2410" ht="24.75" customHeight="1" x14ac:dyDescent="0.2"/>
    <row r="2411" ht="16.5" customHeight="1" x14ac:dyDescent="0.2"/>
    <row r="2412" ht="16.5" customHeight="1" x14ac:dyDescent="0.2"/>
    <row r="2413" ht="15" customHeight="1" x14ac:dyDescent="0.2"/>
    <row r="2414" ht="49.5" customHeight="1" x14ac:dyDescent="0.2"/>
    <row r="2415" ht="15" customHeight="1" x14ac:dyDescent="0.2"/>
    <row r="2416" ht="15" customHeight="1" x14ac:dyDescent="0.2"/>
    <row r="2417" ht="15" customHeight="1" x14ac:dyDescent="0.2"/>
    <row r="2418" ht="15" customHeight="1" x14ac:dyDescent="0.2"/>
    <row r="2419" ht="15" customHeight="1" x14ac:dyDescent="0.2"/>
    <row r="2420" ht="13.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40.5" customHeight="1" x14ac:dyDescent="0.2"/>
    <row r="2436" ht="15" customHeight="1" x14ac:dyDescent="0.2"/>
    <row r="2437" ht="33.7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44.2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45" customHeight="1" x14ac:dyDescent="0.2"/>
    <row r="2464" ht="15" customHeight="1" x14ac:dyDescent="0.2"/>
    <row r="2465" ht="37.5" customHeight="1" x14ac:dyDescent="0.2"/>
    <row r="2466" ht="37.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57.7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34.5" customHeight="1" x14ac:dyDescent="0.2"/>
    <row r="2485" ht="15" customHeight="1" x14ac:dyDescent="0.2"/>
    <row r="2486" ht="38.2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4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42.75" customHeight="1" x14ac:dyDescent="0.2"/>
    <row r="2521" ht="15" customHeight="1" x14ac:dyDescent="0.2"/>
    <row r="2522" ht="41.2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48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15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37.5" customHeight="1" x14ac:dyDescent="0.2"/>
    <row r="2573" ht="15" customHeight="1" x14ac:dyDescent="0.2"/>
    <row r="2574" ht="42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49.5" customHeight="1" x14ac:dyDescent="0.2"/>
    <row r="2586" ht="15" customHeight="1" x14ac:dyDescent="0.2"/>
    <row r="2587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15" customHeight="1" x14ac:dyDescent="0.2"/>
    <row r="2600" ht="15" customHeight="1" x14ac:dyDescent="0.2"/>
    <row r="2601" ht="15" customHeight="1" x14ac:dyDescent="0.2"/>
    <row r="2602" ht="15" customHeight="1" x14ac:dyDescent="0.2"/>
    <row r="2603" ht="15" customHeight="1" x14ac:dyDescent="0.2"/>
    <row r="2604" ht="15" customHeight="1" x14ac:dyDescent="0.2"/>
    <row r="2605" ht="15" customHeight="1" x14ac:dyDescent="0.2"/>
    <row r="2609" ht="30" customHeight="1" x14ac:dyDescent="0.2"/>
    <row r="2610" ht="16.5" customHeight="1" x14ac:dyDescent="0.2"/>
    <row r="2611" ht="19.5" customHeight="1" x14ac:dyDescent="0.2"/>
    <row r="2612" ht="30" customHeight="1" x14ac:dyDescent="0.2"/>
    <row r="2613" ht="30" customHeight="1" x14ac:dyDescent="0.2"/>
    <row r="2614" ht="30" customHeight="1" x14ac:dyDescent="0.2"/>
    <row r="2615" ht="30" customHeight="1" x14ac:dyDescent="0.2"/>
    <row r="2616" ht="7.5" customHeight="1" x14ac:dyDescent="0.2"/>
    <row r="2617" ht="9.75" customHeight="1" x14ac:dyDescent="0.2"/>
    <row r="2618" ht="30" customHeight="1" x14ac:dyDescent="0.2"/>
    <row r="2619" ht="30" customHeight="1" x14ac:dyDescent="0.2"/>
    <row r="2620" ht="10.5" customHeight="1" x14ac:dyDescent="0.2"/>
    <row r="2621" ht="18.75" customHeight="1" x14ac:dyDescent="0.2"/>
    <row r="2622" ht="16.5" customHeight="1" x14ac:dyDescent="0.2"/>
    <row r="2623" ht="17.25" customHeight="1" x14ac:dyDescent="0.2"/>
    <row r="2624" ht="30" customHeight="1" x14ac:dyDescent="0.2"/>
    <row r="2625" ht="30" customHeight="1" x14ac:dyDescent="0.2"/>
    <row r="2626" ht="14.25" customHeight="1" x14ac:dyDescent="0.2"/>
    <row r="2627" ht="30" customHeight="1" x14ac:dyDescent="0.2"/>
    <row r="2628" ht="30" customHeight="1" x14ac:dyDescent="0.2"/>
    <row r="2629" ht="44.25" customHeight="1" x14ac:dyDescent="0.2"/>
    <row r="2630" ht="26.25" customHeight="1" x14ac:dyDescent="0.2"/>
    <row r="2631" ht="13.5" customHeight="1" x14ac:dyDescent="0.2"/>
    <row r="2632" ht="6" customHeight="1" x14ac:dyDescent="0.2"/>
    <row r="2633" ht="13.5" hidden="1" customHeight="1" x14ac:dyDescent="0.2"/>
    <row r="2634" ht="30" customHeight="1" x14ac:dyDescent="0.2"/>
    <row r="2635" ht="21" customHeight="1" x14ac:dyDescent="0.2"/>
    <row r="2636" ht="12" customHeight="1" x14ac:dyDescent="0.2"/>
    <row r="2637" ht="30" customHeight="1" x14ac:dyDescent="0.2"/>
    <row r="2638" ht="50.25" customHeight="1" x14ac:dyDescent="0.2"/>
    <row r="2639" ht="30" customHeight="1" x14ac:dyDescent="0.2"/>
    <row r="2640" ht="18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15" customHeight="1" x14ac:dyDescent="0.2"/>
    <row r="2646" ht="15" customHeight="1" x14ac:dyDescent="0.2"/>
    <row r="2647" ht="30" customHeight="1" x14ac:dyDescent="0.2"/>
    <row r="2648" ht="30" customHeight="1" x14ac:dyDescent="0.2"/>
    <row r="2649" ht="30" customHeight="1" x14ac:dyDescent="0.2"/>
    <row r="2650" ht="30" customHeight="1" x14ac:dyDescent="0.2"/>
    <row r="2651" ht="30" customHeight="1" x14ac:dyDescent="0.2"/>
    <row r="2652" ht="30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15" customHeight="1" x14ac:dyDescent="0.2"/>
    <row r="2668" ht="15" customHeight="1" x14ac:dyDescent="0.2"/>
    <row r="2669" ht="35.25" customHeight="1" x14ac:dyDescent="0.2"/>
    <row r="2670" ht="15" customHeight="1" x14ac:dyDescent="0.2"/>
    <row r="2671" ht="36.75" customHeight="1" x14ac:dyDescent="0.2"/>
    <row r="2672" ht="25.5" customHeight="1" x14ac:dyDescent="0.2"/>
    <row r="2673" ht="33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15" customHeight="1" x14ac:dyDescent="0.2"/>
    <row r="2681" ht="15" customHeight="1" x14ac:dyDescent="0.2"/>
    <row r="2682" ht="48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  <row r="2688" ht="15" customHeight="1" x14ac:dyDescent="0.2"/>
    <row r="2689" ht="15" customHeight="1" x14ac:dyDescent="0.2"/>
    <row r="2690" ht="15" customHeight="1" x14ac:dyDescent="0.2"/>
    <row r="2691" ht="15" customHeight="1" x14ac:dyDescent="0.2"/>
    <row r="2692" ht="15" customHeight="1" x14ac:dyDescent="0.2"/>
    <row r="2693" ht="15" customHeight="1" x14ac:dyDescent="0.2"/>
    <row r="2694" ht="15" customHeight="1" x14ac:dyDescent="0.2"/>
    <row r="2695" ht="15" customHeight="1" x14ac:dyDescent="0.2"/>
    <row r="2696" ht="15" customHeight="1" x14ac:dyDescent="0.2"/>
    <row r="2697" ht="15" customHeight="1" x14ac:dyDescent="0.2"/>
    <row r="2698" ht="15" customHeight="1" x14ac:dyDescent="0.2"/>
    <row r="2699" ht="15" customHeight="1" x14ac:dyDescent="0.2"/>
    <row r="2700" ht="15" customHeight="1" x14ac:dyDescent="0.2"/>
    <row r="2701" ht="30" customHeight="1" x14ac:dyDescent="0.2"/>
    <row r="2702" ht="30" customHeight="1" x14ac:dyDescent="0.2"/>
    <row r="2703" ht="30" customHeight="1" x14ac:dyDescent="0.2"/>
    <row r="2704" ht="30" customHeight="1" x14ac:dyDescent="0.2"/>
    <row r="2705" ht="30" customHeight="1" x14ac:dyDescent="0.2"/>
    <row r="2706" ht="30" customHeight="1" x14ac:dyDescent="0.2"/>
    <row r="2707" ht="30" customHeight="1" x14ac:dyDescent="0.2"/>
    <row r="2708" ht="30" customHeight="1" x14ac:dyDescent="0.2"/>
    <row r="2709" ht="30" customHeight="1" x14ac:dyDescent="0.2"/>
    <row r="2710" ht="30" customHeight="1" x14ac:dyDescent="0.2"/>
    <row r="2711" ht="30" customHeight="1" x14ac:dyDescent="0.2"/>
    <row r="2712" ht="30" customHeight="1" x14ac:dyDescent="0.2"/>
    <row r="2713" ht="30" customHeight="1" x14ac:dyDescent="0.2"/>
    <row r="2714" ht="30" customHeight="1" x14ac:dyDescent="0.2"/>
    <row r="2715" ht="30" customHeight="1" x14ac:dyDescent="0.2"/>
    <row r="2716" ht="30" customHeight="1" x14ac:dyDescent="0.2"/>
    <row r="2717" ht="30" customHeight="1" x14ac:dyDescent="0.2"/>
    <row r="2718" ht="30" customHeight="1" x14ac:dyDescent="0.2"/>
    <row r="2719" ht="30" customHeight="1" x14ac:dyDescent="0.2"/>
    <row r="2720" ht="30" customHeight="1" x14ac:dyDescent="0.2"/>
    <row r="2721" ht="30" customHeight="1" x14ac:dyDescent="0.2"/>
    <row r="2722" ht="30" customHeight="1" x14ac:dyDescent="0.2"/>
    <row r="2723" ht="30" customHeight="1" x14ac:dyDescent="0.2"/>
    <row r="2724" ht="30" customHeight="1" x14ac:dyDescent="0.2"/>
    <row r="2725" ht="30" customHeight="1" x14ac:dyDescent="0.2"/>
    <row r="2726" ht="30" customHeight="1" x14ac:dyDescent="0.2"/>
    <row r="2727" ht="30" customHeight="1" x14ac:dyDescent="0.2"/>
    <row r="2728" ht="30" customHeight="1" x14ac:dyDescent="0.2"/>
    <row r="2729" ht="30" customHeight="1" x14ac:dyDescent="0.2"/>
    <row r="2730" ht="30" customHeight="1" x14ac:dyDescent="0.2"/>
    <row r="2731" ht="30" customHeight="1" x14ac:dyDescent="0.2"/>
    <row r="2732" ht="30" customHeight="1" x14ac:dyDescent="0.2"/>
    <row r="2733" ht="30" customHeight="1" x14ac:dyDescent="0.2"/>
    <row r="2734" ht="30" customHeight="1" x14ac:dyDescent="0.2"/>
    <row r="2735" ht="30" customHeight="1" x14ac:dyDescent="0.2"/>
    <row r="2736" ht="30" customHeight="1" x14ac:dyDescent="0.2"/>
    <row r="2737" ht="30" customHeight="1" x14ac:dyDescent="0.2"/>
    <row r="2738" ht="30" customHeight="1" x14ac:dyDescent="0.2"/>
    <row r="2739" ht="30" customHeight="1" x14ac:dyDescent="0.2"/>
    <row r="2740" ht="30" customHeight="1" x14ac:dyDescent="0.2"/>
    <row r="2741" ht="30" customHeight="1" x14ac:dyDescent="0.2"/>
    <row r="2742" ht="30" customHeight="1" x14ac:dyDescent="0.2"/>
    <row r="2743" ht="30" customHeight="1" x14ac:dyDescent="0.2"/>
    <row r="2744" ht="30" customHeight="1" x14ac:dyDescent="0.2"/>
    <row r="2745" ht="30" customHeight="1" x14ac:dyDescent="0.2"/>
    <row r="2746" ht="30" customHeight="1" x14ac:dyDescent="0.2"/>
    <row r="2747" ht="30" customHeight="1" x14ac:dyDescent="0.2"/>
    <row r="2748" ht="30" customHeight="1" x14ac:dyDescent="0.2"/>
    <row r="2749" ht="30" customHeight="1" x14ac:dyDescent="0.2"/>
    <row r="2750" ht="30" customHeight="1" x14ac:dyDescent="0.2"/>
    <row r="2751" ht="30" customHeight="1" x14ac:dyDescent="0.2"/>
    <row r="2752" ht="30" customHeight="1" x14ac:dyDescent="0.2"/>
    <row r="2753" ht="30" customHeight="1" x14ac:dyDescent="0.2"/>
    <row r="2754" ht="30" customHeight="1" x14ac:dyDescent="0.2"/>
    <row r="2755" ht="30" customHeight="1" x14ac:dyDescent="0.2"/>
    <row r="2756" ht="30" customHeight="1" x14ac:dyDescent="0.2"/>
    <row r="2757" ht="30" customHeight="1" x14ac:dyDescent="0.2"/>
    <row r="2758" ht="30" customHeight="1" x14ac:dyDescent="0.2"/>
    <row r="2759" ht="30" customHeight="1" x14ac:dyDescent="0.2"/>
  </sheetData>
  <mergeCells count="22">
    <mergeCell ref="A31:L31"/>
    <mergeCell ref="J34:L34"/>
    <mergeCell ref="B77:L77"/>
    <mergeCell ref="A56:L56"/>
    <mergeCell ref="A66:L66"/>
    <mergeCell ref="B68:L68"/>
    <mergeCell ref="C70:F70"/>
    <mergeCell ref="A8:L8"/>
    <mergeCell ref="D16:H16"/>
    <mergeCell ref="A18:L18"/>
    <mergeCell ref="B20:L20"/>
    <mergeCell ref="B29:L29"/>
    <mergeCell ref="C22:F22"/>
    <mergeCell ref="J130:L130"/>
    <mergeCell ref="A79:L79"/>
    <mergeCell ref="B116:L116"/>
    <mergeCell ref="C118:F118"/>
    <mergeCell ref="B125:L125"/>
    <mergeCell ref="A127:L127"/>
    <mergeCell ref="J82:L82"/>
    <mergeCell ref="A114:L114"/>
    <mergeCell ref="A104:L104"/>
  </mergeCells>
  <pageMargins left="0.5" right="0.2" top="0.75" bottom="1" header="0.5" footer="0.5"/>
  <pageSetup paperSize="5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511"/>
  <sheetViews>
    <sheetView topLeftCell="A214" zoomScale="90" zoomScaleNormal="90" zoomScaleSheetLayoutView="100" workbookViewId="0">
      <selection activeCell="D641" sqref="D641:D643"/>
    </sheetView>
  </sheetViews>
  <sheetFormatPr defaultRowHeight="12.75" x14ac:dyDescent="0.2"/>
  <cols>
    <col min="1" max="1" width="4" customWidth="1"/>
    <col min="2" max="2" width="7.85546875" customWidth="1"/>
    <col min="3" max="3" width="4.28515625" customWidth="1"/>
    <col min="4" max="4" width="12.42578125" bestFit="1" customWidth="1"/>
    <col min="6" max="6" width="10.28515625" bestFit="1" customWidth="1"/>
    <col min="7" max="7" width="7.42578125" customWidth="1"/>
    <col min="8" max="8" width="3.140625" customWidth="1"/>
    <col min="9" max="9" width="14.140625" customWidth="1"/>
    <col min="10" max="10" width="5.5703125" customWidth="1"/>
    <col min="11" max="11" width="5.28515625" customWidth="1"/>
    <col min="12" max="12" width="7.42578125" customWidth="1"/>
    <col min="14" max="14" width="13.28515625" customWidth="1"/>
    <col min="15" max="15" width="3.7109375" customWidth="1"/>
    <col min="16" max="16" width="10" bestFit="1" customWidth="1"/>
    <col min="17" max="17" width="11" customWidth="1"/>
  </cols>
  <sheetData>
    <row r="1" spans="1:18" ht="15.75" x14ac:dyDescent="0.25">
      <c r="A1" s="3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28"/>
      <c r="O1" s="25"/>
      <c r="P1" s="25"/>
      <c r="Q1" s="25"/>
      <c r="R1" s="25"/>
    </row>
    <row r="2" spans="1:18" ht="15.75" x14ac:dyDescent="0.25">
      <c r="A2" s="3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N2" s="28"/>
      <c r="O2" s="25"/>
      <c r="P2" s="25"/>
      <c r="Q2" s="25"/>
      <c r="R2" s="25"/>
    </row>
    <row r="3" spans="1:18" ht="15.75" x14ac:dyDescent="0.25">
      <c r="A3" s="3" t="s">
        <v>21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8" ht="8.2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8" ht="8.2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8" ht="8.2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8" ht="19.5" thickBot="1" x14ac:dyDescent="0.35">
      <c r="A7" s="339" t="s">
        <v>6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</row>
    <row r="8" spans="1:18" ht="9" customHeight="1" thickTop="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8" ht="9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P9" s="29"/>
      <c r="Q9" s="30"/>
    </row>
    <row r="10" spans="1:18" ht="9" customHeight="1" x14ac:dyDescent="0.25">
      <c r="A10" s="1"/>
      <c r="B10" s="1"/>
      <c r="C10" s="4"/>
      <c r="D10" s="4"/>
      <c r="E10" s="4"/>
      <c r="F10" s="4"/>
      <c r="G10" s="4"/>
      <c r="H10" s="4"/>
      <c r="I10" s="4"/>
      <c r="J10" s="4"/>
      <c r="K10" s="4"/>
      <c r="L10" s="4"/>
      <c r="N10" s="37"/>
      <c r="P10" s="29"/>
      <c r="Q10" s="30"/>
    </row>
    <row r="11" spans="1:18" ht="15" x14ac:dyDescent="0.25">
      <c r="A11" s="1" t="s">
        <v>7</v>
      </c>
      <c r="B11" s="1"/>
      <c r="C11" s="4"/>
      <c r="D11" s="4"/>
      <c r="E11" s="4"/>
      <c r="F11" s="4"/>
      <c r="G11" s="4"/>
      <c r="H11" s="4"/>
      <c r="I11" s="4"/>
      <c r="J11" s="4"/>
      <c r="K11" s="4"/>
      <c r="L11" s="4"/>
      <c r="N11" s="1"/>
      <c r="P11" s="29"/>
      <c r="Q11" s="30"/>
    </row>
    <row r="12" spans="1:18" ht="12.75" customHeight="1" x14ac:dyDescent="0.25">
      <c r="A12" s="1"/>
      <c r="B12" s="1"/>
      <c r="C12" s="4"/>
      <c r="D12" s="4"/>
      <c r="E12" s="4"/>
      <c r="F12" s="4"/>
      <c r="G12" s="4"/>
      <c r="H12" s="4"/>
      <c r="I12" s="4"/>
      <c r="J12" s="4"/>
      <c r="K12" s="4"/>
      <c r="L12" s="4"/>
      <c r="N12" s="1"/>
      <c r="P12" s="31"/>
      <c r="Q12" s="30"/>
    </row>
    <row r="13" spans="1:18" ht="15" x14ac:dyDescent="0.25">
      <c r="A13" s="1" t="s">
        <v>8</v>
      </c>
      <c r="B13" s="4"/>
      <c r="C13" s="9" t="s">
        <v>1</v>
      </c>
      <c r="D13" s="37" t="s">
        <v>139</v>
      </c>
      <c r="E13" s="64"/>
      <c r="F13" s="4"/>
      <c r="G13" s="4"/>
      <c r="H13" s="4"/>
      <c r="I13" s="4"/>
      <c r="J13" s="4"/>
      <c r="K13" s="4"/>
      <c r="L13" s="4"/>
      <c r="Q13" s="30"/>
    </row>
    <row r="14" spans="1:18" ht="15" x14ac:dyDescent="0.25">
      <c r="A14" s="1" t="s">
        <v>9</v>
      </c>
      <c r="B14" s="4"/>
      <c r="C14" s="9" t="s">
        <v>1</v>
      </c>
      <c r="D14" s="48" t="s">
        <v>140</v>
      </c>
      <c r="E14" s="64"/>
      <c r="F14" s="4"/>
      <c r="G14" s="4"/>
      <c r="H14" s="4"/>
      <c r="I14" s="4"/>
      <c r="J14" s="4"/>
      <c r="K14" s="4"/>
      <c r="L14" s="4"/>
      <c r="P14" s="32"/>
      <c r="Q14" s="30"/>
    </row>
    <row r="15" spans="1:18" ht="15" x14ac:dyDescent="0.25">
      <c r="A15" s="1" t="s">
        <v>10</v>
      </c>
      <c r="B15" s="4"/>
      <c r="C15" s="9" t="s">
        <v>1</v>
      </c>
      <c r="D15" s="1" t="s">
        <v>141</v>
      </c>
      <c r="E15" s="64"/>
      <c r="F15" s="4"/>
      <c r="G15" s="4"/>
      <c r="H15" s="4"/>
      <c r="I15" s="4"/>
      <c r="J15" s="4"/>
      <c r="K15" s="4"/>
      <c r="L15" s="4"/>
      <c r="P15" s="32"/>
      <c r="Q15" s="30"/>
    </row>
    <row r="16" spans="1:18" ht="10.5" customHeight="1" x14ac:dyDescent="0.25">
      <c r="A16" s="1"/>
      <c r="B16" s="1"/>
      <c r="C16" s="4"/>
      <c r="D16" s="1"/>
      <c r="E16" s="4"/>
      <c r="F16" s="4"/>
      <c r="G16" s="4"/>
      <c r="H16" s="4"/>
      <c r="I16" s="4"/>
      <c r="J16" s="4"/>
      <c r="K16" s="4"/>
      <c r="L16" s="4"/>
      <c r="P16" s="29"/>
      <c r="Q16" s="30"/>
    </row>
    <row r="17" spans="1:20" ht="47.25" customHeight="1" x14ac:dyDescent="0.2">
      <c r="A17" s="280" t="s">
        <v>142</v>
      </c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P17" s="31"/>
      <c r="Q17" s="30"/>
    </row>
    <row r="18" spans="1:20" ht="9.75" customHeight="1" x14ac:dyDescent="0.25">
      <c r="A18" s="1"/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P18" s="30"/>
      <c r="Q18" s="30"/>
    </row>
    <row r="19" spans="1:20" ht="42.75" customHeight="1" thickBot="1" x14ac:dyDescent="0.25">
      <c r="A19" s="10" t="s">
        <v>0</v>
      </c>
      <c r="B19" s="337" t="s">
        <v>91</v>
      </c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P19" s="30"/>
      <c r="Q19" s="30"/>
    </row>
    <row r="20" spans="1:20" ht="18.75" customHeight="1" thickTop="1" x14ac:dyDescent="0.25">
      <c r="A20" s="1"/>
      <c r="B20" s="11" t="s">
        <v>3</v>
      </c>
      <c r="C20" s="12" t="s">
        <v>4</v>
      </c>
      <c r="D20" s="13"/>
      <c r="E20" s="13"/>
      <c r="F20" s="13"/>
      <c r="G20" s="13"/>
      <c r="H20" s="14"/>
      <c r="I20" s="15" t="s">
        <v>5</v>
      </c>
      <c r="J20" s="12" t="s">
        <v>17</v>
      </c>
      <c r="K20" s="13"/>
      <c r="L20" s="14"/>
      <c r="P20" s="30"/>
      <c r="Q20" s="30"/>
    </row>
    <row r="21" spans="1:20" ht="21.75" customHeight="1" x14ac:dyDescent="0.2">
      <c r="A21" s="50"/>
      <c r="B21" s="60" t="s">
        <v>16</v>
      </c>
      <c r="C21" s="50" t="s">
        <v>137</v>
      </c>
      <c r="D21" s="50"/>
      <c r="E21" s="50"/>
      <c r="F21" s="50"/>
      <c r="G21" s="54"/>
      <c r="H21" s="55"/>
      <c r="I21" s="56">
        <v>180000</v>
      </c>
      <c r="J21" s="50"/>
      <c r="K21" s="50"/>
      <c r="L21" s="55"/>
      <c r="P21" s="29"/>
      <c r="Q21" s="30"/>
      <c r="T21" s="29"/>
    </row>
    <row r="22" spans="1:20" s="1" customFormat="1" ht="17.25" customHeight="1" x14ac:dyDescent="0.25">
      <c r="A22" s="76"/>
      <c r="B22" s="77"/>
      <c r="C22" s="76" t="s">
        <v>138</v>
      </c>
      <c r="D22" s="76"/>
      <c r="E22" s="76"/>
      <c r="F22" s="76"/>
      <c r="G22" s="78"/>
      <c r="H22" s="79"/>
      <c r="I22" s="80">
        <f>256000*2</f>
        <v>512000</v>
      </c>
      <c r="J22" s="76"/>
      <c r="K22" s="76"/>
      <c r="L22" s="79"/>
      <c r="M22"/>
      <c r="Q22" s="5"/>
    </row>
    <row r="23" spans="1:20" ht="15.75" customHeight="1" x14ac:dyDescent="0.2">
      <c r="A23" s="4"/>
      <c r="B23" s="16"/>
      <c r="C23" s="4"/>
      <c r="D23" s="4"/>
      <c r="E23" s="4"/>
      <c r="F23" s="4"/>
      <c r="G23" s="4"/>
      <c r="H23" s="17"/>
      <c r="I23" s="19"/>
      <c r="J23" s="4"/>
      <c r="K23" s="4"/>
      <c r="L23" s="17"/>
      <c r="Q23" s="34"/>
    </row>
    <row r="24" spans="1:20" x14ac:dyDescent="0.2">
      <c r="A24" s="4"/>
      <c r="B24" s="16"/>
      <c r="C24" s="4"/>
      <c r="D24" s="4"/>
      <c r="E24" s="4"/>
      <c r="F24" s="4"/>
      <c r="G24" s="4"/>
      <c r="H24" s="17"/>
      <c r="I24" s="19"/>
      <c r="J24" s="4"/>
      <c r="K24" s="4"/>
      <c r="L24" s="17"/>
      <c r="Q24" s="34"/>
    </row>
    <row r="25" spans="1:20" x14ac:dyDescent="0.2">
      <c r="A25" s="4"/>
      <c r="B25" s="20"/>
      <c r="C25" s="21"/>
      <c r="D25" s="21"/>
      <c r="E25" s="21"/>
      <c r="F25" s="21"/>
      <c r="G25" s="21"/>
      <c r="H25" s="22"/>
      <c r="I25" s="23"/>
      <c r="J25" s="21"/>
      <c r="K25" s="21"/>
      <c r="L25" s="22"/>
      <c r="P25" s="29"/>
      <c r="Q25" s="34"/>
      <c r="T25" s="29"/>
    </row>
    <row r="26" spans="1:20" ht="15" x14ac:dyDescent="0.25">
      <c r="A26" s="1"/>
      <c r="B26" s="39"/>
      <c r="C26" s="1"/>
      <c r="D26" s="1"/>
      <c r="E26" s="1"/>
      <c r="F26" s="40" t="s">
        <v>5</v>
      </c>
      <c r="G26" s="40"/>
      <c r="H26" s="1"/>
      <c r="I26" s="41">
        <f>SUM(I21:I25)</f>
        <v>692000</v>
      </c>
      <c r="J26" s="1"/>
      <c r="K26" s="1"/>
      <c r="L26" s="42"/>
      <c r="P26" s="31"/>
      <c r="Q26" s="34"/>
      <c r="T26" s="35"/>
    </row>
    <row r="27" spans="1:20" ht="15" customHeight="1" thickBot="1" x14ac:dyDescent="0.3">
      <c r="A27" s="1"/>
      <c r="B27" s="43"/>
      <c r="C27" s="44"/>
      <c r="D27" s="44"/>
      <c r="E27" s="44"/>
      <c r="F27" s="45"/>
      <c r="G27" s="45"/>
      <c r="H27" s="44"/>
      <c r="I27" s="46"/>
      <c r="J27" s="44"/>
      <c r="K27" s="44"/>
      <c r="L27" s="47"/>
      <c r="P27" s="30"/>
      <c r="Q27" s="34"/>
    </row>
    <row r="28" spans="1:20" ht="15" customHeight="1" thickTop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Q28" s="34"/>
    </row>
    <row r="29" spans="1:20" ht="51" customHeight="1" x14ac:dyDescent="0.2">
      <c r="A29" s="10" t="s">
        <v>2</v>
      </c>
      <c r="B29" s="279" t="s">
        <v>11</v>
      </c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P29" s="29"/>
      <c r="Q29" s="34"/>
      <c r="T29" s="36"/>
    </row>
    <row r="30" spans="1:20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P30" s="31"/>
      <c r="T30" s="35"/>
    </row>
    <row r="31" spans="1:20" ht="18.75" customHeight="1" x14ac:dyDescent="0.2">
      <c r="A31" s="280" t="s">
        <v>12</v>
      </c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P31" s="30"/>
    </row>
    <row r="32" spans="1:20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21" ht="9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P33" s="30"/>
      <c r="Q33" s="34"/>
    </row>
    <row r="34" spans="1:21" ht="15" x14ac:dyDescent="0.25">
      <c r="A34" s="1"/>
      <c r="B34" s="1"/>
      <c r="C34" s="1"/>
      <c r="D34" s="1"/>
      <c r="E34" s="1"/>
      <c r="F34" s="1"/>
      <c r="G34" s="1"/>
      <c r="H34" s="1" t="s">
        <v>136</v>
      </c>
      <c r="I34" s="1"/>
      <c r="J34" s="1"/>
      <c r="K34" s="1"/>
      <c r="L34" s="1"/>
      <c r="Q34" s="34"/>
    </row>
    <row r="35" spans="1:21" ht="15" x14ac:dyDescent="0.25">
      <c r="A35" s="1"/>
      <c r="B35" s="1" t="s">
        <v>15</v>
      </c>
      <c r="C35" s="1"/>
      <c r="D35" s="1"/>
      <c r="E35" s="1"/>
      <c r="F35" s="1"/>
      <c r="G35" s="1"/>
      <c r="H35" s="1" t="s">
        <v>13</v>
      </c>
      <c r="I35" s="1"/>
      <c r="J35" s="1"/>
      <c r="K35" s="1"/>
      <c r="L35" s="1"/>
      <c r="P35" s="29"/>
      <c r="Q35" s="34"/>
      <c r="T35" s="29"/>
      <c r="U35" s="34"/>
    </row>
    <row r="36" spans="1:21" ht="15" x14ac:dyDescent="0.25">
      <c r="A36" s="1"/>
      <c r="B36" s="1" t="s">
        <v>18</v>
      </c>
      <c r="C36" s="1"/>
      <c r="D36" s="1"/>
      <c r="E36" s="1"/>
      <c r="F36" s="1"/>
      <c r="G36" s="1"/>
      <c r="H36" s="1" t="s">
        <v>14</v>
      </c>
      <c r="I36" s="1"/>
      <c r="J36" s="1"/>
      <c r="K36" s="1"/>
      <c r="L36" s="1"/>
      <c r="P36" s="31"/>
      <c r="Q36" s="34"/>
      <c r="T36" s="31"/>
      <c r="U36" s="34"/>
    </row>
    <row r="37" spans="1:21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Q37" s="34"/>
      <c r="T37" s="30"/>
      <c r="U37" s="34"/>
    </row>
    <row r="38" spans="1:21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Q38" s="34"/>
    </row>
    <row r="39" spans="1:21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P39" s="29"/>
      <c r="Q39" s="34"/>
      <c r="T39" s="29"/>
      <c r="U39" s="30"/>
    </row>
    <row r="40" spans="1:21" ht="10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P40" s="31"/>
      <c r="Q40" s="34"/>
      <c r="T40" s="31"/>
      <c r="U40" s="30"/>
    </row>
    <row r="41" spans="1:21" ht="15" x14ac:dyDescent="0.25">
      <c r="A41" s="1"/>
      <c r="B41" s="37" t="s">
        <v>77</v>
      </c>
      <c r="C41" s="1"/>
      <c r="D41" s="1"/>
      <c r="E41" s="1"/>
      <c r="F41" s="1"/>
      <c r="G41" s="1"/>
      <c r="H41" s="37" t="str">
        <f>D13</f>
        <v>Juliyardi, ST</v>
      </c>
      <c r="I41" s="1"/>
      <c r="J41" s="1"/>
      <c r="K41" s="1"/>
      <c r="L41" s="1"/>
      <c r="N41" s="25"/>
      <c r="O41" s="25"/>
      <c r="P41" s="25"/>
      <c r="Q41" s="25"/>
      <c r="R41" s="25"/>
      <c r="T41" s="30"/>
    </row>
    <row r="42" spans="1:21" ht="15" x14ac:dyDescent="0.25">
      <c r="A42" s="1"/>
      <c r="B42" s="48" t="s">
        <v>27</v>
      </c>
      <c r="C42" s="7"/>
      <c r="D42" s="1"/>
      <c r="E42" s="1"/>
      <c r="F42" s="1"/>
      <c r="G42" s="1"/>
      <c r="H42" s="1" t="str">
        <f>D14</f>
        <v>19860725 201903 1 002</v>
      </c>
      <c r="I42" s="1"/>
      <c r="J42" s="1"/>
      <c r="K42" s="1"/>
      <c r="L42" s="1"/>
      <c r="N42" s="25"/>
      <c r="O42" s="25"/>
      <c r="P42" s="25"/>
      <c r="Q42" s="25"/>
      <c r="R42" s="25"/>
    </row>
    <row r="43" spans="1:21" ht="15" x14ac:dyDescent="0.25">
      <c r="A43" s="1"/>
      <c r="B43" s="48"/>
      <c r="C43" s="7"/>
      <c r="D43" s="1"/>
      <c r="E43" s="1"/>
      <c r="F43" s="1"/>
      <c r="G43" s="1"/>
      <c r="H43" s="1"/>
      <c r="I43" s="1"/>
      <c r="J43" s="1"/>
      <c r="K43" s="1"/>
      <c r="L43" s="1"/>
      <c r="N43" s="25"/>
      <c r="O43" s="25"/>
      <c r="P43" s="25"/>
      <c r="Q43" s="25"/>
      <c r="R43" s="25"/>
    </row>
    <row r="44" spans="1:21" x14ac:dyDescent="0.2">
      <c r="A44" s="4"/>
      <c r="B44" s="57"/>
      <c r="C44" s="4"/>
      <c r="D44" s="4"/>
      <c r="E44" s="4"/>
      <c r="F44" s="4"/>
      <c r="G44" s="58"/>
      <c r="H44" s="4"/>
      <c r="I44" s="59"/>
      <c r="J44" s="4"/>
      <c r="K44" s="4"/>
      <c r="L44" s="4"/>
      <c r="N44" s="25"/>
      <c r="O44" s="25"/>
      <c r="P44" s="33"/>
      <c r="Q44" s="25"/>
      <c r="R44" s="25"/>
      <c r="T44" s="29"/>
      <c r="U44" s="30"/>
    </row>
    <row r="45" spans="1:21" x14ac:dyDescent="0.2">
      <c r="A45" s="4"/>
      <c r="B45" s="57"/>
      <c r="C45" s="4"/>
      <c r="D45" s="4"/>
      <c r="E45" s="4"/>
      <c r="F45" s="4"/>
      <c r="G45" s="4"/>
      <c r="H45" s="4"/>
      <c r="I45" s="58"/>
      <c r="J45" s="4"/>
      <c r="K45" s="4"/>
      <c r="L45" s="4"/>
      <c r="N45" s="25"/>
      <c r="O45" s="25"/>
      <c r="P45" s="27"/>
      <c r="Q45" s="25"/>
      <c r="R45" s="25"/>
      <c r="T45" s="31"/>
      <c r="U45" s="30"/>
    </row>
    <row r="46" spans="1:21" ht="15.75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N46" s="28"/>
      <c r="O46" s="25"/>
      <c r="P46" s="25"/>
      <c r="Q46" s="25"/>
      <c r="R46" s="25"/>
    </row>
    <row r="47" spans="1:21" ht="15.75" x14ac:dyDescent="0.25">
      <c r="A47" s="3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N47" s="28"/>
      <c r="O47" s="25"/>
      <c r="P47" s="25"/>
      <c r="Q47" s="25"/>
      <c r="R47" s="25"/>
    </row>
    <row r="48" spans="1:21" ht="15.75" x14ac:dyDescent="0.25">
      <c r="A48" s="3" t="s">
        <v>20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N48" s="28"/>
      <c r="O48" s="25"/>
      <c r="P48" s="25"/>
      <c r="Q48" s="25"/>
      <c r="R48" s="25"/>
    </row>
    <row r="49" spans="1:22" ht="15.75" x14ac:dyDescent="0.25">
      <c r="A49" s="3" t="s">
        <v>21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N49" s="28"/>
      <c r="O49" s="25"/>
      <c r="P49" s="25"/>
      <c r="Q49" s="25"/>
      <c r="R49" s="25"/>
    </row>
    <row r="50" spans="1:22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N50" s="28"/>
      <c r="O50" s="25"/>
      <c r="P50" s="25"/>
      <c r="Q50" s="25"/>
      <c r="R50" s="25"/>
    </row>
    <row r="51" spans="1:22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N51" s="28"/>
      <c r="O51" s="25"/>
      <c r="P51" s="25"/>
      <c r="Q51" s="25"/>
      <c r="R51" s="25"/>
    </row>
    <row r="52" spans="1:22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N52" s="28"/>
      <c r="O52" s="25"/>
      <c r="P52" s="25"/>
      <c r="Q52" s="25"/>
      <c r="R52" s="25"/>
    </row>
    <row r="53" spans="1:22" ht="19.5" thickBot="1" x14ac:dyDescent="0.35">
      <c r="A53" s="339" t="s">
        <v>6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N53" s="28"/>
      <c r="O53" s="25"/>
      <c r="P53" s="25"/>
      <c r="Q53" s="25"/>
      <c r="R53" s="25"/>
    </row>
    <row r="54" spans="1:22" ht="19.5" thickTop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N54" s="28"/>
      <c r="O54" s="25"/>
      <c r="P54" s="25"/>
      <c r="Q54" s="25"/>
      <c r="R54" s="25"/>
    </row>
    <row r="55" spans="1:22" ht="9.75" customHeight="1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N55" s="28"/>
      <c r="O55" s="25"/>
      <c r="P55" s="25"/>
      <c r="Q55" s="25"/>
      <c r="R55" s="25"/>
    </row>
    <row r="56" spans="1:22" ht="15" x14ac:dyDescent="0.25">
      <c r="A56" s="1"/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N56" s="28"/>
      <c r="O56" s="25"/>
      <c r="P56" s="25"/>
      <c r="Q56" s="25"/>
      <c r="R56" s="25"/>
    </row>
    <row r="57" spans="1:22" ht="15" x14ac:dyDescent="0.25">
      <c r="A57" s="1" t="s">
        <v>7</v>
      </c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N57" s="37"/>
      <c r="O57" s="25"/>
      <c r="P57" s="25"/>
      <c r="Q57" s="25"/>
      <c r="R57" s="25"/>
    </row>
    <row r="58" spans="1:22" ht="15" x14ac:dyDescent="0.25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N58" s="37" t="s">
        <v>143</v>
      </c>
      <c r="O58" s="25"/>
      <c r="P58" s="25"/>
      <c r="Q58" s="37" t="s">
        <v>147</v>
      </c>
      <c r="R58" s="25"/>
      <c r="T58" s="37" t="s">
        <v>149</v>
      </c>
    </row>
    <row r="59" spans="1:22" ht="15" x14ac:dyDescent="0.25">
      <c r="A59" s="1" t="s">
        <v>8</v>
      </c>
      <c r="B59" s="4"/>
      <c r="C59" s="9" t="s">
        <v>1</v>
      </c>
      <c r="D59" s="37" t="s">
        <v>171</v>
      </c>
      <c r="E59" s="64"/>
      <c r="F59" s="4"/>
      <c r="G59" s="4"/>
      <c r="H59" s="4"/>
      <c r="I59" s="4"/>
      <c r="J59" s="4"/>
      <c r="K59" s="4"/>
      <c r="L59" s="4"/>
      <c r="N59" s="48" t="s">
        <v>144</v>
      </c>
      <c r="Q59" s="48" t="s">
        <v>148</v>
      </c>
      <c r="T59" s="48" t="s">
        <v>150</v>
      </c>
    </row>
    <row r="60" spans="1:22" ht="15" x14ac:dyDescent="0.25">
      <c r="A60" s="1" t="s">
        <v>9</v>
      </c>
      <c r="B60" s="4"/>
      <c r="C60" s="9" t="s">
        <v>1</v>
      </c>
      <c r="D60" s="48" t="s">
        <v>172</v>
      </c>
      <c r="E60" s="64"/>
      <c r="F60" s="4"/>
      <c r="G60" s="4"/>
      <c r="H60" s="4"/>
      <c r="I60" s="4"/>
      <c r="J60" s="4"/>
      <c r="K60" s="4"/>
      <c r="L60" s="4"/>
      <c r="N60" s="1" t="s">
        <v>141</v>
      </c>
      <c r="Q60" s="1" t="s">
        <v>141</v>
      </c>
      <c r="T60" s="1" t="s">
        <v>141</v>
      </c>
    </row>
    <row r="61" spans="1:22" ht="15" x14ac:dyDescent="0.25">
      <c r="A61" s="1" t="s">
        <v>10</v>
      </c>
      <c r="B61" s="4"/>
      <c r="C61" s="9" t="s">
        <v>1</v>
      </c>
      <c r="D61" s="1" t="s">
        <v>141</v>
      </c>
      <c r="E61" s="64"/>
      <c r="F61" s="4"/>
      <c r="G61" s="4"/>
      <c r="H61" s="4"/>
      <c r="I61" s="4"/>
      <c r="J61" s="4"/>
      <c r="K61" s="4"/>
      <c r="L61" s="4"/>
    </row>
    <row r="62" spans="1:22" ht="14.25" customHeight="1" x14ac:dyDescent="0.25">
      <c r="A62" s="1"/>
      <c r="B62" s="1"/>
      <c r="C62" s="4"/>
      <c r="D62" s="1"/>
      <c r="E62" s="4"/>
      <c r="F62" s="4"/>
      <c r="G62" s="4"/>
      <c r="H62" s="4"/>
      <c r="I62" s="4"/>
      <c r="J62" s="4"/>
      <c r="K62" s="4"/>
      <c r="L62" s="4"/>
    </row>
    <row r="63" spans="1:22" ht="48" customHeight="1" x14ac:dyDescent="0.2">
      <c r="A63" s="280" t="s">
        <v>142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P63" s="87"/>
      <c r="Q63" s="340"/>
      <c r="R63" s="340"/>
      <c r="S63" s="340"/>
      <c r="T63" s="340"/>
      <c r="U63" s="340"/>
      <c r="V63" s="88"/>
    </row>
    <row r="64" spans="1:22" ht="15" customHeight="1" x14ac:dyDescent="0.25">
      <c r="A64" s="1"/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20" ht="43.5" customHeight="1" thickBot="1" x14ac:dyDescent="0.25">
      <c r="A65" s="10" t="s">
        <v>0</v>
      </c>
      <c r="B65" s="337" t="s">
        <v>91</v>
      </c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P65" s="29"/>
      <c r="Q65" s="30"/>
    </row>
    <row r="66" spans="1:20" ht="18" customHeight="1" thickTop="1" x14ac:dyDescent="0.25">
      <c r="A66" s="1"/>
      <c r="B66" s="11" t="s">
        <v>3</v>
      </c>
      <c r="C66" s="12" t="s">
        <v>4</v>
      </c>
      <c r="D66" s="13"/>
      <c r="E66" s="13"/>
      <c r="F66" s="13"/>
      <c r="G66" s="13"/>
      <c r="H66" s="14"/>
      <c r="I66" s="15" t="s">
        <v>5</v>
      </c>
      <c r="J66" s="12" t="s">
        <v>17</v>
      </c>
      <c r="K66" s="13"/>
      <c r="L66" s="14"/>
      <c r="P66" s="29"/>
      <c r="Q66" s="30"/>
    </row>
    <row r="67" spans="1:20" ht="18" customHeight="1" x14ac:dyDescent="0.25">
      <c r="A67" s="1"/>
      <c r="B67" s="60" t="s">
        <v>16</v>
      </c>
      <c r="C67" s="4" t="s">
        <v>145</v>
      </c>
      <c r="D67" s="4"/>
      <c r="E67" s="4"/>
      <c r="F67" s="4"/>
      <c r="G67" s="4"/>
      <c r="H67" s="17"/>
      <c r="I67" s="93">
        <v>167000</v>
      </c>
      <c r="J67" s="92"/>
      <c r="K67" s="4"/>
      <c r="L67" s="17"/>
      <c r="P67" s="29"/>
      <c r="Q67" s="30"/>
    </row>
    <row r="68" spans="1:20" ht="21" customHeight="1" x14ac:dyDescent="0.2">
      <c r="A68" s="50"/>
      <c r="B68" s="60"/>
      <c r="C68" s="50" t="s">
        <v>146</v>
      </c>
      <c r="D68" s="50"/>
      <c r="E68" s="50"/>
      <c r="F68" s="50"/>
      <c r="G68" s="54"/>
      <c r="H68" s="55"/>
      <c r="I68" s="56">
        <v>90000</v>
      </c>
      <c r="J68" s="50"/>
      <c r="K68" s="50"/>
      <c r="L68" s="55"/>
      <c r="N68" s="56"/>
      <c r="P68" s="29"/>
      <c r="Q68" s="30"/>
    </row>
    <row r="69" spans="1:20" ht="18" customHeight="1" x14ac:dyDescent="0.2">
      <c r="A69" s="76"/>
      <c r="B69" s="77"/>
      <c r="C69" s="76" t="s">
        <v>138</v>
      </c>
      <c r="D69" s="76"/>
      <c r="E69" s="76"/>
      <c r="F69" s="76"/>
      <c r="G69" s="78"/>
      <c r="H69" s="79"/>
      <c r="I69" s="80">
        <f>256000*2</f>
        <v>512000</v>
      </c>
      <c r="J69" s="76"/>
      <c r="K69" s="76"/>
      <c r="L69" s="79"/>
      <c r="N69" s="18"/>
      <c r="P69" s="31"/>
      <c r="Q69" s="30"/>
    </row>
    <row r="70" spans="1:20" x14ac:dyDescent="0.2">
      <c r="A70" s="4"/>
      <c r="B70" s="16"/>
      <c r="C70" s="4"/>
      <c r="D70" s="4"/>
      <c r="E70" s="4"/>
      <c r="F70" s="4"/>
      <c r="G70" s="4"/>
      <c r="H70" s="17"/>
      <c r="I70" s="19"/>
      <c r="J70" s="4"/>
      <c r="K70" s="4"/>
      <c r="L70" s="17"/>
      <c r="Q70" s="30"/>
    </row>
    <row r="71" spans="1:20" ht="14.25" x14ac:dyDescent="0.2">
      <c r="A71" s="4"/>
      <c r="B71" s="16"/>
      <c r="C71" s="4"/>
      <c r="D71" s="4"/>
      <c r="E71" s="4"/>
      <c r="F71" s="4"/>
      <c r="G71" s="4"/>
      <c r="H71" s="17"/>
      <c r="I71" s="19"/>
      <c r="J71" s="4"/>
      <c r="K71" s="4"/>
      <c r="L71" s="17"/>
      <c r="P71" s="32"/>
      <c r="Q71" s="30"/>
    </row>
    <row r="72" spans="1:20" ht="9" customHeight="1" x14ac:dyDescent="0.2">
      <c r="A72" s="4"/>
      <c r="B72" s="20"/>
      <c r="C72" s="21"/>
      <c r="D72" s="21"/>
      <c r="E72" s="21"/>
      <c r="F72" s="21"/>
      <c r="G72" s="21"/>
      <c r="H72" s="22"/>
      <c r="I72" s="23"/>
      <c r="J72" s="21"/>
      <c r="K72" s="21"/>
      <c r="L72" s="22"/>
      <c r="P72" s="32"/>
      <c r="Q72" s="30"/>
    </row>
    <row r="73" spans="1:20" ht="15" x14ac:dyDescent="0.25">
      <c r="A73" s="1"/>
      <c r="B73" s="39"/>
      <c r="C73" s="1"/>
      <c r="D73" s="1"/>
      <c r="E73" s="1"/>
      <c r="F73" s="40" t="s">
        <v>5</v>
      </c>
      <c r="G73" s="40"/>
      <c r="H73" s="1"/>
      <c r="I73" s="41">
        <f>SUM(I67:I72)</f>
        <v>769000</v>
      </c>
      <c r="J73" s="1"/>
      <c r="K73" s="1"/>
      <c r="L73" s="42"/>
      <c r="P73" s="29"/>
      <c r="Q73" s="30"/>
    </row>
    <row r="74" spans="1:20" ht="15.75" thickBot="1" x14ac:dyDescent="0.3">
      <c r="A74" s="1"/>
      <c r="B74" s="43"/>
      <c r="C74" s="44"/>
      <c r="D74" s="44"/>
      <c r="E74" s="44"/>
      <c r="F74" s="45"/>
      <c r="G74" s="45"/>
      <c r="H74" s="44"/>
      <c r="I74" s="46"/>
      <c r="J74" s="44"/>
      <c r="K74" s="44"/>
      <c r="L74" s="47"/>
      <c r="N74" s="86"/>
      <c r="P74" s="31"/>
      <c r="Q74" s="30"/>
    </row>
    <row r="75" spans="1:20" ht="15.75" thickTop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P75" s="30"/>
      <c r="Q75" s="30"/>
    </row>
    <row r="76" spans="1:20" ht="50.25" customHeight="1" x14ac:dyDescent="0.2">
      <c r="A76" s="10" t="s">
        <v>2</v>
      </c>
      <c r="B76" s="279" t="s">
        <v>11</v>
      </c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P76" s="30"/>
      <c r="Q76" s="30"/>
    </row>
    <row r="77" spans="1:20" ht="1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P77" s="30"/>
      <c r="Q77" s="30"/>
    </row>
    <row r="78" spans="1:20" ht="18" customHeight="1" x14ac:dyDescent="0.2">
      <c r="A78" s="280" t="s">
        <v>12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P78" s="29"/>
      <c r="Q78" s="30"/>
      <c r="T78" s="29"/>
    </row>
    <row r="79" spans="1:20" ht="18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P79" s="31"/>
      <c r="Q79" s="34"/>
      <c r="T79" s="35"/>
    </row>
    <row r="80" spans="1:20" ht="9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Q80" s="34"/>
    </row>
    <row r="81" spans="1:21" ht="15" x14ac:dyDescent="0.25">
      <c r="A81" s="1"/>
      <c r="B81" s="1"/>
      <c r="C81" s="1"/>
      <c r="D81" s="1"/>
      <c r="E81" s="1"/>
      <c r="F81" s="1"/>
      <c r="G81" s="1"/>
      <c r="H81" s="1" t="s">
        <v>136</v>
      </c>
      <c r="I81" s="1"/>
      <c r="J81" s="1"/>
      <c r="K81" s="1"/>
      <c r="L81" s="1"/>
      <c r="Q81" s="34"/>
    </row>
    <row r="82" spans="1:21" ht="15" x14ac:dyDescent="0.25">
      <c r="A82" s="1"/>
      <c r="B82" s="1" t="s">
        <v>15</v>
      </c>
      <c r="C82" s="1"/>
      <c r="D82" s="1"/>
      <c r="E82" s="1"/>
      <c r="F82" s="1"/>
      <c r="G82" s="1"/>
      <c r="H82" s="1" t="s">
        <v>13</v>
      </c>
      <c r="I82" s="1"/>
      <c r="J82" s="1"/>
      <c r="K82" s="1"/>
      <c r="L82" s="1"/>
      <c r="Q82" s="34"/>
    </row>
    <row r="83" spans="1:21" ht="15" x14ac:dyDescent="0.25">
      <c r="A83" s="1"/>
      <c r="B83" s="1" t="s">
        <v>18</v>
      </c>
      <c r="C83" s="1"/>
      <c r="D83" s="1"/>
      <c r="E83" s="1"/>
      <c r="F83" s="1"/>
      <c r="G83" s="1"/>
      <c r="H83" s="1" t="s">
        <v>14</v>
      </c>
      <c r="I83" s="1"/>
      <c r="J83" s="1"/>
      <c r="K83" s="1"/>
      <c r="L83" s="1"/>
      <c r="P83" s="29"/>
      <c r="Q83" s="34"/>
      <c r="T83" s="29"/>
    </row>
    <row r="84" spans="1:21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P84" s="31"/>
      <c r="Q84" s="34"/>
      <c r="T84" s="35"/>
    </row>
    <row r="85" spans="1:21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P85" s="30"/>
      <c r="Q85" s="34"/>
    </row>
    <row r="86" spans="1:21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Q86" s="34"/>
    </row>
    <row r="87" spans="1:21" ht="1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P87" s="29"/>
      <c r="Q87" s="34"/>
      <c r="T87" s="36"/>
    </row>
    <row r="88" spans="1:21" ht="12.75" customHeight="1" x14ac:dyDescent="0.25">
      <c r="A88" s="1"/>
      <c r="B88" s="37" t="s">
        <v>77</v>
      </c>
      <c r="C88" s="1"/>
      <c r="D88" s="1"/>
      <c r="E88" s="1"/>
      <c r="F88" s="1"/>
      <c r="G88" s="1"/>
      <c r="H88" s="37" t="str">
        <f>D59</f>
        <v>Muhamad Toha, A.Md.</v>
      </c>
      <c r="I88" s="1"/>
      <c r="J88" s="1"/>
      <c r="K88" s="1"/>
      <c r="L88" s="1"/>
      <c r="P88" s="31"/>
      <c r="T88" s="35"/>
    </row>
    <row r="89" spans="1:21" ht="15" x14ac:dyDescent="0.25">
      <c r="A89" s="1"/>
      <c r="B89" s="48" t="s">
        <v>27</v>
      </c>
      <c r="C89" s="7"/>
      <c r="D89" s="1"/>
      <c r="E89" s="1"/>
      <c r="F89" s="1"/>
      <c r="G89" s="1"/>
      <c r="H89" s="1" t="str">
        <f>D60</f>
        <v>NIP. 19950722 201903 1 002</v>
      </c>
      <c r="I89" s="1"/>
      <c r="J89" s="1"/>
      <c r="K89" s="1"/>
      <c r="L89" s="1"/>
      <c r="P89" s="30"/>
    </row>
    <row r="90" spans="1:21" ht="15" x14ac:dyDescent="0.25">
      <c r="A90" s="1"/>
      <c r="B90" s="48"/>
      <c r="C90" s="7"/>
      <c r="D90" s="1"/>
      <c r="E90" s="1"/>
      <c r="F90" s="1"/>
      <c r="G90" s="1"/>
      <c r="H90" s="1"/>
      <c r="I90" s="1"/>
      <c r="J90" s="1"/>
      <c r="K90" s="1"/>
      <c r="L90" s="1"/>
    </row>
    <row r="91" spans="1:21" ht="15.75" x14ac:dyDescent="0.25">
      <c r="A91" s="72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1"/>
      <c r="P91" s="29"/>
      <c r="Q91" s="34"/>
      <c r="T91" s="29"/>
      <c r="U91" s="34"/>
    </row>
    <row r="92" spans="1:21" ht="15.75" x14ac:dyDescent="0.25">
      <c r="A92" s="72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1"/>
      <c r="P92" s="29"/>
      <c r="Q92" s="34"/>
      <c r="T92" s="29"/>
      <c r="U92" s="34"/>
    </row>
    <row r="93" spans="1:21" ht="15.75" x14ac:dyDescent="0.25">
      <c r="A93" s="3" t="s">
        <v>22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71"/>
      <c r="P93" s="31"/>
      <c r="Q93" s="34"/>
      <c r="T93" s="31"/>
      <c r="U93" s="34"/>
    </row>
    <row r="94" spans="1:21" ht="15.75" x14ac:dyDescent="0.25">
      <c r="A94" s="3" t="s">
        <v>20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71"/>
      <c r="Q94" s="34"/>
      <c r="T94" s="30"/>
      <c r="U94" s="34"/>
    </row>
    <row r="95" spans="1:21" ht="15.75" x14ac:dyDescent="0.25">
      <c r="A95" s="3" t="s">
        <v>21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71"/>
      <c r="Q95" s="34"/>
    </row>
    <row r="96" spans="1:2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71"/>
      <c r="P96" s="29"/>
      <c r="Q96" s="34"/>
      <c r="T96" s="29"/>
      <c r="U96" s="30"/>
    </row>
    <row r="97" spans="1:2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71"/>
      <c r="P97" s="31"/>
      <c r="Q97" s="34"/>
      <c r="T97" s="31"/>
      <c r="U97" s="30"/>
    </row>
    <row r="98" spans="1:2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71"/>
      <c r="N98" s="25"/>
      <c r="O98" s="25"/>
      <c r="P98" s="25"/>
      <c r="Q98" s="25"/>
      <c r="R98" s="25"/>
      <c r="T98" s="30"/>
    </row>
    <row r="99" spans="1:21" ht="19.5" thickBot="1" x14ac:dyDescent="0.35">
      <c r="A99" s="339" t="s">
        <v>6</v>
      </c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71"/>
      <c r="N99" s="25"/>
      <c r="O99" s="25"/>
      <c r="P99" s="25"/>
      <c r="Q99" s="25"/>
      <c r="R99" s="25"/>
    </row>
    <row r="100" spans="1:21" ht="19.5" thickTop="1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71"/>
      <c r="N100" s="25"/>
      <c r="O100" s="25"/>
      <c r="P100" s="25"/>
      <c r="Q100" s="25"/>
      <c r="R100" s="25"/>
    </row>
    <row r="101" spans="1:21" ht="18.75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71"/>
      <c r="N101" s="25"/>
      <c r="O101" s="25"/>
      <c r="P101" s="33"/>
      <c r="Q101" s="25"/>
      <c r="R101" s="25"/>
      <c r="T101" s="29"/>
      <c r="U101" s="30"/>
    </row>
    <row r="102" spans="1:21" ht="15" x14ac:dyDescent="0.25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1"/>
      <c r="N102" s="25"/>
      <c r="O102" s="25"/>
      <c r="P102" s="27"/>
      <c r="Q102" s="25"/>
      <c r="R102" s="25"/>
      <c r="T102" s="31"/>
      <c r="U102" s="30"/>
    </row>
    <row r="103" spans="1:21" ht="15" x14ac:dyDescent="0.25">
      <c r="A103" s="1" t="s">
        <v>7</v>
      </c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71"/>
      <c r="N103" s="26"/>
      <c r="O103" s="25"/>
      <c r="P103" s="25"/>
      <c r="Q103" s="26"/>
      <c r="R103" s="25"/>
      <c r="T103" s="30"/>
    </row>
    <row r="104" spans="1:21" ht="15" x14ac:dyDescent="0.25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71"/>
      <c r="N104" s="37"/>
      <c r="O104" s="25"/>
      <c r="P104" s="37" t="s">
        <v>151</v>
      </c>
      <c r="Q104" s="25"/>
      <c r="R104" s="37"/>
    </row>
    <row r="105" spans="1:21" ht="15" x14ac:dyDescent="0.25">
      <c r="A105" s="1" t="s">
        <v>8</v>
      </c>
      <c r="B105" s="4"/>
      <c r="C105" s="9" t="s">
        <v>1</v>
      </c>
      <c r="D105" s="37" t="s">
        <v>154</v>
      </c>
      <c r="E105" s="64"/>
      <c r="F105" s="4"/>
      <c r="G105" s="4"/>
      <c r="H105" s="4"/>
      <c r="I105" s="4"/>
      <c r="J105" s="4"/>
      <c r="K105" s="4"/>
      <c r="L105" s="4"/>
      <c r="M105" s="71"/>
      <c r="N105" s="1"/>
      <c r="O105" s="25"/>
      <c r="P105" s="48" t="s">
        <v>152</v>
      </c>
      <c r="Q105" s="25"/>
      <c r="R105" s="48"/>
    </row>
    <row r="106" spans="1:21" ht="15" x14ac:dyDescent="0.25">
      <c r="A106" s="1" t="s">
        <v>9</v>
      </c>
      <c r="B106" s="4"/>
      <c r="C106" s="9" t="s">
        <v>1</v>
      </c>
      <c r="D106" s="48" t="s">
        <v>155</v>
      </c>
      <c r="E106" s="64"/>
      <c r="F106" s="4"/>
      <c r="G106" s="4"/>
      <c r="H106" s="4"/>
      <c r="I106" s="4"/>
      <c r="J106" s="4"/>
      <c r="K106" s="4"/>
      <c r="L106" s="4"/>
      <c r="M106" s="71"/>
      <c r="N106" s="1"/>
      <c r="O106" s="25"/>
      <c r="P106" s="1" t="s">
        <v>141</v>
      </c>
      <c r="Q106" s="25"/>
      <c r="R106" s="1"/>
    </row>
    <row r="107" spans="1:21" ht="15" x14ac:dyDescent="0.25">
      <c r="A107" s="1" t="s">
        <v>10</v>
      </c>
      <c r="B107" s="4"/>
      <c r="C107" s="9" t="s">
        <v>1</v>
      </c>
      <c r="D107" s="1" t="s">
        <v>141</v>
      </c>
      <c r="E107" s="64"/>
      <c r="F107" s="4"/>
      <c r="G107" s="4"/>
      <c r="H107" s="4"/>
      <c r="I107" s="4"/>
      <c r="J107" s="4"/>
      <c r="K107" s="4"/>
      <c r="L107" s="4"/>
      <c r="M107" s="71"/>
      <c r="N107" s="28"/>
      <c r="O107" s="25"/>
      <c r="P107" s="25"/>
      <c r="Q107" s="25"/>
      <c r="R107" s="25"/>
    </row>
    <row r="108" spans="1:21" ht="15" x14ac:dyDescent="0.25">
      <c r="A108" s="1"/>
      <c r="B108" s="1"/>
      <c r="C108" s="4"/>
      <c r="D108" s="1"/>
      <c r="E108" s="4"/>
      <c r="F108" s="4"/>
      <c r="G108" s="4"/>
      <c r="H108" s="4"/>
      <c r="I108" s="4"/>
      <c r="J108" s="4"/>
      <c r="K108" s="4"/>
      <c r="L108" s="4"/>
      <c r="M108" s="71"/>
      <c r="N108" s="28"/>
      <c r="O108" s="25"/>
      <c r="P108" s="25"/>
      <c r="Q108" s="25"/>
      <c r="R108" s="25"/>
    </row>
    <row r="109" spans="1:21" ht="33" customHeight="1" x14ac:dyDescent="0.2">
      <c r="A109" s="280" t="s">
        <v>142</v>
      </c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71"/>
      <c r="N109" s="28"/>
      <c r="O109" s="25"/>
      <c r="P109" s="25"/>
      <c r="Q109" s="25"/>
      <c r="R109" s="25"/>
    </row>
    <row r="110" spans="1:21" ht="15" x14ac:dyDescent="0.25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71"/>
      <c r="N110" s="28"/>
      <c r="O110" s="25"/>
      <c r="P110" s="25"/>
      <c r="Q110" s="25"/>
      <c r="R110" s="25"/>
    </row>
    <row r="111" spans="1:21" ht="42" customHeight="1" thickBot="1" x14ac:dyDescent="0.25">
      <c r="A111" s="10" t="s">
        <v>0</v>
      </c>
      <c r="B111" s="337" t="s">
        <v>91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71"/>
      <c r="N111" s="28"/>
      <c r="O111" s="25"/>
      <c r="P111" s="25"/>
      <c r="Q111" s="25"/>
      <c r="R111" s="25"/>
    </row>
    <row r="112" spans="1:21" ht="27.75" customHeight="1" thickTop="1" x14ac:dyDescent="0.25">
      <c r="A112" s="1"/>
      <c r="B112" s="11" t="s">
        <v>3</v>
      </c>
      <c r="C112" s="12" t="s">
        <v>4</v>
      </c>
      <c r="D112" s="13"/>
      <c r="E112" s="13"/>
      <c r="F112" s="13"/>
      <c r="G112" s="13"/>
      <c r="H112" s="14"/>
      <c r="I112" s="15" t="s">
        <v>5</v>
      </c>
      <c r="J112" s="12" t="s">
        <v>17</v>
      </c>
      <c r="K112" s="13"/>
      <c r="L112" s="14"/>
      <c r="M112" s="71"/>
      <c r="N112" s="38"/>
      <c r="O112" s="25"/>
      <c r="P112" s="25"/>
      <c r="Q112" s="25"/>
      <c r="R112" s="25"/>
    </row>
    <row r="113" spans="1:18" ht="17.25" customHeight="1" x14ac:dyDescent="0.25">
      <c r="A113" s="1"/>
      <c r="B113" s="60" t="s">
        <v>16</v>
      </c>
      <c r="C113" s="4" t="s">
        <v>153</v>
      </c>
      <c r="D113" s="4"/>
      <c r="E113" s="4"/>
      <c r="F113" s="4"/>
      <c r="G113" s="4"/>
      <c r="H113" s="17"/>
      <c r="I113" s="93">
        <v>147000</v>
      </c>
      <c r="J113" s="92"/>
      <c r="K113" s="4"/>
      <c r="L113" s="17"/>
      <c r="M113" s="71"/>
      <c r="N113" s="38"/>
      <c r="O113" s="25"/>
      <c r="P113" s="25"/>
      <c r="Q113" s="25"/>
      <c r="R113" s="25"/>
    </row>
    <row r="114" spans="1:18" ht="17.25" customHeight="1" x14ac:dyDescent="0.2">
      <c r="A114" s="50"/>
      <c r="B114" s="60"/>
      <c r="C114" s="50" t="s">
        <v>146</v>
      </c>
      <c r="D114" s="50"/>
      <c r="E114" s="50"/>
      <c r="F114" s="50"/>
      <c r="G114" s="54"/>
      <c r="H114" s="55"/>
      <c r="I114" s="56">
        <v>90000</v>
      </c>
      <c r="J114" s="50"/>
      <c r="K114" s="50"/>
      <c r="L114" s="55"/>
      <c r="M114" s="71"/>
      <c r="N114" s="28"/>
      <c r="O114" s="25"/>
      <c r="P114" s="25"/>
      <c r="Q114" s="25"/>
      <c r="R114" s="25"/>
    </row>
    <row r="115" spans="1:18" ht="17.25" customHeight="1" x14ac:dyDescent="0.2">
      <c r="A115" s="76"/>
      <c r="B115" s="77"/>
      <c r="C115" s="76" t="s">
        <v>138</v>
      </c>
      <c r="D115" s="76"/>
      <c r="E115" s="76"/>
      <c r="F115" s="76"/>
      <c r="G115" s="78"/>
      <c r="H115" s="79"/>
      <c r="I115" s="80">
        <f>256000*2</f>
        <v>512000</v>
      </c>
      <c r="J115" s="76"/>
      <c r="K115" s="76"/>
      <c r="L115" s="79"/>
      <c r="M115" s="71"/>
      <c r="N115" s="28"/>
      <c r="O115" s="25"/>
      <c r="P115" s="25"/>
      <c r="Q115" s="25"/>
      <c r="R115" s="25"/>
    </row>
    <row r="116" spans="1:18" x14ac:dyDescent="0.2">
      <c r="A116" s="4"/>
      <c r="B116" s="16"/>
      <c r="C116" s="4"/>
      <c r="D116" s="4"/>
      <c r="E116" s="4"/>
      <c r="F116" s="4"/>
      <c r="G116" s="4"/>
      <c r="H116" s="17"/>
      <c r="I116" s="19"/>
      <c r="J116" s="4"/>
      <c r="K116" s="4"/>
      <c r="L116" s="17"/>
      <c r="M116" s="71"/>
    </row>
    <row r="117" spans="1:18" x14ac:dyDescent="0.2">
      <c r="A117" s="4"/>
      <c r="B117" s="16"/>
      <c r="C117" s="4"/>
      <c r="D117" s="4"/>
      <c r="E117" s="4"/>
      <c r="F117" s="4"/>
      <c r="G117" s="4"/>
      <c r="H117" s="17"/>
      <c r="I117" s="19"/>
      <c r="J117" s="4"/>
      <c r="K117" s="4"/>
      <c r="L117" s="17"/>
      <c r="M117" s="71"/>
    </row>
    <row r="118" spans="1:18" x14ac:dyDescent="0.2">
      <c r="A118" s="4"/>
      <c r="B118" s="20"/>
      <c r="C118" s="21"/>
      <c r="D118" s="21"/>
      <c r="E118" s="21"/>
      <c r="F118" s="21"/>
      <c r="G118" s="21"/>
      <c r="H118" s="22"/>
      <c r="I118" s="23"/>
      <c r="J118" s="21"/>
      <c r="K118" s="21"/>
      <c r="L118" s="22"/>
      <c r="M118" s="71"/>
    </row>
    <row r="119" spans="1:18" ht="15" x14ac:dyDescent="0.25">
      <c r="A119" s="1"/>
      <c r="B119" s="39"/>
      <c r="C119" s="1"/>
      <c r="D119" s="1"/>
      <c r="E119" s="1"/>
      <c r="F119" s="40" t="s">
        <v>5</v>
      </c>
      <c r="G119" s="40"/>
      <c r="H119" s="1"/>
      <c r="I119" s="41">
        <f>SUM(I113:I118)</f>
        <v>749000</v>
      </c>
      <c r="J119" s="1"/>
      <c r="K119" s="1"/>
      <c r="L119" s="42"/>
      <c r="M119" s="71"/>
    </row>
    <row r="120" spans="1:18" ht="15.75" thickBot="1" x14ac:dyDescent="0.3">
      <c r="A120" s="1"/>
      <c r="B120" s="43"/>
      <c r="C120" s="44"/>
      <c r="D120" s="44"/>
      <c r="E120" s="44"/>
      <c r="F120" s="45"/>
      <c r="G120" s="45"/>
      <c r="H120" s="44"/>
      <c r="I120" s="46"/>
      <c r="J120" s="44"/>
      <c r="K120" s="44"/>
      <c r="L120" s="47"/>
      <c r="M120" s="71"/>
    </row>
    <row r="121" spans="1:18" ht="15.75" thickTop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71"/>
    </row>
    <row r="122" spans="1:18" ht="53.25" customHeight="1" x14ac:dyDescent="0.2">
      <c r="A122" s="10" t="s">
        <v>2</v>
      </c>
      <c r="B122" s="279" t="s">
        <v>11</v>
      </c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71"/>
      <c r="P122" s="29"/>
      <c r="Q122" s="30"/>
    </row>
    <row r="123" spans="1:18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71"/>
      <c r="P123" s="29"/>
      <c r="Q123" s="30"/>
    </row>
    <row r="124" spans="1:18" ht="15" x14ac:dyDescent="0.2">
      <c r="A124" s="280" t="s">
        <v>12</v>
      </c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71"/>
      <c r="P124" s="29"/>
      <c r="Q124" s="30"/>
    </row>
    <row r="125" spans="1:18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71"/>
      <c r="P125" s="31"/>
      <c r="Q125" s="30"/>
    </row>
    <row r="126" spans="1:18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71"/>
      <c r="Q126" s="30"/>
    </row>
    <row r="127" spans="1:18" ht="15" x14ac:dyDescent="0.25">
      <c r="A127" s="1"/>
      <c r="B127" s="1"/>
      <c r="C127" s="1"/>
      <c r="D127" s="1"/>
      <c r="E127" s="1"/>
      <c r="F127" s="1"/>
      <c r="G127" s="1"/>
      <c r="H127" s="1" t="s">
        <v>136</v>
      </c>
      <c r="I127" s="1"/>
      <c r="J127" s="1"/>
      <c r="K127" s="1"/>
      <c r="L127" s="1"/>
      <c r="M127" s="71"/>
      <c r="P127" s="32"/>
      <c r="Q127" s="30"/>
    </row>
    <row r="128" spans="1:18" ht="15" x14ac:dyDescent="0.25">
      <c r="A128" s="1"/>
      <c r="B128" s="1" t="s">
        <v>15</v>
      </c>
      <c r="C128" s="1"/>
      <c r="D128" s="1"/>
      <c r="E128" s="1"/>
      <c r="F128" s="1"/>
      <c r="G128" s="1"/>
      <c r="H128" s="1" t="s">
        <v>13</v>
      </c>
      <c r="I128" s="1"/>
      <c r="J128" s="1"/>
      <c r="K128" s="1"/>
      <c r="L128" s="1"/>
      <c r="M128" s="71"/>
      <c r="P128" s="32"/>
      <c r="Q128" s="30"/>
    </row>
    <row r="129" spans="1:20" ht="15" x14ac:dyDescent="0.25">
      <c r="A129" s="1"/>
      <c r="B129" s="1" t="s">
        <v>18</v>
      </c>
      <c r="C129" s="1"/>
      <c r="D129" s="1"/>
      <c r="E129" s="1"/>
      <c r="F129" s="1"/>
      <c r="G129" s="1"/>
      <c r="H129" s="1" t="s">
        <v>14</v>
      </c>
      <c r="I129" s="1"/>
      <c r="J129" s="1"/>
      <c r="K129" s="1"/>
      <c r="L129" s="1"/>
      <c r="M129" s="71"/>
      <c r="P129" s="29"/>
      <c r="Q129" s="30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71"/>
      <c r="P130" s="31"/>
      <c r="Q130" s="30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71"/>
      <c r="P131" s="30"/>
      <c r="Q131" s="30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71"/>
      <c r="P132" s="30"/>
      <c r="Q132" s="30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71"/>
      <c r="P133" s="29"/>
      <c r="Q133" s="30"/>
      <c r="T133" s="29"/>
    </row>
    <row r="134" spans="1:20" ht="15" x14ac:dyDescent="0.25">
      <c r="A134" s="1"/>
      <c r="B134" s="37" t="s">
        <v>77</v>
      </c>
      <c r="C134" s="1"/>
      <c r="D134" s="1"/>
      <c r="E134" s="1"/>
      <c r="F134" s="1"/>
      <c r="G134" s="1"/>
      <c r="H134" s="37" t="str">
        <f>D105</f>
        <v>Priya Tri Nanda, S.Si.</v>
      </c>
      <c r="I134" s="1"/>
      <c r="J134" s="1"/>
      <c r="K134" s="1"/>
      <c r="L134" s="1"/>
      <c r="M134" s="71"/>
      <c r="P134" s="31"/>
      <c r="Q134" s="34"/>
      <c r="T134" s="35"/>
    </row>
    <row r="135" spans="1:20" ht="15" x14ac:dyDescent="0.25">
      <c r="A135" s="1"/>
      <c r="B135" s="48" t="s">
        <v>27</v>
      </c>
      <c r="C135" s="7"/>
      <c r="D135" s="1"/>
      <c r="E135" s="1"/>
      <c r="F135" s="1"/>
      <c r="G135" s="1"/>
      <c r="H135" s="1" t="str">
        <f>D106</f>
        <v>NIP. 19950322 201903 1 004</v>
      </c>
      <c r="I135" s="1"/>
      <c r="J135" s="1"/>
      <c r="K135" s="1"/>
      <c r="L135" s="1"/>
      <c r="M135" s="71"/>
      <c r="Q135" s="34"/>
    </row>
    <row r="136" spans="1:20" ht="15" x14ac:dyDescent="0.25">
      <c r="A136" s="1"/>
      <c r="B136" s="48"/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71"/>
      <c r="Q136" s="34"/>
    </row>
    <row r="137" spans="1:20" ht="15.75" x14ac:dyDescent="0.25">
      <c r="A137" s="72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1"/>
      <c r="Q137" s="34"/>
    </row>
    <row r="138" spans="1:20" ht="15.75" x14ac:dyDescent="0.25">
      <c r="A138" s="72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1"/>
      <c r="Q138" s="34"/>
    </row>
    <row r="139" spans="1:20" ht="15.75" x14ac:dyDescent="0.25">
      <c r="A139" s="72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1"/>
      <c r="Q139" s="34"/>
    </row>
    <row r="140" spans="1:20" ht="15.75" x14ac:dyDescent="0.25">
      <c r="A140" s="3" t="s">
        <v>22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71"/>
      <c r="Q140" s="34"/>
    </row>
    <row r="141" spans="1:20" ht="15.75" x14ac:dyDescent="0.25">
      <c r="A141" s="3" t="s">
        <v>20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71"/>
      <c r="Q141" s="34"/>
    </row>
    <row r="142" spans="1:20" ht="15.75" x14ac:dyDescent="0.25">
      <c r="A142" s="3" t="s">
        <v>21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71"/>
      <c r="P142" s="29"/>
      <c r="Q142" s="34"/>
      <c r="T142" s="29"/>
    </row>
    <row r="143" spans="1:20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71"/>
      <c r="P143" s="31"/>
      <c r="Q143" s="34"/>
      <c r="T143" s="35"/>
    </row>
    <row r="144" spans="1:20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71"/>
      <c r="P144" s="30"/>
      <c r="Q144" s="34"/>
    </row>
    <row r="145" spans="1:2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71"/>
      <c r="Q145" s="34"/>
    </row>
    <row r="146" spans="1:21" ht="19.5" thickBot="1" x14ac:dyDescent="0.35">
      <c r="A146" s="339" t="s">
        <v>6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71"/>
      <c r="P146" s="29"/>
      <c r="Q146" s="34"/>
      <c r="T146" s="36"/>
    </row>
    <row r="147" spans="1:21" ht="13.5" customHeight="1" thickTop="1" x14ac:dyDescent="0.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71"/>
      <c r="P147" s="31"/>
      <c r="T147" s="35"/>
    </row>
    <row r="148" spans="1:21" ht="18.75" x14ac:dyDescent="0.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71"/>
      <c r="P148" s="30"/>
    </row>
    <row r="149" spans="1:21" ht="15" x14ac:dyDescent="0.25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71"/>
    </row>
    <row r="150" spans="1:21" ht="15" x14ac:dyDescent="0.25">
      <c r="A150" s="1" t="s">
        <v>7</v>
      </c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71"/>
      <c r="P150" s="30"/>
      <c r="Q150" s="34"/>
    </row>
    <row r="151" spans="1:21" ht="15" x14ac:dyDescent="0.25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71"/>
      <c r="Q151" s="37" t="s">
        <v>156</v>
      </c>
      <c r="U151" s="37" t="s">
        <v>159</v>
      </c>
    </row>
    <row r="152" spans="1:21" ht="15" x14ac:dyDescent="0.25">
      <c r="A152" s="1" t="s">
        <v>8</v>
      </c>
      <c r="B152" s="4"/>
      <c r="C152" s="9" t="s">
        <v>1</v>
      </c>
      <c r="D152" s="37" t="s">
        <v>169</v>
      </c>
      <c r="E152" s="64"/>
      <c r="F152" s="4"/>
      <c r="G152" s="4"/>
      <c r="H152" s="4"/>
      <c r="I152" s="4"/>
      <c r="J152" s="4"/>
      <c r="K152" s="4"/>
      <c r="L152" s="4"/>
      <c r="M152" s="71"/>
      <c r="P152" s="29"/>
      <c r="Q152" s="48" t="s">
        <v>157</v>
      </c>
      <c r="T152" s="29"/>
      <c r="U152" s="48" t="s">
        <v>160</v>
      </c>
    </row>
    <row r="153" spans="1:21" ht="15" x14ac:dyDescent="0.25">
      <c r="A153" s="1" t="s">
        <v>9</v>
      </c>
      <c r="B153" s="4"/>
      <c r="C153" s="9" t="s">
        <v>1</v>
      </c>
      <c r="D153" s="48" t="s">
        <v>170</v>
      </c>
      <c r="E153" s="64"/>
      <c r="F153" s="4"/>
      <c r="G153" s="4"/>
      <c r="H153" s="4"/>
      <c r="I153" s="4"/>
      <c r="J153" s="4"/>
      <c r="K153" s="4"/>
      <c r="L153" s="4"/>
      <c r="M153" s="71"/>
      <c r="P153" s="31"/>
      <c r="Q153" s="1" t="s">
        <v>141</v>
      </c>
      <c r="T153" s="31"/>
      <c r="U153" s="1" t="s">
        <v>141</v>
      </c>
    </row>
    <row r="154" spans="1:21" ht="15" x14ac:dyDescent="0.25">
      <c r="A154" s="1" t="s">
        <v>10</v>
      </c>
      <c r="B154" s="4"/>
      <c r="C154" s="9" t="s">
        <v>1</v>
      </c>
      <c r="D154" s="1" t="s">
        <v>141</v>
      </c>
      <c r="E154" s="64"/>
      <c r="F154" s="4"/>
      <c r="G154" s="4"/>
      <c r="H154" s="4"/>
      <c r="I154" s="4"/>
      <c r="J154" s="4"/>
      <c r="K154" s="4"/>
      <c r="L154" s="4"/>
      <c r="M154" s="71"/>
      <c r="Q154" s="34"/>
      <c r="T154" s="30"/>
      <c r="U154" s="34"/>
    </row>
    <row r="155" spans="1:21" ht="12.75" customHeight="1" x14ac:dyDescent="0.25">
      <c r="A155" s="1"/>
      <c r="B155" s="1"/>
      <c r="C155" s="4"/>
      <c r="D155" s="1"/>
      <c r="E155" s="4"/>
      <c r="F155" s="4"/>
      <c r="G155" s="4"/>
      <c r="H155" s="4"/>
      <c r="I155" s="4"/>
      <c r="J155" s="4"/>
      <c r="K155" s="4"/>
      <c r="L155" s="4"/>
      <c r="M155" s="71"/>
      <c r="Q155" s="34"/>
    </row>
    <row r="156" spans="1:21" ht="48" customHeight="1" x14ac:dyDescent="0.2">
      <c r="A156" s="280" t="s">
        <v>142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71"/>
      <c r="P156" s="29"/>
      <c r="Q156" s="34"/>
      <c r="T156" s="29"/>
      <c r="U156" s="30"/>
    </row>
    <row r="157" spans="1:21" ht="15" x14ac:dyDescent="0.25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71"/>
      <c r="P157" s="31"/>
      <c r="Q157" s="34"/>
      <c r="T157" s="31"/>
      <c r="U157" s="30"/>
    </row>
    <row r="158" spans="1:21" ht="40.5" customHeight="1" thickBot="1" x14ac:dyDescent="0.25">
      <c r="A158" s="10" t="s">
        <v>0</v>
      </c>
      <c r="B158" s="337" t="s">
        <v>91</v>
      </c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71"/>
      <c r="N158" s="25"/>
      <c r="O158" s="25"/>
      <c r="P158" s="25"/>
      <c r="Q158" s="25"/>
      <c r="R158" s="25"/>
      <c r="T158" s="30"/>
    </row>
    <row r="159" spans="1:21" ht="15.75" thickTop="1" x14ac:dyDescent="0.25">
      <c r="A159" s="1"/>
      <c r="B159" s="11" t="s">
        <v>3</v>
      </c>
      <c r="C159" s="12" t="s">
        <v>4</v>
      </c>
      <c r="D159" s="13"/>
      <c r="E159" s="13"/>
      <c r="F159" s="13"/>
      <c r="G159" s="13"/>
      <c r="H159" s="14"/>
      <c r="I159" s="15" t="s">
        <v>5</v>
      </c>
      <c r="J159" s="12" t="s">
        <v>17</v>
      </c>
      <c r="K159" s="13"/>
      <c r="L159" s="14"/>
      <c r="M159" s="71"/>
      <c r="N159" s="25"/>
      <c r="O159" s="25"/>
      <c r="P159" s="25"/>
      <c r="Q159" s="25"/>
      <c r="R159" s="25"/>
    </row>
    <row r="160" spans="1:21" ht="18.75" customHeight="1" x14ac:dyDescent="0.25">
      <c r="A160" s="1"/>
      <c r="B160" s="60" t="s">
        <v>16</v>
      </c>
      <c r="C160" s="4" t="s">
        <v>158</v>
      </c>
      <c r="D160" s="4"/>
      <c r="E160" s="4"/>
      <c r="F160" s="4"/>
      <c r="G160" s="4"/>
      <c r="H160" s="17"/>
      <c r="I160" s="93">
        <v>128000</v>
      </c>
      <c r="J160" s="92"/>
      <c r="K160" s="4"/>
      <c r="L160" s="17"/>
      <c r="M160" s="71"/>
      <c r="N160" s="25"/>
      <c r="O160" s="25"/>
      <c r="P160" s="25"/>
      <c r="Q160" s="25"/>
      <c r="R160" s="25"/>
    </row>
    <row r="161" spans="1:21" ht="18.75" customHeight="1" x14ac:dyDescent="0.2">
      <c r="A161" s="50"/>
      <c r="B161" s="60"/>
      <c r="C161" s="50" t="s">
        <v>146</v>
      </c>
      <c r="D161" s="50"/>
      <c r="E161" s="50"/>
      <c r="F161" s="50"/>
      <c r="G161" s="54"/>
      <c r="H161" s="55"/>
      <c r="I161" s="56">
        <v>90000</v>
      </c>
      <c r="J161" s="50"/>
      <c r="K161" s="50"/>
      <c r="L161" s="55"/>
      <c r="M161" s="71"/>
      <c r="N161" s="25"/>
      <c r="O161" s="25"/>
      <c r="P161" s="33"/>
      <c r="Q161" s="25"/>
      <c r="R161" s="25"/>
      <c r="T161" s="29"/>
      <c r="U161" s="30"/>
    </row>
    <row r="162" spans="1:21" x14ac:dyDescent="0.2">
      <c r="A162" s="76"/>
      <c r="B162" s="77"/>
      <c r="C162" s="76" t="s">
        <v>138</v>
      </c>
      <c r="D162" s="76"/>
      <c r="E162" s="76"/>
      <c r="F162" s="76"/>
      <c r="G162" s="78"/>
      <c r="H162" s="79"/>
      <c r="I162" s="80">
        <f>256000*2</f>
        <v>512000</v>
      </c>
      <c r="J162" s="76"/>
      <c r="K162" s="76"/>
      <c r="L162" s="79"/>
      <c r="M162" s="71"/>
      <c r="N162" s="25"/>
      <c r="O162" s="25"/>
      <c r="P162" s="27"/>
      <c r="Q162" s="25"/>
      <c r="R162" s="25"/>
      <c r="T162" s="31"/>
      <c r="U162" s="30"/>
    </row>
    <row r="163" spans="1:21" x14ac:dyDescent="0.2">
      <c r="A163" s="4"/>
      <c r="B163" s="16"/>
      <c r="C163" s="4"/>
      <c r="D163" s="4"/>
      <c r="E163" s="4"/>
      <c r="F163" s="4"/>
      <c r="G163" s="4"/>
      <c r="H163" s="17"/>
      <c r="I163" s="19"/>
      <c r="J163" s="4"/>
      <c r="K163" s="4"/>
      <c r="L163" s="17"/>
      <c r="M163" s="71"/>
      <c r="N163" s="26"/>
      <c r="O163" s="25"/>
      <c r="P163" s="25"/>
      <c r="Q163" s="26"/>
      <c r="R163" s="25"/>
      <c r="T163" s="30"/>
    </row>
    <row r="164" spans="1:21" x14ac:dyDescent="0.2">
      <c r="A164" s="4"/>
      <c r="B164" s="16"/>
      <c r="C164" s="4"/>
      <c r="D164" s="4"/>
      <c r="E164" s="4"/>
      <c r="F164" s="4"/>
      <c r="G164" s="4"/>
      <c r="H164" s="17"/>
      <c r="I164" s="19"/>
      <c r="J164" s="4"/>
      <c r="K164" s="4"/>
      <c r="L164" s="17"/>
      <c r="M164" s="71"/>
      <c r="N164" s="28"/>
      <c r="O164" s="25"/>
      <c r="P164" s="25"/>
      <c r="Q164" s="25"/>
      <c r="R164" s="25"/>
    </row>
    <row r="165" spans="1:21" x14ac:dyDescent="0.2">
      <c r="A165" s="4"/>
      <c r="B165" s="20"/>
      <c r="C165" s="21"/>
      <c r="D165" s="21"/>
      <c r="E165" s="21"/>
      <c r="F165" s="21"/>
      <c r="G165" s="21"/>
      <c r="H165" s="22"/>
      <c r="I165" s="23"/>
      <c r="J165" s="21"/>
      <c r="K165" s="21"/>
      <c r="L165" s="22"/>
      <c r="M165" s="71"/>
      <c r="N165" s="28"/>
      <c r="O165" s="25"/>
      <c r="P165" s="25"/>
      <c r="Q165" s="25"/>
      <c r="R165" s="25"/>
    </row>
    <row r="166" spans="1:21" ht="15" x14ac:dyDescent="0.25">
      <c r="A166" s="1"/>
      <c r="B166" s="39"/>
      <c r="C166" s="1"/>
      <c r="D166" s="1"/>
      <c r="E166" s="1"/>
      <c r="F166" s="40" t="s">
        <v>5</v>
      </c>
      <c r="G166" s="40"/>
      <c r="H166" s="1"/>
      <c r="I166" s="41">
        <f>SUM(I160:I165)</f>
        <v>730000</v>
      </c>
      <c r="J166" s="1"/>
      <c r="K166" s="1"/>
      <c r="L166" s="42"/>
      <c r="M166" s="71"/>
      <c r="N166" s="28"/>
      <c r="O166" s="25"/>
      <c r="P166" s="25"/>
      <c r="Q166" s="25"/>
      <c r="R166" s="25"/>
    </row>
    <row r="167" spans="1:21" ht="15.75" thickBot="1" x14ac:dyDescent="0.3">
      <c r="A167" s="1"/>
      <c r="B167" s="43"/>
      <c r="C167" s="44"/>
      <c r="D167" s="44"/>
      <c r="E167" s="44"/>
      <c r="F167" s="45"/>
      <c r="G167" s="45"/>
      <c r="H167" s="44"/>
      <c r="I167" s="46"/>
      <c r="J167" s="44"/>
      <c r="K167" s="44"/>
      <c r="L167" s="47"/>
      <c r="M167" s="71"/>
      <c r="N167" s="28"/>
      <c r="O167" s="25"/>
      <c r="P167" s="25"/>
      <c r="Q167" s="25"/>
      <c r="R167" s="25"/>
    </row>
    <row r="168" spans="1:21" ht="15.75" thickTop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71"/>
      <c r="N168" s="28"/>
      <c r="O168" s="25"/>
      <c r="P168" s="25"/>
      <c r="Q168" s="25"/>
      <c r="R168" s="25"/>
    </row>
    <row r="169" spans="1:21" ht="49.5" customHeight="1" x14ac:dyDescent="0.2">
      <c r="A169" s="10" t="s">
        <v>2</v>
      </c>
      <c r="B169" s="279" t="s">
        <v>11</v>
      </c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71"/>
      <c r="N169" s="28"/>
      <c r="O169" s="25"/>
      <c r="P169" s="25"/>
      <c r="Q169" s="25"/>
      <c r="R169" s="25"/>
    </row>
    <row r="170" spans="1:21" ht="20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71"/>
      <c r="N170" s="28"/>
      <c r="O170" s="25"/>
      <c r="P170" s="25"/>
      <c r="Q170" s="25"/>
      <c r="R170" s="25"/>
    </row>
    <row r="171" spans="1:21" ht="21.75" customHeight="1" x14ac:dyDescent="0.2">
      <c r="A171" s="280" t="s">
        <v>12</v>
      </c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71"/>
      <c r="N171" s="28"/>
      <c r="O171" s="25"/>
      <c r="P171" s="25"/>
      <c r="Q171" s="25"/>
      <c r="R171" s="25"/>
    </row>
    <row r="172" spans="1:21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71"/>
      <c r="N172" s="28"/>
      <c r="O172" s="25"/>
      <c r="P172" s="25"/>
      <c r="Q172" s="25"/>
      <c r="R172" s="25"/>
    </row>
    <row r="173" spans="1:21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71"/>
    </row>
    <row r="174" spans="1:21" ht="15" x14ac:dyDescent="0.25">
      <c r="A174" s="1"/>
      <c r="B174" s="1"/>
      <c r="C174" s="1"/>
      <c r="D174" s="1"/>
      <c r="E174" s="1"/>
      <c r="F174" s="1"/>
      <c r="G174" s="1"/>
      <c r="H174" s="1" t="s">
        <v>136</v>
      </c>
      <c r="I174" s="1"/>
      <c r="J174" s="1"/>
      <c r="K174" s="1"/>
      <c r="L174" s="1"/>
      <c r="M174" s="71"/>
    </row>
    <row r="175" spans="1:21" ht="15" x14ac:dyDescent="0.25">
      <c r="A175" s="1"/>
      <c r="B175" s="1" t="s">
        <v>15</v>
      </c>
      <c r="C175" s="1"/>
      <c r="D175" s="1"/>
      <c r="E175" s="1"/>
      <c r="F175" s="1"/>
      <c r="G175" s="1"/>
      <c r="H175" s="1" t="s">
        <v>13</v>
      </c>
      <c r="I175" s="1"/>
      <c r="J175" s="1"/>
      <c r="K175" s="1"/>
      <c r="L175" s="1"/>
      <c r="M175" s="71"/>
    </row>
    <row r="176" spans="1:21" ht="15" x14ac:dyDescent="0.25">
      <c r="A176" s="1"/>
      <c r="B176" s="1" t="s">
        <v>18</v>
      </c>
      <c r="C176" s="1"/>
      <c r="D176" s="1"/>
      <c r="E176" s="1"/>
      <c r="F176" s="1"/>
      <c r="G176" s="1"/>
      <c r="H176" s="1" t="s">
        <v>14</v>
      </c>
      <c r="I176" s="1"/>
      <c r="J176" s="1"/>
      <c r="K176" s="1"/>
      <c r="L176" s="1"/>
      <c r="M176" s="7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71"/>
    </row>
    <row r="178" spans="1:20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71"/>
    </row>
    <row r="179" spans="1:20" ht="8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71"/>
      <c r="P179" s="29"/>
      <c r="Q179" s="30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71"/>
      <c r="P180" s="29"/>
      <c r="Q180" s="30"/>
    </row>
    <row r="181" spans="1:20" ht="15" x14ac:dyDescent="0.25">
      <c r="A181" s="1"/>
      <c r="B181" s="37" t="s">
        <v>77</v>
      </c>
      <c r="C181" s="1"/>
      <c r="D181" s="1"/>
      <c r="E181" s="1"/>
      <c r="F181" s="1"/>
      <c r="G181" s="1"/>
      <c r="H181" s="37" t="str">
        <f>D152</f>
        <v>Lidya Sari Simanjuntak, SKM</v>
      </c>
      <c r="I181" s="1"/>
      <c r="J181" s="1"/>
      <c r="K181" s="1"/>
      <c r="L181" s="1"/>
      <c r="M181" s="71"/>
      <c r="P181" s="31"/>
      <c r="Q181" s="30"/>
    </row>
    <row r="182" spans="1:20" ht="15" x14ac:dyDescent="0.25">
      <c r="A182" s="1"/>
      <c r="B182" s="48" t="s">
        <v>27</v>
      </c>
      <c r="C182" s="7"/>
      <c r="D182" s="1"/>
      <c r="E182" s="1"/>
      <c r="F182" s="1"/>
      <c r="G182" s="1"/>
      <c r="H182" s="1" t="str">
        <f>D153</f>
        <v>NIP. 19960229 201903 2 002</v>
      </c>
      <c r="I182" s="1"/>
      <c r="J182" s="1"/>
      <c r="K182" s="1"/>
      <c r="L182" s="1"/>
      <c r="M182" s="71"/>
      <c r="Q182" s="30"/>
    </row>
    <row r="183" spans="1:20" ht="8.25" customHeight="1" x14ac:dyDescent="0.2">
      <c r="M183" s="71"/>
      <c r="P183" s="32"/>
      <c r="Q183" s="30"/>
    </row>
    <row r="184" spans="1:20" ht="14.25" x14ac:dyDescent="0.2">
      <c r="M184" s="71"/>
      <c r="P184" s="32"/>
      <c r="Q184" s="30"/>
    </row>
    <row r="185" spans="1:20" x14ac:dyDescent="0.2">
      <c r="M185" s="71"/>
      <c r="P185" s="29"/>
      <c r="Q185" s="30"/>
    </row>
    <row r="186" spans="1:20" ht="15" x14ac:dyDescent="0.25">
      <c r="A186" s="1"/>
      <c r="B186" s="48"/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71"/>
      <c r="P186" s="31"/>
      <c r="Q186" s="30"/>
    </row>
    <row r="187" spans="1:20" x14ac:dyDescent="0.2">
      <c r="P187" s="30"/>
      <c r="Q187" s="30"/>
    </row>
    <row r="188" spans="1:20" s="51" customFormat="1" x14ac:dyDescent="0.2">
      <c r="M188"/>
      <c r="P188" s="53"/>
      <c r="Q188" s="53"/>
    </row>
    <row r="189" spans="1:20" x14ac:dyDescent="0.2">
      <c r="P189" s="30"/>
      <c r="Q189" s="30"/>
    </row>
    <row r="190" spans="1:20" ht="15.75" x14ac:dyDescent="0.25">
      <c r="A190" s="3" t="s">
        <v>22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P190" s="29"/>
      <c r="Q190" s="30"/>
      <c r="T190" s="29"/>
    </row>
    <row r="191" spans="1:20" ht="15.75" x14ac:dyDescent="0.25">
      <c r="A191" s="3" t="s">
        <v>20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P191" s="31"/>
      <c r="Q191" s="34"/>
      <c r="T191" s="35"/>
    </row>
    <row r="192" spans="1:20" ht="15.75" x14ac:dyDescent="0.25">
      <c r="A192" s="3" t="s">
        <v>21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Q192" s="34"/>
    </row>
    <row r="193" spans="1:2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Q193" s="34"/>
    </row>
    <row r="194" spans="1:2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Q194" s="34"/>
    </row>
    <row r="195" spans="1:2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P195" s="29"/>
      <c r="Q195" s="34"/>
      <c r="T195" s="29"/>
    </row>
    <row r="196" spans="1:21" ht="19.5" thickBot="1" x14ac:dyDescent="0.35">
      <c r="A196" s="339" t="s">
        <v>6</v>
      </c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P196" s="31"/>
      <c r="Q196" s="34"/>
      <c r="T196" s="35"/>
    </row>
    <row r="197" spans="1:21" ht="19.5" thickTop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P197" s="30"/>
      <c r="Q197" s="34"/>
    </row>
    <row r="198" spans="1:21" ht="18.75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Q198" s="34"/>
    </row>
    <row r="199" spans="1:21" ht="15" x14ac:dyDescent="0.25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P199" s="29"/>
      <c r="Q199" s="34"/>
      <c r="T199" s="36"/>
    </row>
    <row r="200" spans="1:21" ht="15" x14ac:dyDescent="0.25">
      <c r="A200" s="1" t="s">
        <v>7</v>
      </c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P200" s="31"/>
      <c r="T200" s="35"/>
    </row>
    <row r="201" spans="1:21" ht="15" x14ac:dyDescent="0.25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P201" s="37" t="s">
        <v>161</v>
      </c>
    </row>
    <row r="202" spans="1:21" ht="15" x14ac:dyDescent="0.25">
      <c r="A202" s="1" t="s">
        <v>8</v>
      </c>
      <c r="B202" s="4"/>
      <c r="C202" s="9" t="s">
        <v>1</v>
      </c>
      <c r="D202" s="37" t="s">
        <v>164</v>
      </c>
      <c r="E202" s="64"/>
      <c r="F202" s="4"/>
      <c r="G202" s="4"/>
      <c r="H202" s="4"/>
      <c r="I202" s="4"/>
      <c r="J202" s="4"/>
      <c r="K202" s="4"/>
      <c r="L202" s="4"/>
      <c r="P202" s="48" t="s">
        <v>162</v>
      </c>
    </row>
    <row r="203" spans="1:21" ht="15" x14ac:dyDescent="0.25">
      <c r="A203" s="1" t="s">
        <v>9</v>
      </c>
      <c r="B203" s="4"/>
      <c r="C203" s="9" t="s">
        <v>1</v>
      </c>
      <c r="D203" s="48" t="s">
        <v>165</v>
      </c>
      <c r="E203" s="64"/>
      <c r="F203" s="4"/>
      <c r="G203" s="4"/>
      <c r="H203" s="4"/>
      <c r="I203" s="4"/>
      <c r="J203" s="4"/>
      <c r="K203" s="4"/>
      <c r="L203" s="4"/>
      <c r="P203" s="1" t="s">
        <v>141</v>
      </c>
      <c r="Q203" s="34"/>
    </row>
    <row r="204" spans="1:21" ht="15" x14ac:dyDescent="0.25">
      <c r="A204" s="1" t="s">
        <v>10</v>
      </c>
      <c r="B204" s="4"/>
      <c r="C204" s="9" t="s">
        <v>1</v>
      </c>
      <c r="D204" s="1" t="s">
        <v>141</v>
      </c>
      <c r="E204" s="64"/>
      <c r="F204" s="4"/>
      <c r="G204" s="4"/>
      <c r="H204" s="4"/>
      <c r="I204" s="4"/>
      <c r="J204" s="4"/>
      <c r="K204" s="4"/>
      <c r="L204" s="4"/>
      <c r="Q204" s="34"/>
    </row>
    <row r="205" spans="1:21" ht="15" x14ac:dyDescent="0.25">
      <c r="A205" s="1"/>
      <c r="B205" s="1"/>
      <c r="C205" s="4"/>
      <c r="D205" s="1"/>
      <c r="E205" s="4"/>
      <c r="F205" s="4"/>
      <c r="G205" s="4"/>
      <c r="H205" s="4"/>
      <c r="I205" s="4"/>
      <c r="J205" s="4"/>
      <c r="K205" s="4"/>
      <c r="L205" s="4"/>
      <c r="P205" s="29"/>
      <c r="Q205" s="34"/>
      <c r="T205" s="29"/>
      <c r="U205" s="34"/>
    </row>
    <row r="206" spans="1:21" ht="33.75" customHeight="1" x14ac:dyDescent="0.2">
      <c r="A206" s="280" t="s">
        <v>142</v>
      </c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P206" s="31"/>
      <c r="Q206" s="34"/>
      <c r="T206" s="31"/>
      <c r="U206" s="34"/>
    </row>
    <row r="207" spans="1:21" ht="15" x14ac:dyDescent="0.25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Q207" s="34"/>
      <c r="T207" s="30"/>
      <c r="U207" s="34"/>
    </row>
    <row r="208" spans="1:21" ht="39" customHeight="1" thickBot="1" x14ac:dyDescent="0.25">
      <c r="A208" s="10" t="s">
        <v>0</v>
      </c>
      <c r="B208" s="337" t="s">
        <v>91</v>
      </c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Q208" s="34"/>
    </row>
    <row r="209" spans="1:21" ht="17.25" customHeight="1" thickTop="1" x14ac:dyDescent="0.25">
      <c r="A209" s="1"/>
      <c r="B209" s="11" t="s">
        <v>3</v>
      </c>
      <c r="C209" s="12" t="s">
        <v>4</v>
      </c>
      <c r="D209" s="13"/>
      <c r="E209" s="13"/>
      <c r="F209" s="13"/>
      <c r="G209" s="13"/>
      <c r="H209" s="14"/>
      <c r="I209" s="15" t="s">
        <v>5</v>
      </c>
      <c r="J209" s="12" t="s">
        <v>17</v>
      </c>
      <c r="K209" s="13"/>
      <c r="L209" s="14"/>
      <c r="P209" s="29"/>
      <c r="Q209" s="34"/>
      <c r="T209" s="29"/>
      <c r="U209" s="30"/>
    </row>
    <row r="210" spans="1:21" ht="15.75" customHeight="1" x14ac:dyDescent="0.25">
      <c r="A210" s="1"/>
      <c r="B210" s="60" t="s">
        <v>16</v>
      </c>
      <c r="C210" s="4" t="s">
        <v>163</v>
      </c>
      <c r="D210" s="4"/>
      <c r="E210" s="4"/>
      <c r="F210" s="4"/>
      <c r="G210" s="4"/>
      <c r="H210" s="17"/>
      <c r="I210" s="93">
        <v>109000</v>
      </c>
      <c r="J210" s="92"/>
      <c r="K210" s="4"/>
      <c r="L210" s="17"/>
      <c r="P210" s="31"/>
      <c r="Q210" s="34"/>
      <c r="T210" s="31"/>
      <c r="U210" s="30"/>
    </row>
    <row r="211" spans="1:21" ht="15.75" customHeight="1" x14ac:dyDescent="0.2">
      <c r="A211" s="50"/>
      <c r="B211" s="60"/>
      <c r="C211" s="50" t="s">
        <v>146</v>
      </c>
      <c r="D211" s="50"/>
      <c r="E211" s="50"/>
      <c r="F211" s="50"/>
      <c r="G211" s="54"/>
      <c r="H211" s="55"/>
      <c r="I211" s="56">
        <v>90000</v>
      </c>
      <c r="J211" s="50"/>
      <c r="K211" s="50"/>
      <c r="L211" s="55"/>
      <c r="N211" s="25"/>
      <c r="O211" s="25"/>
      <c r="P211" s="25"/>
      <c r="Q211" s="25"/>
      <c r="R211" s="25"/>
      <c r="T211" s="30"/>
    </row>
    <row r="212" spans="1:21" ht="15.75" customHeight="1" x14ac:dyDescent="0.2">
      <c r="A212" s="76"/>
      <c r="B212" s="77"/>
      <c r="C212" s="76" t="s">
        <v>138</v>
      </c>
      <c r="D212" s="76"/>
      <c r="E212" s="76"/>
      <c r="F212" s="76"/>
      <c r="G212" s="78"/>
      <c r="H212" s="79"/>
      <c r="I212" s="80">
        <f>256000*2</f>
        <v>512000</v>
      </c>
      <c r="J212" s="76"/>
      <c r="K212" s="76"/>
      <c r="L212" s="79"/>
      <c r="N212" s="25"/>
      <c r="O212" s="25"/>
      <c r="P212" s="25"/>
      <c r="Q212" s="25"/>
      <c r="R212" s="25"/>
    </row>
    <row r="213" spans="1:21" ht="7.5" customHeight="1" x14ac:dyDescent="0.2">
      <c r="A213" s="4"/>
      <c r="B213" s="16"/>
      <c r="C213" s="4"/>
      <c r="D213" s="4"/>
      <c r="E213" s="4"/>
      <c r="F213" s="4"/>
      <c r="G213" s="4"/>
      <c r="H213" s="17"/>
      <c r="I213" s="19"/>
      <c r="J213" s="4"/>
      <c r="K213" s="4"/>
      <c r="L213" s="17"/>
      <c r="N213" s="25"/>
      <c r="O213" s="25"/>
      <c r="P213" s="25"/>
      <c r="Q213" s="25"/>
      <c r="R213" s="25"/>
    </row>
    <row r="214" spans="1:21" x14ac:dyDescent="0.2">
      <c r="A214" s="4"/>
      <c r="B214" s="16"/>
      <c r="C214" s="4"/>
      <c r="D214" s="4"/>
      <c r="E214" s="4"/>
      <c r="F214" s="4"/>
      <c r="G214" s="4"/>
      <c r="H214" s="17"/>
      <c r="I214" s="19"/>
      <c r="J214" s="4"/>
      <c r="K214" s="4"/>
      <c r="L214" s="17"/>
      <c r="N214" s="25"/>
      <c r="O214" s="25"/>
      <c r="P214" s="33"/>
      <c r="Q214" s="25"/>
      <c r="R214" s="25"/>
      <c r="T214" s="29"/>
      <c r="U214" s="30"/>
    </row>
    <row r="215" spans="1:21" x14ac:dyDescent="0.2">
      <c r="A215" s="4"/>
      <c r="B215" s="20"/>
      <c r="C215" s="21"/>
      <c r="D215" s="21"/>
      <c r="E215" s="21"/>
      <c r="F215" s="21"/>
      <c r="G215" s="21"/>
      <c r="H215" s="22"/>
      <c r="I215" s="23"/>
      <c r="J215" s="21"/>
      <c r="K215" s="21"/>
      <c r="L215" s="22"/>
      <c r="N215" s="25"/>
      <c r="O215" s="25"/>
      <c r="P215" s="27"/>
      <c r="Q215" s="25"/>
      <c r="R215" s="25"/>
      <c r="T215" s="31"/>
      <c r="U215" s="30"/>
    </row>
    <row r="216" spans="1:21" ht="15" x14ac:dyDescent="0.25">
      <c r="A216" s="1"/>
      <c r="B216" s="39"/>
      <c r="C216" s="1"/>
      <c r="D216" s="1"/>
      <c r="E216" s="1"/>
      <c r="F216" s="40" t="s">
        <v>5</v>
      </c>
      <c r="G216" s="40"/>
      <c r="H216" s="1"/>
      <c r="I216" s="41">
        <f>SUM(I210:I215)</f>
        <v>711000</v>
      </c>
      <c r="J216" s="1"/>
      <c r="K216" s="1"/>
      <c r="L216" s="42"/>
      <c r="N216" s="26"/>
      <c r="O216" s="25"/>
      <c r="P216" s="25"/>
      <c r="Q216" s="26"/>
      <c r="R216" s="25"/>
      <c r="T216" s="30"/>
    </row>
    <row r="217" spans="1:21" ht="18" customHeight="1" thickBot="1" x14ac:dyDescent="0.3">
      <c r="A217" s="1"/>
      <c r="B217" s="43"/>
      <c r="C217" s="44"/>
      <c r="D217" s="44"/>
      <c r="E217" s="44"/>
      <c r="F217" s="45"/>
      <c r="G217" s="45"/>
      <c r="H217" s="44"/>
      <c r="I217" s="46"/>
      <c r="J217" s="44"/>
      <c r="K217" s="44"/>
      <c r="L217" s="47"/>
      <c r="N217" s="28"/>
      <c r="O217" s="25"/>
      <c r="P217" s="25"/>
      <c r="Q217" s="25"/>
      <c r="R217" s="25"/>
    </row>
    <row r="218" spans="1:21" ht="15.75" thickTop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N218" s="28"/>
      <c r="O218" s="25"/>
      <c r="P218" s="25"/>
      <c r="Q218" s="25"/>
      <c r="R218" s="25"/>
    </row>
    <row r="219" spans="1:21" ht="48" customHeight="1" x14ac:dyDescent="0.2">
      <c r="A219" s="10" t="s">
        <v>2</v>
      </c>
      <c r="B219" s="279" t="s">
        <v>11</v>
      </c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N219" s="28"/>
      <c r="O219" s="25"/>
      <c r="P219" s="25"/>
      <c r="Q219" s="25"/>
      <c r="R219" s="25"/>
    </row>
    <row r="220" spans="1:21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N220" s="28"/>
      <c r="O220" s="25"/>
      <c r="P220" s="25"/>
      <c r="Q220" s="25"/>
      <c r="R220" s="25"/>
    </row>
    <row r="221" spans="1:21" ht="21" customHeight="1" x14ac:dyDescent="0.2">
      <c r="A221" s="280" t="s">
        <v>12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N221" s="28"/>
      <c r="O221" s="25"/>
      <c r="P221" s="25"/>
      <c r="Q221" s="25"/>
      <c r="R221" s="25"/>
    </row>
    <row r="222" spans="1:21" ht="16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N222" s="28"/>
      <c r="O222" s="25"/>
      <c r="P222" s="25"/>
      <c r="Q222" s="25"/>
      <c r="R222" s="25"/>
    </row>
    <row r="223" spans="1:21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N223" s="28"/>
      <c r="O223" s="25"/>
      <c r="P223" s="25"/>
      <c r="Q223" s="25"/>
      <c r="R223" s="25"/>
    </row>
    <row r="224" spans="1:21" ht="15" x14ac:dyDescent="0.25">
      <c r="A224" s="1"/>
      <c r="B224" s="1"/>
      <c r="C224" s="1"/>
      <c r="D224" s="1"/>
      <c r="E224" s="1"/>
      <c r="F224" s="1"/>
      <c r="G224" s="1"/>
      <c r="H224" s="1" t="s">
        <v>136</v>
      </c>
      <c r="I224" s="1"/>
      <c r="J224" s="1"/>
      <c r="K224" s="1"/>
      <c r="L224" s="1"/>
      <c r="N224" s="28"/>
      <c r="O224" s="25"/>
      <c r="P224" s="25"/>
      <c r="Q224" s="25"/>
      <c r="R224" s="25"/>
    </row>
    <row r="225" spans="1:18" ht="15" x14ac:dyDescent="0.25">
      <c r="A225" s="1"/>
      <c r="B225" s="1" t="s">
        <v>15</v>
      </c>
      <c r="C225" s="1"/>
      <c r="D225" s="1"/>
      <c r="E225" s="1"/>
      <c r="F225" s="1"/>
      <c r="G225" s="1"/>
      <c r="H225" s="1" t="s">
        <v>13</v>
      </c>
      <c r="I225" s="1"/>
      <c r="J225" s="1"/>
      <c r="K225" s="1"/>
      <c r="L225" s="1"/>
      <c r="N225" s="28"/>
      <c r="O225" s="25"/>
      <c r="P225" s="25"/>
      <c r="Q225" s="25"/>
      <c r="R225" s="25"/>
    </row>
    <row r="226" spans="1:18" ht="15" x14ac:dyDescent="0.25">
      <c r="A226" s="1"/>
      <c r="B226" s="1" t="s">
        <v>18</v>
      </c>
      <c r="C226" s="1"/>
      <c r="D226" s="1"/>
      <c r="E226" s="1"/>
      <c r="F226" s="1"/>
      <c r="G226" s="1"/>
      <c r="H226" s="1" t="s">
        <v>14</v>
      </c>
      <c r="I226" s="1"/>
      <c r="J226" s="1"/>
      <c r="K226" s="1"/>
      <c r="L226" s="1"/>
      <c r="N226" s="28"/>
      <c r="O226" s="25"/>
      <c r="P226" s="25"/>
      <c r="Q226" s="25"/>
      <c r="R226" s="25"/>
    </row>
    <row r="227" spans="1:18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N227" s="28"/>
      <c r="O227" s="25"/>
      <c r="P227" s="25"/>
      <c r="Q227" s="25"/>
      <c r="R227" s="25"/>
    </row>
    <row r="228" spans="1:18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N228" s="28"/>
      <c r="O228" s="25"/>
      <c r="P228" s="25"/>
      <c r="Q228" s="25"/>
      <c r="R228" s="25"/>
    </row>
    <row r="229" spans="1:18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8"/>
      <c r="O229" s="25"/>
      <c r="P229" s="25"/>
      <c r="Q229" s="25"/>
      <c r="R229" s="25"/>
    </row>
    <row r="230" spans="1:18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8" ht="15" x14ac:dyDescent="0.25">
      <c r="A231" s="1"/>
      <c r="B231" s="37" t="s">
        <v>77</v>
      </c>
      <c r="C231" s="1"/>
      <c r="D231" s="1"/>
      <c r="E231" s="1"/>
      <c r="F231" s="1"/>
      <c r="G231" s="1"/>
      <c r="H231" s="37" t="str">
        <f>D202</f>
        <v>Pancareta Qadarsih, S.E.</v>
      </c>
      <c r="I231" s="1"/>
      <c r="J231" s="1"/>
      <c r="K231" s="1"/>
      <c r="L231" s="1"/>
    </row>
    <row r="232" spans="1:18" ht="15" x14ac:dyDescent="0.25">
      <c r="A232" s="1"/>
      <c r="B232" s="48" t="s">
        <v>27</v>
      </c>
      <c r="C232" s="7"/>
      <c r="D232" s="1"/>
      <c r="E232" s="1"/>
      <c r="F232" s="1"/>
      <c r="G232" s="1"/>
      <c r="H232" s="1" t="str">
        <f>D203</f>
        <v>NIP. 19950409 201903 2 007</v>
      </c>
      <c r="I232" s="1"/>
      <c r="J232" s="1"/>
      <c r="K232" s="1"/>
      <c r="L232" s="1"/>
    </row>
    <row r="233" spans="1:18" ht="15" x14ac:dyDescent="0.25">
      <c r="A233" s="1"/>
      <c r="B233" s="48"/>
      <c r="C233" s="7"/>
      <c r="D233" s="1"/>
      <c r="E233" s="1"/>
      <c r="F233" s="1"/>
      <c r="G233" s="1"/>
      <c r="H233" s="1"/>
      <c r="I233" s="1"/>
      <c r="J233" s="1"/>
      <c r="K233" s="1"/>
      <c r="L233" s="1"/>
    </row>
    <row r="234" spans="1:18" ht="15" x14ac:dyDescent="0.25">
      <c r="A234" s="1"/>
      <c r="B234" s="48"/>
      <c r="C234" s="7"/>
      <c r="D234" s="1"/>
      <c r="E234" s="1"/>
      <c r="F234" s="1"/>
      <c r="G234" s="1"/>
      <c r="H234" s="1"/>
      <c r="I234" s="1"/>
      <c r="J234" s="1"/>
      <c r="K234" s="1"/>
      <c r="L234" s="1"/>
    </row>
    <row r="235" spans="1:18" ht="15" x14ac:dyDescent="0.25">
      <c r="A235" s="1"/>
      <c r="B235" s="48"/>
      <c r="C235" s="7"/>
      <c r="D235" s="1"/>
      <c r="E235" s="1"/>
      <c r="F235" s="1"/>
      <c r="G235" s="1"/>
      <c r="H235" s="1"/>
      <c r="I235" s="1"/>
      <c r="J235" s="1"/>
      <c r="K235" s="1"/>
      <c r="L235" s="1"/>
    </row>
    <row r="236" spans="1:18" ht="15" x14ac:dyDescent="0.25">
      <c r="A236" s="1"/>
      <c r="B236" s="48"/>
      <c r="C236" s="7"/>
      <c r="D236" s="1"/>
      <c r="E236" s="1"/>
      <c r="F236" s="1"/>
      <c r="G236" s="1"/>
      <c r="H236" s="1"/>
      <c r="I236" s="1"/>
      <c r="J236" s="1"/>
      <c r="K236" s="1"/>
      <c r="L236" s="1"/>
    </row>
    <row r="237" spans="1:18" ht="15.75" x14ac:dyDescent="0.25">
      <c r="A237" s="3" t="s">
        <v>22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8" ht="15.75" x14ac:dyDescent="0.25">
      <c r="A238" s="3" t="s">
        <v>20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8" ht="15.75" x14ac:dyDescent="0.25">
      <c r="A239" s="3" t="s">
        <v>21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P239" s="29"/>
      <c r="Q239" s="30"/>
    </row>
    <row r="240" spans="1:18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P240" s="29"/>
      <c r="Q240" s="30"/>
    </row>
    <row r="241" spans="1:20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P241" s="29"/>
      <c r="Q241" s="30"/>
    </row>
    <row r="242" spans="1:20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P242" s="31"/>
      <c r="Q242" s="30"/>
    </row>
    <row r="243" spans="1:20" ht="19.5" thickBot="1" x14ac:dyDescent="0.35">
      <c r="A243" s="339" t="s">
        <v>6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Q243" s="30"/>
    </row>
    <row r="244" spans="1:20" ht="19.5" thickTop="1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P244" s="32"/>
      <c r="Q244" s="30"/>
    </row>
    <row r="245" spans="1:20" s="32" customFormat="1" ht="12" customHeight="1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/>
    </row>
    <row r="246" spans="1:20" ht="15" x14ac:dyDescent="0.25">
      <c r="A246" s="1"/>
      <c r="B246" s="1"/>
      <c r="C246" s="4"/>
      <c r="D246" s="4"/>
      <c r="E246" s="4"/>
      <c r="F246" s="4"/>
      <c r="G246" s="4"/>
      <c r="H246" s="4"/>
      <c r="I246" s="4"/>
      <c r="J246" s="4"/>
      <c r="K246" s="4"/>
      <c r="L246" s="4"/>
      <c r="P246" s="29"/>
      <c r="Q246" s="30"/>
    </row>
    <row r="247" spans="1:20" ht="15" x14ac:dyDescent="0.25">
      <c r="A247" s="1" t="s">
        <v>7</v>
      </c>
      <c r="B247" s="1"/>
      <c r="C247" s="4"/>
      <c r="D247" s="4"/>
      <c r="E247" s="4"/>
      <c r="F247" s="4"/>
      <c r="G247" s="4"/>
      <c r="H247" s="4"/>
      <c r="I247" s="4"/>
      <c r="J247" s="4"/>
      <c r="K247" s="4"/>
      <c r="L247" s="4"/>
      <c r="P247" s="31"/>
      <c r="Q247" s="30"/>
    </row>
    <row r="248" spans="1:20" ht="15" x14ac:dyDescent="0.25">
      <c r="A248" s="1"/>
      <c r="B248" s="1"/>
      <c r="C248" s="4"/>
      <c r="D248" s="4"/>
      <c r="E248" s="4"/>
      <c r="F248" s="4"/>
      <c r="G248" s="4"/>
      <c r="H248" s="4"/>
      <c r="I248" s="4"/>
      <c r="J248" s="4"/>
      <c r="K248" s="4"/>
      <c r="L248" s="4"/>
      <c r="P248" s="30"/>
      <c r="Q248" s="30"/>
    </row>
    <row r="249" spans="1:20" ht="15" x14ac:dyDescent="0.25">
      <c r="A249" s="1" t="s">
        <v>8</v>
      </c>
      <c r="B249" s="4"/>
      <c r="C249" s="9" t="s">
        <v>1</v>
      </c>
      <c r="D249" s="37" t="s">
        <v>167</v>
      </c>
      <c r="E249" s="64"/>
      <c r="F249" s="4"/>
      <c r="G249" s="4"/>
      <c r="H249" s="4"/>
      <c r="I249" s="4"/>
      <c r="J249" s="4"/>
      <c r="K249" s="4"/>
      <c r="L249" s="4"/>
      <c r="P249" s="30"/>
      <c r="Q249" s="30"/>
    </row>
    <row r="250" spans="1:20" ht="15" x14ac:dyDescent="0.25">
      <c r="A250" s="1" t="s">
        <v>9</v>
      </c>
      <c r="B250" s="4"/>
      <c r="C250" s="9" t="s">
        <v>1</v>
      </c>
      <c r="D250" s="48" t="s">
        <v>168</v>
      </c>
      <c r="E250" s="64"/>
      <c r="F250" s="4"/>
      <c r="G250" s="4"/>
      <c r="H250" s="4"/>
      <c r="I250" s="4"/>
      <c r="J250" s="4"/>
      <c r="K250" s="4"/>
      <c r="L250" s="4"/>
      <c r="P250" s="31"/>
      <c r="Q250" s="34"/>
      <c r="T250" s="35"/>
    </row>
    <row r="251" spans="1:20" ht="15" x14ac:dyDescent="0.25">
      <c r="A251" s="1" t="s">
        <v>10</v>
      </c>
      <c r="B251" s="4"/>
      <c r="C251" s="9" t="s">
        <v>1</v>
      </c>
      <c r="D251" s="1" t="s">
        <v>141</v>
      </c>
      <c r="E251" s="64"/>
      <c r="F251" s="4"/>
      <c r="G251" s="4"/>
      <c r="H251" s="4"/>
      <c r="I251" s="4"/>
      <c r="J251" s="4"/>
      <c r="K251" s="4"/>
      <c r="L251" s="4"/>
      <c r="Q251" s="34"/>
    </row>
    <row r="252" spans="1:20" ht="12.75" customHeight="1" x14ac:dyDescent="0.25">
      <c r="A252" s="1"/>
      <c r="B252" s="1"/>
      <c r="C252" s="4"/>
      <c r="D252" s="1"/>
      <c r="E252" s="4"/>
      <c r="F252" s="4"/>
      <c r="G252" s="4"/>
      <c r="H252" s="4"/>
      <c r="I252" s="4"/>
      <c r="J252" s="4"/>
      <c r="K252" s="4"/>
      <c r="L252" s="4"/>
      <c r="Q252" s="34"/>
    </row>
    <row r="253" spans="1:20" ht="39" customHeight="1" x14ac:dyDescent="0.2">
      <c r="A253" s="280" t="s">
        <v>142</v>
      </c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Q253" s="34"/>
    </row>
    <row r="254" spans="1:20" ht="15.75" customHeight="1" x14ac:dyDescent="0.25">
      <c r="A254" s="1"/>
      <c r="B254" s="1"/>
      <c r="C254" s="4"/>
      <c r="D254" s="4"/>
      <c r="E254" s="4"/>
      <c r="F254" s="4"/>
      <c r="G254" s="4"/>
      <c r="H254" s="4"/>
      <c r="I254" s="4"/>
      <c r="J254" s="4"/>
      <c r="K254" s="4"/>
      <c r="L254" s="4"/>
      <c r="P254" s="29"/>
      <c r="Q254" s="34"/>
      <c r="T254" s="29"/>
    </row>
    <row r="255" spans="1:20" ht="35.25" customHeight="1" thickBot="1" x14ac:dyDescent="0.25">
      <c r="A255" s="10" t="s">
        <v>0</v>
      </c>
      <c r="B255" s="337" t="s">
        <v>91</v>
      </c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P255" s="31"/>
      <c r="Q255" s="34"/>
      <c r="T255" s="35"/>
    </row>
    <row r="256" spans="1:20" ht="15.75" thickTop="1" x14ac:dyDescent="0.25">
      <c r="A256" s="1"/>
      <c r="B256" s="11" t="s">
        <v>3</v>
      </c>
      <c r="C256" s="12" t="s">
        <v>4</v>
      </c>
      <c r="D256" s="13"/>
      <c r="E256" s="13"/>
      <c r="F256" s="13"/>
      <c r="G256" s="13"/>
      <c r="H256" s="14"/>
      <c r="I256" s="15" t="s">
        <v>5</v>
      </c>
      <c r="J256" s="12" t="s">
        <v>17</v>
      </c>
      <c r="K256" s="13"/>
      <c r="L256" s="14"/>
      <c r="P256" s="30"/>
      <c r="Q256" s="34"/>
    </row>
    <row r="257" spans="1:21" ht="18.75" customHeight="1" x14ac:dyDescent="0.25">
      <c r="A257" s="1"/>
      <c r="B257" s="60" t="s">
        <v>16</v>
      </c>
      <c r="C257" s="4" t="s">
        <v>166</v>
      </c>
      <c r="D257" s="4"/>
      <c r="E257" s="4"/>
      <c r="F257" s="4"/>
      <c r="G257" s="4"/>
      <c r="H257" s="17"/>
      <c r="I257" s="93">
        <v>118000</v>
      </c>
      <c r="J257" s="92"/>
      <c r="K257" s="4"/>
      <c r="L257" s="17"/>
      <c r="Q257" s="34"/>
    </row>
    <row r="258" spans="1:21" ht="18.75" customHeight="1" x14ac:dyDescent="0.2">
      <c r="A258" s="50"/>
      <c r="B258" s="60"/>
      <c r="C258" s="50" t="s">
        <v>146</v>
      </c>
      <c r="D258" s="50"/>
      <c r="E258" s="50"/>
      <c r="F258" s="50"/>
      <c r="G258" s="54"/>
      <c r="H258" s="55"/>
      <c r="I258" s="56">
        <v>90000</v>
      </c>
      <c r="J258" s="50"/>
      <c r="K258" s="50"/>
      <c r="L258" s="55"/>
      <c r="P258" s="29"/>
      <c r="Q258" s="34"/>
      <c r="T258" s="36"/>
    </row>
    <row r="259" spans="1:21" x14ac:dyDescent="0.2">
      <c r="A259" s="76"/>
      <c r="B259" s="77"/>
      <c r="C259" s="76" t="s">
        <v>138</v>
      </c>
      <c r="D259" s="76"/>
      <c r="E259" s="76"/>
      <c r="F259" s="76"/>
      <c r="G259" s="78"/>
      <c r="H259" s="79"/>
      <c r="I259" s="80">
        <f>256000*2</f>
        <v>512000</v>
      </c>
      <c r="J259" s="76"/>
      <c r="K259" s="76"/>
      <c r="L259" s="79"/>
      <c r="P259" s="30"/>
      <c r="Q259" s="34"/>
    </row>
    <row r="260" spans="1:21" x14ac:dyDescent="0.2">
      <c r="A260" s="4"/>
      <c r="B260" s="16"/>
      <c r="C260" s="4"/>
      <c r="D260" s="4"/>
      <c r="E260" s="4"/>
      <c r="F260" s="4"/>
      <c r="G260" s="4"/>
      <c r="H260" s="17"/>
      <c r="I260" s="19"/>
      <c r="J260" s="4"/>
      <c r="K260" s="4"/>
      <c r="L260" s="17"/>
      <c r="Q260" s="34"/>
    </row>
    <row r="261" spans="1:21" x14ac:dyDescent="0.2">
      <c r="A261" s="4"/>
      <c r="B261" s="16"/>
      <c r="C261" s="4"/>
      <c r="D261" s="4"/>
      <c r="E261" s="4"/>
      <c r="F261" s="4"/>
      <c r="G261" s="4"/>
      <c r="H261" s="17"/>
      <c r="I261" s="19"/>
      <c r="J261" s="4"/>
      <c r="K261" s="4"/>
      <c r="L261" s="17"/>
      <c r="P261" s="29"/>
      <c r="Q261" s="34"/>
      <c r="T261" s="29"/>
      <c r="U261" s="34"/>
    </row>
    <row r="262" spans="1:21" x14ac:dyDescent="0.2">
      <c r="A262" s="4"/>
      <c r="B262" s="20"/>
      <c r="C262" s="21"/>
      <c r="D262" s="21"/>
      <c r="E262" s="21"/>
      <c r="F262" s="21"/>
      <c r="G262" s="21"/>
      <c r="H262" s="22"/>
      <c r="I262" s="23"/>
      <c r="J262" s="21"/>
      <c r="K262" s="21"/>
      <c r="L262" s="22"/>
      <c r="P262" s="31"/>
      <c r="Q262" s="34"/>
      <c r="T262" s="31"/>
      <c r="U262" s="34"/>
    </row>
    <row r="263" spans="1:21" ht="15" x14ac:dyDescent="0.25">
      <c r="A263" s="1"/>
      <c r="B263" s="39"/>
      <c r="C263" s="1"/>
      <c r="D263" s="1"/>
      <c r="E263" s="1"/>
      <c r="F263" s="40" t="s">
        <v>5</v>
      </c>
      <c r="G263" s="40"/>
      <c r="H263" s="1"/>
      <c r="I263" s="41">
        <f>SUM(I257:I262)</f>
        <v>720000</v>
      </c>
      <c r="J263" s="1"/>
      <c r="K263" s="1"/>
      <c r="L263" s="42"/>
      <c r="Q263" s="34"/>
      <c r="T263" s="30"/>
      <c r="U263" s="34"/>
    </row>
    <row r="264" spans="1:21" ht="15.75" thickBot="1" x14ac:dyDescent="0.3">
      <c r="A264" s="1"/>
      <c r="B264" s="43"/>
      <c r="C264" s="44"/>
      <c r="D264" s="44"/>
      <c r="E264" s="44"/>
      <c r="F264" s="45"/>
      <c r="G264" s="45"/>
      <c r="H264" s="44"/>
      <c r="I264" s="46"/>
      <c r="J264" s="44"/>
      <c r="K264" s="44"/>
      <c r="L264" s="47"/>
      <c r="Q264" s="34"/>
    </row>
    <row r="265" spans="1:21" ht="15" customHeight="1" thickTop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P265" s="29"/>
      <c r="Q265" s="34"/>
      <c r="T265" s="29"/>
      <c r="U265" s="30"/>
    </row>
    <row r="266" spans="1:21" ht="50.25" customHeight="1" x14ac:dyDescent="0.2">
      <c r="A266" s="10" t="s">
        <v>2</v>
      </c>
      <c r="B266" s="279" t="s">
        <v>11</v>
      </c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P266" s="31"/>
      <c r="Q266" s="34"/>
      <c r="T266" s="31"/>
      <c r="U266" s="30"/>
    </row>
    <row r="267" spans="1:21" ht="16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5"/>
      <c r="O267" s="25"/>
      <c r="P267" s="25"/>
      <c r="Q267" s="25"/>
      <c r="R267" s="25"/>
      <c r="T267" s="30"/>
    </row>
    <row r="268" spans="1:21" ht="15" customHeight="1" x14ac:dyDescent="0.2">
      <c r="A268" s="280" t="s">
        <v>12</v>
      </c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N268" s="25"/>
      <c r="O268" s="25"/>
      <c r="P268" s="25"/>
      <c r="Q268" s="25"/>
      <c r="R268" s="25"/>
    </row>
    <row r="269" spans="1:21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N269" s="25"/>
      <c r="O269" s="25"/>
      <c r="P269" s="25"/>
      <c r="Q269" s="25"/>
      <c r="R269" s="25"/>
    </row>
    <row r="270" spans="1:21" ht="9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N270" s="25"/>
      <c r="O270" s="25"/>
      <c r="P270" s="33"/>
      <c r="Q270" s="25"/>
      <c r="R270" s="25"/>
      <c r="T270" s="29"/>
      <c r="U270" s="30"/>
    </row>
    <row r="271" spans="1:21" ht="15" x14ac:dyDescent="0.25">
      <c r="A271" s="1"/>
      <c r="B271" s="1"/>
      <c r="C271" s="1"/>
      <c r="D271" s="1"/>
      <c r="E271" s="1"/>
      <c r="F271" s="1"/>
      <c r="G271" s="1"/>
      <c r="H271" s="1" t="s">
        <v>136</v>
      </c>
      <c r="I271" s="1"/>
      <c r="J271" s="1"/>
      <c r="K271" s="1"/>
      <c r="L271" s="1"/>
      <c r="N271" s="25"/>
      <c r="O271" s="25"/>
      <c r="P271" s="27"/>
      <c r="Q271" s="25"/>
      <c r="R271" s="25"/>
      <c r="T271" s="31"/>
      <c r="U271" s="30"/>
    </row>
    <row r="272" spans="1:21" ht="16.5" customHeight="1" x14ac:dyDescent="0.25">
      <c r="A272" s="1"/>
      <c r="B272" s="1" t="s">
        <v>15</v>
      </c>
      <c r="C272" s="1"/>
      <c r="D272" s="1"/>
      <c r="E272" s="1"/>
      <c r="F272" s="1"/>
      <c r="G272" s="1"/>
      <c r="H272" s="1" t="s">
        <v>13</v>
      </c>
      <c r="I272" s="1"/>
      <c r="J272" s="1"/>
      <c r="K272" s="1"/>
      <c r="L272" s="1"/>
      <c r="N272" s="25"/>
      <c r="O272" s="25"/>
      <c r="P272" s="27"/>
      <c r="Q272" s="25"/>
      <c r="R272" s="25"/>
      <c r="T272" s="31"/>
      <c r="U272" s="30"/>
    </row>
    <row r="273" spans="1:21" ht="15" x14ac:dyDescent="0.25">
      <c r="A273" s="1"/>
      <c r="B273" s="1" t="s">
        <v>18</v>
      </c>
      <c r="C273" s="1"/>
      <c r="D273" s="1"/>
      <c r="E273" s="1"/>
      <c r="F273" s="1"/>
      <c r="G273" s="1"/>
      <c r="H273" s="1" t="s">
        <v>14</v>
      </c>
      <c r="I273" s="1"/>
      <c r="J273" s="1"/>
      <c r="K273" s="1"/>
      <c r="L273" s="1"/>
      <c r="N273" s="25"/>
      <c r="O273" s="25"/>
      <c r="P273" s="27"/>
      <c r="Q273" s="25"/>
      <c r="R273" s="25"/>
      <c r="T273" s="31"/>
      <c r="U273" s="30"/>
    </row>
    <row r="274" spans="1:21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N274" s="25"/>
      <c r="O274" s="25"/>
      <c r="P274" s="27"/>
      <c r="Q274" s="25"/>
      <c r="R274" s="25"/>
      <c r="T274" s="31"/>
      <c r="U274" s="30"/>
    </row>
    <row r="275" spans="1:21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N275" s="25"/>
      <c r="O275" s="25"/>
      <c r="P275" s="27"/>
      <c r="Q275" s="25"/>
      <c r="R275" s="25"/>
      <c r="T275" s="31"/>
      <c r="U275" s="30"/>
    </row>
    <row r="276" spans="1:21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N276" s="26"/>
      <c r="O276" s="25"/>
      <c r="P276" s="25"/>
      <c r="Q276" s="26"/>
      <c r="R276" s="25"/>
      <c r="T276" s="30"/>
    </row>
    <row r="277" spans="1:21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N277" s="28"/>
      <c r="O277" s="25"/>
      <c r="P277" s="25"/>
      <c r="Q277" s="25"/>
      <c r="R277" s="25"/>
    </row>
    <row r="278" spans="1:21" ht="15" x14ac:dyDescent="0.25">
      <c r="A278" s="1"/>
      <c r="B278" s="37" t="s">
        <v>77</v>
      </c>
      <c r="C278" s="1"/>
      <c r="D278" s="1"/>
      <c r="E278" s="1"/>
      <c r="F278" s="1"/>
      <c r="G278" s="1"/>
      <c r="H278" s="37" t="str">
        <f>D249</f>
        <v>Megi Okta Rizki, S.H.</v>
      </c>
      <c r="I278" s="1"/>
      <c r="J278" s="1"/>
      <c r="K278" s="1"/>
      <c r="L278" s="1"/>
      <c r="N278" s="28"/>
      <c r="O278" s="25"/>
      <c r="P278" s="25"/>
      <c r="Q278" s="25"/>
      <c r="R278" s="25"/>
    </row>
    <row r="279" spans="1:21" ht="15" x14ac:dyDescent="0.25">
      <c r="A279" s="1"/>
      <c r="B279" s="48" t="s">
        <v>27</v>
      </c>
      <c r="C279" s="7"/>
      <c r="D279" s="1"/>
      <c r="E279" s="1"/>
      <c r="F279" s="1"/>
      <c r="G279" s="1"/>
      <c r="H279" s="1" t="str">
        <f>D250</f>
        <v>NIP. 19921031 201903 1 003</v>
      </c>
      <c r="I279" s="1"/>
      <c r="J279" s="1"/>
      <c r="K279" s="1"/>
      <c r="L279" s="1"/>
      <c r="N279" s="28"/>
      <c r="O279" s="25"/>
      <c r="P279" s="25"/>
      <c r="Q279" s="25"/>
      <c r="R279" s="25"/>
    </row>
    <row r="280" spans="1:21" x14ac:dyDescent="0.2">
      <c r="N280" s="28"/>
      <c r="O280" s="25"/>
      <c r="P280" s="25"/>
      <c r="Q280" s="25"/>
      <c r="R280" s="25"/>
    </row>
    <row r="281" spans="1:21" x14ac:dyDescent="0.2">
      <c r="N281" s="28"/>
      <c r="O281" s="25"/>
      <c r="P281" s="25"/>
      <c r="Q281" s="25"/>
      <c r="R281" s="25"/>
    </row>
    <row r="282" spans="1:21" x14ac:dyDescent="0.2">
      <c r="N282" s="28"/>
      <c r="O282" s="25"/>
      <c r="P282" s="25"/>
      <c r="Q282" s="25"/>
      <c r="R282" s="25"/>
    </row>
    <row r="283" spans="1:21" ht="15.75" x14ac:dyDescent="0.25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N283" s="28"/>
      <c r="O283" s="25"/>
      <c r="P283" s="25"/>
      <c r="Q283" s="25"/>
      <c r="R283" s="25"/>
    </row>
    <row r="284" spans="1:21" ht="15.75" x14ac:dyDescent="0.25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N284" s="28"/>
      <c r="O284" s="25"/>
      <c r="P284" s="25"/>
      <c r="Q284" s="25"/>
      <c r="R284" s="25"/>
    </row>
    <row r="285" spans="1:21" ht="15.75" x14ac:dyDescent="0.25">
      <c r="A285" s="3" t="s">
        <v>22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N285" s="28"/>
      <c r="O285" s="25"/>
      <c r="P285" s="25"/>
      <c r="Q285" s="25"/>
      <c r="R285" s="25"/>
    </row>
    <row r="286" spans="1:21" ht="15.75" x14ac:dyDescent="0.25">
      <c r="A286" s="3" t="s">
        <v>20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N286" s="28"/>
      <c r="O286" s="25"/>
      <c r="P286" s="25"/>
      <c r="Q286" s="25"/>
      <c r="R286" s="25"/>
    </row>
    <row r="287" spans="1:21" ht="15.75" x14ac:dyDescent="0.25">
      <c r="A287" s="3" t="s">
        <v>21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2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24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24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24" ht="19.5" thickBot="1" x14ac:dyDescent="0.35">
      <c r="A291" s="339" t="s">
        <v>6</v>
      </c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N291" s="37" t="s">
        <v>183</v>
      </c>
      <c r="R291" s="37" t="s">
        <v>185</v>
      </c>
      <c r="V291" s="37" t="s">
        <v>187</v>
      </c>
    </row>
    <row r="292" spans="1:24" ht="19.5" thickTop="1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N292" s="48" t="s">
        <v>184</v>
      </c>
      <c r="R292" s="48" t="s">
        <v>186</v>
      </c>
      <c r="V292" s="48" t="s">
        <v>188</v>
      </c>
    </row>
    <row r="293" spans="1:24" ht="18.75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N293" s="1" t="s">
        <v>141</v>
      </c>
      <c r="P293" s="29"/>
      <c r="Q293" s="30"/>
      <c r="R293" s="1" t="s">
        <v>141</v>
      </c>
      <c r="V293" s="1" t="s">
        <v>141</v>
      </c>
    </row>
    <row r="294" spans="1:24" ht="15" x14ac:dyDescent="0.25">
      <c r="A294" s="1"/>
      <c r="B294" s="1"/>
      <c r="C294" s="4"/>
      <c r="D294" s="4"/>
      <c r="E294" s="4"/>
      <c r="F294" s="4"/>
      <c r="G294" s="4"/>
      <c r="H294" s="4"/>
      <c r="I294" s="4"/>
      <c r="J294" s="4"/>
      <c r="K294" s="4"/>
      <c r="L294" s="4"/>
      <c r="P294" s="29"/>
      <c r="Q294" s="30"/>
    </row>
    <row r="295" spans="1:24" ht="15" x14ac:dyDescent="0.25">
      <c r="A295" s="1" t="s">
        <v>7</v>
      </c>
      <c r="B295" s="1"/>
      <c r="C295" s="4"/>
      <c r="D295" s="4"/>
      <c r="E295" s="4"/>
      <c r="F295" s="4"/>
      <c r="G295" s="4"/>
      <c r="H295" s="4"/>
      <c r="I295" s="4"/>
      <c r="J295" s="4"/>
      <c r="K295" s="4"/>
      <c r="L295" s="4"/>
      <c r="P295" s="29"/>
      <c r="Q295" s="30"/>
    </row>
    <row r="296" spans="1:24" ht="15" x14ac:dyDescent="0.25">
      <c r="A296" s="1"/>
      <c r="B296" s="1"/>
      <c r="C296" s="4"/>
      <c r="D296" s="4"/>
      <c r="E296" s="4"/>
      <c r="F296" s="4"/>
      <c r="G296" s="4"/>
      <c r="H296" s="4"/>
      <c r="I296" s="4"/>
      <c r="J296" s="4"/>
      <c r="K296" s="4"/>
      <c r="L296" s="4"/>
      <c r="N296" s="37" t="s">
        <v>175</v>
      </c>
      <c r="P296" s="31"/>
      <c r="Q296" s="37" t="s">
        <v>177</v>
      </c>
      <c r="U296" s="37" t="s">
        <v>179</v>
      </c>
      <c r="X296" s="37" t="s">
        <v>181</v>
      </c>
    </row>
    <row r="297" spans="1:24" ht="15" x14ac:dyDescent="0.25">
      <c r="A297" s="1" t="s">
        <v>8</v>
      </c>
      <c r="B297" s="4"/>
      <c r="C297" s="9" t="s">
        <v>1</v>
      </c>
      <c r="D297" s="37" t="s">
        <v>196</v>
      </c>
      <c r="E297" s="64"/>
      <c r="F297" s="4"/>
      <c r="G297" s="4"/>
      <c r="H297" s="4"/>
      <c r="I297" s="4"/>
      <c r="J297" s="4"/>
      <c r="K297" s="4"/>
      <c r="L297" s="4"/>
      <c r="N297" s="48" t="s">
        <v>176</v>
      </c>
      <c r="Q297" s="48" t="s">
        <v>178</v>
      </c>
      <c r="U297" s="48" t="s">
        <v>180</v>
      </c>
      <c r="X297" s="48" t="s">
        <v>182</v>
      </c>
    </row>
    <row r="298" spans="1:24" ht="15" x14ac:dyDescent="0.25">
      <c r="A298" s="1" t="s">
        <v>9</v>
      </c>
      <c r="B298" s="4"/>
      <c r="C298" s="9" t="s">
        <v>1</v>
      </c>
      <c r="D298" s="48" t="s">
        <v>197</v>
      </c>
      <c r="E298" s="64"/>
      <c r="F298" s="4"/>
      <c r="G298" s="4"/>
      <c r="H298" s="4"/>
      <c r="I298" s="4"/>
      <c r="J298" s="4"/>
      <c r="K298" s="4"/>
      <c r="L298" s="4"/>
      <c r="N298" s="1" t="s">
        <v>141</v>
      </c>
      <c r="P298" s="32"/>
      <c r="Q298" s="1" t="s">
        <v>141</v>
      </c>
      <c r="U298" s="1" t="s">
        <v>141</v>
      </c>
      <c r="X298" s="1" t="s">
        <v>141</v>
      </c>
    </row>
    <row r="299" spans="1:24" ht="15" x14ac:dyDescent="0.25">
      <c r="A299" s="1" t="s">
        <v>10</v>
      </c>
      <c r="B299" s="4"/>
      <c r="C299" s="9" t="s">
        <v>1</v>
      </c>
      <c r="D299" s="1" t="s">
        <v>141</v>
      </c>
      <c r="E299" s="64"/>
      <c r="F299" s="4"/>
      <c r="G299" s="4"/>
      <c r="H299" s="4"/>
      <c r="I299" s="4"/>
      <c r="J299" s="4"/>
      <c r="K299" s="4"/>
      <c r="L299" s="4"/>
      <c r="P299" s="32"/>
      <c r="Q299" s="30"/>
    </row>
    <row r="300" spans="1:24" ht="15" x14ac:dyDescent="0.25">
      <c r="A300" s="1"/>
      <c r="B300" s="1"/>
      <c r="C300" s="4"/>
      <c r="D300" s="1"/>
      <c r="E300" s="4"/>
      <c r="F300" s="4"/>
      <c r="G300" s="4"/>
      <c r="H300" s="4"/>
      <c r="I300" s="4"/>
      <c r="J300" s="4"/>
      <c r="K300" s="4"/>
      <c r="L300" s="4"/>
      <c r="P300" s="29"/>
      <c r="Q300" s="30"/>
    </row>
    <row r="301" spans="1:24" ht="33" customHeight="1" x14ac:dyDescent="0.2">
      <c r="A301" s="280" t="s">
        <v>142</v>
      </c>
      <c r="B301" s="277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P301" s="31"/>
      <c r="Q301" s="30"/>
    </row>
    <row r="302" spans="1:24" ht="15.75" customHeight="1" x14ac:dyDescent="0.25">
      <c r="A302" s="1"/>
      <c r="B302" s="1"/>
      <c r="C302" s="4"/>
      <c r="D302" s="4"/>
      <c r="E302" s="4"/>
      <c r="F302" s="4"/>
      <c r="G302" s="4"/>
      <c r="H302" s="4"/>
      <c r="I302" s="4"/>
      <c r="J302" s="4"/>
      <c r="K302" s="4"/>
      <c r="L302" s="4"/>
      <c r="P302" s="30"/>
      <c r="Q302" s="30"/>
    </row>
    <row r="303" spans="1:24" ht="38.25" customHeight="1" thickBot="1" x14ac:dyDescent="0.25">
      <c r="A303" s="10" t="s">
        <v>0</v>
      </c>
      <c r="B303" s="337" t="s">
        <v>91</v>
      </c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P303" s="30"/>
      <c r="Q303" s="30"/>
    </row>
    <row r="304" spans="1:24" ht="15.75" thickTop="1" x14ac:dyDescent="0.25">
      <c r="A304" s="1"/>
      <c r="B304" s="11" t="s">
        <v>3</v>
      </c>
      <c r="C304" s="12" t="s">
        <v>4</v>
      </c>
      <c r="D304" s="13"/>
      <c r="E304" s="13"/>
      <c r="F304" s="13"/>
      <c r="G304" s="13"/>
      <c r="H304" s="14"/>
      <c r="I304" s="15" t="s">
        <v>5</v>
      </c>
      <c r="J304" s="12" t="s">
        <v>17</v>
      </c>
      <c r="K304" s="13"/>
      <c r="L304" s="14"/>
      <c r="N304" s="64"/>
      <c r="P304" s="30"/>
      <c r="Q304" s="30"/>
    </row>
    <row r="305" spans="1:21" s="74" customFormat="1" ht="21" customHeight="1" x14ac:dyDescent="0.2">
      <c r="A305" s="50"/>
      <c r="B305" s="60" t="s">
        <v>16</v>
      </c>
      <c r="C305" s="50" t="s">
        <v>173</v>
      </c>
      <c r="D305" s="50"/>
      <c r="E305" s="50"/>
      <c r="F305" s="50"/>
      <c r="G305" s="54"/>
      <c r="H305" s="55"/>
      <c r="I305" s="56">
        <v>256000</v>
      </c>
      <c r="J305" s="50"/>
      <c r="K305" s="50"/>
      <c r="L305" s="55"/>
      <c r="M305" s="51"/>
      <c r="N305" s="94"/>
      <c r="P305" s="75"/>
      <c r="T305" s="75"/>
    </row>
    <row r="306" spans="1:21" s="51" customFormat="1" ht="21" customHeight="1" x14ac:dyDescent="0.2">
      <c r="A306" s="76"/>
      <c r="B306" s="77"/>
      <c r="C306" s="76" t="s">
        <v>174</v>
      </c>
      <c r="D306" s="76"/>
      <c r="E306" s="76"/>
      <c r="F306" s="76"/>
      <c r="G306" s="78"/>
      <c r="H306" s="79"/>
      <c r="I306" s="80">
        <v>90000</v>
      </c>
      <c r="J306" s="76"/>
      <c r="K306" s="76"/>
      <c r="L306" s="79"/>
      <c r="P306" s="81"/>
      <c r="Q306" s="82"/>
      <c r="T306" s="83"/>
    </row>
    <row r="307" spans="1:21" x14ac:dyDescent="0.2">
      <c r="A307" s="4"/>
      <c r="B307" s="16"/>
      <c r="C307" s="4"/>
      <c r="D307" s="4"/>
      <c r="E307" s="4"/>
      <c r="F307" s="4"/>
      <c r="G307" s="4"/>
      <c r="H307" s="17"/>
      <c r="I307" s="19"/>
      <c r="J307" s="4"/>
      <c r="K307" s="4"/>
      <c r="L307" s="17"/>
      <c r="Q307" s="34"/>
    </row>
    <row r="308" spans="1:21" ht="14.25" x14ac:dyDescent="0.2">
      <c r="A308" s="4"/>
      <c r="B308" s="16"/>
      <c r="C308" s="4"/>
      <c r="D308" s="4"/>
      <c r="E308" s="4"/>
      <c r="F308" s="4"/>
      <c r="G308" s="4"/>
      <c r="H308" s="17"/>
      <c r="I308" s="19"/>
      <c r="J308" s="4"/>
      <c r="K308" s="4"/>
      <c r="L308" s="17"/>
      <c r="P308" s="37" t="s">
        <v>187</v>
      </c>
      <c r="Q308" s="34"/>
      <c r="T308" s="37" t="s">
        <v>194</v>
      </c>
    </row>
    <row r="309" spans="1:21" ht="15" x14ac:dyDescent="0.2">
      <c r="A309" s="4"/>
      <c r="B309" s="20"/>
      <c r="C309" s="21"/>
      <c r="D309" s="21"/>
      <c r="E309" s="21"/>
      <c r="F309" s="21"/>
      <c r="G309" s="21"/>
      <c r="H309" s="22"/>
      <c r="I309" s="23"/>
      <c r="J309" s="21"/>
      <c r="K309" s="21"/>
      <c r="L309" s="22"/>
      <c r="P309" s="48" t="s">
        <v>188</v>
      </c>
      <c r="Q309" s="34"/>
      <c r="T309" s="48" t="s">
        <v>195</v>
      </c>
    </row>
    <row r="310" spans="1:21" ht="15" x14ac:dyDescent="0.25">
      <c r="A310" s="1"/>
      <c r="B310" s="39"/>
      <c r="C310" s="1"/>
      <c r="D310" s="1"/>
      <c r="E310" s="1"/>
      <c r="F310" s="40" t="s">
        <v>5</v>
      </c>
      <c r="G310" s="40"/>
      <c r="H310" s="1"/>
      <c r="I310" s="41">
        <f>SUM(I305:I309)</f>
        <v>346000</v>
      </c>
      <c r="J310" s="1"/>
      <c r="K310" s="1"/>
      <c r="L310" s="42"/>
      <c r="P310" s="1" t="s">
        <v>141</v>
      </c>
      <c r="Q310" s="34"/>
      <c r="T310" s="1" t="s">
        <v>141</v>
      </c>
    </row>
    <row r="311" spans="1:21" ht="15.75" thickBot="1" x14ac:dyDescent="0.3">
      <c r="A311" s="1"/>
      <c r="B311" s="43"/>
      <c r="C311" s="44"/>
      <c r="D311" s="44"/>
      <c r="E311" s="44"/>
      <c r="F311" s="45"/>
      <c r="G311" s="45"/>
      <c r="H311" s="44"/>
      <c r="I311" s="46"/>
      <c r="J311" s="44"/>
      <c r="K311" s="44"/>
      <c r="L311" s="47"/>
      <c r="P311" s="31"/>
      <c r="Q311" s="34"/>
      <c r="T311" s="35"/>
    </row>
    <row r="312" spans="1:21" ht="15.75" thickTop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P312" s="30"/>
      <c r="Q312" s="34"/>
    </row>
    <row r="313" spans="1:21" ht="49.5" customHeight="1" x14ac:dyDescent="0.2">
      <c r="A313" s="10" t="s">
        <v>2</v>
      </c>
      <c r="B313" s="279" t="s">
        <v>11</v>
      </c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Q313" s="34"/>
    </row>
    <row r="314" spans="1:21" ht="1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P314" s="29"/>
      <c r="Q314" s="34"/>
      <c r="T314" s="36"/>
    </row>
    <row r="315" spans="1:21" ht="19.5" customHeight="1" x14ac:dyDescent="0.2">
      <c r="A315" s="280" t="s">
        <v>12</v>
      </c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P315" s="31"/>
      <c r="T315" s="35"/>
    </row>
    <row r="316" spans="1:21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P316" s="30"/>
    </row>
    <row r="317" spans="1:21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21" ht="15" x14ac:dyDescent="0.25">
      <c r="A318" s="1"/>
      <c r="B318" s="1"/>
      <c r="C318" s="1"/>
      <c r="D318" s="1"/>
      <c r="E318" s="1"/>
      <c r="F318" s="1"/>
      <c r="G318" s="1"/>
      <c r="H318" s="1" t="s">
        <v>136</v>
      </c>
      <c r="I318" s="1"/>
      <c r="J318" s="1"/>
      <c r="K318" s="1"/>
      <c r="L318" s="1"/>
      <c r="P318" s="30"/>
      <c r="Q318" s="34"/>
    </row>
    <row r="319" spans="1:21" ht="15" x14ac:dyDescent="0.25">
      <c r="A319" s="1"/>
      <c r="B319" s="1" t="s">
        <v>15</v>
      </c>
      <c r="C319" s="1"/>
      <c r="D319" s="1"/>
      <c r="E319" s="1"/>
      <c r="F319" s="1"/>
      <c r="G319" s="1"/>
      <c r="H319" s="1" t="s">
        <v>13</v>
      </c>
      <c r="I319" s="1"/>
      <c r="J319" s="1"/>
      <c r="K319" s="1"/>
      <c r="L319" s="1"/>
      <c r="Q319" s="34"/>
    </row>
    <row r="320" spans="1:21" ht="15" x14ac:dyDescent="0.25">
      <c r="A320" s="1"/>
      <c r="B320" s="1" t="s">
        <v>18</v>
      </c>
      <c r="C320" s="1"/>
      <c r="D320" s="1"/>
      <c r="E320" s="1"/>
      <c r="F320" s="1"/>
      <c r="G320" s="1"/>
      <c r="H320" s="1" t="s">
        <v>14</v>
      </c>
      <c r="I320" s="1"/>
      <c r="J320" s="1"/>
      <c r="K320" s="1"/>
      <c r="L320" s="1"/>
      <c r="P320" s="29"/>
      <c r="Q320" s="34"/>
      <c r="T320" s="29"/>
      <c r="U320" s="34"/>
    </row>
    <row r="321" spans="1:21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P321" s="31"/>
      <c r="Q321" s="34"/>
      <c r="T321" s="31"/>
      <c r="U321" s="34"/>
    </row>
    <row r="322" spans="1:21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Q322" s="34"/>
      <c r="T322" s="30"/>
      <c r="U322" s="34"/>
    </row>
    <row r="323" spans="1:21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Q323" s="34"/>
    </row>
    <row r="324" spans="1:21" ht="6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P324" s="29"/>
      <c r="Q324" s="34"/>
      <c r="T324" s="29"/>
      <c r="U324" s="30"/>
    </row>
    <row r="325" spans="1:21" ht="15" x14ac:dyDescent="0.25">
      <c r="A325" s="1"/>
      <c r="B325" s="37" t="s">
        <v>77</v>
      </c>
      <c r="C325" s="1"/>
      <c r="D325" s="1"/>
      <c r="E325" s="1"/>
      <c r="F325" s="1"/>
      <c r="G325" s="1"/>
      <c r="H325" s="37" t="str">
        <f>D297</f>
        <v>Dita Yustine Windaningrum, S.Si.</v>
      </c>
      <c r="I325" s="1"/>
      <c r="J325" s="1"/>
      <c r="K325" s="1"/>
      <c r="L325" s="1"/>
      <c r="P325" s="31"/>
      <c r="Q325" s="34"/>
      <c r="T325" s="31"/>
      <c r="U325" s="30"/>
    </row>
    <row r="326" spans="1:21" ht="15" x14ac:dyDescent="0.25">
      <c r="A326" s="1"/>
      <c r="B326" s="48" t="s">
        <v>27</v>
      </c>
      <c r="C326" s="7"/>
      <c r="D326" s="1"/>
      <c r="E326" s="1"/>
      <c r="F326" s="1"/>
      <c r="G326" s="1"/>
      <c r="H326" s="1" t="str">
        <f>D298</f>
        <v>NIP. 19921215 201903 2 005</v>
      </c>
      <c r="I326" s="1"/>
      <c r="J326" s="1"/>
      <c r="K326" s="1"/>
      <c r="L326" s="1"/>
      <c r="N326" s="25"/>
      <c r="O326" s="25"/>
      <c r="P326" s="25"/>
      <c r="Q326" s="25"/>
      <c r="R326" s="25"/>
      <c r="T326" s="30"/>
    </row>
    <row r="327" spans="1:21" ht="15" x14ac:dyDescent="0.25">
      <c r="A327" s="1"/>
      <c r="B327" s="48"/>
      <c r="C327" s="7"/>
      <c r="D327" s="1"/>
      <c r="E327" s="1"/>
      <c r="F327" s="1"/>
      <c r="G327" s="1"/>
      <c r="H327" s="1"/>
      <c r="I327" s="1"/>
      <c r="J327" s="1"/>
      <c r="K327" s="1"/>
      <c r="L327" s="1"/>
      <c r="N327" s="25"/>
      <c r="O327" s="25"/>
      <c r="P327" s="25"/>
      <c r="Q327" s="25"/>
      <c r="R327" s="25"/>
    </row>
    <row r="328" spans="1:21" ht="15" x14ac:dyDescent="0.25">
      <c r="A328" s="1"/>
      <c r="B328" s="48"/>
      <c r="C328" s="7"/>
      <c r="D328" s="1"/>
      <c r="E328" s="1"/>
      <c r="F328" s="1"/>
      <c r="G328" s="1"/>
      <c r="H328" s="1"/>
      <c r="I328" s="1"/>
      <c r="J328" s="1"/>
      <c r="K328" s="1"/>
      <c r="L328" s="1"/>
      <c r="N328" s="25"/>
      <c r="O328" s="25"/>
      <c r="P328" s="25"/>
      <c r="Q328" s="25"/>
      <c r="R328" s="25"/>
    </row>
    <row r="329" spans="1:21" x14ac:dyDescent="0.2">
      <c r="N329" s="25"/>
      <c r="O329" s="25"/>
      <c r="P329" s="33"/>
      <c r="Q329" s="25"/>
      <c r="R329" s="25"/>
      <c r="T329" s="29"/>
      <c r="U329" s="30"/>
    </row>
    <row r="330" spans="1:21" x14ac:dyDescent="0.2">
      <c r="N330" s="25"/>
      <c r="O330" s="25"/>
      <c r="P330" s="27"/>
      <c r="Q330" s="25"/>
      <c r="R330" s="25"/>
      <c r="T330" s="31"/>
      <c r="U330" s="30"/>
    </row>
    <row r="331" spans="1:21" ht="15.75" x14ac:dyDescent="0.25">
      <c r="A331" s="3" t="s">
        <v>22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N331" s="26"/>
      <c r="O331" s="25"/>
      <c r="P331" s="25"/>
      <c r="Q331" s="26"/>
      <c r="R331" s="25"/>
      <c r="T331" s="30"/>
    </row>
    <row r="332" spans="1:21" ht="15.75" x14ac:dyDescent="0.25">
      <c r="A332" s="3" t="s">
        <v>20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N332" s="28"/>
      <c r="O332" s="25"/>
      <c r="P332" s="25"/>
      <c r="Q332" s="25"/>
      <c r="R332" s="25"/>
    </row>
    <row r="333" spans="1:21" ht="15.75" x14ac:dyDescent="0.25">
      <c r="A333" s="3" t="s">
        <v>21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N333" s="28"/>
      <c r="O333" s="25"/>
      <c r="P333" s="25"/>
      <c r="Q333" s="25"/>
      <c r="R333" s="25"/>
    </row>
    <row r="334" spans="1:2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N334" s="28"/>
      <c r="O334" s="25"/>
      <c r="P334" s="25"/>
      <c r="Q334" s="25"/>
      <c r="R334" s="25"/>
    </row>
    <row r="335" spans="1:2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N335" s="28"/>
      <c r="O335" s="25"/>
      <c r="P335" s="25"/>
      <c r="Q335" s="25"/>
      <c r="R335" s="25"/>
    </row>
    <row r="336" spans="1:2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N336" s="28"/>
      <c r="O336" s="25"/>
      <c r="P336" s="25"/>
      <c r="Q336" s="25"/>
      <c r="R336" s="25"/>
    </row>
    <row r="337" spans="1:18" ht="19.5" thickBot="1" x14ac:dyDescent="0.35">
      <c r="A337" s="339" t="s">
        <v>6</v>
      </c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N337" s="28"/>
      <c r="O337" s="25"/>
      <c r="P337" s="25"/>
      <c r="Q337" s="25"/>
      <c r="R337" s="25"/>
    </row>
    <row r="338" spans="1:18" ht="19.5" thickTop="1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N338" s="28"/>
      <c r="O338" s="25"/>
      <c r="P338" s="25"/>
      <c r="Q338" s="25"/>
      <c r="R338" s="25"/>
    </row>
    <row r="339" spans="1:18" ht="18.75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N339" s="28"/>
      <c r="O339" s="25"/>
      <c r="P339" s="25"/>
      <c r="Q339" s="25"/>
      <c r="R339" s="25"/>
    </row>
    <row r="340" spans="1:18" ht="15" x14ac:dyDescent="0.25">
      <c r="A340" s="1"/>
      <c r="B340" s="1"/>
      <c r="C340" s="4"/>
      <c r="D340" s="4"/>
      <c r="E340" s="4"/>
      <c r="F340" s="4"/>
      <c r="G340" s="4"/>
      <c r="H340" s="4"/>
      <c r="I340" s="4"/>
      <c r="J340" s="4"/>
      <c r="K340" s="4"/>
      <c r="L340" s="4"/>
      <c r="N340" s="28"/>
      <c r="O340" s="25"/>
      <c r="P340" s="25"/>
      <c r="Q340" s="25"/>
      <c r="R340" s="25"/>
    </row>
    <row r="341" spans="1:18" ht="15" x14ac:dyDescent="0.25">
      <c r="A341" s="1" t="s">
        <v>7</v>
      </c>
      <c r="B341" s="1"/>
      <c r="C341" s="4"/>
      <c r="D341" s="4"/>
      <c r="E341" s="4"/>
      <c r="F341" s="4"/>
      <c r="G341" s="4"/>
      <c r="H341" s="4"/>
      <c r="I341" s="4"/>
      <c r="J341" s="4"/>
      <c r="K341" s="4"/>
      <c r="L341" s="4"/>
      <c r="N341" s="28"/>
      <c r="O341" s="25"/>
      <c r="P341" s="25"/>
      <c r="Q341" s="25"/>
      <c r="R341" s="25"/>
    </row>
    <row r="342" spans="1:18" ht="15" x14ac:dyDescent="0.25">
      <c r="A342" s="1"/>
      <c r="B342" s="1"/>
      <c r="C342" s="4"/>
      <c r="D342" s="4"/>
      <c r="E342" s="4"/>
      <c r="F342" s="4"/>
      <c r="G342" s="4"/>
      <c r="H342" s="4"/>
      <c r="I342" s="4"/>
      <c r="J342" s="4"/>
      <c r="K342" s="4"/>
      <c r="L342" s="4"/>
      <c r="N342" s="28"/>
      <c r="O342" s="25"/>
      <c r="P342" s="25"/>
      <c r="Q342" s="25"/>
      <c r="R342" s="25"/>
    </row>
    <row r="343" spans="1:18" ht="15" x14ac:dyDescent="0.25">
      <c r="A343" s="1" t="s">
        <v>8</v>
      </c>
      <c r="B343" s="4"/>
      <c r="C343" s="9" t="s">
        <v>1</v>
      </c>
      <c r="D343" s="37" t="s">
        <v>192</v>
      </c>
      <c r="E343" s="64"/>
      <c r="F343" s="4"/>
      <c r="G343" s="4"/>
      <c r="H343" s="4"/>
      <c r="I343" s="4"/>
      <c r="J343" s="4"/>
      <c r="K343" s="4"/>
      <c r="L343" s="4"/>
      <c r="N343" s="28"/>
      <c r="O343" s="25"/>
      <c r="P343" s="37" t="s">
        <v>190</v>
      </c>
      <c r="Q343" s="25"/>
      <c r="R343" s="25"/>
    </row>
    <row r="344" spans="1:18" ht="15" x14ac:dyDescent="0.25">
      <c r="A344" s="1" t="s">
        <v>9</v>
      </c>
      <c r="B344" s="4"/>
      <c r="C344" s="9" t="s">
        <v>1</v>
      </c>
      <c r="D344" s="48" t="s">
        <v>193</v>
      </c>
      <c r="E344" s="64"/>
      <c r="F344" s="4"/>
      <c r="G344" s="4"/>
      <c r="H344" s="4"/>
      <c r="I344" s="4"/>
      <c r="J344" s="4"/>
      <c r="K344" s="4"/>
      <c r="L344" s="4"/>
      <c r="N344" s="28"/>
      <c r="O344" s="25"/>
      <c r="P344" s="48" t="s">
        <v>191</v>
      </c>
      <c r="Q344" s="25"/>
      <c r="R344" s="25"/>
    </row>
    <row r="345" spans="1:18" ht="15" x14ac:dyDescent="0.25">
      <c r="A345" s="1" t="s">
        <v>10</v>
      </c>
      <c r="B345" s="4"/>
      <c r="C345" s="9" t="s">
        <v>1</v>
      </c>
      <c r="D345" s="1" t="s">
        <v>141</v>
      </c>
      <c r="E345" s="64"/>
      <c r="F345" s="4"/>
      <c r="G345" s="4"/>
      <c r="H345" s="4"/>
      <c r="I345" s="4"/>
      <c r="J345" s="4"/>
      <c r="K345" s="4"/>
      <c r="L345" s="4"/>
      <c r="N345" s="28"/>
      <c r="O345" s="25"/>
      <c r="P345" s="1" t="s">
        <v>141</v>
      </c>
      <c r="Q345" s="25"/>
      <c r="R345" s="25"/>
    </row>
    <row r="346" spans="1:18" ht="15" x14ac:dyDescent="0.25">
      <c r="A346" s="1"/>
      <c r="B346" s="1"/>
      <c r="C346" s="4"/>
      <c r="D346" s="1"/>
      <c r="E346" s="4"/>
      <c r="F346" s="4"/>
      <c r="G346" s="4"/>
      <c r="H346" s="4"/>
      <c r="I346" s="4"/>
      <c r="J346" s="4"/>
      <c r="K346" s="4"/>
      <c r="L346" s="4"/>
    </row>
    <row r="347" spans="1:18" ht="35.25" customHeight="1" x14ac:dyDescent="0.2">
      <c r="A347" s="280" t="s">
        <v>142</v>
      </c>
      <c r="B347" s="277"/>
      <c r="C347" s="277"/>
      <c r="D347" s="277"/>
      <c r="E347" s="277"/>
      <c r="F347" s="277"/>
      <c r="G347" s="277"/>
      <c r="H347" s="277"/>
      <c r="I347" s="277"/>
      <c r="J347" s="277"/>
      <c r="K347" s="277"/>
      <c r="L347" s="277"/>
    </row>
    <row r="348" spans="1:18" ht="15" x14ac:dyDescent="0.25">
      <c r="A348" s="1"/>
      <c r="B348" s="1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8" ht="34.5" customHeight="1" thickBot="1" x14ac:dyDescent="0.25">
      <c r="A349" s="10" t="s">
        <v>0</v>
      </c>
      <c r="B349" s="337" t="s">
        <v>91</v>
      </c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</row>
    <row r="350" spans="1:18" ht="15.75" thickTop="1" x14ac:dyDescent="0.25">
      <c r="A350" s="1"/>
      <c r="B350" s="11" t="s">
        <v>3</v>
      </c>
      <c r="C350" s="12" t="s">
        <v>4</v>
      </c>
      <c r="D350" s="13"/>
      <c r="E350" s="13"/>
      <c r="F350" s="13"/>
      <c r="G350" s="13"/>
      <c r="H350" s="14"/>
      <c r="I350" s="15" t="s">
        <v>5</v>
      </c>
      <c r="J350" s="12" t="s">
        <v>17</v>
      </c>
      <c r="K350" s="13"/>
      <c r="L350" s="14"/>
    </row>
    <row r="351" spans="1:18" ht="23.25" customHeight="1" x14ac:dyDescent="0.2">
      <c r="A351" s="50"/>
      <c r="B351" s="60" t="s">
        <v>16</v>
      </c>
      <c r="C351" s="50" t="s">
        <v>189</v>
      </c>
      <c r="D351" s="50"/>
      <c r="E351" s="50"/>
      <c r="F351" s="50"/>
      <c r="G351" s="54"/>
      <c r="H351" s="55"/>
      <c r="I351" s="56">
        <v>250000</v>
      </c>
      <c r="J351" s="50"/>
      <c r="K351" s="50"/>
      <c r="L351" s="55"/>
    </row>
    <row r="352" spans="1:18" ht="22.5" customHeight="1" x14ac:dyDescent="0.2">
      <c r="A352" s="76"/>
      <c r="B352" s="77"/>
      <c r="C352" s="76" t="s">
        <v>174</v>
      </c>
      <c r="D352" s="76"/>
      <c r="E352" s="76"/>
      <c r="F352" s="76"/>
      <c r="G352" s="78"/>
      <c r="H352" s="79"/>
      <c r="I352" s="80">
        <v>90000</v>
      </c>
      <c r="J352" s="76"/>
      <c r="K352" s="76"/>
      <c r="L352" s="79"/>
      <c r="P352" s="29"/>
      <c r="Q352" s="30"/>
    </row>
    <row r="353" spans="1:20" x14ac:dyDescent="0.2">
      <c r="A353" s="4"/>
      <c r="B353" s="16"/>
      <c r="C353" s="4"/>
      <c r="D353" s="4"/>
      <c r="E353" s="4"/>
      <c r="F353" s="4"/>
      <c r="G353" s="4"/>
      <c r="H353" s="17"/>
      <c r="I353" s="19"/>
      <c r="J353" s="4"/>
      <c r="K353" s="4"/>
      <c r="L353" s="17"/>
      <c r="P353" s="29"/>
      <c r="Q353" s="30"/>
    </row>
    <row r="354" spans="1:20" x14ac:dyDescent="0.2">
      <c r="A354" s="4"/>
      <c r="B354" s="16"/>
      <c r="C354" s="4"/>
      <c r="D354" s="4"/>
      <c r="E354" s="4"/>
      <c r="F354" s="4"/>
      <c r="G354" s="4"/>
      <c r="H354" s="17"/>
      <c r="I354" s="19"/>
      <c r="J354" s="4"/>
      <c r="K354" s="4"/>
      <c r="L354" s="17"/>
      <c r="P354" s="29"/>
      <c r="Q354" s="30"/>
    </row>
    <row r="355" spans="1:20" x14ac:dyDescent="0.2">
      <c r="A355" s="4"/>
      <c r="B355" s="20"/>
      <c r="C355" s="21"/>
      <c r="D355" s="21"/>
      <c r="E355" s="21"/>
      <c r="F355" s="21"/>
      <c r="G355" s="21"/>
      <c r="H355" s="22"/>
      <c r="I355" s="23"/>
      <c r="J355" s="21"/>
      <c r="K355" s="21"/>
      <c r="L355" s="22"/>
      <c r="P355" s="31"/>
      <c r="Q355" s="30"/>
    </row>
    <row r="356" spans="1:20" ht="15" x14ac:dyDescent="0.25">
      <c r="A356" s="1"/>
      <c r="B356" s="39"/>
      <c r="C356" s="1"/>
      <c r="D356" s="1"/>
      <c r="E356" s="1"/>
      <c r="F356" s="40" t="s">
        <v>5</v>
      </c>
      <c r="G356" s="40"/>
      <c r="H356" s="1"/>
      <c r="I356" s="41">
        <f>SUM(I351:I355)</f>
        <v>340000</v>
      </c>
      <c r="J356" s="1"/>
      <c r="K356" s="1"/>
      <c r="L356" s="42"/>
      <c r="Q356" s="30"/>
    </row>
    <row r="357" spans="1:20" ht="15.75" thickBot="1" x14ac:dyDescent="0.3">
      <c r="A357" s="1"/>
      <c r="B357" s="43"/>
      <c r="C357" s="44"/>
      <c r="D357" s="44"/>
      <c r="E357" s="44"/>
      <c r="F357" s="45"/>
      <c r="G357" s="45"/>
      <c r="H357" s="44"/>
      <c r="I357" s="46"/>
      <c r="J357" s="44"/>
      <c r="K357" s="44"/>
      <c r="L357" s="47"/>
      <c r="P357" s="32"/>
      <c r="Q357" s="30"/>
    </row>
    <row r="358" spans="1:20" ht="15.75" thickTop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P358" s="32"/>
      <c r="Q358" s="30"/>
    </row>
    <row r="359" spans="1:20" ht="55.5" customHeight="1" x14ac:dyDescent="0.2">
      <c r="A359" s="10" t="s">
        <v>2</v>
      </c>
      <c r="B359" s="279" t="s">
        <v>11</v>
      </c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P359" s="29"/>
      <c r="Q359" s="30"/>
    </row>
    <row r="360" spans="1:2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P360" s="31"/>
      <c r="Q360" s="30"/>
    </row>
    <row r="361" spans="1:20" ht="15" x14ac:dyDescent="0.2">
      <c r="A361" s="280" t="s">
        <v>12</v>
      </c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P361" s="30"/>
      <c r="Q361" s="30"/>
    </row>
    <row r="362" spans="1:2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P362" s="30"/>
      <c r="Q362" s="30"/>
    </row>
    <row r="363" spans="1:20" ht="9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P363" s="30"/>
      <c r="Q363" s="30"/>
    </row>
    <row r="364" spans="1:20" ht="15" x14ac:dyDescent="0.25">
      <c r="A364" s="1"/>
      <c r="B364" s="1"/>
      <c r="C364" s="1"/>
      <c r="D364" s="1"/>
      <c r="E364" s="1"/>
      <c r="F364" s="1"/>
      <c r="G364" s="1"/>
      <c r="H364" s="1" t="s">
        <v>136</v>
      </c>
      <c r="I364" s="1"/>
      <c r="J364" s="1"/>
      <c r="K364" s="1"/>
      <c r="L364" s="1"/>
      <c r="P364" s="29"/>
      <c r="Q364" s="30"/>
      <c r="T364" s="29"/>
    </row>
    <row r="365" spans="1:20" ht="15" x14ac:dyDescent="0.25">
      <c r="A365" s="1"/>
      <c r="B365" s="1" t="s">
        <v>15</v>
      </c>
      <c r="C365" s="1"/>
      <c r="D365" s="1"/>
      <c r="E365" s="1"/>
      <c r="F365" s="1"/>
      <c r="G365" s="1"/>
      <c r="H365" s="1" t="s">
        <v>13</v>
      </c>
      <c r="I365" s="1"/>
      <c r="J365" s="1"/>
      <c r="K365" s="1"/>
      <c r="L365" s="1"/>
      <c r="P365" s="31"/>
      <c r="Q365" s="34"/>
      <c r="T365" s="35"/>
    </row>
    <row r="366" spans="1:20" ht="15" x14ac:dyDescent="0.25">
      <c r="A366" s="1"/>
      <c r="B366" s="1" t="s">
        <v>18</v>
      </c>
      <c r="C366" s="1"/>
      <c r="D366" s="1"/>
      <c r="E366" s="1"/>
      <c r="F366" s="1"/>
      <c r="G366" s="1"/>
      <c r="H366" s="1" t="s">
        <v>14</v>
      </c>
      <c r="I366" s="1"/>
      <c r="J366" s="1"/>
      <c r="K366" s="1"/>
      <c r="L366" s="1"/>
      <c r="Q366" s="34"/>
    </row>
    <row r="367" spans="1:2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Q367" s="34"/>
    </row>
    <row r="368" spans="1:2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Q368" s="34"/>
    </row>
    <row r="369" spans="1:21" ht="9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P369" s="29"/>
      <c r="Q369" s="34"/>
      <c r="T369" s="29"/>
    </row>
    <row r="370" spans="1:21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P370" s="31"/>
      <c r="Q370" s="34"/>
      <c r="T370" s="35"/>
    </row>
    <row r="371" spans="1:21" ht="15" x14ac:dyDescent="0.25">
      <c r="A371" s="1"/>
      <c r="B371" s="37" t="s">
        <v>77</v>
      </c>
      <c r="C371" s="1"/>
      <c r="D371" s="1"/>
      <c r="E371" s="1"/>
      <c r="F371" s="1"/>
      <c r="G371" s="1"/>
      <c r="H371" s="37" t="str">
        <f>D343</f>
        <v>Atika Melati, S.Farm., Apt.</v>
      </c>
      <c r="I371" s="1"/>
      <c r="J371" s="1"/>
      <c r="K371" s="1"/>
      <c r="L371" s="1"/>
      <c r="P371" s="30"/>
      <c r="Q371" s="34"/>
    </row>
    <row r="372" spans="1:21" ht="15" x14ac:dyDescent="0.25">
      <c r="A372" s="1"/>
      <c r="B372" s="48" t="s">
        <v>27</v>
      </c>
      <c r="C372" s="7"/>
      <c r="D372" s="1"/>
      <c r="E372" s="1"/>
      <c r="F372" s="1"/>
      <c r="G372" s="1"/>
      <c r="H372" s="1" t="str">
        <f>D344</f>
        <v>NIP. 19941110 201903 2 006</v>
      </c>
      <c r="I372" s="1"/>
      <c r="J372" s="1"/>
      <c r="K372" s="1"/>
      <c r="L372" s="1"/>
      <c r="Q372" s="34"/>
    </row>
    <row r="373" spans="1:21" ht="15" x14ac:dyDescent="0.25">
      <c r="A373" s="1"/>
      <c r="B373" s="48"/>
      <c r="C373" s="7"/>
      <c r="D373" s="1"/>
      <c r="E373" s="1"/>
      <c r="F373" s="1"/>
      <c r="G373" s="1"/>
      <c r="H373" s="1"/>
      <c r="I373" s="1"/>
      <c r="J373" s="1"/>
      <c r="K373" s="1"/>
      <c r="L373" s="1"/>
      <c r="P373" s="29"/>
      <c r="Q373" s="34"/>
      <c r="T373" s="36"/>
    </row>
    <row r="374" spans="1:21" ht="15" x14ac:dyDescent="0.25">
      <c r="A374" s="1"/>
      <c r="B374" s="48"/>
      <c r="C374" s="7"/>
      <c r="D374" s="1"/>
      <c r="E374" s="1"/>
      <c r="F374" s="1"/>
      <c r="G374" s="1"/>
      <c r="H374" s="1"/>
      <c r="I374" s="1"/>
      <c r="J374" s="1"/>
      <c r="K374" s="1"/>
      <c r="L374" s="1"/>
      <c r="P374" s="31"/>
      <c r="T374" s="35"/>
    </row>
    <row r="375" spans="1:21" x14ac:dyDescent="0.2">
      <c r="P375" s="30"/>
    </row>
    <row r="377" spans="1:21" x14ac:dyDescent="0.2">
      <c r="P377" s="30"/>
      <c r="Q377" s="34"/>
    </row>
    <row r="378" spans="1:21" ht="15.75" x14ac:dyDescent="0.25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Q378" s="34"/>
    </row>
    <row r="379" spans="1:21" ht="15.75" x14ac:dyDescent="0.25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P379" s="29"/>
      <c r="Q379" s="34"/>
      <c r="T379" s="29"/>
      <c r="U379" s="34"/>
    </row>
    <row r="380" spans="1:21" ht="15.75" x14ac:dyDescent="0.25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P380" s="31"/>
      <c r="Q380" s="34"/>
      <c r="T380" s="31"/>
      <c r="U380" s="34"/>
    </row>
    <row r="381" spans="1:2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Q381" s="34"/>
      <c r="T381" s="30"/>
      <c r="U381" s="34"/>
    </row>
    <row r="382" spans="1:2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Q382" s="34"/>
    </row>
    <row r="383" spans="1:2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P383" s="29"/>
      <c r="Q383" s="34"/>
      <c r="T383" s="29"/>
      <c r="U383" s="30"/>
    </row>
    <row r="384" spans="1:21" ht="19.5" thickBot="1" x14ac:dyDescent="0.35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P384" s="31"/>
      <c r="Q384" s="34"/>
      <c r="T384" s="31"/>
      <c r="U384" s="30"/>
    </row>
    <row r="385" spans="1:21" ht="19.5" thickTop="1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N385" s="25"/>
      <c r="O385" s="25"/>
      <c r="P385" s="25"/>
      <c r="Q385" s="37"/>
      <c r="R385" s="25"/>
      <c r="T385" s="30"/>
    </row>
    <row r="386" spans="1:21" ht="18.75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N386" s="25"/>
      <c r="O386" s="25"/>
      <c r="P386" s="25"/>
      <c r="Q386" s="48"/>
      <c r="R386" s="25"/>
    </row>
    <row r="387" spans="1:21" ht="15" x14ac:dyDescent="0.25">
      <c r="A387" s="1"/>
      <c r="B387" s="1"/>
      <c r="C387" s="4"/>
      <c r="D387" s="4"/>
      <c r="E387" s="4"/>
      <c r="F387" s="4"/>
      <c r="G387" s="4"/>
      <c r="H387" s="4"/>
      <c r="I387" s="4"/>
      <c r="J387" s="4"/>
      <c r="K387" s="4"/>
      <c r="L387" s="4"/>
      <c r="N387" s="25"/>
      <c r="O387" s="25"/>
      <c r="P387" s="25"/>
      <c r="Q387" s="48"/>
      <c r="R387" s="25"/>
    </row>
    <row r="388" spans="1:21" ht="15" x14ac:dyDescent="0.25">
      <c r="A388" s="1"/>
      <c r="B388" s="1"/>
      <c r="C388" s="4"/>
      <c r="D388" s="4"/>
      <c r="E388" s="4"/>
      <c r="F388" s="4"/>
      <c r="G388" s="4"/>
      <c r="H388" s="4"/>
      <c r="I388" s="4"/>
      <c r="J388" s="4"/>
      <c r="K388" s="4"/>
      <c r="L388" s="4"/>
      <c r="N388" s="25"/>
      <c r="O388" s="25"/>
      <c r="P388" s="33"/>
      <c r="Q388" s="25"/>
      <c r="R388" s="25"/>
      <c r="T388" s="29"/>
      <c r="U388" s="30"/>
    </row>
    <row r="389" spans="1:21" ht="15" x14ac:dyDescent="0.25">
      <c r="A389" s="1"/>
      <c r="B389" s="1"/>
      <c r="C389" s="4"/>
      <c r="D389" s="4"/>
      <c r="E389" s="4"/>
      <c r="F389" s="4"/>
      <c r="G389" s="4"/>
      <c r="H389" s="4"/>
      <c r="I389" s="4"/>
      <c r="J389" s="4"/>
      <c r="K389" s="4"/>
      <c r="L389" s="4"/>
      <c r="N389" s="25"/>
      <c r="O389" s="25"/>
      <c r="P389" s="27"/>
      <c r="Q389" s="25"/>
      <c r="R389" s="25"/>
      <c r="T389" s="31"/>
      <c r="U389" s="30"/>
    </row>
    <row r="390" spans="1:21" ht="15" x14ac:dyDescent="0.25">
      <c r="A390" s="1"/>
      <c r="B390" s="4"/>
      <c r="C390" s="9"/>
      <c r="D390" s="37"/>
      <c r="E390" s="64"/>
      <c r="F390" s="4"/>
      <c r="G390" s="4"/>
      <c r="H390" s="4"/>
      <c r="I390" s="4"/>
      <c r="J390" s="4"/>
      <c r="K390" s="4"/>
      <c r="L390" s="4"/>
      <c r="N390" s="26"/>
      <c r="O390" s="25"/>
      <c r="P390" s="25"/>
      <c r="Q390" s="37"/>
      <c r="R390" s="25"/>
      <c r="T390" s="30"/>
    </row>
    <row r="391" spans="1:21" ht="15" x14ac:dyDescent="0.25">
      <c r="A391" s="1"/>
      <c r="B391" s="4"/>
      <c r="C391" s="9"/>
      <c r="D391" s="1"/>
      <c r="E391" s="64"/>
      <c r="F391" s="4"/>
      <c r="G391" s="4"/>
      <c r="H391" s="4"/>
      <c r="I391" s="4"/>
      <c r="J391" s="4"/>
      <c r="K391" s="4"/>
      <c r="L391" s="4"/>
      <c r="N391" s="28"/>
      <c r="O391" s="25"/>
      <c r="P391" s="25"/>
      <c r="Q391" s="48"/>
      <c r="R391" s="25"/>
    </row>
    <row r="392" spans="1:21" ht="15" x14ac:dyDescent="0.25">
      <c r="A392" s="1"/>
      <c r="B392" s="4"/>
      <c r="C392" s="9"/>
      <c r="D392" s="1"/>
      <c r="E392" s="64"/>
      <c r="F392" s="4"/>
      <c r="G392" s="4"/>
      <c r="H392" s="4"/>
      <c r="I392" s="4"/>
      <c r="J392" s="4"/>
      <c r="K392" s="4"/>
      <c r="L392" s="4"/>
      <c r="N392" s="28"/>
      <c r="O392" s="25"/>
      <c r="P392" s="25"/>
      <c r="Q392" s="48"/>
      <c r="R392" s="25"/>
    </row>
    <row r="393" spans="1:21" ht="15" x14ac:dyDescent="0.25">
      <c r="A393" s="1"/>
      <c r="B393" s="1"/>
      <c r="C393" s="4"/>
      <c r="D393" s="1"/>
      <c r="E393" s="4"/>
      <c r="F393" s="4"/>
      <c r="G393" s="4"/>
      <c r="H393" s="4"/>
      <c r="I393" s="4"/>
      <c r="J393" s="4"/>
      <c r="K393" s="4"/>
      <c r="L393" s="4"/>
      <c r="N393" s="28"/>
      <c r="O393" s="25"/>
      <c r="P393" s="25"/>
      <c r="Q393" s="25"/>
      <c r="R393" s="25"/>
    </row>
    <row r="394" spans="1:21" ht="32.25" customHeight="1" x14ac:dyDescent="0.2">
      <c r="A394" s="280"/>
      <c r="B394" s="277"/>
      <c r="C394" s="277"/>
      <c r="D394" s="277"/>
      <c r="E394" s="277"/>
      <c r="F394" s="277"/>
      <c r="G394" s="277"/>
      <c r="H394" s="277"/>
      <c r="I394" s="277"/>
      <c r="J394" s="277"/>
      <c r="K394" s="277"/>
      <c r="L394" s="277"/>
      <c r="N394" s="28"/>
      <c r="O394" s="25"/>
      <c r="P394" s="25"/>
      <c r="Q394" s="25"/>
      <c r="R394" s="25"/>
    </row>
    <row r="395" spans="1:21" ht="15" x14ac:dyDescent="0.25">
      <c r="A395" s="1"/>
      <c r="B395" s="1"/>
      <c r="C395" s="4"/>
      <c r="D395" s="4"/>
      <c r="E395" s="4"/>
      <c r="F395" s="4"/>
      <c r="G395" s="4"/>
      <c r="H395" s="4"/>
      <c r="I395" s="4"/>
      <c r="J395" s="4"/>
      <c r="K395" s="4"/>
      <c r="L395" s="4"/>
      <c r="N395" s="28"/>
      <c r="O395" s="25"/>
      <c r="P395" s="25"/>
      <c r="Q395" s="25"/>
      <c r="R395" s="25"/>
    </row>
    <row r="396" spans="1:21" ht="33.75" customHeight="1" thickBot="1" x14ac:dyDescent="0.25">
      <c r="A396" s="10"/>
      <c r="B396" s="337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N396" s="28"/>
      <c r="O396" s="25"/>
      <c r="P396" s="25"/>
      <c r="Q396" s="25"/>
      <c r="R396" s="25"/>
    </row>
    <row r="397" spans="1:21" ht="15.75" thickTop="1" x14ac:dyDescent="0.25">
      <c r="A397" s="1"/>
      <c r="B397" s="11"/>
      <c r="C397" s="12"/>
      <c r="D397" s="13"/>
      <c r="E397" s="13"/>
      <c r="F397" s="13"/>
      <c r="G397" s="13"/>
      <c r="H397" s="14"/>
      <c r="I397" s="15"/>
      <c r="J397" s="12"/>
      <c r="K397" s="13"/>
      <c r="L397" s="14"/>
      <c r="N397" s="28"/>
      <c r="O397" s="25"/>
      <c r="P397" s="25"/>
      <c r="Q397" s="25"/>
      <c r="R397" s="25"/>
    </row>
    <row r="398" spans="1:21" ht="27.75" customHeight="1" x14ac:dyDescent="0.2">
      <c r="A398" s="50"/>
      <c r="B398" s="60"/>
      <c r="C398" s="50"/>
      <c r="D398" s="50"/>
      <c r="E398" s="50"/>
      <c r="F398" s="50"/>
      <c r="G398" s="54"/>
      <c r="H398" s="55"/>
      <c r="I398" s="56"/>
      <c r="J398" s="50"/>
      <c r="K398" s="50"/>
      <c r="L398" s="55"/>
      <c r="N398" s="28"/>
      <c r="O398" s="25"/>
      <c r="P398" s="25"/>
      <c r="Q398" s="25"/>
      <c r="R398" s="25"/>
    </row>
    <row r="399" spans="1:21" ht="21" customHeight="1" x14ac:dyDescent="0.2">
      <c r="A399" s="76"/>
      <c r="B399" s="77"/>
      <c r="C399" s="76"/>
      <c r="D399" s="76"/>
      <c r="E399" s="76"/>
      <c r="F399" s="76"/>
      <c r="G399" s="78"/>
      <c r="H399" s="79"/>
      <c r="I399" s="80"/>
      <c r="J399" s="76"/>
      <c r="K399" s="76"/>
      <c r="L399" s="79"/>
      <c r="N399" s="28"/>
      <c r="O399" s="25"/>
      <c r="P399" s="25"/>
      <c r="Q399" s="25"/>
      <c r="R399" s="25"/>
    </row>
    <row r="400" spans="1:21" x14ac:dyDescent="0.2">
      <c r="A400" s="4"/>
      <c r="B400" s="16"/>
      <c r="C400" s="4"/>
      <c r="D400" s="4"/>
      <c r="E400" s="4"/>
      <c r="F400" s="4"/>
      <c r="G400" s="4"/>
      <c r="H400" s="17"/>
      <c r="I400" s="19"/>
      <c r="J400" s="4"/>
      <c r="K400" s="4"/>
      <c r="L400" s="17"/>
      <c r="N400" s="28"/>
      <c r="O400" s="25"/>
      <c r="P400" s="25"/>
      <c r="Q400" s="25"/>
      <c r="R400" s="25"/>
    </row>
    <row r="401" spans="1:18" x14ac:dyDescent="0.2">
      <c r="A401" s="4"/>
      <c r="B401" s="16"/>
      <c r="C401" s="4"/>
      <c r="D401" s="4"/>
      <c r="E401" s="4"/>
      <c r="F401" s="4"/>
      <c r="G401" s="4"/>
      <c r="H401" s="17"/>
      <c r="I401" s="19"/>
      <c r="J401" s="4"/>
      <c r="K401" s="4"/>
      <c r="L401" s="17"/>
      <c r="N401" s="28"/>
      <c r="O401" s="25"/>
      <c r="P401" s="25"/>
      <c r="Q401" s="25"/>
      <c r="R401" s="25"/>
    </row>
    <row r="402" spans="1:18" x14ac:dyDescent="0.2">
      <c r="A402" s="4"/>
      <c r="B402" s="16"/>
      <c r="C402" s="4"/>
      <c r="D402" s="4"/>
      <c r="E402" s="4"/>
      <c r="F402" s="4"/>
      <c r="G402" s="4"/>
      <c r="H402" s="17"/>
      <c r="I402" s="19"/>
      <c r="J402" s="4"/>
      <c r="K402" s="4"/>
      <c r="L402" s="17"/>
      <c r="N402" s="28"/>
      <c r="O402" s="25"/>
      <c r="P402" s="25"/>
      <c r="Q402" s="25"/>
      <c r="R402" s="25"/>
    </row>
    <row r="403" spans="1:18" x14ac:dyDescent="0.2">
      <c r="A403" s="4"/>
      <c r="B403" s="20"/>
      <c r="C403" s="21"/>
      <c r="D403" s="21"/>
      <c r="E403" s="21"/>
      <c r="F403" s="21"/>
      <c r="G403" s="21"/>
      <c r="H403" s="22"/>
      <c r="I403" s="23"/>
      <c r="J403" s="21"/>
      <c r="K403" s="21"/>
      <c r="L403" s="22"/>
    </row>
    <row r="404" spans="1:18" ht="15" x14ac:dyDescent="0.25">
      <c r="A404" s="1"/>
      <c r="B404" s="39"/>
      <c r="C404" s="1"/>
      <c r="D404" s="1"/>
      <c r="E404" s="1"/>
      <c r="F404" s="40"/>
      <c r="G404" s="40"/>
      <c r="H404" s="1"/>
      <c r="I404" s="41"/>
      <c r="J404" s="1"/>
      <c r="K404" s="1"/>
      <c r="L404" s="42"/>
    </row>
    <row r="405" spans="1:18" ht="15.75" thickBot="1" x14ac:dyDescent="0.3">
      <c r="A405" s="1"/>
      <c r="B405" s="43"/>
      <c r="C405" s="44"/>
      <c r="D405" s="44"/>
      <c r="E405" s="44"/>
      <c r="F405" s="45"/>
      <c r="G405" s="45"/>
      <c r="H405" s="44"/>
      <c r="I405" s="46"/>
      <c r="J405" s="44"/>
      <c r="K405" s="44"/>
      <c r="L405" s="47"/>
    </row>
    <row r="406" spans="1:18" ht="15.75" thickTop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8" ht="49.5" customHeight="1" x14ac:dyDescent="0.2">
      <c r="A407" s="10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P407" s="29"/>
      <c r="Q407" s="30"/>
    </row>
    <row r="408" spans="1:18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P408" s="29"/>
      <c r="Q408" s="30"/>
    </row>
    <row r="409" spans="1:18" ht="18" customHeight="1" x14ac:dyDescent="0.2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P409" s="29"/>
      <c r="Q409" s="30"/>
    </row>
    <row r="410" spans="1:18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P410" s="31"/>
      <c r="Q410" s="30"/>
    </row>
    <row r="411" spans="1:18" ht="1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Q411" s="30"/>
    </row>
    <row r="412" spans="1:18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P412" s="32"/>
      <c r="Q412" s="30"/>
    </row>
    <row r="413" spans="1:18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P413" s="32"/>
      <c r="Q413" s="30"/>
    </row>
    <row r="414" spans="1:18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P414" s="29"/>
      <c r="Q414" s="30"/>
    </row>
    <row r="415" spans="1:18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P415" s="31"/>
      <c r="Q415" s="30"/>
    </row>
    <row r="416" spans="1:18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P416" s="30"/>
      <c r="Q416" s="30"/>
    </row>
    <row r="417" spans="1:2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P417" s="30"/>
      <c r="Q417" s="30"/>
    </row>
    <row r="418" spans="1:2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P418" s="30"/>
      <c r="Q418" s="30"/>
    </row>
    <row r="419" spans="1:20" ht="15" x14ac:dyDescent="0.25">
      <c r="A419" s="1"/>
      <c r="B419" s="37"/>
      <c r="C419" s="1"/>
      <c r="D419" s="1"/>
      <c r="E419" s="1"/>
      <c r="F419" s="1"/>
      <c r="G419" s="1"/>
      <c r="H419" s="37"/>
      <c r="I419" s="1"/>
      <c r="J419" s="1"/>
      <c r="K419" s="1"/>
      <c r="L419" s="1"/>
      <c r="P419" s="29"/>
      <c r="Q419" s="30"/>
      <c r="T419" s="29"/>
    </row>
    <row r="420" spans="1:20" ht="15" x14ac:dyDescent="0.25">
      <c r="A420" s="1"/>
      <c r="B420" s="48"/>
      <c r="C420" s="7"/>
      <c r="D420" s="1"/>
      <c r="E420" s="1"/>
      <c r="F420" s="1"/>
      <c r="G420" s="1"/>
      <c r="H420" s="1"/>
      <c r="I420" s="1"/>
      <c r="J420" s="1"/>
      <c r="K420" s="1"/>
      <c r="L420" s="1"/>
      <c r="P420" s="31"/>
      <c r="Q420" s="34"/>
      <c r="T420" s="35"/>
    </row>
    <row r="421" spans="1:20" ht="15" x14ac:dyDescent="0.25">
      <c r="A421" s="1"/>
      <c r="B421" s="48"/>
      <c r="C421" s="7"/>
      <c r="D421" s="1"/>
      <c r="E421" s="1"/>
      <c r="F421" s="1"/>
      <c r="G421" s="1"/>
      <c r="H421" s="1"/>
      <c r="I421" s="1"/>
      <c r="J421" s="1"/>
      <c r="K421" s="1"/>
      <c r="L421" s="1"/>
      <c r="Q421" s="34"/>
    </row>
    <row r="422" spans="1:20" x14ac:dyDescent="0.2">
      <c r="Q422" s="34"/>
    </row>
    <row r="423" spans="1:20" ht="9.75" customHeight="1" x14ac:dyDescent="0.2">
      <c r="Q423" s="34"/>
    </row>
    <row r="424" spans="1:20" ht="15" customHeight="1" x14ac:dyDescent="0.2">
      <c r="P424" s="29"/>
      <c r="Q424" s="34"/>
      <c r="T424" s="29"/>
    </row>
    <row r="425" spans="1:20" x14ac:dyDescent="0.2">
      <c r="P425" s="31"/>
      <c r="Q425" s="34"/>
      <c r="T425" s="35"/>
    </row>
    <row r="426" spans="1:20" ht="15.75" x14ac:dyDescent="0.25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P426" s="30"/>
      <c r="Q426" s="34"/>
    </row>
    <row r="427" spans="1:20" ht="15.75" x14ac:dyDescent="0.25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Q427" s="34"/>
    </row>
    <row r="428" spans="1:20" ht="15.75" x14ac:dyDescent="0.25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P428" s="29"/>
      <c r="Q428" s="34"/>
      <c r="T428" s="36"/>
    </row>
    <row r="429" spans="1:20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P429" s="31"/>
      <c r="T429" s="35"/>
    </row>
    <row r="430" spans="1:20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P430" s="30"/>
    </row>
    <row r="431" spans="1:20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20" ht="19.5" thickBot="1" x14ac:dyDescent="0.35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P432" s="30"/>
      <c r="Q432" s="34"/>
    </row>
    <row r="433" spans="1:21" ht="19.5" thickTop="1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Q433" s="34"/>
    </row>
    <row r="434" spans="1:21" ht="18.75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P434" s="29"/>
      <c r="Q434" s="34"/>
      <c r="T434" s="29"/>
      <c r="U434" s="34"/>
    </row>
    <row r="435" spans="1:21" ht="15" x14ac:dyDescent="0.25">
      <c r="A435" s="1"/>
      <c r="B435" s="1"/>
      <c r="C435" s="4"/>
      <c r="D435" s="4"/>
      <c r="E435" s="4"/>
      <c r="F435" s="4"/>
      <c r="G435" s="4"/>
      <c r="H435" s="4"/>
      <c r="I435" s="4"/>
      <c r="J435" s="4"/>
      <c r="K435" s="4"/>
      <c r="L435" s="4"/>
      <c r="P435" s="31"/>
      <c r="Q435" s="34"/>
      <c r="T435" s="31"/>
      <c r="U435" s="34"/>
    </row>
    <row r="436" spans="1:21" ht="15" x14ac:dyDescent="0.25">
      <c r="A436" s="1"/>
      <c r="B436" s="1"/>
      <c r="C436" s="4"/>
      <c r="D436" s="4"/>
      <c r="E436" s="4"/>
      <c r="F436" s="4"/>
      <c r="G436" s="4"/>
      <c r="H436" s="4"/>
      <c r="I436" s="4"/>
      <c r="J436" s="4"/>
      <c r="K436" s="4"/>
      <c r="L436" s="4"/>
      <c r="Q436" s="34"/>
      <c r="T436" s="30"/>
      <c r="U436" s="34"/>
    </row>
    <row r="437" spans="1:21" ht="15" x14ac:dyDescent="0.25">
      <c r="A437" s="1"/>
      <c r="B437" s="1"/>
      <c r="C437" s="4"/>
      <c r="D437" s="4"/>
      <c r="E437" s="4"/>
      <c r="F437" s="4"/>
      <c r="G437" s="4"/>
      <c r="H437" s="4"/>
      <c r="I437" s="4"/>
      <c r="J437" s="4"/>
      <c r="K437" s="4"/>
      <c r="L437" s="4"/>
      <c r="Q437" s="34"/>
    </row>
    <row r="438" spans="1:21" ht="15" x14ac:dyDescent="0.25">
      <c r="A438" s="1"/>
      <c r="B438" s="4"/>
      <c r="C438" s="9"/>
      <c r="D438" s="37"/>
      <c r="E438" s="64"/>
      <c r="F438" s="4"/>
      <c r="G438" s="4"/>
      <c r="H438" s="4"/>
      <c r="I438" s="4"/>
      <c r="J438" s="4"/>
      <c r="K438" s="4"/>
      <c r="L438" s="4"/>
      <c r="P438" s="29"/>
      <c r="Q438" s="34"/>
      <c r="T438" s="29"/>
      <c r="U438" s="30"/>
    </row>
    <row r="439" spans="1:21" ht="15" x14ac:dyDescent="0.25">
      <c r="A439" s="1"/>
      <c r="B439" s="4"/>
      <c r="C439" s="9"/>
      <c r="D439" s="1"/>
      <c r="E439" s="64"/>
      <c r="F439" s="4"/>
      <c r="G439" s="4"/>
      <c r="H439" s="4"/>
      <c r="I439" s="4"/>
      <c r="J439" s="4"/>
      <c r="K439" s="4"/>
      <c r="L439" s="4"/>
      <c r="P439" s="31"/>
      <c r="Q439" s="34"/>
      <c r="T439" s="31"/>
      <c r="U439" s="30"/>
    </row>
    <row r="440" spans="1:21" ht="15" x14ac:dyDescent="0.25">
      <c r="A440" s="1"/>
      <c r="B440" s="4"/>
      <c r="C440" s="9"/>
      <c r="D440" s="1"/>
      <c r="E440" s="64"/>
      <c r="F440" s="4"/>
      <c r="G440" s="4"/>
      <c r="H440" s="4"/>
      <c r="I440" s="4"/>
      <c r="J440" s="4"/>
      <c r="K440" s="4"/>
      <c r="L440" s="4"/>
      <c r="N440" s="25"/>
      <c r="O440" s="25"/>
      <c r="P440" s="25"/>
      <c r="Q440" s="25"/>
      <c r="R440" s="25"/>
      <c r="T440" s="30"/>
    </row>
    <row r="441" spans="1:21" ht="15" x14ac:dyDescent="0.25">
      <c r="A441" s="1"/>
      <c r="B441" s="1"/>
      <c r="C441" s="4"/>
      <c r="D441" s="1"/>
      <c r="E441" s="4"/>
      <c r="F441" s="4"/>
      <c r="G441" s="4"/>
      <c r="H441" s="4"/>
      <c r="I441" s="4"/>
      <c r="J441" s="4"/>
      <c r="K441" s="4"/>
      <c r="L441" s="4"/>
      <c r="N441" s="25"/>
      <c r="O441" s="25"/>
      <c r="P441" s="25"/>
      <c r="Q441" s="25"/>
      <c r="R441" s="25"/>
    </row>
    <row r="442" spans="1:21" ht="42.75" customHeight="1" x14ac:dyDescent="0.2">
      <c r="A442" s="280"/>
      <c r="B442" s="277"/>
      <c r="C442" s="277"/>
      <c r="D442" s="277"/>
      <c r="E442" s="277"/>
      <c r="F442" s="277"/>
      <c r="G442" s="277"/>
      <c r="H442" s="277"/>
      <c r="I442" s="277"/>
      <c r="J442" s="277"/>
      <c r="K442" s="277"/>
      <c r="L442" s="277"/>
      <c r="N442" s="25"/>
      <c r="O442" s="25"/>
      <c r="P442" s="25"/>
      <c r="Q442" s="25"/>
      <c r="R442" s="25"/>
    </row>
    <row r="443" spans="1:21" ht="15" x14ac:dyDescent="0.25">
      <c r="A443" s="1"/>
      <c r="B443" s="1"/>
      <c r="C443" s="4"/>
      <c r="D443" s="4"/>
      <c r="E443" s="4"/>
      <c r="F443" s="4"/>
      <c r="G443" s="4"/>
      <c r="H443" s="4"/>
      <c r="I443" s="4"/>
      <c r="J443" s="4"/>
      <c r="K443" s="4"/>
      <c r="L443" s="4"/>
      <c r="N443" s="25"/>
      <c r="O443" s="25"/>
      <c r="P443" s="33"/>
      <c r="Q443" s="25"/>
      <c r="R443" s="25"/>
      <c r="T443" s="29"/>
      <c r="U443" s="30"/>
    </row>
    <row r="444" spans="1:21" ht="37.5" customHeight="1" thickBot="1" x14ac:dyDescent="0.25">
      <c r="A444" s="10"/>
      <c r="B444" s="337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N444" s="25"/>
      <c r="O444" s="25"/>
      <c r="P444" s="27"/>
      <c r="Q444" s="25"/>
      <c r="R444" s="25"/>
      <c r="T444" s="31"/>
      <c r="U444" s="30"/>
    </row>
    <row r="445" spans="1:21" ht="15.75" thickTop="1" x14ac:dyDescent="0.25">
      <c r="A445" s="1"/>
      <c r="B445" s="11"/>
      <c r="C445" s="12"/>
      <c r="D445" s="13"/>
      <c r="E445" s="13"/>
      <c r="F445" s="13"/>
      <c r="G445" s="13"/>
      <c r="H445" s="14"/>
      <c r="I445" s="15"/>
      <c r="J445" s="12"/>
      <c r="K445" s="13"/>
      <c r="L445" s="14"/>
      <c r="N445" s="26"/>
      <c r="O445" s="25"/>
      <c r="P445" s="25"/>
      <c r="Q445" s="26"/>
      <c r="R445" s="25"/>
      <c r="T445" s="30"/>
    </row>
    <row r="446" spans="1:21" ht="22.5" customHeight="1" x14ac:dyDescent="0.2">
      <c r="A446" s="50"/>
      <c r="B446" s="60"/>
      <c r="C446" s="50"/>
      <c r="D446" s="50"/>
      <c r="E446" s="50"/>
      <c r="F446" s="50"/>
      <c r="G446" s="54"/>
      <c r="H446" s="55"/>
      <c r="I446" s="56"/>
      <c r="J446" s="50"/>
      <c r="K446" s="50"/>
      <c r="L446" s="55"/>
      <c r="N446" s="28"/>
      <c r="O446" s="25"/>
      <c r="P446" s="25"/>
      <c r="Q446" s="25"/>
      <c r="R446" s="25"/>
    </row>
    <row r="447" spans="1:21" ht="15.75" customHeight="1" x14ac:dyDescent="0.2">
      <c r="A447" s="76"/>
      <c r="B447" s="77"/>
      <c r="C447" s="76"/>
      <c r="D447" s="76"/>
      <c r="E447" s="76"/>
      <c r="F447" s="76"/>
      <c r="G447" s="78"/>
      <c r="H447" s="79"/>
      <c r="I447" s="80"/>
      <c r="J447" s="76"/>
      <c r="K447" s="76"/>
      <c r="L447" s="79"/>
      <c r="N447" s="28"/>
      <c r="O447" s="25"/>
      <c r="P447" s="25"/>
      <c r="Q447" s="25"/>
      <c r="R447" s="25"/>
    </row>
    <row r="448" spans="1:21" x14ac:dyDescent="0.2">
      <c r="A448" s="4"/>
      <c r="B448" s="16"/>
      <c r="C448" s="4"/>
      <c r="D448" s="4"/>
      <c r="E448" s="4"/>
      <c r="F448" s="4"/>
      <c r="G448" s="4"/>
      <c r="H448" s="17"/>
      <c r="I448" s="19"/>
      <c r="J448" s="4"/>
      <c r="K448" s="4"/>
      <c r="L448" s="17"/>
      <c r="N448" s="28"/>
      <c r="O448" s="25"/>
      <c r="P448" s="25"/>
      <c r="Q448" s="25"/>
      <c r="R448" s="25"/>
    </row>
    <row r="449" spans="1:18" x14ac:dyDescent="0.2">
      <c r="A449" s="4"/>
      <c r="B449" s="16"/>
      <c r="C449" s="4"/>
      <c r="D449" s="4"/>
      <c r="E449" s="4"/>
      <c r="F449" s="4"/>
      <c r="G449" s="4"/>
      <c r="H449" s="17"/>
      <c r="I449" s="19"/>
      <c r="J449" s="4"/>
      <c r="K449" s="4"/>
      <c r="L449" s="17"/>
      <c r="N449" s="28"/>
      <c r="O449" s="25"/>
      <c r="P449" s="25"/>
      <c r="Q449" s="25"/>
      <c r="R449" s="25"/>
    </row>
    <row r="450" spans="1:18" x14ac:dyDescent="0.2">
      <c r="A450" s="4"/>
      <c r="B450" s="16"/>
      <c r="C450" s="4"/>
      <c r="D450" s="4"/>
      <c r="E450" s="4"/>
      <c r="F450" s="4"/>
      <c r="G450" s="4"/>
      <c r="H450" s="17"/>
      <c r="I450" s="19"/>
      <c r="J450" s="4"/>
      <c r="K450" s="4"/>
      <c r="L450" s="17"/>
      <c r="N450" s="28"/>
      <c r="O450" s="25"/>
      <c r="P450" s="25"/>
      <c r="Q450" s="25"/>
      <c r="R450" s="25"/>
    </row>
    <row r="451" spans="1:18" x14ac:dyDescent="0.2">
      <c r="A451" s="4"/>
      <c r="B451" s="20"/>
      <c r="C451" s="21"/>
      <c r="D451" s="21"/>
      <c r="E451" s="21"/>
      <c r="F451" s="21"/>
      <c r="G451" s="21"/>
      <c r="H451" s="22"/>
      <c r="I451" s="23"/>
      <c r="J451" s="21"/>
      <c r="K451" s="21"/>
      <c r="L451" s="22"/>
      <c r="N451" s="28"/>
      <c r="O451" s="25"/>
      <c r="P451" s="25"/>
      <c r="Q451" s="25"/>
      <c r="R451" s="25"/>
    </row>
    <row r="452" spans="1:18" ht="15" x14ac:dyDescent="0.25">
      <c r="A452" s="1"/>
      <c r="B452" s="39"/>
      <c r="C452" s="1"/>
      <c r="D452" s="1"/>
      <c r="E452" s="1"/>
      <c r="F452" s="40"/>
      <c r="G452" s="40"/>
      <c r="H452" s="1"/>
      <c r="I452" s="41"/>
      <c r="J452" s="1"/>
      <c r="K452" s="1"/>
      <c r="L452" s="42"/>
      <c r="N452" s="28"/>
      <c r="O452" s="25"/>
      <c r="P452" s="25"/>
      <c r="Q452" s="25"/>
      <c r="R452" s="25"/>
    </row>
    <row r="453" spans="1:18" ht="15.75" thickBot="1" x14ac:dyDescent="0.3">
      <c r="A453" s="1"/>
      <c r="B453" s="43"/>
      <c r="C453" s="44"/>
      <c r="D453" s="44"/>
      <c r="E453" s="44"/>
      <c r="F453" s="45"/>
      <c r="G453" s="45"/>
      <c r="H453" s="44"/>
      <c r="I453" s="46"/>
      <c r="J453" s="44"/>
      <c r="K453" s="44"/>
      <c r="L453" s="47"/>
      <c r="N453" s="28"/>
      <c r="O453" s="25"/>
      <c r="P453" s="25"/>
      <c r="Q453" s="25"/>
      <c r="R453" s="25"/>
    </row>
    <row r="454" spans="1:18" ht="15.75" thickTop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N454" s="28"/>
      <c r="O454" s="25"/>
      <c r="P454" s="25"/>
      <c r="Q454" s="25"/>
      <c r="R454" s="25"/>
    </row>
    <row r="455" spans="1:18" ht="46.5" customHeight="1" x14ac:dyDescent="0.2">
      <c r="A455" s="10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N455" s="28"/>
      <c r="O455" s="25"/>
      <c r="P455" s="25"/>
      <c r="Q455" s="25"/>
      <c r="R455" s="25"/>
    </row>
    <row r="456" spans="1:18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8" ht="20.25" customHeight="1" x14ac:dyDescent="0.2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</row>
    <row r="458" spans="1:1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8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8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8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8" s="51" customFormat="1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/>
      <c r="P462" s="52"/>
      <c r="Q462" s="53"/>
    </row>
    <row r="463" spans="1:18" s="51" customFormat="1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/>
      <c r="P463" s="52"/>
      <c r="Q463" s="53"/>
    </row>
    <row r="464" spans="1:18" s="51" customFormat="1" ht="10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/>
      <c r="P464" s="52"/>
      <c r="Q464" s="53"/>
    </row>
    <row r="465" spans="1:20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P465" s="31"/>
      <c r="Q465" s="30"/>
    </row>
    <row r="466" spans="1:20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Q466" s="30"/>
    </row>
    <row r="467" spans="1:20" ht="15" x14ac:dyDescent="0.25">
      <c r="A467" s="1"/>
      <c r="B467" s="37"/>
      <c r="C467" s="1"/>
      <c r="D467" s="1"/>
      <c r="E467" s="1"/>
      <c r="F467" s="1"/>
      <c r="G467" s="1"/>
      <c r="H467" s="37"/>
      <c r="I467" s="1"/>
      <c r="J467" s="1"/>
      <c r="K467" s="1"/>
      <c r="L467" s="1"/>
      <c r="P467" s="32"/>
      <c r="Q467" s="30"/>
    </row>
    <row r="468" spans="1:20" ht="15" x14ac:dyDescent="0.25">
      <c r="A468" s="1"/>
      <c r="B468" s="48"/>
      <c r="C468" s="7"/>
      <c r="D468" s="1"/>
      <c r="E468" s="1"/>
      <c r="F468" s="1"/>
      <c r="G468" s="1"/>
      <c r="H468" s="1"/>
      <c r="I468" s="1"/>
      <c r="J468" s="1"/>
      <c r="K468" s="1"/>
      <c r="L468" s="1"/>
      <c r="P468" s="32"/>
      <c r="Q468" s="30"/>
    </row>
    <row r="469" spans="1:20" ht="15" x14ac:dyDescent="0.25">
      <c r="A469" s="1"/>
      <c r="B469" s="48"/>
      <c r="C469" s="7"/>
      <c r="D469" s="1"/>
      <c r="E469" s="1"/>
      <c r="F469" s="1"/>
      <c r="G469" s="1"/>
      <c r="H469" s="1"/>
      <c r="I469" s="1"/>
      <c r="J469" s="1"/>
      <c r="K469" s="1"/>
      <c r="L469" s="1"/>
      <c r="P469" s="29"/>
      <c r="Q469" s="30"/>
    </row>
    <row r="470" spans="1:20" x14ac:dyDescent="0.2">
      <c r="P470" s="31"/>
      <c r="Q470" s="30"/>
    </row>
    <row r="471" spans="1:20" x14ac:dyDescent="0.2">
      <c r="P471" s="30"/>
      <c r="Q471" s="30"/>
    </row>
    <row r="472" spans="1:20" x14ac:dyDescent="0.2">
      <c r="P472" s="30"/>
      <c r="Q472" s="30"/>
    </row>
    <row r="473" spans="1:20" x14ac:dyDescent="0.2">
      <c r="P473" s="30"/>
      <c r="Q473" s="30"/>
    </row>
    <row r="474" spans="1:20" ht="33" customHeight="1" x14ac:dyDescent="0.2">
      <c r="P474" s="29"/>
      <c r="Q474" s="30"/>
      <c r="T474" s="29"/>
    </row>
    <row r="475" spans="1:20" ht="12.75" customHeight="1" x14ac:dyDescent="0.2">
      <c r="P475" s="31"/>
      <c r="Q475" s="34"/>
      <c r="T475" s="35"/>
    </row>
    <row r="476" spans="1:20" ht="15.75" x14ac:dyDescent="0.25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Q476" s="34"/>
    </row>
    <row r="477" spans="1:20" ht="15.75" x14ac:dyDescent="0.25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Q477" s="34"/>
    </row>
    <row r="478" spans="1:20" ht="15.75" x14ac:dyDescent="0.25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Q478" s="34"/>
    </row>
    <row r="479" spans="1:20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P479" s="29"/>
      <c r="Q479" s="34"/>
      <c r="T479" s="29"/>
    </row>
    <row r="480" spans="1:20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P480" s="31"/>
      <c r="Q480" s="34"/>
      <c r="T480" s="35"/>
    </row>
    <row r="481" spans="1:2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P481" s="30"/>
      <c r="Q481" s="34"/>
    </row>
    <row r="482" spans="1:21" ht="19.5" thickBot="1" x14ac:dyDescent="0.35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Q482" s="34"/>
    </row>
    <row r="483" spans="1:21" ht="19.5" thickTop="1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P483" s="29"/>
      <c r="Q483" s="34"/>
      <c r="T483" s="36"/>
    </row>
    <row r="484" spans="1:21" ht="18.75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P484" s="31"/>
      <c r="T484" s="35"/>
    </row>
    <row r="485" spans="1:21" ht="15" x14ac:dyDescent="0.25">
      <c r="A485" s="1"/>
      <c r="B485" s="1"/>
      <c r="C485" s="4"/>
      <c r="D485" s="4"/>
      <c r="E485" s="4"/>
      <c r="F485" s="4"/>
      <c r="G485" s="4"/>
      <c r="H485" s="4"/>
      <c r="I485" s="4"/>
      <c r="J485" s="4"/>
      <c r="K485" s="4"/>
      <c r="L485" s="4"/>
      <c r="P485" s="30"/>
    </row>
    <row r="486" spans="1:21" ht="15" x14ac:dyDescent="0.25">
      <c r="A486" s="1"/>
      <c r="B486" s="1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21" ht="15" x14ac:dyDescent="0.25">
      <c r="A487" s="1"/>
      <c r="B487" s="1"/>
      <c r="C487" s="4"/>
      <c r="D487" s="4"/>
      <c r="E487" s="4"/>
      <c r="F487" s="4"/>
      <c r="G487" s="4"/>
      <c r="H487" s="4"/>
      <c r="I487" s="4"/>
      <c r="J487" s="4"/>
      <c r="K487" s="4"/>
      <c r="L487" s="4"/>
      <c r="P487" s="30"/>
      <c r="Q487" s="34"/>
    </row>
    <row r="488" spans="1:21" ht="15" x14ac:dyDescent="0.25">
      <c r="A488" s="1"/>
      <c r="B488" s="4"/>
      <c r="C488" s="9"/>
      <c r="D488" s="37"/>
      <c r="E488" s="64"/>
      <c r="F488" s="4"/>
      <c r="G488" s="4"/>
      <c r="H488" s="4"/>
      <c r="I488" s="4"/>
      <c r="J488" s="4"/>
      <c r="K488" s="4"/>
      <c r="L488" s="4"/>
      <c r="Q488" s="34"/>
    </row>
    <row r="489" spans="1:21" ht="15" x14ac:dyDescent="0.25">
      <c r="A489" s="1"/>
      <c r="B489" s="4"/>
      <c r="C489" s="9"/>
      <c r="D489" s="7"/>
      <c r="E489" s="64"/>
      <c r="F489" s="4"/>
      <c r="G489" s="4"/>
      <c r="H489" s="4"/>
      <c r="I489" s="4"/>
      <c r="J489" s="4"/>
      <c r="K489" s="4"/>
      <c r="L489" s="4"/>
      <c r="P489" s="29"/>
      <c r="Q489" s="34"/>
      <c r="T489" s="29"/>
      <c r="U489" s="34"/>
    </row>
    <row r="490" spans="1:21" ht="15" x14ac:dyDescent="0.25">
      <c r="A490" s="1"/>
      <c r="B490" s="4"/>
      <c r="C490" s="9"/>
      <c r="D490" s="1"/>
      <c r="E490" s="64"/>
      <c r="F490" s="4"/>
      <c r="G490" s="4"/>
      <c r="H490" s="4"/>
      <c r="I490" s="4"/>
      <c r="J490" s="4"/>
      <c r="K490" s="4"/>
      <c r="L490" s="4"/>
      <c r="P490" s="31"/>
      <c r="Q490" s="34"/>
      <c r="T490" s="31"/>
      <c r="U490" s="34"/>
    </row>
    <row r="491" spans="1:21" ht="15" x14ac:dyDescent="0.25">
      <c r="A491" s="1"/>
      <c r="B491" s="1"/>
      <c r="C491" s="4"/>
      <c r="D491" s="1"/>
      <c r="E491" s="4"/>
      <c r="F491" s="4"/>
      <c r="G491" s="4"/>
      <c r="H491" s="4"/>
      <c r="I491" s="4"/>
      <c r="J491" s="4"/>
      <c r="K491" s="4"/>
      <c r="L491" s="4"/>
      <c r="Q491" s="34"/>
      <c r="T491" s="30"/>
      <c r="U491" s="34"/>
    </row>
    <row r="492" spans="1:21" ht="39.75" customHeight="1" x14ac:dyDescent="0.2">
      <c r="A492" s="280"/>
      <c r="B492" s="277"/>
      <c r="C492" s="277"/>
      <c r="D492" s="277"/>
      <c r="E492" s="277"/>
      <c r="F492" s="277"/>
      <c r="G492" s="277"/>
      <c r="H492" s="277"/>
      <c r="I492" s="277"/>
      <c r="J492" s="277"/>
      <c r="K492" s="277"/>
      <c r="L492" s="277"/>
      <c r="Q492" s="34"/>
    </row>
    <row r="493" spans="1:21" ht="15" x14ac:dyDescent="0.25">
      <c r="A493" s="1"/>
      <c r="B493" s="1"/>
      <c r="C493" s="4"/>
      <c r="D493" s="4"/>
      <c r="E493" s="4"/>
      <c r="F493" s="4"/>
      <c r="G493" s="4"/>
      <c r="H493" s="4"/>
      <c r="I493" s="4"/>
      <c r="J493" s="4"/>
      <c r="K493" s="4"/>
      <c r="L493" s="4"/>
      <c r="P493" s="29"/>
      <c r="Q493" s="34"/>
      <c r="T493" s="29"/>
      <c r="U493" s="30"/>
    </row>
    <row r="494" spans="1:21" ht="43.5" customHeight="1" thickBot="1" x14ac:dyDescent="0.25">
      <c r="A494" s="10"/>
      <c r="B494" s="337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P494" s="31"/>
      <c r="Q494" s="34"/>
      <c r="T494" s="31"/>
      <c r="U494" s="30"/>
    </row>
    <row r="495" spans="1:21" ht="15.75" thickTop="1" x14ac:dyDescent="0.25">
      <c r="A495" s="1"/>
      <c r="B495" s="11"/>
      <c r="C495" s="12"/>
      <c r="D495" s="13"/>
      <c r="E495" s="13"/>
      <c r="F495" s="13"/>
      <c r="G495" s="13"/>
      <c r="H495" s="14"/>
      <c r="I495" s="15"/>
      <c r="J495" s="12"/>
      <c r="K495" s="13"/>
      <c r="L495" s="14"/>
      <c r="N495" s="25"/>
      <c r="O495" s="25"/>
      <c r="P495" s="25"/>
      <c r="Q495" s="25"/>
      <c r="R495" s="25"/>
      <c r="T495" s="30"/>
    </row>
    <row r="496" spans="1:21" ht="24" customHeight="1" x14ac:dyDescent="0.2">
      <c r="A496" s="50"/>
      <c r="B496" s="60"/>
      <c r="C496" s="50"/>
      <c r="D496" s="50"/>
      <c r="E496" s="50"/>
      <c r="F496" s="50"/>
      <c r="G496" s="54"/>
      <c r="H496" s="55"/>
      <c r="I496" s="56"/>
      <c r="J496" s="50"/>
      <c r="K496" s="50"/>
      <c r="L496" s="55"/>
      <c r="N496" s="25"/>
      <c r="O496" s="25"/>
      <c r="P496" s="25"/>
      <c r="Q496" s="25"/>
      <c r="R496" s="25"/>
    </row>
    <row r="497" spans="1:21" ht="18" customHeight="1" x14ac:dyDescent="0.2">
      <c r="A497" s="76"/>
      <c r="B497" s="77"/>
      <c r="C497" s="76"/>
      <c r="D497" s="76"/>
      <c r="E497" s="76"/>
      <c r="F497" s="76"/>
      <c r="G497" s="78"/>
      <c r="H497" s="79"/>
      <c r="I497" s="80"/>
      <c r="J497" s="76"/>
      <c r="K497" s="76"/>
      <c r="L497" s="79"/>
      <c r="N497" s="25"/>
      <c r="O497" s="25"/>
      <c r="P497" s="25"/>
      <c r="Q497" s="25"/>
      <c r="R497" s="25"/>
    </row>
    <row r="498" spans="1:21" ht="17.25" customHeight="1" x14ac:dyDescent="0.2">
      <c r="A498" s="4"/>
      <c r="B498" s="16"/>
      <c r="C498" s="4"/>
      <c r="D498" s="4"/>
      <c r="E498" s="4"/>
      <c r="F498" s="4"/>
      <c r="G498" s="4"/>
      <c r="H498" s="17"/>
      <c r="I498" s="19"/>
      <c r="J498" s="4"/>
      <c r="K498" s="4"/>
      <c r="L498" s="17"/>
      <c r="N498" s="25"/>
      <c r="O498" s="25"/>
      <c r="P498" s="33"/>
      <c r="Q498" s="25"/>
      <c r="R498" s="25"/>
      <c r="T498" s="29"/>
      <c r="U498" s="30"/>
    </row>
    <row r="499" spans="1:21" x14ac:dyDescent="0.2">
      <c r="A499" s="4"/>
      <c r="B499" s="16"/>
      <c r="C499" s="4"/>
      <c r="D499" s="4"/>
      <c r="E499" s="4"/>
      <c r="F499" s="4"/>
      <c r="G499" s="4"/>
      <c r="H499" s="17"/>
      <c r="I499" s="19"/>
      <c r="J499" s="4"/>
      <c r="K499" s="4"/>
      <c r="L499" s="17"/>
      <c r="N499" s="25"/>
      <c r="O499" s="25"/>
      <c r="P499" s="27"/>
      <c r="Q499" s="25"/>
      <c r="R499" s="25"/>
      <c r="T499" s="31"/>
      <c r="U499" s="30"/>
    </row>
    <row r="500" spans="1:21" x14ac:dyDescent="0.2">
      <c r="A500" s="4"/>
      <c r="B500" s="16"/>
      <c r="C500" s="4"/>
      <c r="D500" s="4"/>
      <c r="E500" s="4"/>
      <c r="F500" s="4"/>
      <c r="G500" s="4"/>
      <c r="H500" s="17"/>
      <c r="I500" s="19"/>
      <c r="J500" s="4"/>
      <c r="K500" s="4"/>
      <c r="L500" s="17"/>
      <c r="N500" s="26"/>
      <c r="O500" s="25"/>
      <c r="P500" s="25"/>
      <c r="Q500" s="26"/>
      <c r="R500" s="25"/>
      <c r="T500" s="30"/>
    </row>
    <row r="501" spans="1:21" x14ac:dyDescent="0.2">
      <c r="A501" s="4"/>
      <c r="B501" s="20"/>
      <c r="C501" s="21"/>
      <c r="D501" s="21"/>
      <c r="E501" s="21"/>
      <c r="F501" s="21"/>
      <c r="G501" s="21"/>
      <c r="H501" s="22"/>
      <c r="I501" s="23"/>
      <c r="J501" s="21"/>
      <c r="K501" s="21"/>
      <c r="L501" s="22"/>
      <c r="N501" s="28"/>
      <c r="O501" s="25"/>
      <c r="P501" s="25"/>
      <c r="Q501" s="25"/>
      <c r="R501" s="25"/>
    </row>
    <row r="502" spans="1:21" ht="15" x14ac:dyDescent="0.25">
      <c r="A502" s="1"/>
      <c r="B502" s="39"/>
      <c r="C502" s="1"/>
      <c r="D502" s="1"/>
      <c r="E502" s="1"/>
      <c r="F502" s="40"/>
      <c r="G502" s="40"/>
      <c r="H502" s="1"/>
      <c r="I502" s="41"/>
      <c r="J502" s="1"/>
      <c r="K502" s="1"/>
      <c r="L502" s="42"/>
      <c r="N502" s="28"/>
      <c r="O502" s="25"/>
      <c r="P502" s="25"/>
      <c r="Q502" s="25"/>
      <c r="R502" s="25"/>
    </row>
    <row r="503" spans="1:21" ht="15.75" thickBot="1" x14ac:dyDescent="0.3">
      <c r="A503" s="1"/>
      <c r="B503" s="43"/>
      <c r="C503" s="44"/>
      <c r="D503" s="44"/>
      <c r="E503" s="44"/>
      <c r="F503" s="45"/>
      <c r="G503" s="45"/>
      <c r="H503" s="44"/>
      <c r="I503" s="46"/>
      <c r="J503" s="44"/>
      <c r="K503" s="44"/>
      <c r="L503" s="47"/>
      <c r="N503" s="28"/>
      <c r="O503" s="25"/>
      <c r="P503" s="25"/>
      <c r="Q503" s="25"/>
      <c r="R503" s="25"/>
    </row>
    <row r="504" spans="1:21" ht="15.75" thickTop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N504" s="28"/>
      <c r="O504" s="25"/>
      <c r="P504" s="25"/>
      <c r="Q504" s="25"/>
      <c r="R504" s="25"/>
    </row>
    <row r="505" spans="1:21" ht="49.5" customHeight="1" x14ac:dyDescent="0.2">
      <c r="A505" s="10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N505" s="28"/>
      <c r="O505" s="25"/>
      <c r="P505" s="25"/>
      <c r="Q505" s="25"/>
      <c r="R505" s="25"/>
    </row>
    <row r="506" spans="1:21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N506" s="28"/>
      <c r="O506" s="25"/>
      <c r="P506" s="25"/>
      <c r="Q506" s="25"/>
      <c r="R506" s="25"/>
    </row>
    <row r="507" spans="1:21" ht="15" x14ac:dyDescent="0.2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N507" s="28"/>
      <c r="O507" s="25"/>
      <c r="P507" s="25"/>
      <c r="Q507" s="25"/>
      <c r="R507" s="25"/>
    </row>
    <row r="508" spans="1:21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N508" s="28"/>
      <c r="O508" s="25"/>
      <c r="P508" s="25"/>
      <c r="Q508" s="25"/>
      <c r="R508" s="25"/>
    </row>
    <row r="509" spans="1:21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N509" s="28"/>
      <c r="O509" s="25"/>
      <c r="P509" s="25"/>
      <c r="Q509" s="25"/>
      <c r="R509" s="25"/>
    </row>
    <row r="510" spans="1:21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N510" s="28"/>
      <c r="O510" s="25"/>
      <c r="P510" s="25"/>
      <c r="Q510" s="25"/>
      <c r="R510" s="25"/>
    </row>
    <row r="511" spans="1:21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N511" s="28"/>
      <c r="O511" s="25"/>
      <c r="P511" s="25"/>
      <c r="Q511" s="25"/>
      <c r="R511" s="25"/>
    </row>
    <row r="512" spans="1:21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7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7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7" ht="7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7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7" ht="15" x14ac:dyDescent="0.25">
      <c r="A517" s="1"/>
      <c r="B517" s="37"/>
      <c r="C517" s="1"/>
      <c r="D517" s="1"/>
      <c r="E517" s="1"/>
      <c r="F517" s="1"/>
      <c r="G517" s="1"/>
      <c r="H517" s="37"/>
      <c r="I517" s="1"/>
      <c r="J517" s="1"/>
      <c r="K517" s="1"/>
      <c r="L517" s="1"/>
    </row>
    <row r="518" spans="1:17" ht="15" x14ac:dyDescent="0.25">
      <c r="A518" s="1"/>
      <c r="B518" s="48"/>
      <c r="C518" s="7"/>
      <c r="D518" s="1"/>
      <c r="E518" s="1"/>
      <c r="F518" s="1"/>
      <c r="G518" s="1"/>
      <c r="H518" s="1"/>
      <c r="I518" s="1"/>
      <c r="J518" s="1"/>
      <c r="K518" s="1"/>
      <c r="L518" s="1"/>
      <c r="P518" s="29"/>
      <c r="Q518" s="30"/>
    </row>
    <row r="519" spans="1:17" ht="15" x14ac:dyDescent="0.25">
      <c r="A519" s="1"/>
      <c r="B519" s="48"/>
      <c r="C519" s="7"/>
      <c r="D519" s="1"/>
      <c r="E519" s="1"/>
      <c r="F519" s="1"/>
      <c r="G519" s="1"/>
      <c r="H519" s="1"/>
      <c r="I519" s="1"/>
      <c r="J519" s="1"/>
      <c r="K519" s="1"/>
      <c r="L519" s="1"/>
      <c r="P519" s="29"/>
      <c r="Q519" s="30"/>
    </row>
    <row r="520" spans="1:17" x14ac:dyDescent="0.2">
      <c r="P520" s="29"/>
      <c r="Q520" s="30"/>
    </row>
    <row r="521" spans="1:17" x14ac:dyDescent="0.2">
      <c r="P521" s="31"/>
      <c r="Q521" s="30"/>
    </row>
    <row r="522" spans="1:17" x14ac:dyDescent="0.2">
      <c r="Q522" s="30"/>
    </row>
    <row r="523" spans="1:17" ht="14.25" x14ac:dyDescent="0.2">
      <c r="P523" s="32"/>
      <c r="Q523" s="30"/>
    </row>
    <row r="524" spans="1:17" ht="14.25" x14ac:dyDescent="0.2">
      <c r="P524" s="32"/>
      <c r="Q524" s="30"/>
    </row>
    <row r="525" spans="1:17" ht="15.75" x14ac:dyDescent="0.25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P525" s="29"/>
      <c r="Q525" s="30"/>
    </row>
    <row r="526" spans="1:17" ht="15.75" x14ac:dyDescent="0.2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P526" s="31"/>
      <c r="Q526" s="30"/>
    </row>
    <row r="527" spans="1:17" ht="15.75" x14ac:dyDescent="0.25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P527" s="30"/>
      <c r="Q527" s="30"/>
    </row>
    <row r="528" spans="1:17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P528" s="30"/>
      <c r="Q528" s="30"/>
    </row>
    <row r="529" spans="1:2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P529" s="30"/>
      <c r="Q529" s="30"/>
    </row>
    <row r="530" spans="1:26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P530" s="29"/>
      <c r="Q530" s="30"/>
      <c r="T530" s="29"/>
    </row>
    <row r="531" spans="1:26" ht="19.5" thickBot="1" x14ac:dyDescent="0.35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P531" s="31"/>
      <c r="Q531" s="34"/>
      <c r="T531" s="35"/>
    </row>
    <row r="532" spans="1:26" ht="19.5" thickTop="1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Q532" s="34"/>
    </row>
    <row r="533" spans="1:26" ht="18.75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Q533" s="34"/>
    </row>
    <row r="534" spans="1:26" ht="15" x14ac:dyDescent="0.25">
      <c r="A534" s="1"/>
      <c r="B534" s="1"/>
      <c r="C534" s="4"/>
      <c r="D534" s="4"/>
      <c r="E534" s="4"/>
      <c r="F534" s="4"/>
      <c r="G534" s="4"/>
      <c r="H534" s="4"/>
      <c r="I534" s="4"/>
      <c r="J534" s="4"/>
      <c r="K534" s="4"/>
      <c r="L534" s="4"/>
      <c r="Q534" s="34"/>
    </row>
    <row r="535" spans="1:26" ht="15" x14ac:dyDescent="0.25">
      <c r="A535" s="1"/>
      <c r="B535" s="1"/>
      <c r="C535" s="4"/>
      <c r="D535" s="4"/>
      <c r="E535" s="4"/>
      <c r="F535" s="4"/>
      <c r="G535" s="4"/>
      <c r="H535" s="4"/>
      <c r="I535" s="4"/>
      <c r="J535" s="4"/>
      <c r="K535" s="4"/>
      <c r="L535" s="4"/>
      <c r="P535" s="29"/>
      <c r="Q535" s="34"/>
      <c r="T535" s="29"/>
    </row>
    <row r="536" spans="1:26" ht="15" x14ac:dyDescent="0.25">
      <c r="A536" s="1"/>
      <c r="B536" s="1"/>
      <c r="C536" s="4"/>
      <c r="D536" s="4"/>
      <c r="E536" s="4"/>
      <c r="F536" s="4"/>
      <c r="G536" s="4"/>
      <c r="H536" s="4"/>
      <c r="I536" s="4"/>
      <c r="J536" s="4"/>
      <c r="K536" s="4"/>
      <c r="L536" s="4"/>
      <c r="P536" s="31"/>
      <c r="Q536" s="34"/>
      <c r="T536" s="35"/>
    </row>
    <row r="537" spans="1:26" ht="15" x14ac:dyDescent="0.25">
      <c r="A537" s="1"/>
      <c r="B537" s="4"/>
      <c r="C537" s="9"/>
      <c r="D537" s="37"/>
      <c r="E537" s="64"/>
      <c r="F537" s="4"/>
      <c r="G537" s="4"/>
      <c r="H537" s="4"/>
      <c r="I537" s="4"/>
      <c r="J537" s="4"/>
      <c r="K537" s="4"/>
      <c r="L537" s="4"/>
      <c r="P537" s="30"/>
      <c r="Q537" s="34"/>
    </row>
    <row r="538" spans="1:26" ht="15" x14ac:dyDescent="0.25">
      <c r="A538" s="1"/>
      <c r="B538" s="4"/>
      <c r="C538" s="9"/>
      <c r="D538" s="1"/>
      <c r="E538" s="64"/>
      <c r="F538" s="4"/>
      <c r="G538" s="4"/>
      <c r="H538" s="4"/>
      <c r="I538" s="4"/>
      <c r="J538" s="4"/>
      <c r="K538" s="4"/>
      <c r="L538" s="4"/>
      <c r="Q538" s="34"/>
    </row>
    <row r="539" spans="1:26" ht="15" x14ac:dyDescent="0.25">
      <c r="A539" s="1"/>
      <c r="B539" s="4"/>
      <c r="C539" s="9"/>
      <c r="D539" s="1"/>
      <c r="E539" s="64"/>
      <c r="F539" s="4"/>
      <c r="G539" s="4"/>
      <c r="H539" s="4"/>
      <c r="I539" s="4"/>
      <c r="J539" s="4"/>
      <c r="K539" s="4"/>
      <c r="L539" s="4"/>
      <c r="P539" s="29"/>
      <c r="Q539" s="34"/>
      <c r="T539" s="36"/>
    </row>
    <row r="540" spans="1:26" ht="15" x14ac:dyDescent="0.25">
      <c r="A540" s="1"/>
      <c r="B540" s="1"/>
      <c r="C540" s="4"/>
      <c r="D540" s="1"/>
      <c r="E540" s="4"/>
      <c r="F540" s="4"/>
      <c r="G540" s="4"/>
      <c r="H540" s="4"/>
      <c r="I540" s="4"/>
      <c r="J540" s="4"/>
      <c r="K540" s="4"/>
      <c r="L540" s="4"/>
      <c r="P540" s="31"/>
      <c r="T540" s="35"/>
    </row>
    <row r="541" spans="1:26" ht="33.75" customHeight="1" x14ac:dyDescent="0.2">
      <c r="A541" s="280"/>
      <c r="B541" s="277"/>
      <c r="C541" s="277"/>
      <c r="D541" s="277"/>
      <c r="E541" s="277"/>
      <c r="F541" s="277"/>
      <c r="G541" s="277"/>
      <c r="H541" s="277"/>
      <c r="I541" s="277"/>
      <c r="J541" s="277"/>
      <c r="K541" s="277"/>
      <c r="L541" s="277"/>
      <c r="P541" s="30"/>
    </row>
    <row r="542" spans="1:26" ht="15" x14ac:dyDescent="0.25">
      <c r="A542" s="1"/>
      <c r="B542" s="1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26" ht="40.5" customHeight="1" thickBot="1" x14ac:dyDescent="0.25">
      <c r="A543" s="10"/>
      <c r="B543" s="337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P543" s="30"/>
      <c r="Q543" s="34"/>
    </row>
    <row r="544" spans="1:26" ht="21" customHeight="1" thickTop="1" x14ac:dyDescent="0.25">
      <c r="A544" s="1"/>
      <c r="B544" s="11"/>
      <c r="C544" s="12"/>
      <c r="D544" s="13"/>
      <c r="E544" s="13"/>
      <c r="F544" s="13"/>
      <c r="G544" s="13"/>
      <c r="H544" s="14"/>
      <c r="I544" s="15"/>
      <c r="J544" s="12"/>
      <c r="K544" s="13"/>
      <c r="L544" s="14"/>
      <c r="P544" s="11"/>
      <c r="Q544" s="12"/>
      <c r="R544" s="13"/>
      <c r="S544" s="13"/>
      <c r="T544" s="13"/>
      <c r="U544" s="13"/>
      <c r="V544" s="14"/>
      <c r="W544" s="15"/>
      <c r="X544" s="12"/>
      <c r="Y544" s="13"/>
      <c r="Z544" s="14"/>
    </row>
    <row r="545" spans="1:26" ht="27" customHeight="1" x14ac:dyDescent="0.2">
      <c r="A545" s="50"/>
      <c r="B545" s="60"/>
      <c r="C545" s="50"/>
      <c r="D545" s="50"/>
      <c r="E545" s="50"/>
      <c r="F545" s="50"/>
      <c r="G545" s="54"/>
      <c r="H545" s="55"/>
      <c r="I545" s="56"/>
      <c r="J545" s="50"/>
      <c r="K545" s="50"/>
      <c r="L545" s="55"/>
      <c r="P545" s="60"/>
      <c r="Q545" s="50"/>
      <c r="R545" s="50"/>
      <c r="S545" s="50"/>
      <c r="T545" s="50"/>
      <c r="U545" s="54"/>
      <c r="V545" s="55"/>
      <c r="W545" s="56"/>
      <c r="X545" s="50"/>
      <c r="Y545" s="50"/>
      <c r="Z545" s="55"/>
    </row>
    <row r="546" spans="1:26" ht="21" customHeight="1" x14ac:dyDescent="0.2">
      <c r="A546" s="76"/>
      <c r="B546" s="77"/>
      <c r="C546" s="76"/>
      <c r="D546" s="76"/>
      <c r="E546" s="76"/>
      <c r="F546" s="76"/>
      <c r="G546" s="78"/>
      <c r="H546" s="79"/>
      <c r="I546" s="80"/>
      <c r="J546" s="76"/>
      <c r="K546" s="76"/>
      <c r="L546" s="79"/>
      <c r="P546" s="77"/>
      <c r="Q546" s="76"/>
      <c r="R546" s="76"/>
      <c r="S546" s="76"/>
      <c r="T546" s="76"/>
      <c r="U546" s="78"/>
      <c r="V546" s="79"/>
      <c r="W546" s="80"/>
      <c r="X546" s="76"/>
      <c r="Y546" s="76"/>
      <c r="Z546" s="79"/>
    </row>
    <row r="547" spans="1:26" x14ac:dyDescent="0.2">
      <c r="A547" s="4"/>
      <c r="B547" s="16"/>
      <c r="C547" s="4"/>
      <c r="D547" s="4"/>
      <c r="E547" s="4"/>
      <c r="F547" s="4"/>
      <c r="G547" s="4"/>
      <c r="H547" s="17"/>
      <c r="I547" s="19"/>
      <c r="J547" s="4"/>
      <c r="K547" s="4"/>
      <c r="L547" s="17"/>
      <c r="P547" s="16"/>
      <c r="Q547" s="4"/>
      <c r="R547" s="4"/>
      <c r="S547" s="4"/>
      <c r="T547" s="4"/>
      <c r="U547" s="4"/>
      <c r="V547" s="17"/>
      <c r="W547" s="19"/>
      <c r="X547" s="4"/>
      <c r="Y547" s="4"/>
      <c r="Z547" s="17"/>
    </row>
    <row r="548" spans="1:26" x14ac:dyDescent="0.2">
      <c r="A548" s="4"/>
      <c r="B548" s="16"/>
      <c r="C548" s="4"/>
      <c r="D548" s="4"/>
      <c r="E548" s="4"/>
      <c r="F548" s="4"/>
      <c r="G548" s="4"/>
      <c r="H548" s="17"/>
      <c r="I548" s="19"/>
      <c r="J548" s="4"/>
      <c r="K548" s="4"/>
      <c r="L548" s="17"/>
      <c r="P548" s="16"/>
      <c r="Q548" s="4"/>
      <c r="R548" s="4"/>
      <c r="S548" s="4"/>
      <c r="T548" s="4"/>
      <c r="U548" s="4"/>
      <c r="V548" s="17"/>
      <c r="W548" s="19"/>
      <c r="X548" s="4"/>
      <c r="Y548" s="4"/>
      <c r="Z548" s="17"/>
    </row>
    <row r="549" spans="1:26" ht="4.5" customHeight="1" x14ac:dyDescent="0.2">
      <c r="A549" s="4"/>
      <c r="B549" s="16"/>
      <c r="C549" s="4"/>
      <c r="D549" s="4"/>
      <c r="E549" s="4"/>
      <c r="F549" s="4"/>
      <c r="G549" s="4"/>
      <c r="H549" s="17"/>
      <c r="I549" s="19"/>
      <c r="J549" s="4"/>
      <c r="K549" s="4"/>
      <c r="L549" s="17"/>
      <c r="P549" s="16"/>
      <c r="Q549" s="4"/>
      <c r="R549" s="4"/>
      <c r="S549" s="4"/>
      <c r="T549" s="4"/>
      <c r="U549" s="4"/>
      <c r="V549" s="17"/>
      <c r="W549" s="19"/>
      <c r="X549" s="4"/>
      <c r="Y549" s="4"/>
      <c r="Z549" s="17"/>
    </row>
    <row r="550" spans="1:26" x14ac:dyDescent="0.2">
      <c r="A550" s="4"/>
      <c r="B550" s="20"/>
      <c r="C550" s="21"/>
      <c r="D550" s="21"/>
      <c r="E550" s="21"/>
      <c r="F550" s="21"/>
      <c r="G550" s="21"/>
      <c r="H550" s="22"/>
      <c r="I550" s="23"/>
      <c r="J550" s="21"/>
      <c r="K550" s="21"/>
      <c r="L550" s="22"/>
      <c r="P550" s="20"/>
      <c r="Q550" s="21"/>
      <c r="R550" s="21"/>
      <c r="S550" s="21"/>
      <c r="T550" s="21"/>
      <c r="U550" s="21"/>
      <c r="V550" s="22"/>
      <c r="W550" s="23"/>
      <c r="X550" s="21"/>
      <c r="Y550" s="21"/>
      <c r="Z550" s="22"/>
    </row>
    <row r="551" spans="1:26" ht="22.5" customHeight="1" x14ac:dyDescent="0.25">
      <c r="A551" s="1"/>
      <c r="B551" s="39"/>
      <c r="C551" s="1"/>
      <c r="D551" s="1"/>
      <c r="E551" s="1"/>
      <c r="F551" s="40"/>
      <c r="G551" s="40"/>
      <c r="H551" s="1"/>
      <c r="I551" s="41"/>
      <c r="J551" s="1"/>
      <c r="K551" s="1"/>
      <c r="L551" s="42"/>
      <c r="N551" s="25"/>
      <c r="O551" s="25"/>
      <c r="P551" s="39"/>
      <c r="Q551" s="1"/>
      <c r="R551" s="1"/>
      <c r="S551" s="1"/>
      <c r="T551" s="40"/>
      <c r="U551" s="40"/>
      <c r="V551" s="1"/>
      <c r="W551" s="41"/>
      <c r="X551" s="1"/>
      <c r="Y551" s="1"/>
      <c r="Z551" s="42"/>
    </row>
    <row r="552" spans="1:26" ht="15.75" thickBot="1" x14ac:dyDescent="0.3">
      <c r="A552" s="1"/>
      <c r="B552" s="43"/>
      <c r="C552" s="44"/>
      <c r="D552" s="44"/>
      <c r="E552" s="44"/>
      <c r="F552" s="45"/>
      <c r="G552" s="45"/>
      <c r="H552" s="44"/>
      <c r="I552" s="46"/>
      <c r="J552" s="44"/>
      <c r="K552" s="44"/>
      <c r="L552" s="47"/>
      <c r="N552" s="25"/>
      <c r="O552" s="25"/>
      <c r="P552" s="43"/>
      <c r="Q552" s="44"/>
      <c r="R552" s="44"/>
      <c r="S552" s="44"/>
      <c r="T552" s="45"/>
      <c r="U552" s="45"/>
      <c r="V552" s="44"/>
      <c r="W552" s="46"/>
      <c r="X552" s="44"/>
      <c r="Y552" s="44"/>
      <c r="Z552" s="47"/>
    </row>
    <row r="553" spans="1:26" ht="15.75" thickTop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N553" s="25"/>
      <c r="O553" s="25"/>
      <c r="P553" s="25"/>
      <c r="Q553" s="25"/>
      <c r="R553" s="25"/>
    </row>
    <row r="554" spans="1:26" ht="47.25" customHeight="1" x14ac:dyDescent="0.2">
      <c r="A554" s="10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N554" s="25"/>
      <c r="O554" s="25"/>
      <c r="P554" s="33"/>
      <c r="Q554" s="25"/>
      <c r="R554" s="25"/>
      <c r="T554" s="29"/>
      <c r="U554" s="30"/>
    </row>
    <row r="555" spans="1:26" ht="9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N555" s="25"/>
      <c r="O555" s="25"/>
      <c r="P555" s="27"/>
      <c r="Q555" s="25"/>
      <c r="R555" s="25"/>
      <c r="T555" s="31"/>
      <c r="U555" s="30"/>
    </row>
    <row r="556" spans="1:26" ht="23.25" customHeight="1" x14ac:dyDescent="0.2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N556" s="26"/>
      <c r="O556" s="25"/>
      <c r="P556" s="25"/>
      <c r="Q556" s="26"/>
      <c r="R556" s="25"/>
      <c r="T556" s="30"/>
    </row>
    <row r="557" spans="1:26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N557" s="28"/>
      <c r="O557" s="25"/>
      <c r="P557" s="25"/>
      <c r="Q557" s="25"/>
      <c r="R557" s="25"/>
    </row>
    <row r="558" spans="1:26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N558" s="28"/>
      <c r="O558" s="25"/>
      <c r="P558" s="25"/>
      <c r="Q558" s="25"/>
      <c r="R558" s="25"/>
    </row>
    <row r="559" spans="1:26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N559" s="28"/>
      <c r="O559" s="25"/>
      <c r="P559" s="25"/>
      <c r="Q559" s="25"/>
      <c r="R559" s="25"/>
    </row>
    <row r="560" spans="1:26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N560" s="28"/>
      <c r="O560" s="25"/>
      <c r="P560" s="25"/>
      <c r="Q560" s="25"/>
      <c r="R560" s="25"/>
    </row>
    <row r="561" spans="1:18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N561" s="28"/>
      <c r="O561" s="25"/>
      <c r="P561" s="25"/>
      <c r="Q561" s="25"/>
      <c r="R561" s="25"/>
    </row>
    <row r="562" spans="1:18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N562" s="28"/>
      <c r="O562" s="25"/>
      <c r="P562" s="25"/>
      <c r="Q562" s="25"/>
      <c r="R562" s="25"/>
    </row>
    <row r="563" spans="1:18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N563" s="28"/>
      <c r="O563" s="25"/>
      <c r="P563" s="25"/>
      <c r="Q563" s="25"/>
      <c r="R563" s="25"/>
    </row>
    <row r="564" spans="1:18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N564" s="28"/>
      <c r="O564" s="25"/>
      <c r="P564" s="25"/>
      <c r="Q564" s="25"/>
      <c r="R564" s="25"/>
    </row>
    <row r="565" spans="1:18" ht="6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N565" s="28"/>
      <c r="O565" s="25"/>
      <c r="P565" s="25"/>
      <c r="Q565" s="25"/>
      <c r="R565" s="25"/>
    </row>
    <row r="566" spans="1:18" ht="15" x14ac:dyDescent="0.25">
      <c r="A566" s="1"/>
      <c r="B566" s="37"/>
      <c r="C566" s="1"/>
      <c r="D566" s="1"/>
      <c r="E566" s="1"/>
      <c r="F566" s="1"/>
      <c r="G566" s="1"/>
      <c r="H566" s="37"/>
      <c r="I566" s="1"/>
      <c r="J566" s="1"/>
      <c r="K566" s="1"/>
      <c r="L566" s="1"/>
      <c r="N566" s="28"/>
      <c r="O566" s="25"/>
      <c r="P566" s="25"/>
      <c r="Q566" s="25"/>
      <c r="R566" s="25"/>
    </row>
    <row r="567" spans="1:18" ht="15" x14ac:dyDescent="0.25">
      <c r="A567" s="1"/>
      <c r="B567" s="48"/>
      <c r="C567" s="7"/>
      <c r="D567" s="1"/>
      <c r="E567" s="1"/>
      <c r="F567" s="1"/>
      <c r="G567" s="1"/>
      <c r="H567" s="1"/>
      <c r="I567" s="1"/>
      <c r="J567" s="1"/>
      <c r="K567" s="1"/>
      <c r="L567" s="1"/>
      <c r="N567" s="28"/>
      <c r="O567" s="25"/>
      <c r="P567" s="25"/>
      <c r="Q567" s="25"/>
      <c r="R567" s="25"/>
    </row>
    <row r="568" spans="1:18" ht="15" x14ac:dyDescent="0.25">
      <c r="A568" s="1"/>
      <c r="B568" s="48"/>
      <c r="C568" s="7"/>
      <c r="D568" s="1"/>
      <c r="E568" s="1"/>
      <c r="F568" s="1"/>
      <c r="G568" s="1"/>
      <c r="H568" s="1"/>
      <c r="I568" s="1"/>
      <c r="J568" s="1"/>
      <c r="K568" s="1"/>
      <c r="L568" s="1"/>
      <c r="N568" s="28"/>
      <c r="O568" s="25"/>
      <c r="P568" s="25"/>
      <c r="Q568" s="25"/>
      <c r="R568" s="25"/>
    </row>
    <row r="571" spans="1:18" ht="15.75" customHeight="1" x14ac:dyDescent="0.25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8" ht="15.75" customHeight="1" x14ac:dyDescent="0.25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8" ht="15.75" customHeight="1" x14ac:dyDescent="0.25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8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8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P575" s="29"/>
      <c r="Q575" s="30"/>
    </row>
    <row r="576" spans="1:18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P576" s="29"/>
      <c r="Q576" s="30"/>
    </row>
    <row r="577" spans="1:20" ht="15.75" customHeight="1" thickBot="1" x14ac:dyDescent="0.35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P577" s="29"/>
      <c r="Q577" s="30"/>
    </row>
    <row r="578" spans="1:20" ht="15.75" customHeight="1" thickTop="1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P578" s="31"/>
      <c r="Q578" s="30"/>
    </row>
    <row r="579" spans="1:20" ht="15.75" customHeight="1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Q579" s="30"/>
    </row>
    <row r="580" spans="1:20" ht="15.75" customHeight="1" x14ac:dyDescent="0.25">
      <c r="A580" s="1"/>
      <c r="B580" s="1"/>
      <c r="C580" s="4"/>
      <c r="D580" s="4"/>
      <c r="E580" s="4"/>
      <c r="F580" s="4"/>
      <c r="G580" s="4"/>
      <c r="H580" s="4"/>
      <c r="I580" s="4"/>
      <c r="J580" s="4"/>
      <c r="K580" s="4"/>
      <c r="L580" s="4"/>
      <c r="P580" s="32"/>
      <c r="Q580" s="30"/>
    </row>
    <row r="581" spans="1:20" ht="15.75" customHeight="1" x14ac:dyDescent="0.25">
      <c r="A581" s="1"/>
      <c r="B581" s="1"/>
      <c r="C581" s="4"/>
      <c r="D581" s="4"/>
      <c r="E581" s="4"/>
      <c r="F581" s="4"/>
      <c r="G581" s="4"/>
      <c r="H581" s="4"/>
      <c r="I581" s="4"/>
      <c r="J581" s="4"/>
      <c r="K581" s="4"/>
      <c r="L581" s="4"/>
      <c r="P581" s="32"/>
      <c r="Q581" s="30"/>
    </row>
    <row r="582" spans="1:20" ht="15.75" customHeight="1" x14ac:dyDescent="0.25">
      <c r="A582" s="1"/>
      <c r="B582" s="1"/>
      <c r="C582" s="4"/>
      <c r="D582" s="4"/>
      <c r="E582" s="4"/>
      <c r="F582" s="4"/>
      <c r="G582" s="4"/>
      <c r="H582" s="4"/>
      <c r="I582" s="4"/>
      <c r="J582" s="4"/>
      <c r="K582" s="4"/>
      <c r="L582" s="4"/>
      <c r="P582" s="29"/>
      <c r="Q582" s="30"/>
    </row>
    <row r="583" spans="1:20" ht="15.75" customHeight="1" x14ac:dyDescent="0.25">
      <c r="A583" s="1"/>
      <c r="B583" s="4"/>
      <c r="C583" s="9"/>
      <c r="D583" s="37"/>
      <c r="E583" s="64"/>
      <c r="F583" s="4"/>
      <c r="G583" s="4"/>
      <c r="H583" s="4"/>
      <c r="I583" s="4"/>
      <c r="J583" s="4"/>
      <c r="K583" s="4"/>
      <c r="L583" s="4"/>
      <c r="P583" s="31"/>
      <c r="Q583" s="30"/>
    </row>
    <row r="584" spans="1:20" ht="15.75" customHeight="1" x14ac:dyDescent="0.25">
      <c r="A584" s="1"/>
      <c r="B584" s="4"/>
      <c r="C584" s="9"/>
      <c r="D584" s="1"/>
      <c r="E584" s="64"/>
      <c r="F584" s="4"/>
      <c r="G584" s="4"/>
      <c r="H584" s="4"/>
      <c r="I584" s="4"/>
      <c r="J584" s="4"/>
      <c r="K584" s="4"/>
      <c r="L584" s="4"/>
      <c r="P584" s="30"/>
      <c r="Q584" s="30"/>
    </row>
    <row r="585" spans="1:20" ht="15.75" customHeight="1" x14ac:dyDescent="0.25">
      <c r="A585" s="1"/>
      <c r="B585" s="4"/>
      <c r="C585" s="9"/>
      <c r="D585" s="1"/>
      <c r="E585" s="64"/>
      <c r="F585" s="4"/>
      <c r="G585" s="4"/>
      <c r="H585" s="4"/>
      <c r="I585" s="4"/>
      <c r="J585" s="4"/>
      <c r="K585" s="4"/>
      <c r="L585" s="4"/>
      <c r="P585" s="30"/>
      <c r="Q585" s="30"/>
    </row>
    <row r="586" spans="1:20" ht="15.75" customHeight="1" x14ac:dyDescent="0.25">
      <c r="A586" s="1"/>
      <c r="B586" s="1"/>
      <c r="C586" s="4"/>
      <c r="D586" s="1"/>
      <c r="E586" s="4"/>
      <c r="F586" s="4"/>
      <c r="G586" s="4"/>
      <c r="H586" s="4"/>
      <c r="I586" s="4"/>
      <c r="J586" s="4"/>
      <c r="K586" s="4"/>
      <c r="L586" s="4"/>
      <c r="P586" s="30"/>
      <c r="Q586" s="30"/>
    </row>
    <row r="587" spans="1:20" ht="38.25" customHeight="1" x14ac:dyDescent="0.2">
      <c r="A587" s="280"/>
      <c r="B587" s="277"/>
      <c r="C587" s="277"/>
      <c r="D587" s="277"/>
      <c r="E587" s="277"/>
      <c r="F587" s="277"/>
      <c r="G587" s="277"/>
      <c r="H587" s="277"/>
      <c r="I587" s="277"/>
      <c r="J587" s="277"/>
      <c r="K587" s="277"/>
      <c r="L587" s="277"/>
      <c r="P587" s="29"/>
      <c r="Q587" s="30"/>
      <c r="T587" s="29"/>
    </row>
    <row r="588" spans="1:20" ht="15.75" customHeight="1" x14ac:dyDescent="0.25">
      <c r="A588" s="1"/>
      <c r="B588" s="1"/>
      <c r="C588" s="4"/>
      <c r="D588" s="4"/>
      <c r="E588" s="4"/>
      <c r="F588" s="4"/>
      <c r="G588" s="4"/>
      <c r="H588" s="4"/>
      <c r="I588" s="4"/>
      <c r="J588" s="4"/>
      <c r="K588" s="4"/>
      <c r="L588" s="4"/>
      <c r="P588" s="31"/>
      <c r="Q588" s="34"/>
      <c r="T588" s="35"/>
    </row>
    <row r="589" spans="1:20" ht="39" customHeight="1" thickBot="1" x14ac:dyDescent="0.25">
      <c r="A589" s="10"/>
      <c r="B589" s="337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Q589" s="34"/>
    </row>
    <row r="590" spans="1:20" ht="15.75" customHeight="1" thickTop="1" x14ac:dyDescent="0.25">
      <c r="A590" s="1"/>
      <c r="B590" s="11"/>
      <c r="C590" s="12"/>
      <c r="D590" s="13"/>
      <c r="E590" s="13"/>
      <c r="F590" s="13"/>
      <c r="G590" s="13"/>
      <c r="H590" s="14"/>
      <c r="I590" s="15"/>
      <c r="J590" s="12"/>
      <c r="K590" s="13"/>
      <c r="L590" s="14"/>
      <c r="Q590" s="34"/>
    </row>
    <row r="591" spans="1:20" ht="21" customHeight="1" x14ac:dyDescent="0.2">
      <c r="A591" s="50"/>
      <c r="B591" s="60"/>
      <c r="C591" s="76"/>
      <c r="D591" s="76"/>
      <c r="E591" s="76"/>
      <c r="F591" s="76"/>
      <c r="G591" s="78"/>
      <c r="H591" s="79"/>
      <c r="I591" s="80"/>
      <c r="J591" s="76"/>
      <c r="K591" s="76"/>
      <c r="L591" s="79"/>
      <c r="Q591" s="34"/>
    </row>
    <row r="592" spans="1:20" ht="12.75" customHeight="1" x14ac:dyDescent="0.2">
      <c r="A592" s="76"/>
      <c r="B592" s="77"/>
      <c r="C592" s="76"/>
      <c r="D592" s="76"/>
      <c r="E592" s="76"/>
      <c r="F592" s="76"/>
      <c r="G592" s="78"/>
      <c r="H592" s="79"/>
      <c r="I592" s="80"/>
      <c r="J592" s="76"/>
      <c r="K592" s="76"/>
      <c r="L592" s="79"/>
      <c r="P592" s="29"/>
      <c r="Q592" s="34"/>
      <c r="T592" s="29"/>
    </row>
    <row r="593" spans="1:21" ht="8.25" customHeight="1" x14ac:dyDescent="0.2">
      <c r="A593" s="4"/>
      <c r="B593" s="16"/>
      <c r="C593" s="4"/>
      <c r="D593" s="4"/>
      <c r="E593" s="4"/>
      <c r="F593" s="4"/>
      <c r="G593" s="4"/>
      <c r="H593" s="17"/>
      <c r="I593" s="19"/>
      <c r="J593" s="4"/>
      <c r="K593" s="4"/>
      <c r="L593" s="17"/>
      <c r="P593" s="31"/>
      <c r="Q593" s="34"/>
      <c r="T593" s="35"/>
    </row>
    <row r="594" spans="1:21" ht="9.75" customHeight="1" x14ac:dyDescent="0.2">
      <c r="A594" s="4"/>
      <c r="B594" s="16"/>
      <c r="C594" s="4"/>
      <c r="D594" s="4"/>
      <c r="E594" s="4"/>
      <c r="F594" s="4"/>
      <c r="G594" s="4"/>
      <c r="H594" s="17"/>
      <c r="I594" s="19"/>
      <c r="J594" s="4"/>
      <c r="K594" s="4"/>
      <c r="L594" s="17"/>
      <c r="P594" s="30"/>
      <c r="Q594" s="34"/>
    </row>
    <row r="595" spans="1:21" ht="15.75" customHeight="1" x14ac:dyDescent="0.2">
      <c r="A595" s="4"/>
      <c r="B595" s="16"/>
      <c r="C595" s="4"/>
      <c r="D595" s="4"/>
      <c r="E595" s="4"/>
      <c r="F595" s="4"/>
      <c r="G595" s="4"/>
      <c r="H595" s="17"/>
      <c r="I595" s="19"/>
      <c r="J595" s="4"/>
      <c r="K595" s="4"/>
      <c r="L595" s="17"/>
      <c r="Q595" s="34"/>
    </row>
    <row r="596" spans="1:21" ht="15.75" customHeight="1" x14ac:dyDescent="0.2">
      <c r="A596" s="4"/>
      <c r="B596" s="20"/>
      <c r="C596" s="21"/>
      <c r="D596" s="21"/>
      <c r="E596" s="21"/>
      <c r="F596" s="21"/>
      <c r="G596" s="21"/>
      <c r="H596" s="22"/>
      <c r="I596" s="23"/>
      <c r="J596" s="21"/>
      <c r="K596" s="21"/>
      <c r="L596" s="22"/>
      <c r="P596" s="29"/>
      <c r="Q596" s="34"/>
      <c r="T596" s="36"/>
    </row>
    <row r="597" spans="1:21" ht="15.75" customHeight="1" x14ac:dyDescent="0.25">
      <c r="A597" s="1"/>
      <c r="B597" s="39"/>
      <c r="C597" s="1"/>
      <c r="D597" s="1"/>
      <c r="E597" s="1"/>
      <c r="F597" s="40"/>
      <c r="G597" s="40"/>
      <c r="H597" s="1"/>
      <c r="I597" s="41"/>
      <c r="J597" s="1"/>
      <c r="K597" s="1"/>
      <c r="L597" s="42"/>
      <c r="P597" s="31"/>
      <c r="T597" s="35"/>
    </row>
    <row r="598" spans="1:21" ht="15.75" customHeight="1" thickBot="1" x14ac:dyDescent="0.3">
      <c r="A598" s="1"/>
      <c r="B598" s="43"/>
      <c r="C598" s="44"/>
      <c r="D598" s="44"/>
      <c r="E598" s="44"/>
      <c r="F598" s="45"/>
      <c r="G598" s="45"/>
      <c r="H598" s="44"/>
      <c r="I598" s="46"/>
      <c r="J598" s="44"/>
      <c r="K598" s="44"/>
      <c r="L598" s="47"/>
      <c r="P598" s="30"/>
    </row>
    <row r="599" spans="1:21" ht="15.75" customHeight="1" thickTop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21" ht="48.75" customHeight="1" x14ac:dyDescent="0.2">
      <c r="A600" s="10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P600" s="30"/>
      <c r="Q600" s="34"/>
    </row>
    <row r="601" spans="1:21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Q601" s="34"/>
    </row>
    <row r="602" spans="1:21" ht="15.75" customHeight="1" x14ac:dyDescent="0.2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P602" s="29"/>
      <c r="Q602" s="34"/>
      <c r="T602" s="29"/>
      <c r="U602" s="34"/>
    </row>
    <row r="603" spans="1:21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P603" s="31"/>
      <c r="Q603" s="34"/>
      <c r="T603" s="31"/>
      <c r="U603" s="34"/>
    </row>
    <row r="604" spans="1:21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Q604" s="34"/>
      <c r="T604" s="30"/>
      <c r="U604" s="34"/>
    </row>
    <row r="605" spans="1:21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Q605" s="34"/>
    </row>
    <row r="606" spans="1:21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P606" s="29"/>
      <c r="Q606" s="34"/>
      <c r="T606" s="29"/>
      <c r="U606" s="30"/>
    </row>
    <row r="607" spans="1:21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P607" s="31"/>
      <c r="Q607" s="34"/>
      <c r="T607" s="31"/>
      <c r="U607" s="30"/>
    </row>
    <row r="608" spans="1:21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N608" s="25"/>
      <c r="O608" s="25"/>
      <c r="P608" s="25"/>
      <c r="Q608" s="25"/>
      <c r="R608" s="25"/>
      <c r="T608" s="30"/>
    </row>
    <row r="609" spans="1:21" ht="9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5"/>
      <c r="O609" s="25"/>
      <c r="P609" s="25"/>
      <c r="Q609" s="25"/>
      <c r="R609" s="25"/>
    </row>
    <row r="610" spans="1:21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N610" s="25"/>
      <c r="O610" s="25"/>
      <c r="P610" s="25"/>
      <c r="Q610" s="25"/>
      <c r="R610" s="25"/>
    </row>
    <row r="611" spans="1:21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N611" s="25"/>
      <c r="O611" s="25"/>
      <c r="P611" s="33"/>
      <c r="Q611" s="25"/>
      <c r="R611" s="25"/>
      <c r="T611" s="29"/>
      <c r="U611" s="30"/>
    </row>
    <row r="612" spans="1:21" ht="15.75" customHeight="1" x14ac:dyDescent="0.25">
      <c r="A612" s="1"/>
      <c r="B612" s="37"/>
      <c r="C612" s="1"/>
      <c r="D612" s="1"/>
      <c r="E612" s="1"/>
      <c r="F612" s="1"/>
      <c r="G612" s="1"/>
      <c r="H612" s="37"/>
      <c r="I612" s="1"/>
      <c r="J612" s="1"/>
      <c r="K612" s="1"/>
      <c r="L612" s="1"/>
      <c r="N612" s="25"/>
      <c r="O612" s="25"/>
      <c r="P612" s="27"/>
      <c r="Q612" s="25"/>
      <c r="R612" s="25"/>
      <c r="T612" s="31"/>
      <c r="U612" s="30"/>
    </row>
    <row r="613" spans="1:21" ht="15.75" customHeight="1" x14ac:dyDescent="0.25">
      <c r="A613" s="1"/>
      <c r="B613" s="48"/>
      <c r="C613" s="7"/>
      <c r="D613" s="1"/>
      <c r="E613" s="1"/>
      <c r="F613" s="1"/>
      <c r="G613" s="1"/>
      <c r="H613" s="1"/>
      <c r="I613" s="1"/>
      <c r="J613" s="1"/>
      <c r="K613" s="1"/>
      <c r="L613" s="1"/>
      <c r="N613" s="26"/>
      <c r="O613" s="25"/>
      <c r="P613" s="25"/>
      <c r="Q613" s="26"/>
      <c r="R613" s="25"/>
      <c r="T613" s="30"/>
    </row>
    <row r="614" spans="1:21" ht="15.75" customHeight="1" x14ac:dyDescent="0.25">
      <c r="A614" s="1"/>
      <c r="B614" s="48"/>
      <c r="C614" s="7"/>
      <c r="D614" s="1"/>
      <c r="E614" s="1"/>
      <c r="F614" s="1"/>
      <c r="G614" s="1"/>
      <c r="H614" s="1"/>
      <c r="I614" s="1"/>
      <c r="J614" s="1"/>
      <c r="K614" s="1"/>
      <c r="L614" s="1"/>
      <c r="N614" s="28"/>
      <c r="O614" s="25"/>
      <c r="P614" s="25"/>
      <c r="Q614" s="25"/>
      <c r="R614" s="25"/>
    </row>
    <row r="618" spans="1:21" ht="15.75" x14ac:dyDescent="0.25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21" ht="15.75" x14ac:dyDescent="0.25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21" ht="15.75" x14ac:dyDescent="0.25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2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2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2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21" ht="19.5" thickBot="1" x14ac:dyDescent="0.35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</row>
    <row r="625" spans="1:12" ht="19.5" thickTop="1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</row>
    <row r="626" spans="1:12" ht="18.75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</row>
    <row r="627" spans="1:12" ht="15" x14ac:dyDescent="0.25">
      <c r="A627" s="1"/>
      <c r="B627" s="1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" x14ac:dyDescent="0.25">
      <c r="A628" s="1"/>
      <c r="B628" s="1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" x14ac:dyDescent="0.25">
      <c r="A629" s="1"/>
      <c r="B629" s="1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" x14ac:dyDescent="0.25">
      <c r="A630" s="1"/>
      <c r="B630" s="4"/>
      <c r="C630" s="9"/>
      <c r="D630" s="37"/>
      <c r="E630" s="64"/>
      <c r="F630" s="4"/>
      <c r="G630" s="4"/>
      <c r="H630" s="4"/>
      <c r="I630" s="4"/>
      <c r="J630" s="4"/>
      <c r="K630" s="4"/>
      <c r="L630" s="4"/>
    </row>
    <row r="631" spans="1:12" ht="15" x14ac:dyDescent="0.25">
      <c r="A631" s="50"/>
      <c r="B631" s="76"/>
      <c r="C631" s="91"/>
      <c r="D631" s="1"/>
      <c r="E631" s="90"/>
      <c r="F631" s="76"/>
      <c r="G631" s="76"/>
      <c r="H631" s="76"/>
      <c r="I631" s="76"/>
      <c r="J631" s="76"/>
      <c r="K631" s="76"/>
      <c r="L631" s="76"/>
    </row>
    <row r="632" spans="1:12" ht="15" x14ac:dyDescent="0.25">
      <c r="A632" s="1"/>
      <c r="B632" s="4"/>
      <c r="C632" s="9"/>
      <c r="D632" s="1"/>
      <c r="E632" s="64"/>
      <c r="F632" s="4"/>
      <c r="G632" s="4"/>
      <c r="H632" s="4"/>
      <c r="I632" s="4"/>
      <c r="J632" s="4"/>
      <c r="K632" s="4"/>
      <c r="L632" s="4"/>
    </row>
    <row r="633" spans="1:12" ht="15" x14ac:dyDescent="0.25">
      <c r="A633" s="1"/>
      <c r="B633" s="1"/>
      <c r="C633" s="4"/>
      <c r="D633" s="1"/>
      <c r="E633" s="4"/>
      <c r="F633" s="4"/>
      <c r="G633" s="4"/>
      <c r="H633" s="4"/>
      <c r="I633" s="4"/>
      <c r="J633" s="4"/>
      <c r="K633" s="4"/>
      <c r="L633" s="4"/>
    </row>
    <row r="634" spans="1:12" ht="41.25" customHeight="1" x14ac:dyDescent="0.2">
      <c r="A634" s="280"/>
      <c r="B634" s="277"/>
      <c r="C634" s="277"/>
      <c r="D634" s="277"/>
      <c r="E634" s="277"/>
      <c r="F634" s="277"/>
      <c r="G634" s="277"/>
      <c r="H634" s="277"/>
      <c r="I634" s="277"/>
      <c r="J634" s="277"/>
      <c r="K634" s="277"/>
      <c r="L634" s="277"/>
    </row>
    <row r="635" spans="1:12" ht="15" x14ac:dyDescent="0.25">
      <c r="A635" s="1"/>
      <c r="B635" s="1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41.25" customHeight="1" thickBot="1" x14ac:dyDescent="0.25">
      <c r="A636" s="10"/>
      <c r="B636" s="337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</row>
    <row r="637" spans="1:12" ht="15.75" thickTop="1" x14ac:dyDescent="0.25">
      <c r="A637" s="1"/>
      <c r="B637" s="11"/>
      <c r="C637" s="12"/>
      <c r="D637" s="13"/>
      <c r="E637" s="13"/>
      <c r="F637" s="13"/>
      <c r="G637" s="13"/>
      <c r="H637" s="14"/>
      <c r="I637" s="15"/>
      <c r="J637" s="12"/>
      <c r="K637" s="13"/>
      <c r="L637" s="14"/>
    </row>
    <row r="638" spans="1:12" ht="25.5" customHeight="1" x14ac:dyDescent="0.2">
      <c r="A638" s="50"/>
      <c r="B638" s="60"/>
      <c r="C638" s="50"/>
      <c r="D638" s="50"/>
      <c r="E638" s="50"/>
      <c r="F638" s="50"/>
      <c r="G638" s="54"/>
      <c r="H638" s="55"/>
      <c r="I638" s="56"/>
      <c r="J638" s="50"/>
      <c r="K638" s="50"/>
      <c r="L638" s="55"/>
    </row>
    <row r="639" spans="1:12" ht="20.25" customHeight="1" x14ac:dyDescent="0.2">
      <c r="A639" s="76"/>
      <c r="B639" s="77"/>
      <c r="C639" s="50"/>
      <c r="D639" s="76"/>
      <c r="E639" s="76"/>
      <c r="F639" s="76"/>
      <c r="G639" s="78"/>
      <c r="H639" s="79"/>
      <c r="I639" s="80"/>
      <c r="J639" s="76"/>
      <c r="K639" s="76"/>
      <c r="L639" s="79"/>
    </row>
    <row r="640" spans="1:12" x14ac:dyDescent="0.2">
      <c r="A640" s="4"/>
      <c r="B640" s="16"/>
      <c r="C640" s="76"/>
      <c r="D640" s="4"/>
      <c r="E640" s="4"/>
      <c r="F640" s="4"/>
      <c r="G640" s="4"/>
      <c r="H640" s="17"/>
      <c r="I640" s="19"/>
      <c r="J640" s="4"/>
      <c r="K640" s="4"/>
      <c r="L640" s="17"/>
    </row>
    <row r="641" spans="1:12" x14ac:dyDescent="0.2">
      <c r="A641" s="4"/>
      <c r="B641" s="16"/>
      <c r="C641" s="4"/>
      <c r="D641" s="4"/>
      <c r="E641" s="4"/>
      <c r="F641" s="4"/>
      <c r="G641" s="4"/>
      <c r="H641" s="17"/>
      <c r="I641" s="19"/>
      <c r="J641" s="4"/>
      <c r="K641" s="4"/>
      <c r="L641" s="17"/>
    </row>
    <row r="642" spans="1:12" x14ac:dyDescent="0.2">
      <c r="A642" s="4"/>
      <c r="B642" s="16"/>
      <c r="C642" s="4"/>
      <c r="D642" s="4"/>
      <c r="E642" s="4"/>
      <c r="F642" s="4"/>
      <c r="G642" s="4"/>
      <c r="H642" s="17"/>
      <c r="I642" s="19"/>
      <c r="J642" s="4"/>
      <c r="K642" s="4"/>
      <c r="L642" s="17"/>
    </row>
    <row r="643" spans="1:12" x14ac:dyDescent="0.2">
      <c r="A643" s="4"/>
      <c r="B643" s="20"/>
      <c r="C643" s="21"/>
      <c r="D643" s="21"/>
      <c r="E643" s="21"/>
      <c r="F643" s="21"/>
      <c r="G643" s="21"/>
      <c r="H643" s="22"/>
      <c r="I643" s="23"/>
      <c r="J643" s="21"/>
      <c r="K643" s="21"/>
      <c r="L643" s="22"/>
    </row>
    <row r="644" spans="1:12" ht="15" x14ac:dyDescent="0.25">
      <c r="A644" s="1"/>
      <c r="B644" s="39"/>
      <c r="C644" s="1"/>
      <c r="D644" s="1"/>
      <c r="E644" s="1"/>
      <c r="F644" s="40"/>
      <c r="G644" s="40"/>
      <c r="H644" s="1"/>
      <c r="I644" s="41"/>
      <c r="J644" s="1"/>
      <c r="K644" s="1"/>
      <c r="L644" s="42"/>
    </row>
    <row r="645" spans="1:12" ht="15.75" thickBot="1" x14ac:dyDescent="0.3">
      <c r="A645" s="1"/>
      <c r="B645" s="43"/>
      <c r="C645" s="44"/>
      <c r="D645" s="44"/>
      <c r="E645" s="44"/>
      <c r="F645" s="45"/>
      <c r="G645" s="45"/>
      <c r="H645" s="44"/>
      <c r="I645" s="46"/>
      <c r="J645" s="44"/>
      <c r="K645" s="44"/>
      <c r="L645" s="47"/>
    </row>
    <row r="646" spans="1:12" ht="15.75" thickTop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54" customHeight="1" x14ac:dyDescent="0.2">
      <c r="A647" s="10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</row>
    <row r="648" spans="1:12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" x14ac:dyDescent="0.2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</row>
    <row r="650" spans="1:12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" x14ac:dyDescent="0.25">
      <c r="A659" s="1"/>
      <c r="B659" s="37"/>
      <c r="C659" s="1"/>
      <c r="D659" s="1"/>
      <c r="E659" s="1"/>
      <c r="F659" s="1"/>
      <c r="G659" s="1"/>
      <c r="H659" s="37"/>
      <c r="I659" s="1"/>
      <c r="J659" s="1"/>
      <c r="K659" s="1"/>
      <c r="L659" s="1"/>
    </row>
    <row r="660" spans="1:12" ht="15" x14ac:dyDescent="0.25">
      <c r="A660" s="1"/>
      <c r="B660" s="48"/>
      <c r="C660" s="7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" x14ac:dyDescent="0.25">
      <c r="A661" s="1"/>
      <c r="B661" s="48"/>
      <c r="C661" s="7"/>
      <c r="D661" s="1"/>
      <c r="E661" s="1"/>
      <c r="F661" s="1"/>
      <c r="G661" s="1"/>
      <c r="H661" s="1"/>
      <c r="I661" s="1"/>
      <c r="J661" s="1"/>
      <c r="K661" s="1"/>
      <c r="L661" s="1"/>
    </row>
    <row r="667" spans="1:12" ht="15.75" x14ac:dyDescent="0.25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.75" x14ac:dyDescent="0.25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.75" x14ac:dyDescent="0.25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.75" x14ac:dyDescent="0.2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.75" x14ac:dyDescent="0.25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9.5" thickBot="1" x14ac:dyDescent="0.35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</row>
    <row r="676" spans="1:12" ht="19.5" thickTop="1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</row>
    <row r="677" spans="1:12" ht="18.75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</row>
    <row r="678" spans="1:12" ht="15" x14ac:dyDescent="0.25">
      <c r="A678" s="1"/>
      <c r="B678" s="1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" x14ac:dyDescent="0.25">
      <c r="A679" s="1"/>
      <c r="B679" s="1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" x14ac:dyDescent="0.25">
      <c r="A680" s="1"/>
      <c r="B680" s="1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6.5" customHeight="1" x14ac:dyDescent="0.25">
      <c r="A681" s="1"/>
      <c r="B681" s="4"/>
      <c r="C681" s="9"/>
      <c r="D681" s="37"/>
      <c r="E681" s="64"/>
      <c r="F681" s="4"/>
      <c r="G681" s="4"/>
      <c r="H681" s="4"/>
      <c r="I681" s="4"/>
      <c r="J681" s="4"/>
      <c r="K681" s="4"/>
      <c r="L681" s="4"/>
    </row>
    <row r="682" spans="1:12" ht="18.75" customHeight="1" x14ac:dyDescent="0.25">
      <c r="A682" s="1"/>
      <c r="B682" s="4"/>
      <c r="C682" s="9"/>
      <c r="D682" s="1"/>
      <c r="E682" s="64"/>
      <c r="F682" s="4"/>
      <c r="G682" s="4"/>
      <c r="H682" s="4"/>
      <c r="I682" s="4"/>
      <c r="J682" s="4"/>
      <c r="K682" s="4"/>
      <c r="L682" s="4"/>
    </row>
    <row r="683" spans="1:12" ht="18" customHeight="1" x14ac:dyDescent="0.25">
      <c r="A683" s="1"/>
      <c r="B683" s="4"/>
      <c r="C683" s="9"/>
      <c r="D683" s="1"/>
      <c r="E683" s="64"/>
      <c r="F683" s="4"/>
      <c r="G683" s="4"/>
      <c r="H683" s="4"/>
      <c r="I683" s="4"/>
      <c r="J683" s="4"/>
      <c r="K683" s="4"/>
      <c r="L683" s="4"/>
    </row>
    <row r="684" spans="1:12" ht="15" x14ac:dyDescent="0.25">
      <c r="A684" s="1"/>
      <c r="B684" s="1"/>
      <c r="C684" s="4"/>
      <c r="D684" s="1"/>
      <c r="E684" s="4"/>
      <c r="F684" s="4"/>
      <c r="G684" s="4"/>
      <c r="H684" s="4"/>
      <c r="I684" s="4"/>
      <c r="J684" s="4"/>
      <c r="K684" s="4"/>
      <c r="L684" s="4"/>
    </row>
    <row r="685" spans="1:12" ht="44.25" customHeight="1" x14ac:dyDescent="0.2">
      <c r="A685" s="280"/>
      <c r="B685" s="277"/>
      <c r="C685" s="277"/>
      <c r="D685" s="277"/>
      <c r="E685" s="277"/>
      <c r="F685" s="277"/>
      <c r="G685" s="277"/>
      <c r="H685" s="277"/>
      <c r="I685" s="277"/>
      <c r="J685" s="277"/>
      <c r="K685" s="277"/>
      <c r="L685" s="277"/>
    </row>
    <row r="686" spans="1:12" ht="15" x14ac:dyDescent="0.25">
      <c r="A686" s="1"/>
      <c r="B686" s="1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40.5" customHeight="1" thickBot="1" x14ac:dyDescent="0.25">
      <c r="A687" s="10"/>
      <c r="B687" s="337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</row>
    <row r="688" spans="1:12" ht="15.75" thickTop="1" x14ac:dyDescent="0.25">
      <c r="A688" s="1"/>
      <c r="B688" s="11"/>
      <c r="C688" s="12"/>
      <c r="D688" s="13"/>
      <c r="E688" s="13"/>
      <c r="F688" s="13"/>
      <c r="G688" s="13"/>
      <c r="H688" s="14"/>
      <c r="I688" s="15"/>
      <c r="J688" s="12"/>
      <c r="K688" s="13"/>
      <c r="L688" s="14"/>
    </row>
    <row r="689" spans="1:12" ht="27.75" customHeight="1" x14ac:dyDescent="0.2">
      <c r="A689" s="50"/>
      <c r="B689" s="60"/>
      <c r="C689" s="50"/>
      <c r="D689" s="50"/>
      <c r="E689" s="50"/>
      <c r="F689" s="50"/>
      <c r="G689" s="54"/>
      <c r="H689" s="55"/>
      <c r="I689" s="56"/>
      <c r="J689" s="50"/>
      <c r="K689" s="50"/>
      <c r="L689" s="55"/>
    </row>
    <row r="690" spans="1:12" x14ac:dyDescent="0.2">
      <c r="A690" s="76"/>
      <c r="B690" s="77"/>
      <c r="C690" s="76"/>
      <c r="D690" s="76"/>
      <c r="E690" s="76"/>
      <c r="F690" s="76"/>
      <c r="G690" s="78"/>
      <c r="H690" s="79"/>
      <c r="I690" s="80"/>
      <c r="J690" s="76"/>
      <c r="K690" s="76"/>
      <c r="L690" s="79"/>
    </row>
    <row r="691" spans="1:12" ht="7.5" customHeight="1" x14ac:dyDescent="0.2">
      <c r="A691" s="4"/>
      <c r="B691" s="16"/>
      <c r="C691" s="4"/>
      <c r="D691" s="4"/>
      <c r="E691" s="4"/>
      <c r="F691" s="4"/>
      <c r="G691" s="4"/>
      <c r="H691" s="17"/>
      <c r="I691" s="19"/>
      <c r="J691" s="4"/>
      <c r="K691" s="4"/>
      <c r="L691" s="17"/>
    </row>
    <row r="692" spans="1:12" x14ac:dyDescent="0.2">
      <c r="A692" s="4"/>
      <c r="B692" s="16"/>
      <c r="C692" s="4"/>
      <c r="D692" s="4"/>
      <c r="E692" s="4"/>
      <c r="F692" s="4"/>
      <c r="G692" s="4"/>
      <c r="H692" s="17"/>
      <c r="I692" s="19"/>
      <c r="J692" s="4"/>
      <c r="K692" s="4"/>
      <c r="L692" s="17"/>
    </row>
    <row r="693" spans="1:12" x14ac:dyDescent="0.2">
      <c r="A693" s="4"/>
      <c r="B693" s="16"/>
      <c r="C693" s="4"/>
      <c r="D693" s="4"/>
      <c r="E693" s="4"/>
      <c r="F693" s="4"/>
      <c r="G693" s="4"/>
      <c r="H693" s="17"/>
      <c r="I693" s="19"/>
      <c r="J693" s="4"/>
      <c r="K693" s="4"/>
      <c r="L693" s="17"/>
    </row>
    <row r="694" spans="1:12" x14ac:dyDescent="0.2">
      <c r="A694" s="4"/>
      <c r="B694" s="20"/>
      <c r="C694" s="21"/>
      <c r="D694" s="21"/>
      <c r="E694" s="21"/>
      <c r="F694" s="21"/>
      <c r="G694" s="21"/>
      <c r="H694" s="22"/>
      <c r="I694" s="23"/>
      <c r="J694" s="21"/>
      <c r="K694" s="21"/>
      <c r="L694" s="22"/>
    </row>
    <row r="695" spans="1:12" ht="15" x14ac:dyDescent="0.25">
      <c r="A695" s="1"/>
      <c r="B695" s="39"/>
      <c r="C695" s="1"/>
      <c r="D695" s="1"/>
      <c r="E695" s="1"/>
      <c r="F695" s="40"/>
      <c r="G695" s="40"/>
      <c r="H695" s="1"/>
      <c r="I695" s="41"/>
      <c r="J695" s="1"/>
      <c r="K695" s="1"/>
      <c r="L695" s="42"/>
    </row>
    <row r="696" spans="1:12" ht="15.75" thickBot="1" x14ac:dyDescent="0.3">
      <c r="A696" s="1"/>
      <c r="B696" s="43"/>
      <c r="C696" s="44"/>
      <c r="D696" s="44"/>
      <c r="E696" s="44"/>
      <c r="F696" s="45"/>
      <c r="G696" s="45"/>
      <c r="H696" s="44"/>
      <c r="I696" s="46"/>
      <c r="J696" s="44"/>
      <c r="K696" s="44"/>
      <c r="L696" s="47"/>
    </row>
    <row r="697" spans="1:12" ht="15.75" thickTop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52.5" customHeight="1" x14ac:dyDescent="0.2">
      <c r="A698" s="10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</row>
    <row r="699" spans="1:12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7.25" customHeight="1" x14ac:dyDescent="0.2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</row>
    <row r="701" spans="1:12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8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" x14ac:dyDescent="0.25">
      <c r="A710" s="1"/>
      <c r="B710" s="37"/>
      <c r="C710" s="1"/>
      <c r="D710" s="1"/>
      <c r="E710" s="1"/>
      <c r="F710" s="1"/>
      <c r="G710" s="1"/>
      <c r="H710" s="37"/>
      <c r="I710" s="1"/>
      <c r="J710" s="1"/>
      <c r="K710" s="1"/>
      <c r="L710" s="1"/>
    </row>
    <row r="711" spans="1:12" ht="15" x14ac:dyDescent="0.25">
      <c r="A711" s="1"/>
      <c r="B711" s="48"/>
      <c r="C711" s="7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" x14ac:dyDescent="0.25">
      <c r="A712" s="1"/>
      <c r="B712" s="48"/>
      <c r="C712" s="7"/>
      <c r="D712" s="1"/>
      <c r="E712" s="1"/>
      <c r="F712" s="1"/>
      <c r="G712" s="1"/>
      <c r="H712" s="1"/>
      <c r="I712" s="1"/>
      <c r="J712" s="1"/>
      <c r="K712" s="1"/>
      <c r="L712" s="1"/>
    </row>
    <row r="714" spans="1:12" ht="15.75" x14ac:dyDescent="0.25">
      <c r="A714" s="84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</row>
    <row r="715" spans="1:12" ht="15.75" x14ac:dyDescent="0.25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.75" x14ac:dyDescent="0.25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.75" x14ac:dyDescent="0.25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9.5" thickBot="1" x14ac:dyDescent="0.35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</row>
    <row r="722" spans="1:12" ht="19.5" thickTop="1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</row>
    <row r="723" spans="1:12" ht="18.75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</row>
    <row r="724" spans="1:12" ht="15" x14ac:dyDescent="0.25">
      <c r="A724" s="1"/>
      <c r="B724" s="1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" x14ac:dyDescent="0.25">
      <c r="A725" s="1"/>
      <c r="B725" s="1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" x14ac:dyDescent="0.25">
      <c r="A726" s="1"/>
      <c r="B726" s="1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" x14ac:dyDescent="0.25">
      <c r="A727" s="1"/>
      <c r="B727" s="4"/>
      <c r="C727" s="9"/>
      <c r="D727" s="37"/>
      <c r="E727" s="64"/>
      <c r="F727" s="4"/>
      <c r="G727" s="4"/>
      <c r="H727" s="4"/>
      <c r="I727" s="4"/>
      <c r="J727" s="4"/>
      <c r="K727" s="4"/>
      <c r="L727" s="4"/>
    </row>
    <row r="728" spans="1:12" ht="15" x14ac:dyDescent="0.25">
      <c r="A728" s="1"/>
      <c r="B728" s="4"/>
      <c r="C728" s="9"/>
      <c r="D728" s="1"/>
      <c r="E728" s="64"/>
      <c r="F728" s="4"/>
      <c r="G728" s="4"/>
      <c r="H728" s="4"/>
      <c r="I728" s="4"/>
      <c r="J728" s="4"/>
      <c r="K728" s="4"/>
      <c r="L728" s="4"/>
    </row>
    <row r="729" spans="1:12" ht="15" x14ac:dyDescent="0.25">
      <c r="A729" s="1"/>
      <c r="B729" s="4"/>
      <c r="C729" s="9"/>
      <c r="D729" s="1"/>
      <c r="E729" s="64"/>
      <c r="F729" s="4"/>
      <c r="G729" s="4"/>
      <c r="H729" s="4"/>
      <c r="I729" s="4"/>
      <c r="J729" s="4"/>
      <c r="K729" s="4"/>
      <c r="L729" s="4"/>
    </row>
    <row r="730" spans="1:12" ht="15" x14ac:dyDescent="0.25">
      <c r="A730" s="1"/>
      <c r="B730" s="1"/>
      <c r="C730" s="4"/>
      <c r="D730" s="1"/>
      <c r="E730" s="4"/>
      <c r="F730" s="4"/>
      <c r="G730" s="4"/>
      <c r="H730" s="4"/>
      <c r="I730" s="4"/>
      <c r="J730" s="4"/>
      <c r="K730" s="4"/>
      <c r="L730" s="4"/>
    </row>
    <row r="731" spans="1:12" ht="32.25" customHeight="1" x14ac:dyDescent="0.2">
      <c r="A731" s="280"/>
      <c r="B731" s="277"/>
      <c r="C731" s="277"/>
      <c r="D731" s="277"/>
      <c r="E731" s="277"/>
      <c r="F731" s="277"/>
      <c r="G731" s="277"/>
      <c r="H731" s="277"/>
      <c r="I731" s="277"/>
      <c r="J731" s="277"/>
      <c r="K731" s="277"/>
      <c r="L731" s="277"/>
    </row>
    <row r="732" spans="1:12" ht="15" x14ac:dyDescent="0.25">
      <c r="A732" s="1"/>
      <c r="B732" s="1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41.25" customHeight="1" thickBot="1" x14ac:dyDescent="0.25">
      <c r="A733" s="10"/>
      <c r="B733" s="337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</row>
    <row r="734" spans="1:12" ht="15.75" thickTop="1" x14ac:dyDescent="0.25">
      <c r="A734" s="1"/>
      <c r="B734" s="11"/>
      <c r="C734" s="12"/>
      <c r="D734" s="13"/>
      <c r="E734" s="13"/>
      <c r="F734" s="13"/>
      <c r="G734" s="13"/>
      <c r="H734" s="14"/>
      <c r="I734" s="15"/>
      <c r="J734" s="12"/>
      <c r="K734" s="13"/>
      <c r="L734" s="14"/>
    </row>
    <row r="735" spans="1:12" s="51" customFormat="1" ht="26.25" customHeight="1" x14ac:dyDescent="0.2">
      <c r="A735" s="50"/>
      <c r="B735" s="60"/>
      <c r="C735" s="50"/>
      <c r="D735" s="50"/>
      <c r="E735" s="50"/>
      <c r="F735" s="50"/>
      <c r="G735" s="54"/>
      <c r="H735" s="55"/>
      <c r="I735" s="56"/>
      <c r="J735" s="50"/>
      <c r="K735" s="50"/>
      <c r="L735" s="55"/>
    </row>
    <row r="736" spans="1:12" s="51" customFormat="1" ht="26.25" customHeight="1" x14ac:dyDescent="0.2">
      <c r="A736" s="76"/>
      <c r="B736" s="77"/>
      <c r="C736" s="76"/>
      <c r="D736" s="76"/>
      <c r="E736" s="76"/>
      <c r="F736" s="76"/>
      <c r="G736" s="78"/>
      <c r="H736" s="79"/>
      <c r="I736" s="80"/>
      <c r="J736" s="76"/>
      <c r="K736" s="76"/>
      <c r="L736" s="79"/>
    </row>
    <row r="737" spans="1:12" x14ac:dyDescent="0.2">
      <c r="A737" s="4"/>
      <c r="B737" s="16"/>
      <c r="C737" s="4"/>
      <c r="D737" s="4"/>
      <c r="E737" s="4"/>
      <c r="F737" s="4"/>
      <c r="G737" s="4"/>
      <c r="H737" s="17"/>
      <c r="I737" s="19"/>
      <c r="J737" s="4"/>
      <c r="K737" s="4"/>
      <c r="L737" s="17"/>
    </row>
    <row r="738" spans="1:12" x14ac:dyDescent="0.2">
      <c r="A738" s="4"/>
      <c r="B738" s="16"/>
      <c r="C738" s="4"/>
      <c r="D738" s="4"/>
      <c r="E738" s="4"/>
      <c r="F738" s="4"/>
      <c r="G738" s="4"/>
      <c r="H738" s="17"/>
      <c r="I738" s="19"/>
      <c r="J738" s="4"/>
      <c r="K738" s="4"/>
      <c r="L738" s="17"/>
    </row>
    <row r="739" spans="1:12" x14ac:dyDescent="0.2">
      <c r="A739" s="4"/>
      <c r="B739" s="16"/>
      <c r="C739" s="4"/>
      <c r="D739" s="4"/>
      <c r="E739" s="4"/>
      <c r="F739" s="4"/>
      <c r="G739" s="4"/>
      <c r="H739" s="17"/>
      <c r="I739" s="19"/>
      <c r="J739" s="4"/>
      <c r="K739" s="4"/>
      <c r="L739" s="17"/>
    </row>
    <row r="740" spans="1:12" x14ac:dyDescent="0.2">
      <c r="A740" s="4"/>
      <c r="B740" s="20"/>
      <c r="C740" s="21"/>
      <c r="D740" s="21"/>
      <c r="E740" s="21"/>
      <c r="F740" s="21"/>
      <c r="G740" s="21"/>
      <c r="H740" s="22"/>
      <c r="I740" s="23"/>
      <c r="J740" s="21"/>
      <c r="K740" s="21"/>
      <c r="L740" s="22"/>
    </row>
    <row r="741" spans="1:12" ht="20.25" customHeight="1" x14ac:dyDescent="0.25">
      <c r="A741" s="1"/>
      <c r="B741" s="39"/>
      <c r="C741" s="1"/>
      <c r="D741" s="1"/>
      <c r="E741" s="1"/>
      <c r="F741" s="40"/>
      <c r="G741" s="40"/>
      <c r="H741" s="1"/>
      <c r="I741" s="41"/>
      <c r="J741" s="1"/>
      <c r="K741" s="1"/>
      <c r="L741" s="42"/>
    </row>
    <row r="742" spans="1:12" ht="15.75" thickBot="1" x14ac:dyDescent="0.3">
      <c r="A742" s="1"/>
      <c r="B742" s="43"/>
      <c r="C742" s="44"/>
      <c r="D742" s="44"/>
      <c r="E742" s="44"/>
      <c r="F742" s="45"/>
      <c r="G742" s="45"/>
      <c r="H742" s="44"/>
      <c r="I742" s="46"/>
      <c r="J742" s="44"/>
      <c r="K742" s="44"/>
      <c r="L742" s="47"/>
    </row>
    <row r="743" spans="1:12" ht="15.75" thickTop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57" customHeight="1" x14ac:dyDescent="0.2">
      <c r="A744" s="10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</row>
    <row r="745" spans="1:1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23.25" customHeight="1" x14ac:dyDescent="0.2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</row>
    <row r="747" spans="1:12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" x14ac:dyDescent="0.25">
      <c r="A756" s="1"/>
      <c r="B756" s="37"/>
      <c r="C756" s="1"/>
      <c r="D756" s="1"/>
      <c r="E756" s="1"/>
      <c r="F756" s="1"/>
      <c r="G756" s="1"/>
      <c r="H756" s="37"/>
      <c r="I756" s="1"/>
      <c r="J756" s="1"/>
      <c r="K756" s="1"/>
      <c r="L756" s="1"/>
    </row>
    <row r="757" spans="1:12" ht="15" x14ac:dyDescent="0.25">
      <c r="A757" s="1"/>
      <c r="B757" s="48"/>
      <c r="C757" s="7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" x14ac:dyDescent="0.25">
      <c r="A758" s="1"/>
      <c r="B758" s="48"/>
      <c r="C758" s="7"/>
      <c r="D758" s="1"/>
      <c r="E758" s="1"/>
      <c r="F758" s="1"/>
      <c r="G758" s="1"/>
      <c r="H758" s="1"/>
      <c r="I758" s="1"/>
      <c r="J758" s="1"/>
      <c r="K758" s="1"/>
      <c r="L758" s="1"/>
    </row>
    <row r="763" spans="1:12" ht="15.75" x14ac:dyDescent="0.25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.75" x14ac:dyDescent="0.25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.75" x14ac:dyDescent="0.25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9.5" thickBot="1" x14ac:dyDescent="0.35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</row>
    <row r="770" spans="1:12" ht="19.5" thickTop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</row>
    <row r="771" spans="1:12" ht="18.75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</row>
    <row r="772" spans="1:12" ht="15" x14ac:dyDescent="0.25">
      <c r="A772" s="1"/>
      <c r="B772" s="1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" x14ac:dyDescent="0.25">
      <c r="A773" s="1"/>
      <c r="B773" s="1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" x14ac:dyDescent="0.25">
      <c r="A774" s="1"/>
      <c r="B774" s="1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" x14ac:dyDescent="0.25">
      <c r="A775" s="1"/>
      <c r="B775" s="4"/>
      <c r="C775" s="9"/>
      <c r="D775" s="37"/>
      <c r="E775" s="64"/>
      <c r="F775" s="4"/>
      <c r="G775" s="4"/>
      <c r="H775" s="4"/>
      <c r="I775" s="4"/>
      <c r="J775" s="4"/>
      <c r="K775" s="4"/>
      <c r="L775" s="4"/>
    </row>
    <row r="776" spans="1:12" ht="15" x14ac:dyDescent="0.25">
      <c r="A776" s="1"/>
      <c r="B776" s="4"/>
      <c r="C776" s="9"/>
      <c r="D776" s="48"/>
      <c r="E776" s="64"/>
      <c r="F776" s="4"/>
      <c r="G776" s="4"/>
      <c r="H776" s="4"/>
      <c r="I776" s="4"/>
      <c r="J776" s="4"/>
      <c r="K776" s="4"/>
      <c r="L776" s="4"/>
    </row>
    <row r="777" spans="1:12" ht="15" x14ac:dyDescent="0.25">
      <c r="A777" s="1"/>
      <c r="B777" s="4"/>
      <c r="C777" s="9"/>
      <c r="D777" s="48"/>
      <c r="E777" s="64"/>
      <c r="F777" s="4"/>
      <c r="G777" s="4"/>
      <c r="H777" s="4"/>
      <c r="I777" s="4"/>
      <c r="J777" s="4"/>
      <c r="K777" s="4"/>
      <c r="L777" s="4"/>
    </row>
    <row r="778" spans="1:12" ht="15" x14ac:dyDescent="0.25">
      <c r="A778" s="1"/>
      <c r="B778" s="1"/>
      <c r="C778" s="4"/>
      <c r="D778" s="1"/>
      <c r="E778" s="4"/>
      <c r="F778" s="4"/>
      <c r="G778" s="4"/>
      <c r="H778" s="4"/>
      <c r="I778" s="4"/>
      <c r="J778" s="4"/>
      <c r="K778" s="4"/>
      <c r="L778" s="4"/>
    </row>
    <row r="779" spans="1:12" ht="43.5" customHeight="1" x14ac:dyDescent="0.2">
      <c r="A779" s="280"/>
      <c r="B779" s="277"/>
      <c r="C779" s="277"/>
      <c r="D779" s="277"/>
      <c r="E779" s="277"/>
      <c r="F779" s="277"/>
      <c r="G779" s="277"/>
      <c r="H779" s="277"/>
      <c r="I779" s="277"/>
      <c r="J779" s="277"/>
      <c r="K779" s="277"/>
      <c r="L779" s="277"/>
    </row>
    <row r="780" spans="1:12" ht="15" x14ac:dyDescent="0.25">
      <c r="A780" s="1"/>
      <c r="B780" s="1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36.75" customHeight="1" thickBot="1" x14ac:dyDescent="0.25">
      <c r="A781" s="10"/>
      <c r="B781" s="337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</row>
    <row r="782" spans="1:12" ht="15.75" thickTop="1" x14ac:dyDescent="0.25">
      <c r="A782" s="1"/>
      <c r="B782" s="11"/>
      <c r="C782" s="12"/>
      <c r="D782" s="13"/>
      <c r="E782" s="13"/>
      <c r="F782" s="13"/>
      <c r="G782" s="13"/>
      <c r="H782" s="14"/>
      <c r="I782" s="15"/>
      <c r="J782" s="12"/>
      <c r="K782" s="13"/>
      <c r="L782" s="14"/>
    </row>
    <row r="783" spans="1:12" ht="22.5" customHeight="1" x14ac:dyDescent="0.2">
      <c r="A783" s="50"/>
      <c r="B783" s="60"/>
      <c r="C783" s="50"/>
      <c r="D783" s="50"/>
      <c r="E783" s="50"/>
      <c r="F783" s="50"/>
      <c r="G783" s="54"/>
      <c r="H783" s="55"/>
      <c r="I783" s="56"/>
      <c r="J783" s="50"/>
      <c r="K783" s="50"/>
      <c r="L783" s="55"/>
    </row>
    <row r="784" spans="1:12" ht="22.5" customHeight="1" x14ac:dyDescent="0.2">
      <c r="A784" s="76"/>
      <c r="B784" s="77"/>
      <c r="C784" s="76"/>
      <c r="D784" s="76"/>
      <c r="E784" s="76"/>
      <c r="F784" s="76"/>
      <c r="G784" s="78"/>
      <c r="H784" s="79"/>
      <c r="I784" s="80"/>
      <c r="J784" s="76"/>
      <c r="K784" s="76"/>
      <c r="L784" s="79"/>
    </row>
    <row r="785" spans="1:12" ht="15.75" customHeight="1" x14ac:dyDescent="0.2">
      <c r="A785" s="4"/>
      <c r="B785" s="16"/>
      <c r="C785" s="4"/>
      <c r="D785" s="4"/>
      <c r="E785" s="4"/>
      <c r="F785" s="4"/>
      <c r="G785" s="4"/>
      <c r="H785" s="17"/>
      <c r="I785" s="19"/>
      <c r="J785" s="4"/>
      <c r="K785" s="4"/>
      <c r="L785" s="17"/>
    </row>
    <row r="786" spans="1:12" x14ac:dyDescent="0.2">
      <c r="A786" s="4"/>
      <c r="B786" s="16"/>
      <c r="C786" s="4"/>
      <c r="D786" s="4"/>
      <c r="E786" s="4"/>
      <c r="F786" s="4"/>
      <c r="G786" s="4"/>
      <c r="H786" s="17"/>
      <c r="I786" s="19"/>
      <c r="J786" s="4"/>
      <c r="K786" s="4"/>
      <c r="L786" s="17"/>
    </row>
    <row r="787" spans="1:12" x14ac:dyDescent="0.2">
      <c r="A787" s="4"/>
      <c r="B787" s="16"/>
      <c r="C787" s="4"/>
      <c r="D787" s="4"/>
      <c r="E787" s="4"/>
      <c r="F787" s="4"/>
      <c r="G787" s="4"/>
      <c r="H787" s="17"/>
      <c r="I787" s="19"/>
      <c r="J787" s="4"/>
      <c r="K787" s="4"/>
      <c r="L787" s="17"/>
    </row>
    <row r="788" spans="1:12" x14ac:dyDescent="0.2">
      <c r="A788" s="4"/>
      <c r="B788" s="20"/>
      <c r="C788" s="21"/>
      <c r="D788" s="21"/>
      <c r="E788" s="21"/>
      <c r="F788" s="21"/>
      <c r="G788" s="21"/>
      <c r="H788" s="22"/>
      <c r="I788" s="23"/>
      <c r="J788" s="21"/>
      <c r="K788" s="21"/>
      <c r="L788" s="22"/>
    </row>
    <row r="789" spans="1:12" ht="15" x14ac:dyDescent="0.25">
      <c r="A789" s="1"/>
      <c r="B789" s="39"/>
      <c r="C789" s="1"/>
      <c r="D789" s="1"/>
      <c r="E789" s="1"/>
      <c r="F789" s="40"/>
      <c r="G789" s="40"/>
      <c r="H789" s="1"/>
      <c r="I789" s="41"/>
      <c r="J789" s="1"/>
      <c r="K789" s="1"/>
      <c r="L789" s="42"/>
    </row>
    <row r="790" spans="1:12" ht="15.75" thickBot="1" x14ac:dyDescent="0.3">
      <c r="A790" s="1"/>
      <c r="B790" s="43"/>
      <c r="C790" s="44"/>
      <c r="D790" s="44"/>
      <c r="E790" s="44"/>
      <c r="F790" s="45"/>
      <c r="G790" s="45"/>
      <c r="H790" s="44"/>
      <c r="I790" s="46"/>
      <c r="J790" s="44"/>
      <c r="K790" s="44"/>
      <c r="L790" s="47"/>
    </row>
    <row r="791" spans="1:12" ht="15.75" thickTop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51" customHeight="1" x14ac:dyDescent="0.2">
      <c r="A792" s="10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</row>
    <row r="793" spans="1:12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" customHeight="1" x14ac:dyDescent="0.2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</row>
    <row r="795" spans="1:12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6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" x14ac:dyDescent="0.25">
      <c r="A804" s="1"/>
      <c r="B804" s="37"/>
      <c r="C804" s="1"/>
      <c r="D804" s="1"/>
      <c r="E804" s="1"/>
      <c r="F804" s="1"/>
      <c r="G804" s="1"/>
      <c r="H804" s="37"/>
      <c r="I804" s="1"/>
      <c r="J804" s="1"/>
      <c r="K804" s="1"/>
      <c r="L804" s="1"/>
    </row>
    <row r="805" spans="1:12" ht="15" x14ac:dyDescent="0.25">
      <c r="A805" s="1"/>
      <c r="B805" s="48"/>
      <c r="C805" s="7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" x14ac:dyDescent="0.25">
      <c r="A806" s="1"/>
      <c r="B806" s="48"/>
      <c r="C806" s="7"/>
      <c r="D806" s="1"/>
      <c r="E806" s="1"/>
      <c r="F806" s="1"/>
      <c r="G806" s="1"/>
      <c r="H806" s="1"/>
      <c r="I806" s="1"/>
      <c r="J806" s="1"/>
      <c r="K806" s="1"/>
      <c r="L806" s="1"/>
    </row>
    <row r="810" spans="1:12" ht="15.75" x14ac:dyDescent="0.25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.75" x14ac:dyDescent="0.25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.75" x14ac:dyDescent="0.25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9.5" thickBot="1" x14ac:dyDescent="0.35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</row>
    <row r="817" spans="1:12" ht="19.5" thickTop="1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</row>
    <row r="818" spans="1:12" ht="18.75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</row>
    <row r="819" spans="1:12" ht="15" x14ac:dyDescent="0.25">
      <c r="A819" s="1"/>
      <c r="B819" s="1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" x14ac:dyDescent="0.25">
      <c r="A820" s="1"/>
      <c r="B820" s="1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" x14ac:dyDescent="0.25">
      <c r="A821" s="1"/>
      <c r="B821" s="1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" x14ac:dyDescent="0.25">
      <c r="A822" s="1"/>
      <c r="B822" s="4"/>
      <c r="C822" s="9"/>
      <c r="D822" s="37"/>
      <c r="E822" s="64"/>
      <c r="F822" s="4"/>
      <c r="G822" s="4"/>
      <c r="H822" s="4"/>
      <c r="I822" s="4"/>
      <c r="J822" s="4"/>
      <c r="K822" s="4"/>
      <c r="L822" s="4"/>
    </row>
    <row r="823" spans="1:12" ht="15" x14ac:dyDescent="0.25">
      <c r="A823" s="1"/>
      <c r="B823" s="4"/>
      <c r="C823" s="9"/>
      <c r="D823" s="48"/>
      <c r="E823" s="64"/>
      <c r="F823" s="4"/>
      <c r="G823" s="4"/>
      <c r="H823" s="4"/>
      <c r="I823" s="4"/>
      <c r="J823" s="4"/>
      <c r="K823" s="4"/>
      <c r="L823" s="4"/>
    </row>
    <row r="824" spans="1:12" ht="15" x14ac:dyDescent="0.25">
      <c r="A824" s="1"/>
      <c r="B824" s="4"/>
      <c r="C824" s="9"/>
      <c r="D824" s="1"/>
      <c r="E824" s="64"/>
      <c r="F824" s="4"/>
      <c r="G824" s="4"/>
      <c r="H824" s="4"/>
      <c r="I824" s="4"/>
      <c r="J824" s="4"/>
      <c r="K824" s="4"/>
      <c r="L824" s="4"/>
    </row>
    <row r="825" spans="1:12" ht="15" x14ac:dyDescent="0.25">
      <c r="A825" s="1"/>
      <c r="B825" s="1"/>
      <c r="C825" s="4"/>
      <c r="D825" s="1"/>
      <c r="E825" s="4"/>
      <c r="F825" s="4"/>
      <c r="G825" s="4"/>
      <c r="H825" s="4"/>
      <c r="I825" s="4"/>
      <c r="J825" s="4"/>
      <c r="K825" s="4"/>
      <c r="L825" s="4"/>
    </row>
    <row r="826" spans="1:12" ht="36" customHeight="1" x14ac:dyDescent="0.2">
      <c r="A826" s="280"/>
      <c r="B826" s="277"/>
      <c r="C826" s="277"/>
      <c r="D826" s="277"/>
      <c r="E826" s="277"/>
      <c r="F826" s="277"/>
      <c r="G826" s="277"/>
      <c r="H826" s="277"/>
      <c r="I826" s="277"/>
      <c r="J826" s="277"/>
      <c r="K826" s="277"/>
      <c r="L826" s="277"/>
    </row>
    <row r="827" spans="1:12" ht="15" x14ac:dyDescent="0.25">
      <c r="A827" s="1"/>
      <c r="B827" s="1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36.75" customHeight="1" thickBot="1" x14ac:dyDescent="0.25">
      <c r="A828" s="10"/>
      <c r="B828" s="337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</row>
    <row r="829" spans="1:12" ht="15.75" thickTop="1" x14ac:dyDescent="0.25">
      <c r="A829" s="1"/>
      <c r="B829" s="11"/>
      <c r="C829" s="12"/>
      <c r="D829" s="13"/>
      <c r="E829" s="13"/>
      <c r="F829" s="13"/>
      <c r="G829" s="13"/>
      <c r="H829" s="14"/>
      <c r="I829" s="15"/>
      <c r="J829" s="12"/>
      <c r="K829" s="13"/>
      <c r="L829" s="14"/>
    </row>
    <row r="830" spans="1:12" ht="18.75" customHeight="1" x14ac:dyDescent="0.2">
      <c r="A830" s="50"/>
      <c r="B830" s="60"/>
      <c r="C830" s="76"/>
      <c r="D830" s="76"/>
      <c r="E830" s="76"/>
      <c r="F830" s="76"/>
      <c r="G830" s="78"/>
      <c r="H830" s="79"/>
      <c r="I830" s="80"/>
      <c r="J830" s="76"/>
      <c r="K830" s="76"/>
      <c r="L830" s="55"/>
    </row>
    <row r="831" spans="1:12" ht="18.75" customHeight="1" x14ac:dyDescent="0.2">
      <c r="A831" s="76"/>
      <c r="B831" s="77"/>
      <c r="C831" s="76"/>
      <c r="D831" s="76"/>
      <c r="E831" s="76"/>
      <c r="F831" s="76"/>
      <c r="G831" s="78"/>
      <c r="H831" s="79"/>
      <c r="I831" s="80"/>
      <c r="J831" s="76"/>
      <c r="K831" s="76"/>
      <c r="L831" s="79"/>
    </row>
    <row r="832" spans="1:12" x14ac:dyDescent="0.2">
      <c r="A832" s="4"/>
      <c r="B832" s="16"/>
      <c r="C832" s="4"/>
      <c r="D832" s="4"/>
      <c r="E832" s="4"/>
      <c r="F832" s="4"/>
      <c r="G832" s="4"/>
      <c r="H832" s="17"/>
      <c r="I832" s="19"/>
      <c r="J832" s="4"/>
      <c r="K832" s="4"/>
      <c r="L832" s="17"/>
    </row>
    <row r="833" spans="1:12" x14ac:dyDescent="0.2">
      <c r="A833" s="4"/>
      <c r="B833" s="16"/>
      <c r="C833" s="4"/>
      <c r="D833" s="4"/>
      <c r="E833" s="4"/>
      <c r="F833" s="4"/>
      <c r="G833" s="4"/>
      <c r="H833" s="17"/>
      <c r="I833" s="19"/>
      <c r="J833" s="4"/>
      <c r="K833" s="4"/>
      <c r="L833" s="17"/>
    </row>
    <row r="834" spans="1:12" x14ac:dyDescent="0.2">
      <c r="A834" s="4"/>
      <c r="B834" s="16"/>
      <c r="C834" s="4"/>
      <c r="D834" s="4"/>
      <c r="E834" s="4"/>
      <c r="F834" s="4"/>
      <c r="G834" s="4"/>
      <c r="H834" s="17"/>
      <c r="I834" s="19"/>
      <c r="J834" s="4"/>
      <c r="K834" s="4"/>
      <c r="L834" s="17"/>
    </row>
    <row r="835" spans="1:12" x14ac:dyDescent="0.2">
      <c r="A835" s="4"/>
      <c r="B835" s="20"/>
      <c r="C835" s="21"/>
      <c r="D835" s="21"/>
      <c r="E835" s="21"/>
      <c r="F835" s="21"/>
      <c r="G835" s="21"/>
      <c r="H835" s="22"/>
      <c r="I835" s="23"/>
      <c r="J835" s="21"/>
      <c r="K835" s="21"/>
      <c r="L835" s="22"/>
    </row>
    <row r="836" spans="1:12" ht="15" x14ac:dyDescent="0.25">
      <c r="A836" s="1"/>
      <c r="B836" s="39"/>
      <c r="C836" s="1"/>
      <c r="D836" s="1"/>
      <c r="E836" s="1"/>
      <c r="F836" s="40"/>
      <c r="G836" s="40"/>
      <c r="H836" s="1"/>
      <c r="I836" s="41"/>
      <c r="J836" s="1"/>
      <c r="K836" s="1"/>
      <c r="L836" s="42"/>
    </row>
    <row r="837" spans="1:12" ht="15.75" thickBot="1" x14ac:dyDescent="0.3">
      <c r="A837" s="1"/>
      <c r="B837" s="43"/>
      <c r="C837" s="44"/>
      <c r="D837" s="44"/>
      <c r="E837" s="44"/>
      <c r="F837" s="45"/>
      <c r="G837" s="45"/>
      <c r="H837" s="44"/>
      <c r="I837" s="46"/>
      <c r="J837" s="44"/>
      <c r="K837" s="44"/>
      <c r="L837" s="47"/>
    </row>
    <row r="838" spans="1:12" ht="15.75" thickTop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51" customHeight="1" x14ac:dyDescent="0.2">
      <c r="A839" s="10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</row>
    <row r="840" spans="1:12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20.25" customHeight="1" x14ac:dyDescent="0.2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</row>
    <row r="842" spans="1:12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0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9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9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" x14ac:dyDescent="0.25">
      <c r="A851" s="1"/>
      <c r="B851" s="37"/>
      <c r="C851" s="1"/>
      <c r="D851" s="1"/>
      <c r="E851" s="1"/>
      <c r="F851" s="1"/>
      <c r="G851" s="1"/>
      <c r="H851" s="37"/>
      <c r="I851" s="1"/>
      <c r="J851" s="1"/>
      <c r="K851" s="1"/>
      <c r="L851" s="1"/>
    </row>
    <row r="852" spans="1:12" ht="15" x14ac:dyDescent="0.25">
      <c r="A852" s="1"/>
      <c r="B852" s="48"/>
      <c r="C852" s="7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" x14ac:dyDescent="0.25">
      <c r="A853" s="1"/>
      <c r="B853" s="48"/>
      <c r="C853" s="7"/>
      <c r="D853" s="1"/>
      <c r="E853" s="1"/>
      <c r="F853" s="1"/>
      <c r="G853" s="1"/>
      <c r="H853" s="1"/>
      <c r="I853" s="1"/>
      <c r="J853" s="1"/>
      <c r="K853" s="1"/>
      <c r="L853" s="1"/>
    </row>
    <row r="856" spans="1:12" ht="15.75" x14ac:dyDescent="0.25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.75" x14ac:dyDescent="0.25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.75" x14ac:dyDescent="0.25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9.5" thickBot="1" x14ac:dyDescent="0.35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</row>
    <row r="863" spans="1:12" ht="19.5" thickTop="1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</row>
    <row r="864" spans="1:12" ht="18.75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</row>
    <row r="865" spans="1:14" ht="15" x14ac:dyDescent="0.25">
      <c r="A865" s="1"/>
      <c r="B865" s="1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4" ht="15" x14ac:dyDescent="0.25">
      <c r="A866" s="1"/>
      <c r="B866" s="1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4" ht="15" x14ac:dyDescent="0.25">
      <c r="A867" s="1"/>
      <c r="B867" s="1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4" ht="15" x14ac:dyDescent="0.25">
      <c r="A868" s="1"/>
      <c r="B868" s="4"/>
      <c r="C868" s="9"/>
      <c r="D868" s="37"/>
      <c r="E868" s="64"/>
      <c r="F868" s="4"/>
      <c r="G868" s="4"/>
      <c r="H868" s="4"/>
      <c r="I868" s="4"/>
      <c r="J868" s="4"/>
      <c r="K868" s="4"/>
      <c r="L868" s="4"/>
    </row>
    <row r="869" spans="1:14" ht="15" x14ac:dyDescent="0.25">
      <c r="A869" s="1"/>
      <c r="B869" s="4"/>
      <c r="C869" s="9"/>
      <c r="D869" s="1"/>
      <c r="E869" s="64"/>
      <c r="F869" s="4"/>
      <c r="G869" s="4"/>
      <c r="H869" s="4"/>
      <c r="I869" s="4"/>
      <c r="J869" s="4"/>
      <c r="K869" s="4"/>
      <c r="L869" s="4"/>
    </row>
    <row r="870" spans="1:14" ht="15" x14ac:dyDescent="0.25">
      <c r="A870" s="1"/>
      <c r="B870" s="4"/>
      <c r="C870" s="9"/>
      <c r="D870" s="1"/>
      <c r="E870" s="64"/>
      <c r="F870" s="4"/>
      <c r="G870" s="4"/>
      <c r="H870" s="4"/>
      <c r="I870" s="4"/>
      <c r="J870" s="4"/>
      <c r="K870" s="4"/>
      <c r="L870" s="4"/>
    </row>
    <row r="871" spans="1:14" ht="15" x14ac:dyDescent="0.25">
      <c r="A871" s="1"/>
      <c r="B871" s="1"/>
      <c r="C871" s="4"/>
      <c r="D871" s="1"/>
      <c r="E871" s="4"/>
      <c r="F871" s="4"/>
      <c r="G871" s="4"/>
      <c r="H871" s="4"/>
      <c r="I871" s="4"/>
      <c r="J871" s="4"/>
      <c r="K871" s="4"/>
      <c r="L871" s="4"/>
    </row>
    <row r="872" spans="1:14" ht="37.5" customHeight="1" x14ac:dyDescent="0.2">
      <c r="A872" s="280"/>
      <c r="B872" s="277"/>
      <c r="C872" s="277"/>
      <c r="D872" s="277"/>
      <c r="E872" s="277"/>
      <c r="F872" s="277"/>
      <c r="G872" s="277"/>
      <c r="H872" s="277"/>
      <c r="I872" s="277"/>
      <c r="J872" s="277"/>
      <c r="K872" s="277"/>
      <c r="L872" s="277"/>
    </row>
    <row r="873" spans="1:14" ht="15" x14ac:dyDescent="0.25">
      <c r="A873" s="1"/>
      <c r="B873" s="1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4" ht="42.75" customHeight="1" thickBot="1" x14ac:dyDescent="0.25">
      <c r="A874" s="10"/>
      <c r="B874" s="337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</row>
    <row r="875" spans="1:14" ht="15.75" thickTop="1" x14ac:dyDescent="0.25">
      <c r="A875" s="1"/>
      <c r="B875" s="11"/>
      <c r="C875" s="12"/>
      <c r="D875" s="13"/>
      <c r="E875" s="13"/>
      <c r="F875" s="13"/>
      <c r="G875" s="13"/>
      <c r="H875" s="14"/>
      <c r="I875" s="15"/>
      <c r="J875" s="12"/>
      <c r="K875" s="13"/>
      <c r="L875" s="14"/>
    </row>
    <row r="876" spans="1:14" ht="27.75" customHeight="1" x14ac:dyDescent="0.2">
      <c r="A876" s="50"/>
      <c r="B876" s="60"/>
      <c r="C876" s="50"/>
      <c r="D876" s="50"/>
      <c r="E876" s="50"/>
      <c r="F876" s="50"/>
      <c r="G876" s="54"/>
      <c r="H876" s="55"/>
      <c r="I876" s="56"/>
      <c r="J876" s="50"/>
      <c r="K876" s="50"/>
      <c r="L876" s="55"/>
    </row>
    <row r="877" spans="1:14" ht="20.25" customHeight="1" x14ac:dyDescent="0.2">
      <c r="A877" s="76"/>
      <c r="B877" s="77"/>
      <c r="C877" s="76"/>
      <c r="D877" s="76"/>
      <c r="E877" s="76"/>
      <c r="F877" s="76"/>
      <c r="G877" s="78"/>
      <c r="H877" s="79"/>
      <c r="I877" s="80"/>
      <c r="J877" s="76"/>
      <c r="K877" s="76"/>
      <c r="L877" s="79"/>
      <c r="N877" s="86"/>
    </row>
    <row r="878" spans="1:14" ht="10.5" customHeight="1" x14ac:dyDescent="0.2">
      <c r="A878" s="4"/>
      <c r="B878" s="16"/>
      <c r="C878" s="4"/>
      <c r="D878" s="4"/>
      <c r="E878" s="4"/>
      <c r="F878" s="4"/>
      <c r="G878" s="4"/>
      <c r="H878" s="17"/>
      <c r="I878" s="19"/>
      <c r="J878" s="4"/>
      <c r="K878" s="4"/>
      <c r="L878" s="17"/>
    </row>
    <row r="879" spans="1:14" x14ac:dyDescent="0.2">
      <c r="A879" s="4"/>
      <c r="B879" s="16"/>
      <c r="C879" s="4"/>
      <c r="D879" s="4"/>
      <c r="E879" s="4"/>
      <c r="F879" s="4"/>
      <c r="G879" s="4"/>
      <c r="H879" s="17"/>
      <c r="I879" s="19"/>
      <c r="J879" s="4"/>
      <c r="K879" s="4"/>
      <c r="L879" s="17"/>
    </row>
    <row r="880" spans="1:14" x14ac:dyDescent="0.2">
      <c r="A880" s="4"/>
      <c r="B880" s="16"/>
      <c r="C880" s="4"/>
      <c r="D880" s="4"/>
      <c r="E880" s="4"/>
      <c r="F880" s="4"/>
      <c r="G880" s="4"/>
      <c r="H880" s="17"/>
      <c r="I880" s="19"/>
      <c r="J880" s="4"/>
      <c r="K880" s="4"/>
      <c r="L880" s="17"/>
    </row>
    <row r="881" spans="1:22" x14ac:dyDescent="0.2">
      <c r="A881" s="4"/>
      <c r="B881" s="20"/>
      <c r="C881" s="21"/>
      <c r="D881" s="21"/>
      <c r="E881" s="21"/>
      <c r="F881" s="21"/>
      <c r="G881" s="21"/>
      <c r="H881" s="22"/>
      <c r="I881" s="23"/>
      <c r="J881" s="21"/>
      <c r="K881" s="21"/>
      <c r="L881" s="22"/>
      <c r="N881" s="4"/>
      <c r="O881" s="4"/>
      <c r="P881" s="4"/>
      <c r="Q881" s="4"/>
      <c r="R881" s="4"/>
      <c r="S881" s="17"/>
      <c r="T881" s="19"/>
      <c r="U881" s="4"/>
      <c r="V881" s="4"/>
    </row>
    <row r="882" spans="1:22" ht="15" x14ac:dyDescent="0.25">
      <c r="A882" s="1"/>
      <c r="B882" s="39"/>
      <c r="C882" s="1"/>
      <c r="D882" s="1"/>
      <c r="E882" s="1"/>
      <c r="F882" s="40"/>
      <c r="G882" s="40"/>
      <c r="H882" s="1"/>
      <c r="I882" s="41"/>
      <c r="J882" s="1"/>
      <c r="K882" s="1"/>
      <c r="L882" s="42"/>
    </row>
    <row r="883" spans="1:22" ht="15.75" thickBot="1" x14ac:dyDescent="0.3">
      <c r="A883" s="1"/>
      <c r="B883" s="43"/>
      <c r="C883" s="44"/>
      <c r="D883" s="44"/>
      <c r="E883" s="44"/>
      <c r="F883" s="45"/>
      <c r="G883" s="45"/>
      <c r="H883" s="44"/>
      <c r="I883" s="46"/>
      <c r="J883" s="44"/>
      <c r="K883" s="44"/>
      <c r="L883" s="47"/>
    </row>
    <row r="884" spans="1:22" ht="15.75" thickTop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22" ht="53.25" customHeight="1" x14ac:dyDescent="0.2">
      <c r="A885" s="10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</row>
    <row r="886" spans="1:22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22" ht="27" customHeight="1" x14ac:dyDescent="0.2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</row>
    <row r="888" spans="1:22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22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22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22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22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22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22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22" ht="9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22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" x14ac:dyDescent="0.25">
      <c r="A897" s="1"/>
      <c r="B897" s="37"/>
      <c r="C897" s="1"/>
      <c r="D897" s="1"/>
      <c r="E897" s="1"/>
      <c r="F897" s="1"/>
      <c r="G897" s="1"/>
      <c r="H897" s="37"/>
      <c r="I897" s="1"/>
      <c r="J897" s="1"/>
      <c r="K897" s="1"/>
      <c r="L897" s="1"/>
    </row>
    <row r="898" spans="1:12" ht="15" x14ac:dyDescent="0.25">
      <c r="A898" s="1"/>
      <c r="B898" s="48"/>
      <c r="C898" s="7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" x14ac:dyDescent="0.25">
      <c r="A899" s="1"/>
      <c r="B899" s="48"/>
      <c r="C899" s="7"/>
      <c r="D899" s="1"/>
      <c r="E899" s="1"/>
      <c r="F899" s="1"/>
      <c r="G899" s="1"/>
      <c r="H899" s="1"/>
      <c r="I899" s="1"/>
      <c r="J899" s="1"/>
      <c r="K899" s="1"/>
      <c r="L899" s="1"/>
    </row>
    <row r="902" spans="1:12" ht="6.75" customHeight="1" x14ac:dyDescent="0.2"/>
    <row r="903" spans="1:12" ht="6.75" customHeight="1" x14ac:dyDescent="0.2"/>
    <row r="904" spans="1:12" ht="6.75" customHeight="1" x14ac:dyDescent="0.2"/>
    <row r="905" spans="1:12" ht="15.75" x14ac:dyDescent="0.25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.75" x14ac:dyDescent="0.25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.75" x14ac:dyDescent="0.25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9.5" thickBot="1" x14ac:dyDescent="0.35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</row>
    <row r="912" spans="1:12" ht="19.5" thickTop="1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</row>
    <row r="913" spans="1:12" ht="18.75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</row>
    <row r="914" spans="1:12" ht="15" x14ac:dyDescent="0.25">
      <c r="A914" s="1"/>
      <c r="B914" s="1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" x14ac:dyDescent="0.25">
      <c r="A915" s="1"/>
      <c r="B915" s="1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" x14ac:dyDescent="0.25">
      <c r="A916" s="1"/>
      <c r="B916" s="1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" x14ac:dyDescent="0.25">
      <c r="A917" s="1"/>
      <c r="B917" s="4"/>
      <c r="C917" s="9"/>
      <c r="D917" s="37"/>
      <c r="E917" s="64"/>
      <c r="F917" s="4"/>
      <c r="G917" s="4"/>
      <c r="H917" s="4"/>
      <c r="I917" s="4"/>
      <c r="J917" s="4"/>
      <c r="K917" s="4"/>
      <c r="L917" s="4"/>
    </row>
    <row r="918" spans="1:12" ht="15" x14ac:dyDescent="0.25">
      <c r="A918" s="1"/>
      <c r="B918" s="4"/>
      <c r="C918" s="9"/>
      <c r="D918" s="1"/>
      <c r="E918" s="64"/>
      <c r="F918" s="4"/>
      <c r="G918" s="4"/>
      <c r="H918" s="4"/>
      <c r="I918" s="4"/>
      <c r="J918" s="4"/>
      <c r="K918" s="4"/>
      <c r="L918" s="4"/>
    </row>
    <row r="919" spans="1:12" ht="15" x14ac:dyDescent="0.25">
      <c r="A919" s="1"/>
      <c r="B919" s="4"/>
      <c r="C919" s="9"/>
      <c r="D919" s="1"/>
      <c r="E919" s="64"/>
      <c r="F919" s="4"/>
      <c r="G919" s="4"/>
      <c r="H919" s="4"/>
      <c r="I919" s="4"/>
      <c r="J919" s="4"/>
      <c r="K919" s="4"/>
      <c r="L919" s="4"/>
    </row>
    <row r="920" spans="1:12" ht="15" x14ac:dyDescent="0.25">
      <c r="A920" s="1"/>
      <c r="B920" s="1"/>
      <c r="C920" s="4"/>
      <c r="D920" s="1"/>
      <c r="E920" s="4"/>
      <c r="F920" s="4"/>
      <c r="G920" s="4"/>
      <c r="H920" s="4"/>
      <c r="I920" s="4"/>
      <c r="J920" s="4"/>
      <c r="K920" s="4"/>
      <c r="L920" s="4"/>
    </row>
    <row r="921" spans="1:12" ht="45.75" customHeight="1" x14ac:dyDescent="0.2">
      <c r="A921" s="280"/>
      <c r="B921" s="277"/>
      <c r="C921" s="277"/>
      <c r="D921" s="277"/>
      <c r="E921" s="277"/>
      <c r="F921" s="277"/>
      <c r="G921" s="277"/>
      <c r="H921" s="277"/>
      <c r="I921" s="277"/>
      <c r="J921" s="277"/>
      <c r="K921" s="277"/>
      <c r="L921" s="277"/>
    </row>
    <row r="922" spans="1:12" ht="15" x14ac:dyDescent="0.25">
      <c r="A922" s="1"/>
      <c r="B922" s="1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39.75" customHeight="1" thickBot="1" x14ac:dyDescent="0.25">
      <c r="A923" s="10"/>
      <c r="B923" s="337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</row>
    <row r="924" spans="1:12" ht="18" customHeight="1" thickTop="1" x14ac:dyDescent="0.25">
      <c r="A924" s="1"/>
      <c r="B924" s="11"/>
      <c r="C924" s="12"/>
      <c r="D924" s="13"/>
      <c r="E924" s="13"/>
      <c r="F924" s="13"/>
      <c r="G924" s="13"/>
      <c r="H924" s="14"/>
      <c r="I924" s="15"/>
      <c r="J924" s="12"/>
      <c r="K924" s="13"/>
      <c r="L924" s="14"/>
    </row>
    <row r="925" spans="1:12" ht="27" customHeight="1" x14ac:dyDescent="0.2">
      <c r="A925" s="50"/>
      <c r="B925" s="60"/>
      <c r="C925" s="50"/>
      <c r="D925" s="50"/>
      <c r="E925" s="50"/>
      <c r="F925" s="50"/>
      <c r="G925" s="54"/>
      <c r="H925" s="55"/>
      <c r="I925" s="56"/>
      <c r="J925" s="50"/>
      <c r="K925" s="50"/>
      <c r="L925" s="55"/>
    </row>
    <row r="926" spans="1:12" ht="21.75" customHeight="1" x14ac:dyDescent="0.2">
      <c r="A926" s="76"/>
      <c r="B926" s="77"/>
      <c r="C926" s="76"/>
      <c r="D926" s="76"/>
      <c r="E926" s="76"/>
      <c r="F926" s="76"/>
      <c r="G926" s="78"/>
      <c r="H926" s="79"/>
      <c r="I926" s="80"/>
      <c r="J926" s="76"/>
      <c r="K926" s="76"/>
      <c r="L926" s="79"/>
    </row>
    <row r="927" spans="1:12" ht="19.5" customHeight="1" x14ac:dyDescent="0.2">
      <c r="A927" s="4"/>
      <c r="B927" s="16"/>
      <c r="C927" s="4"/>
      <c r="D927" s="4"/>
      <c r="E927" s="4"/>
      <c r="F927" s="4"/>
      <c r="G927" s="4"/>
      <c r="H927" s="17"/>
      <c r="I927" s="19"/>
      <c r="J927" s="4"/>
      <c r="K927" s="4"/>
      <c r="L927" s="17"/>
    </row>
    <row r="928" spans="1:12" x14ac:dyDescent="0.2">
      <c r="A928" s="4"/>
      <c r="B928" s="16"/>
      <c r="C928" s="4"/>
      <c r="D928" s="4"/>
      <c r="E928" s="4"/>
      <c r="F928" s="4"/>
      <c r="G928" s="4"/>
      <c r="H928" s="17"/>
      <c r="I928" s="19"/>
      <c r="J928" s="4"/>
      <c r="K928" s="4"/>
      <c r="L928" s="17"/>
    </row>
    <row r="929" spans="1:12" x14ac:dyDescent="0.2">
      <c r="A929" s="4"/>
      <c r="B929" s="16"/>
      <c r="C929" s="4"/>
      <c r="D929" s="4"/>
      <c r="E929" s="4"/>
      <c r="F929" s="4"/>
      <c r="G929" s="4"/>
      <c r="H929" s="17"/>
      <c r="I929" s="19"/>
      <c r="J929" s="4"/>
      <c r="K929" s="4"/>
      <c r="L929" s="17"/>
    </row>
    <row r="930" spans="1:12" ht="8.25" customHeight="1" x14ac:dyDescent="0.2">
      <c r="A930" s="4"/>
      <c r="B930" s="20"/>
      <c r="C930" s="21"/>
      <c r="D930" s="21"/>
      <c r="E930" s="21"/>
      <c r="F930" s="21"/>
      <c r="G930" s="21"/>
      <c r="H930" s="22"/>
      <c r="I930" s="23"/>
      <c r="J930" s="21"/>
      <c r="K930" s="21"/>
      <c r="L930" s="22"/>
    </row>
    <row r="931" spans="1:12" ht="15" x14ac:dyDescent="0.25">
      <c r="A931" s="1"/>
      <c r="B931" s="39"/>
      <c r="C931" s="1"/>
      <c r="D931" s="1"/>
      <c r="E931" s="1"/>
      <c r="F931" s="40"/>
      <c r="G931" s="40"/>
      <c r="H931" s="1"/>
      <c r="I931" s="41"/>
      <c r="J931" s="1"/>
      <c r="K931" s="1"/>
      <c r="L931" s="42"/>
    </row>
    <row r="932" spans="1:12" ht="15.75" thickBot="1" x14ac:dyDescent="0.3">
      <c r="A932" s="1"/>
      <c r="B932" s="43"/>
      <c r="C932" s="44"/>
      <c r="D932" s="44"/>
      <c r="E932" s="44"/>
      <c r="F932" s="45"/>
      <c r="G932" s="45"/>
      <c r="H932" s="44"/>
      <c r="I932" s="46"/>
      <c r="J932" s="44"/>
      <c r="K932" s="44"/>
      <c r="L932" s="47"/>
    </row>
    <row r="933" spans="1:12" ht="15.75" thickTop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52.5" customHeight="1" x14ac:dyDescent="0.2">
      <c r="A934" s="10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</row>
    <row r="935" spans="1:12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21" customHeight="1" x14ac:dyDescent="0.2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</row>
    <row r="937" spans="1:12" ht="21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0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7" ht="10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7" ht="15" x14ac:dyDescent="0.25">
      <c r="A946" s="1"/>
      <c r="B946" s="37"/>
      <c r="C946" s="1"/>
      <c r="D946" s="1"/>
      <c r="E946" s="1"/>
      <c r="F946" s="1"/>
      <c r="G946" s="1"/>
      <c r="H946" s="37"/>
      <c r="I946" s="1"/>
      <c r="J946" s="1"/>
      <c r="K946" s="1"/>
      <c r="L946" s="1"/>
    </row>
    <row r="947" spans="1:17" ht="15" x14ac:dyDescent="0.25">
      <c r="A947" s="1"/>
      <c r="B947" s="48"/>
      <c r="C947" s="7"/>
      <c r="D947" s="1"/>
      <c r="E947" s="1"/>
      <c r="F947" s="1"/>
      <c r="G947" s="1"/>
      <c r="H947" s="1"/>
      <c r="I947" s="1"/>
      <c r="J947" s="1"/>
      <c r="K947" s="1"/>
      <c r="L947" s="1"/>
    </row>
    <row r="949" spans="1:17" ht="15" x14ac:dyDescent="0.25">
      <c r="A949" s="1"/>
      <c r="B949" s="48"/>
      <c r="C949" s="7"/>
      <c r="D949" s="1"/>
      <c r="E949" s="1"/>
      <c r="F949" s="1"/>
      <c r="G949" s="1"/>
      <c r="H949" s="1"/>
      <c r="I949" s="1"/>
      <c r="J949" s="1"/>
      <c r="K949" s="1"/>
      <c r="L949" s="1"/>
    </row>
    <row r="953" spans="1:17" ht="15.75" x14ac:dyDescent="0.25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7" ht="15.75" x14ac:dyDescent="0.25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7" ht="15.75" x14ac:dyDescent="0.25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7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7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7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N958" s="37"/>
      <c r="Q958" s="37"/>
    </row>
    <row r="959" spans="1:17" ht="19.5" thickBot="1" x14ac:dyDescent="0.35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N959" s="1"/>
      <c r="Q959" s="1"/>
    </row>
    <row r="960" spans="1:17" ht="19.5" thickTop="1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N960" s="1"/>
      <c r="Q960" s="1"/>
    </row>
    <row r="961" spans="1:17" ht="14.25" customHeight="1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</row>
    <row r="962" spans="1:17" ht="15" x14ac:dyDescent="0.25">
      <c r="A962" s="1"/>
      <c r="B962" s="1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7" ht="15" x14ac:dyDescent="0.25">
      <c r="A963" s="1"/>
      <c r="B963" s="1"/>
      <c r="C963" s="4"/>
      <c r="D963" s="4"/>
      <c r="E963" s="4"/>
      <c r="F963" s="4"/>
      <c r="G963" s="4"/>
      <c r="H963" s="4"/>
      <c r="I963" s="4"/>
      <c r="J963" s="4"/>
      <c r="K963" s="4"/>
      <c r="L963" s="4"/>
      <c r="N963" s="37"/>
      <c r="P963" s="37"/>
      <c r="Q963" s="37"/>
    </row>
    <row r="964" spans="1:17" ht="15" x14ac:dyDescent="0.25">
      <c r="A964" s="1"/>
      <c r="B964" s="1"/>
      <c r="C964" s="4"/>
      <c r="D964" s="4"/>
      <c r="E964" s="4"/>
      <c r="F964" s="4"/>
      <c r="G964" s="4"/>
      <c r="H964" s="4"/>
      <c r="I964" s="4"/>
      <c r="J964" s="4"/>
      <c r="K964" s="4"/>
      <c r="L964" s="4"/>
      <c r="N964" s="1"/>
      <c r="P964" s="1"/>
      <c r="Q964" s="1"/>
    </row>
    <row r="965" spans="1:17" ht="15" x14ac:dyDescent="0.25">
      <c r="A965" s="1"/>
      <c r="B965" s="4"/>
      <c r="C965" s="9"/>
      <c r="D965" s="37"/>
      <c r="E965" s="64"/>
      <c r="F965" s="4"/>
      <c r="G965" s="4"/>
      <c r="H965" s="4"/>
      <c r="I965" s="4"/>
      <c r="J965" s="4"/>
      <c r="K965" s="4"/>
      <c r="L965" s="4"/>
      <c r="N965" s="1"/>
      <c r="P965" s="1"/>
      <c r="Q965" s="1"/>
    </row>
    <row r="966" spans="1:17" ht="15" x14ac:dyDescent="0.25">
      <c r="A966" s="1"/>
      <c r="B966" s="4"/>
      <c r="C966" s="9"/>
      <c r="D966" s="1"/>
      <c r="E966" s="64"/>
      <c r="F966" s="4"/>
      <c r="G966" s="4"/>
      <c r="H966" s="4"/>
      <c r="I966" s="4"/>
      <c r="J966" s="4"/>
      <c r="K966" s="4"/>
      <c r="L966" s="4"/>
    </row>
    <row r="967" spans="1:17" ht="15" x14ac:dyDescent="0.25">
      <c r="A967" s="1"/>
      <c r="B967" s="4"/>
      <c r="C967" s="9"/>
      <c r="D967" s="1"/>
      <c r="E967" s="64"/>
      <c r="F967" s="4"/>
      <c r="G967" s="4"/>
      <c r="H967" s="4"/>
      <c r="I967" s="4"/>
      <c r="J967" s="4"/>
      <c r="K967" s="4"/>
      <c r="L967" s="4"/>
    </row>
    <row r="968" spans="1:17" ht="15" x14ac:dyDescent="0.25">
      <c r="A968" s="1"/>
      <c r="B968" s="1"/>
      <c r="C968" s="4"/>
      <c r="D968" s="1"/>
      <c r="E968" s="4"/>
      <c r="F968" s="4"/>
      <c r="G968" s="4"/>
      <c r="H968" s="4"/>
      <c r="I968" s="4"/>
      <c r="J968" s="4"/>
      <c r="K968" s="4"/>
      <c r="L968" s="4"/>
    </row>
    <row r="969" spans="1:17" ht="36" customHeight="1" x14ac:dyDescent="0.2">
      <c r="A969" s="280"/>
      <c r="B969" s="277"/>
      <c r="C969" s="277"/>
      <c r="D969" s="277"/>
      <c r="E969" s="277"/>
      <c r="F969" s="277"/>
      <c r="G969" s="277"/>
      <c r="H969" s="277"/>
      <c r="I969" s="277"/>
      <c r="J969" s="277"/>
      <c r="K969" s="277"/>
      <c r="L969" s="277"/>
    </row>
    <row r="970" spans="1:17" ht="15" x14ac:dyDescent="0.25">
      <c r="A970" s="1"/>
      <c r="B970" s="1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7" ht="47.25" customHeight="1" thickBot="1" x14ac:dyDescent="0.25">
      <c r="A971" s="10"/>
      <c r="B971" s="337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</row>
    <row r="972" spans="1:17" ht="15.75" thickTop="1" x14ac:dyDescent="0.25">
      <c r="A972" s="1"/>
      <c r="B972" s="11"/>
      <c r="C972" s="12"/>
      <c r="D972" s="13"/>
      <c r="E972" s="13"/>
      <c r="F972" s="13"/>
      <c r="G972" s="13"/>
      <c r="H972" s="14"/>
      <c r="I972" s="15"/>
      <c r="J972" s="12"/>
      <c r="K972" s="13"/>
      <c r="L972" s="14"/>
    </row>
    <row r="973" spans="1:17" ht="29.25" customHeight="1" x14ac:dyDescent="0.2">
      <c r="A973" s="50"/>
      <c r="B973" s="60"/>
      <c r="C973" s="50"/>
      <c r="D973" s="50"/>
      <c r="E973" s="50"/>
      <c r="F973" s="50"/>
      <c r="G973" s="54"/>
      <c r="H973" s="55"/>
      <c r="I973" s="56"/>
      <c r="J973" s="50"/>
      <c r="K973" s="50"/>
      <c r="L973" s="55"/>
    </row>
    <row r="974" spans="1:17" ht="20.25" customHeight="1" x14ac:dyDescent="0.2">
      <c r="A974" s="76"/>
      <c r="B974" s="77"/>
      <c r="C974" s="76"/>
      <c r="D974" s="76"/>
      <c r="E974" s="76"/>
      <c r="F974" s="76"/>
      <c r="G974" s="78"/>
      <c r="H974" s="79"/>
      <c r="I974" s="80"/>
      <c r="J974" s="76"/>
      <c r="K974" s="76"/>
      <c r="L974" s="79"/>
    </row>
    <row r="975" spans="1:17" x14ac:dyDescent="0.2">
      <c r="A975" s="4"/>
      <c r="B975" s="16"/>
      <c r="C975" s="4"/>
      <c r="D975" s="4"/>
      <c r="E975" s="4"/>
      <c r="F975" s="4"/>
      <c r="G975" s="4"/>
      <c r="H975" s="17"/>
      <c r="I975" s="19"/>
      <c r="J975" s="4"/>
      <c r="K975" s="4"/>
      <c r="L975" s="17"/>
    </row>
    <row r="976" spans="1:17" x14ac:dyDescent="0.2">
      <c r="A976" s="4"/>
      <c r="B976" s="16"/>
      <c r="C976" s="4"/>
      <c r="D976" s="4"/>
      <c r="E976" s="4"/>
      <c r="F976" s="4"/>
      <c r="G976" s="4"/>
      <c r="H976" s="17"/>
      <c r="I976" s="19"/>
      <c r="J976" s="4"/>
      <c r="K976" s="4"/>
      <c r="L976" s="17"/>
    </row>
    <row r="977" spans="1:12" x14ac:dyDescent="0.2">
      <c r="A977" s="4"/>
      <c r="B977" s="16"/>
      <c r="C977" s="4"/>
      <c r="D977" s="4"/>
      <c r="E977" s="4"/>
      <c r="F977" s="4"/>
      <c r="G977" s="4"/>
      <c r="H977" s="17"/>
      <c r="I977" s="19"/>
      <c r="J977" s="4"/>
      <c r="K977" s="4"/>
      <c r="L977" s="17"/>
    </row>
    <row r="978" spans="1:12" x14ac:dyDescent="0.2">
      <c r="A978" s="4"/>
      <c r="B978" s="20"/>
      <c r="C978" s="21"/>
      <c r="D978" s="21"/>
      <c r="E978" s="21"/>
      <c r="F978" s="21"/>
      <c r="G978" s="21"/>
      <c r="H978" s="22"/>
      <c r="I978" s="23"/>
      <c r="J978" s="21"/>
      <c r="K978" s="21"/>
      <c r="L978" s="22"/>
    </row>
    <row r="979" spans="1:12" ht="15" x14ac:dyDescent="0.25">
      <c r="A979" s="1"/>
      <c r="B979" s="39"/>
      <c r="C979" s="1"/>
      <c r="D979" s="1"/>
      <c r="E979" s="1"/>
      <c r="F979" s="40"/>
      <c r="G979" s="40"/>
      <c r="H979" s="1"/>
      <c r="I979" s="41"/>
      <c r="J979" s="1"/>
      <c r="K979" s="1"/>
      <c r="L979" s="42"/>
    </row>
    <row r="980" spans="1:12" ht="15.75" thickBot="1" x14ac:dyDescent="0.3">
      <c r="A980" s="1"/>
      <c r="B980" s="43"/>
      <c r="C980" s="44"/>
      <c r="D980" s="44"/>
      <c r="E980" s="44"/>
      <c r="F980" s="45"/>
      <c r="G980" s="45"/>
      <c r="H980" s="44"/>
      <c r="I980" s="46"/>
      <c r="J980" s="44"/>
      <c r="K980" s="44"/>
      <c r="L980" s="47"/>
    </row>
    <row r="981" spans="1:12" ht="15.75" thickTop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54" customHeight="1" x14ac:dyDescent="0.2">
      <c r="A982" s="10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</row>
    <row r="983" spans="1:12" ht="16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21.75" customHeight="1" x14ac:dyDescent="0.2">
      <c r="A984" s="280"/>
      <c r="B984" s="280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</row>
    <row r="985" spans="1:12" ht="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" x14ac:dyDescent="0.25">
      <c r="A994" s="1"/>
      <c r="B994" s="37"/>
      <c r="C994" s="1"/>
      <c r="D994" s="1"/>
      <c r="E994" s="1"/>
      <c r="F994" s="1"/>
      <c r="G994" s="1"/>
      <c r="H994" s="37"/>
      <c r="I994" s="1"/>
      <c r="J994" s="1"/>
      <c r="K994" s="1"/>
      <c r="L994" s="1"/>
    </row>
    <row r="995" spans="1:12" ht="15" x14ac:dyDescent="0.25">
      <c r="A995" s="1"/>
      <c r="B995" s="48"/>
      <c r="C995" s="7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" x14ac:dyDescent="0.25">
      <c r="A996" s="1"/>
      <c r="B996" s="48"/>
      <c r="C996" s="7"/>
      <c r="D996" s="1"/>
      <c r="E996" s="1"/>
      <c r="F996" s="1"/>
      <c r="G996" s="1"/>
      <c r="H996" s="1"/>
      <c r="I996" s="1"/>
      <c r="J996" s="1"/>
      <c r="K996" s="1"/>
      <c r="L996" s="1"/>
    </row>
    <row r="1002" spans="1:12" ht="15.75" x14ac:dyDescent="0.25">
      <c r="A1002" s="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1:12" ht="15.75" x14ac:dyDescent="0.25">
      <c r="A1003" s="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spans="1:12" ht="15.75" x14ac:dyDescent="0.25">
      <c r="A1004" s="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spans="1:12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spans="1:12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spans="1:12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</row>
    <row r="1008" spans="1:12" ht="19.5" thickBot="1" x14ac:dyDescent="0.35">
      <c r="A1008" s="339"/>
      <c r="B1008" s="339"/>
      <c r="C1008" s="339"/>
      <c r="D1008" s="339"/>
      <c r="E1008" s="339"/>
      <c r="F1008" s="339"/>
      <c r="G1008" s="339"/>
      <c r="H1008" s="339"/>
      <c r="I1008" s="339"/>
      <c r="J1008" s="339"/>
      <c r="K1008" s="339"/>
      <c r="L1008" s="339"/>
    </row>
    <row r="1009" spans="1:18" ht="19.5" thickTop="1" x14ac:dyDescent="0.3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</row>
    <row r="1010" spans="1:18" ht="18.75" x14ac:dyDescent="0.3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</row>
    <row r="1011" spans="1:18" ht="15" x14ac:dyDescent="0.25">
      <c r="A1011" s="1"/>
      <c r="B1011" s="1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spans="1:18" ht="15" x14ac:dyDescent="0.25">
      <c r="A1012" s="1"/>
      <c r="B1012" s="1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N1012" s="37"/>
      <c r="R1012" s="63"/>
    </row>
    <row r="1013" spans="1:18" ht="15" x14ac:dyDescent="0.25">
      <c r="A1013" s="1"/>
      <c r="B1013" s="1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N1013" s="48"/>
      <c r="R1013" s="50"/>
    </row>
    <row r="1014" spans="1:18" ht="15" x14ac:dyDescent="0.25">
      <c r="A1014" s="1"/>
      <c r="B1014" s="4"/>
      <c r="C1014" s="9"/>
      <c r="D1014" s="37"/>
      <c r="E1014" s="64"/>
      <c r="F1014" s="4"/>
      <c r="G1014" s="4"/>
      <c r="H1014" s="4"/>
      <c r="I1014" s="4"/>
      <c r="J1014" s="4"/>
      <c r="K1014" s="4"/>
      <c r="L1014" s="4"/>
      <c r="N1014" s="1"/>
      <c r="R1014" s="50"/>
    </row>
    <row r="1015" spans="1:18" ht="15" x14ac:dyDescent="0.25">
      <c r="A1015" s="1"/>
      <c r="B1015" s="4"/>
      <c r="C1015" s="9"/>
      <c r="D1015" s="48"/>
      <c r="E1015" s="64"/>
      <c r="F1015" s="4"/>
      <c r="G1015" s="4"/>
      <c r="H1015" s="4"/>
      <c r="I1015" s="4"/>
      <c r="J1015" s="4"/>
      <c r="K1015" s="4"/>
      <c r="L1015" s="4"/>
    </row>
    <row r="1016" spans="1:18" ht="15" x14ac:dyDescent="0.25">
      <c r="A1016" s="1"/>
      <c r="B1016" s="4"/>
      <c r="C1016" s="9"/>
      <c r="D1016" s="1"/>
      <c r="E1016" s="64"/>
      <c r="F1016" s="4"/>
      <c r="G1016" s="4"/>
      <c r="H1016" s="4"/>
      <c r="I1016" s="4"/>
      <c r="J1016" s="4"/>
      <c r="K1016" s="4"/>
      <c r="L1016" s="4"/>
    </row>
    <row r="1017" spans="1:18" ht="15" x14ac:dyDescent="0.25">
      <c r="A1017" s="1"/>
      <c r="B1017" s="1"/>
      <c r="C1017" s="4"/>
      <c r="D1017" s="1"/>
      <c r="E1017" s="4"/>
      <c r="F1017" s="4"/>
      <c r="G1017" s="4"/>
      <c r="H1017" s="4"/>
      <c r="I1017" s="4"/>
      <c r="J1017" s="4"/>
      <c r="K1017" s="4"/>
      <c r="L1017" s="4"/>
    </row>
    <row r="1018" spans="1:18" ht="37.5" customHeight="1" x14ac:dyDescent="0.2">
      <c r="A1018" s="280"/>
      <c r="B1018" s="277"/>
      <c r="C1018" s="277"/>
      <c r="D1018" s="277"/>
      <c r="E1018" s="277"/>
      <c r="F1018" s="277"/>
      <c r="G1018" s="277"/>
      <c r="H1018" s="277"/>
      <c r="I1018" s="277"/>
      <c r="J1018" s="277"/>
      <c r="K1018" s="277"/>
      <c r="L1018" s="277"/>
    </row>
    <row r="1019" spans="1:18" ht="15" x14ac:dyDescent="0.25">
      <c r="A1019" s="1"/>
      <c r="B1019" s="1"/>
      <c r="C1019" s="4"/>
      <c r="D1019" s="4"/>
      <c r="E1019" s="4"/>
      <c r="F1019" s="4"/>
      <c r="G1019" s="4"/>
      <c r="H1019" s="4"/>
      <c r="I1019" s="4"/>
      <c r="J1019" s="4"/>
      <c r="K1019" s="4"/>
      <c r="L1019" s="4"/>
    </row>
    <row r="1020" spans="1:18" ht="38.25" customHeight="1" thickBot="1" x14ac:dyDescent="0.25">
      <c r="A1020" s="10"/>
      <c r="B1020" s="337"/>
      <c r="C1020" s="338"/>
      <c r="D1020" s="338"/>
      <c r="E1020" s="338"/>
      <c r="F1020" s="338"/>
      <c r="G1020" s="338"/>
      <c r="H1020" s="338"/>
      <c r="I1020" s="338"/>
      <c r="J1020" s="338"/>
      <c r="K1020" s="338"/>
      <c r="L1020" s="338"/>
    </row>
    <row r="1021" spans="1:18" ht="15.75" thickTop="1" x14ac:dyDescent="0.25">
      <c r="A1021" s="1"/>
      <c r="B1021" s="11"/>
      <c r="C1021" s="12"/>
      <c r="D1021" s="13"/>
      <c r="E1021" s="13"/>
      <c r="F1021" s="13"/>
      <c r="G1021" s="13"/>
      <c r="H1021" s="14"/>
      <c r="I1021" s="15"/>
      <c r="J1021" s="12"/>
      <c r="K1021" s="13"/>
      <c r="L1021" s="14"/>
    </row>
    <row r="1022" spans="1:18" ht="20.25" customHeight="1" x14ac:dyDescent="0.2">
      <c r="A1022" s="50"/>
      <c r="B1022" s="60"/>
      <c r="C1022" s="50"/>
      <c r="D1022" s="50"/>
      <c r="E1022" s="50"/>
      <c r="F1022" s="50"/>
      <c r="G1022" s="54"/>
      <c r="H1022" s="55"/>
      <c r="I1022" s="56"/>
      <c r="J1022" s="50"/>
      <c r="K1022" s="50"/>
      <c r="L1022" s="55"/>
    </row>
    <row r="1023" spans="1:18" x14ac:dyDescent="0.2">
      <c r="A1023" s="76"/>
      <c r="B1023" s="77"/>
      <c r="C1023" s="76"/>
      <c r="D1023" s="76"/>
      <c r="E1023" s="76"/>
      <c r="F1023" s="76"/>
      <c r="G1023" s="78"/>
      <c r="H1023" s="79"/>
      <c r="I1023" s="80"/>
      <c r="J1023" s="76"/>
      <c r="K1023" s="76"/>
      <c r="L1023" s="79"/>
    </row>
    <row r="1024" spans="1:18" x14ac:dyDescent="0.2">
      <c r="A1024" s="4"/>
      <c r="B1024" s="16"/>
      <c r="C1024" s="4"/>
      <c r="D1024" s="4"/>
      <c r="E1024" s="4"/>
      <c r="F1024" s="4"/>
      <c r="G1024" s="4"/>
      <c r="H1024" s="17"/>
      <c r="I1024" s="19"/>
      <c r="J1024" s="4"/>
      <c r="K1024" s="4"/>
      <c r="L1024" s="17"/>
    </row>
    <row r="1025" spans="1:12" x14ac:dyDescent="0.2">
      <c r="A1025" s="4"/>
      <c r="B1025" s="16"/>
      <c r="C1025" s="4"/>
      <c r="D1025" s="4"/>
      <c r="E1025" s="4"/>
      <c r="F1025" s="4"/>
      <c r="G1025" s="4"/>
      <c r="H1025" s="17"/>
      <c r="I1025" s="19"/>
      <c r="J1025" s="4"/>
      <c r="K1025" s="4"/>
      <c r="L1025" s="17"/>
    </row>
    <row r="1026" spans="1:12" x14ac:dyDescent="0.2">
      <c r="A1026" s="4"/>
      <c r="B1026" s="16"/>
      <c r="C1026" s="4"/>
      <c r="D1026" s="4"/>
      <c r="E1026" s="4"/>
      <c r="F1026" s="4"/>
      <c r="G1026" s="4"/>
      <c r="H1026" s="17"/>
      <c r="I1026" s="19"/>
      <c r="J1026" s="4"/>
      <c r="K1026" s="4"/>
      <c r="L1026" s="17"/>
    </row>
    <row r="1027" spans="1:12" x14ac:dyDescent="0.2">
      <c r="A1027" s="4"/>
      <c r="B1027" s="20"/>
      <c r="C1027" s="21"/>
      <c r="D1027" s="21"/>
      <c r="E1027" s="21"/>
      <c r="F1027" s="21"/>
      <c r="G1027" s="21"/>
      <c r="H1027" s="22"/>
      <c r="I1027" s="23"/>
      <c r="J1027" s="21"/>
      <c r="K1027" s="21"/>
      <c r="L1027" s="22"/>
    </row>
    <row r="1028" spans="1:12" ht="15" x14ac:dyDescent="0.25">
      <c r="A1028" s="1"/>
      <c r="B1028" s="39"/>
      <c r="C1028" s="1"/>
      <c r="D1028" s="1"/>
      <c r="E1028" s="1"/>
      <c r="F1028" s="40"/>
      <c r="G1028" s="40"/>
      <c r="H1028" s="1"/>
      <c r="I1028" s="41"/>
      <c r="J1028" s="1"/>
      <c r="K1028" s="1"/>
      <c r="L1028" s="42"/>
    </row>
    <row r="1029" spans="1:12" ht="15.75" thickBot="1" x14ac:dyDescent="0.3">
      <c r="A1029" s="1"/>
      <c r="B1029" s="43"/>
      <c r="C1029" s="44"/>
      <c r="D1029" s="44"/>
      <c r="E1029" s="44"/>
      <c r="F1029" s="45"/>
      <c r="G1029" s="45"/>
      <c r="H1029" s="44"/>
      <c r="I1029" s="46"/>
      <c r="J1029" s="44"/>
      <c r="K1029" s="44"/>
      <c r="L1029" s="47"/>
    </row>
    <row r="1030" spans="1:12" ht="15.75" thickTop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ht="54.75" customHeight="1" x14ac:dyDescent="0.2">
      <c r="A1031" s="10"/>
      <c r="B1031" s="279"/>
      <c r="C1031" s="279"/>
      <c r="D1031" s="279"/>
      <c r="E1031" s="279"/>
      <c r="F1031" s="279"/>
      <c r="G1031" s="279"/>
      <c r="H1031" s="279"/>
      <c r="I1031" s="279"/>
      <c r="J1031" s="279"/>
      <c r="K1031" s="279"/>
      <c r="L1031" s="279"/>
    </row>
    <row r="1032" spans="1:12" ht="1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ht="17.25" customHeight="1" x14ac:dyDescent="0.2">
      <c r="A1033" s="280"/>
      <c r="B1033" s="280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</row>
    <row r="1034" spans="1:12" ht="1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ht="1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ht="12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ht="1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ht="1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ht="1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ht="1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ht="7.5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ht="1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ht="15" x14ac:dyDescent="0.25">
      <c r="A1043" s="1"/>
      <c r="B1043" s="37"/>
      <c r="C1043" s="1"/>
      <c r="D1043" s="1"/>
      <c r="E1043" s="1"/>
      <c r="F1043" s="1"/>
      <c r="G1043" s="1"/>
      <c r="H1043" s="37"/>
      <c r="I1043" s="1"/>
      <c r="J1043" s="1"/>
      <c r="K1043" s="1"/>
      <c r="L1043" s="1"/>
    </row>
    <row r="1044" spans="1:12" ht="15" x14ac:dyDescent="0.25">
      <c r="A1044" s="1"/>
      <c r="B1044" s="48"/>
      <c r="C1044" s="7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ht="15" x14ac:dyDescent="0.25">
      <c r="A1045" s="1"/>
      <c r="B1045" s="48"/>
      <c r="C1045" s="7"/>
      <c r="D1045" s="1"/>
      <c r="E1045" s="1"/>
      <c r="F1045" s="1"/>
      <c r="G1045" s="1"/>
      <c r="H1045" s="1"/>
      <c r="I1045" s="1"/>
      <c r="J1045" s="1"/>
      <c r="K1045" s="1"/>
      <c r="L1045" s="1"/>
    </row>
    <row r="1049" spans="1:12" ht="15.75" x14ac:dyDescent="0.25">
      <c r="A1049" s="3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</row>
    <row r="1050" spans="1:12" ht="15.75" x14ac:dyDescent="0.25">
      <c r="A1050" s="3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</row>
    <row r="1051" spans="1:12" ht="15.75" x14ac:dyDescent="0.25">
      <c r="A1051" s="3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</row>
    <row r="1052" spans="1:12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</row>
    <row r="1053" spans="1:12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</row>
    <row r="1054" spans="1:12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</row>
    <row r="1055" spans="1:12" ht="19.5" thickBot="1" x14ac:dyDescent="0.35">
      <c r="A1055" s="339"/>
      <c r="B1055" s="339"/>
      <c r="C1055" s="339"/>
      <c r="D1055" s="339"/>
      <c r="E1055" s="339"/>
      <c r="F1055" s="339"/>
      <c r="G1055" s="339"/>
      <c r="H1055" s="339"/>
      <c r="I1055" s="339"/>
      <c r="J1055" s="339"/>
      <c r="K1055" s="339"/>
      <c r="L1055" s="339"/>
    </row>
    <row r="1056" spans="1:12" ht="19.5" thickTop="1" x14ac:dyDescent="0.3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</row>
    <row r="1057" spans="1:12" ht="18.75" x14ac:dyDescent="0.3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</row>
    <row r="1058" spans="1:12" ht="15" x14ac:dyDescent="0.25">
      <c r="A1058" s="1"/>
      <c r="B1058" s="1"/>
      <c r="C1058" s="4"/>
      <c r="D1058" s="4"/>
      <c r="E1058" s="4"/>
      <c r="F1058" s="4"/>
      <c r="G1058" s="4"/>
      <c r="H1058" s="4"/>
      <c r="I1058" s="4"/>
      <c r="J1058" s="4"/>
      <c r="K1058" s="4"/>
      <c r="L1058" s="4"/>
    </row>
    <row r="1059" spans="1:12" ht="15" x14ac:dyDescent="0.25">
      <c r="A1059" s="1"/>
      <c r="B1059" s="1"/>
      <c r="C1059" s="4"/>
      <c r="D1059" s="4"/>
      <c r="E1059" s="4"/>
      <c r="F1059" s="4"/>
      <c r="G1059" s="4"/>
      <c r="H1059" s="4"/>
      <c r="I1059" s="4"/>
      <c r="J1059" s="4"/>
      <c r="K1059" s="4"/>
      <c r="L1059" s="4"/>
    </row>
    <row r="1060" spans="1:12" ht="15" x14ac:dyDescent="0.25">
      <c r="A1060" s="1"/>
      <c r="B1060" s="1"/>
      <c r="C1060" s="4"/>
      <c r="D1060" s="4"/>
      <c r="E1060" s="4"/>
      <c r="F1060" s="4"/>
      <c r="G1060" s="4"/>
      <c r="H1060" s="4"/>
      <c r="I1060" s="4"/>
      <c r="J1060" s="4"/>
      <c r="K1060" s="4"/>
      <c r="L1060" s="4"/>
    </row>
    <row r="1061" spans="1:12" ht="15" x14ac:dyDescent="0.25">
      <c r="A1061" s="1"/>
      <c r="B1061" s="4"/>
      <c r="C1061" s="9"/>
      <c r="D1061" s="37"/>
      <c r="E1061" s="64"/>
      <c r="F1061" s="4"/>
      <c r="G1061" s="4"/>
      <c r="H1061" s="4"/>
      <c r="I1061" s="4"/>
      <c r="J1061" s="4"/>
      <c r="K1061" s="4"/>
      <c r="L1061" s="4"/>
    </row>
    <row r="1062" spans="1:12" ht="15" x14ac:dyDescent="0.25">
      <c r="A1062" s="1"/>
      <c r="B1062" s="4"/>
      <c r="C1062" s="9"/>
      <c r="D1062" s="48"/>
      <c r="E1062" s="64"/>
      <c r="F1062" s="4"/>
      <c r="G1062" s="4"/>
      <c r="H1062" s="4"/>
      <c r="I1062" s="4"/>
      <c r="J1062" s="4"/>
      <c r="K1062" s="4"/>
      <c r="L1062" s="4"/>
    </row>
    <row r="1063" spans="1:12" ht="15" x14ac:dyDescent="0.25">
      <c r="A1063" s="1"/>
      <c r="B1063" s="4"/>
      <c r="C1063" s="9"/>
      <c r="D1063" s="1"/>
      <c r="E1063" s="64"/>
      <c r="F1063" s="4"/>
      <c r="G1063" s="4"/>
      <c r="H1063" s="4"/>
      <c r="I1063" s="4"/>
      <c r="J1063" s="4"/>
      <c r="K1063" s="4"/>
      <c r="L1063" s="4"/>
    </row>
    <row r="1064" spans="1:12" ht="15" x14ac:dyDescent="0.25">
      <c r="A1064" s="1"/>
      <c r="B1064" s="1"/>
      <c r="C1064" s="4"/>
      <c r="D1064" s="1"/>
      <c r="E1064" s="4"/>
      <c r="F1064" s="4"/>
      <c r="G1064" s="4"/>
      <c r="H1064" s="4"/>
      <c r="I1064" s="4"/>
      <c r="J1064" s="4"/>
      <c r="K1064" s="4"/>
      <c r="L1064" s="4"/>
    </row>
    <row r="1065" spans="1:12" ht="42" customHeight="1" x14ac:dyDescent="0.2">
      <c r="A1065" s="280"/>
      <c r="B1065" s="277"/>
      <c r="C1065" s="277"/>
      <c r="D1065" s="277"/>
      <c r="E1065" s="277"/>
      <c r="F1065" s="277"/>
      <c r="G1065" s="277"/>
      <c r="H1065" s="277"/>
      <c r="I1065" s="277"/>
      <c r="J1065" s="277"/>
      <c r="K1065" s="277"/>
      <c r="L1065" s="277"/>
    </row>
    <row r="1066" spans="1:12" ht="15" x14ac:dyDescent="0.25">
      <c r="A1066" s="1"/>
      <c r="B1066" s="1"/>
      <c r="C1066" s="4"/>
      <c r="D1066" s="4"/>
      <c r="E1066" s="4"/>
      <c r="F1066" s="4"/>
      <c r="G1066" s="4"/>
      <c r="H1066" s="4"/>
      <c r="I1066" s="4"/>
      <c r="J1066" s="4"/>
      <c r="K1066" s="4"/>
      <c r="L1066" s="4"/>
    </row>
    <row r="1067" spans="1:12" ht="37.5" customHeight="1" thickBot="1" x14ac:dyDescent="0.25">
      <c r="A1067" s="10"/>
      <c r="B1067" s="337"/>
      <c r="C1067" s="338"/>
      <c r="D1067" s="338"/>
      <c r="E1067" s="338"/>
      <c r="F1067" s="338"/>
      <c r="G1067" s="338"/>
      <c r="H1067" s="338"/>
      <c r="I1067" s="338"/>
      <c r="J1067" s="338"/>
      <c r="K1067" s="338"/>
      <c r="L1067" s="338"/>
    </row>
    <row r="1068" spans="1:12" ht="15.75" thickTop="1" x14ac:dyDescent="0.25">
      <c r="A1068" s="1"/>
      <c r="B1068" s="11"/>
      <c r="C1068" s="12"/>
      <c r="D1068" s="13"/>
      <c r="E1068" s="13"/>
      <c r="F1068" s="13"/>
      <c r="G1068" s="13"/>
      <c r="H1068" s="14"/>
      <c r="I1068" s="15"/>
      <c r="J1068" s="12"/>
      <c r="K1068" s="13"/>
      <c r="L1068" s="14"/>
    </row>
    <row r="1069" spans="1:12" ht="25.5" customHeight="1" x14ac:dyDescent="0.2">
      <c r="A1069" s="50"/>
      <c r="B1069" s="60"/>
      <c r="C1069" s="50"/>
      <c r="D1069" s="50"/>
      <c r="E1069" s="50"/>
      <c r="F1069" s="50"/>
      <c r="G1069" s="54"/>
      <c r="H1069" s="55"/>
      <c r="I1069" s="56"/>
      <c r="J1069" s="50"/>
      <c r="K1069" s="50"/>
      <c r="L1069" s="55"/>
    </row>
    <row r="1070" spans="1:12" x14ac:dyDescent="0.2">
      <c r="A1070" s="76"/>
      <c r="B1070" s="77"/>
      <c r="C1070" s="76"/>
      <c r="D1070" s="76"/>
      <c r="E1070" s="76"/>
      <c r="F1070" s="76"/>
      <c r="G1070" s="78"/>
      <c r="H1070" s="79"/>
      <c r="I1070" s="80"/>
      <c r="J1070" s="76"/>
      <c r="K1070" s="76"/>
      <c r="L1070" s="79"/>
    </row>
    <row r="1071" spans="1:12" x14ac:dyDescent="0.2">
      <c r="A1071" s="4"/>
      <c r="B1071" s="16"/>
      <c r="C1071" s="4"/>
      <c r="D1071" s="4"/>
      <c r="E1071" s="4"/>
      <c r="F1071" s="4"/>
      <c r="G1071" s="4"/>
      <c r="H1071" s="17"/>
      <c r="I1071" s="19"/>
      <c r="J1071" s="4"/>
      <c r="K1071" s="4"/>
      <c r="L1071" s="17"/>
    </row>
    <row r="1072" spans="1:12" x14ac:dyDescent="0.2">
      <c r="A1072" s="4"/>
      <c r="B1072" s="16"/>
      <c r="C1072" s="4"/>
      <c r="D1072" s="4"/>
      <c r="E1072" s="4"/>
      <c r="F1072" s="4"/>
      <c r="G1072" s="4"/>
      <c r="H1072" s="17"/>
      <c r="I1072" s="19"/>
      <c r="J1072" s="4"/>
      <c r="K1072" s="4"/>
      <c r="L1072" s="17"/>
    </row>
    <row r="1073" spans="1:12" x14ac:dyDescent="0.2">
      <c r="A1073" s="4"/>
      <c r="B1073" s="16"/>
      <c r="C1073" s="4"/>
      <c r="D1073" s="4"/>
      <c r="E1073" s="4"/>
      <c r="F1073" s="4"/>
      <c r="G1073" s="4"/>
      <c r="H1073" s="17"/>
      <c r="I1073" s="19"/>
      <c r="J1073" s="4"/>
      <c r="K1073" s="4"/>
      <c r="L1073" s="17"/>
    </row>
    <row r="1074" spans="1:12" x14ac:dyDescent="0.2">
      <c r="A1074" s="4"/>
      <c r="B1074" s="20"/>
      <c r="C1074" s="21"/>
      <c r="D1074" s="21"/>
      <c r="E1074" s="21"/>
      <c r="F1074" s="21"/>
      <c r="G1074" s="21"/>
      <c r="H1074" s="22"/>
      <c r="I1074" s="23"/>
      <c r="J1074" s="21"/>
      <c r="K1074" s="21"/>
      <c r="L1074" s="22"/>
    </row>
    <row r="1075" spans="1:12" ht="15" x14ac:dyDescent="0.25">
      <c r="A1075" s="1"/>
      <c r="B1075" s="39"/>
      <c r="C1075" s="1"/>
      <c r="D1075" s="1"/>
      <c r="E1075" s="1"/>
      <c r="F1075" s="40"/>
      <c r="G1075" s="40"/>
      <c r="H1075" s="1"/>
      <c r="I1075" s="41"/>
      <c r="J1075" s="1"/>
      <c r="K1075" s="1"/>
      <c r="L1075" s="42"/>
    </row>
    <row r="1076" spans="1:12" ht="15.75" thickBot="1" x14ac:dyDescent="0.3">
      <c r="A1076" s="1"/>
      <c r="B1076" s="43"/>
      <c r="C1076" s="44"/>
      <c r="D1076" s="44"/>
      <c r="E1076" s="44"/>
      <c r="F1076" s="45"/>
      <c r="G1076" s="45"/>
      <c r="H1076" s="44"/>
      <c r="I1076" s="46"/>
      <c r="J1076" s="44"/>
      <c r="K1076" s="44"/>
      <c r="L1076" s="47"/>
    </row>
    <row r="1077" spans="1:12" ht="15.75" thickTop="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ht="54" customHeight="1" x14ac:dyDescent="0.2">
      <c r="A1078" s="10"/>
      <c r="B1078" s="279"/>
      <c r="C1078" s="279"/>
      <c r="D1078" s="279"/>
      <c r="E1078" s="279"/>
      <c r="F1078" s="279"/>
      <c r="G1078" s="279"/>
      <c r="H1078" s="279"/>
      <c r="I1078" s="279"/>
      <c r="J1078" s="279"/>
      <c r="K1078" s="279"/>
      <c r="L1078" s="279"/>
    </row>
    <row r="1079" spans="1:12" ht="1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ht="20.25" customHeight="1" x14ac:dyDescent="0.2">
      <c r="A1080" s="280"/>
      <c r="B1080" s="280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</row>
    <row r="1081" spans="1:12" ht="1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ht="1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ht="1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ht="1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ht="1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ht="1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ht="1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ht="10.5" customHeight="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ht="10.5" customHeight="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ht="15" x14ac:dyDescent="0.25">
      <c r="A1090" s="1"/>
      <c r="B1090" s="37"/>
      <c r="C1090" s="1"/>
      <c r="D1090" s="1"/>
      <c r="E1090" s="1"/>
      <c r="F1090" s="1"/>
      <c r="G1090" s="1"/>
      <c r="H1090" s="37"/>
      <c r="I1090" s="1"/>
      <c r="J1090" s="1"/>
      <c r="K1090" s="1"/>
      <c r="L1090" s="1"/>
    </row>
    <row r="1091" spans="1:12" ht="15" x14ac:dyDescent="0.25">
      <c r="A1091" s="1"/>
      <c r="B1091" s="48"/>
      <c r="C1091" s="7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ht="15" x14ac:dyDescent="0.25">
      <c r="A1092" s="1"/>
      <c r="B1092" s="48"/>
      <c r="C1092" s="7"/>
      <c r="D1092" s="1"/>
      <c r="E1092" s="1"/>
      <c r="F1092" s="1"/>
      <c r="G1092" s="1"/>
      <c r="H1092" s="1"/>
      <c r="I1092" s="1"/>
      <c r="J1092" s="1"/>
      <c r="K1092" s="1"/>
      <c r="L1092" s="1"/>
    </row>
    <row r="1095" spans="1:12" ht="15.75" x14ac:dyDescent="0.25">
      <c r="A1095" s="3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</row>
    <row r="1096" spans="1:12" ht="15.75" x14ac:dyDescent="0.25">
      <c r="A1096" s="3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 spans="1:12" ht="15.75" x14ac:dyDescent="0.25">
      <c r="A1097" s="3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</row>
    <row r="1098" spans="1:12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 spans="1:12" x14ac:dyDescent="0.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</row>
    <row r="1100" spans="1:12" x14ac:dyDescent="0.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</row>
    <row r="1101" spans="1:12" ht="19.5" thickBot="1" x14ac:dyDescent="0.35">
      <c r="A1101" s="339"/>
      <c r="B1101" s="339"/>
      <c r="C1101" s="339"/>
      <c r="D1101" s="339"/>
      <c r="E1101" s="339"/>
      <c r="F1101" s="339"/>
      <c r="G1101" s="339"/>
      <c r="H1101" s="339"/>
      <c r="I1101" s="339"/>
      <c r="J1101" s="339"/>
      <c r="K1101" s="339"/>
      <c r="L1101" s="339"/>
    </row>
    <row r="1102" spans="1:12" ht="19.5" thickTop="1" x14ac:dyDescent="0.3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</row>
    <row r="1103" spans="1:12" ht="18.75" x14ac:dyDescent="0.3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</row>
    <row r="1104" spans="1:12" ht="15" x14ac:dyDescent="0.25">
      <c r="A1104" s="1"/>
      <c r="B1104" s="1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 spans="1:12" ht="15" x14ac:dyDescent="0.25">
      <c r="A1105" s="1"/>
      <c r="B1105" s="1"/>
      <c r="C1105" s="4"/>
      <c r="D1105" s="4"/>
      <c r="E1105" s="4"/>
      <c r="F1105" s="4"/>
      <c r="G1105" s="4"/>
      <c r="H1105" s="4"/>
      <c r="I1105" s="4"/>
      <c r="J1105" s="4"/>
      <c r="K1105" s="4"/>
      <c r="L1105" s="4"/>
    </row>
    <row r="1106" spans="1:12" ht="15" x14ac:dyDescent="0.25">
      <c r="A1106" s="1"/>
      <c r="B1106" s="1"/>
      <c r="C1106" s="4"/>
      <c r="D1106" s="4"/>
      <c r="E1106" s="4"/>
      <c r="F1106" s="4"/>
      <c r="G1106" s="4"/>
      <c r="H1106" s="4"/>
      <c r="I1106" s="4"/>
      <c r="J1106" s="4"/>
      <c r="K1106" s="4"/>
      <c r="L1106" s="4"/>
    </row>
    <row r="1107" spans="1:12" ht="15" x14ac:dyDescent="0.25">
      <c r="A1107" s="1"/>
      <c r="B1107" s="4"/>
      <c r="C1107" s="9"/>
      <c r="D1107" s="37"/>
      <c r="E1107" s="64"/>
      <c r="F1107" s="4"/>
      <c r="G1107" s="4"/>
      <c r="H1107" s="4"/>
      <c r="I1107" s="4"/>
      <c r="J1107" s="4"/>
      <c r="K1107" s="4"/>
      <c r="L1107" s="4"/>
    </row>
    <row r="1108" spans="1:12" ht="15" x14ac:dyDescent="0.25">
      <c r="A1108" s="1"/>
      <c r="B1108" s="4"/>
      <c r="C1108" s="9"/>
      <c r="D1108" s="1"/>
      <c r="E1108" s="64"/>
      <c r="F1108" s="4"/>
      <c r="G1108" s="4"/>
      <c r="H1108" s="4"/>
      <c r="I1108" s="4"/>
      <c r="J1108" s="4"/>
      <c r="K1108" s="4"/>
      <c r="L1108" s="4"/>
    </row>
    <row r="1109" spans="1:12" ht="15" x14ac:dyDescent="0.25">
      <c r="A1109" s="1"/>
      <c r="B1109" s="4"/>
      <c r="C1109" s="9"/>
      <c r="D1109" s="1"/>
      <c r="E1109" s="64"/>
      <c r="F1109" s="4"/>
      <c r="G1109" s="4"/>
      <c r="H1109" s="4"/>
      <c r="I1109" s="4"/>
      <c r="J1109" s="4"/>
      <c r="K1109" s="4"/>
      <c r="L1109" s="4"/>
    </row>
    <row r="1110" spans="1:12" ht="15" x14ac:dyDescent="0.25">
      <c r="A1110" s="1"/>
      <c r="B1110" s="1"/>
      <c r="C1110" s="4"/>
      <c r="D1110" s="1"/>
      <c r="E1110" s="4"/>
      <c r="F1110" s="4"/>
      <c r="G1110" s="4"/>
      <c r="H1110" s="4"/>
      <c r="I1110" s="4"/>
      <c r="J1110" s="4"/>
      <c r="K1110" s="4"/>
      <c r="L1110" s="4"/>
    </row>
    <row r="1111" spans="1:12" ht="41.25" customHeight="1" x14ac:dyDescent="0.2">
      <c r="A1111" s="280"/>
      <c r="B1111" s="277"/>
      <c r="C1111" s="277"/>
      <c r="D1111" s="277"/>
      <c r="E1111" s="277"/>
      <c r="F1111" s="277"/>
      <c r="G1111" s="277"/>
      <c r="H1111" s="277"/>
      <c r="I1111" s="277"/>
      <c r="J1111" s="277"/>
      <c r="K1111" s="277"/>
      <c r="L1111" s="277"/>
    </row>
    <row r="1112" spans="1:12" ht="12.75" customHeight="1" x14ac:dyDescent="0.25">
      <c r="A1112" s="1"/>
      <c r="B1112" s="1"/>
      <c r="C1112" s="4"/>
      <c r="D1112" s="4"/>
      <c r="E1112" s="4"/>
      <c r="F1112" s="4"/>
      <c r="G1112" s="4"/>
      <c r="H1112" s="4"/>
      <c r="I1112" s="4"/>
      <c r="J1112" s="4"/>
      <c r="K1112" s="4"/>
      <c r="L1112" s="4"/>
    </row>
    <row r="1113" spans="1:12" ht="47.25" customHeight="1" thickBot="1" x14ac:dyDescent="0.25">
      <c r="A1113" s="10"/>
      <c r="B1113" s="337"/>
      <c r="C1113" s="338"/>
      <c r="D1113" s="338"/>
      <c r="E1113" s="338"/>
      <c r="F1113" s="338"/>
      <c r="G1113" s="338"/>
      <c r="H1113" s="338"/>
      <c r="I1113" s="338"/>
      <c r="J1113" s="338"/>
      <c r="K1113" s="338"/>
      <c r="L1113" s="338"/>
    </row>
    <row r="1114" spans="1:12" ht="15.75" thickTop="1" x14ac:dyDescent="0.25">
      <c r="A1114" s="1"/>
      <c r="B1114" s="11"/>
      <c r="C1114" s="12"/>
      <c r="D1114" s="13"/>
      <c r="E1114" s="13"/>
      <c r="F1114" s="13"/>
      <c r="G1114" s="13"/>
      <c r="H1114" s="14"/>
      <c r="I1114" s="15"/>
      <c r="J1114" s="12"/>
      <c r="K1114" s="13"/>
      <c r="L1114" s="14"/>
    </row>
    <row r="1115" spans="1:12" ht="24.75" customHeight="1" x14ac:dyDescent="0.2">
      <c r="A1115" s="50"/>
      <c r="B1115" s="60"/>
      <c r="C1115" s="50"/>
      <c r="D1115" s="50"/>
      <c r="E1115" s="50"/>
      <c r="F1115" s="50"/>
      <c r="G1115" s="54"/>
      <c r="H1115" s="55"/>
      <c r="I1115" s="56"/>
      <c r="J1115" s="50"/>
      <c r="K1115" s="50"/>
      <c r="L1115" s="55"/>
    </row>
    <row r="1116" spans="1:12" ht="21.75" customHeight="1" x14ac:dyDescent="0.2">
      <c r="A1116" s="76"/>
      <c r="B1116" s="77"/>
      <c r="C1116" s="76"/>
      <c r="D1116" s="76"/>
      <c r="E1116" s="76"/>
      <c r="F1116" s="76"/>
      <c r="G1116" s="78"/>
      <c r="H1116" s="79"/>
      <c r="I1116" s="56"/>
      <c r="J1116" s="76"/>
      <c r="K1116" s="76"/>
      <c r="L1116" s="79"/>
    </row>
    <row r="1117" spans="1:12" x14ac:dyDescent="0.2">
      <c r="A1117" s="4"/>
      <c r="B1117" s="16"/>
      <c r="C1117" s="4"/>
      <c r="D1117" s="4"/>
      <c r="E1117" s="4"/>
      <c r="F1117" s="4"/>
      <c r="G1117" s="4"/>
      <c r="H1117" s="17"/>
      <c r="I1117" s="19"/>
      <c r="J1117" s="4"/>
      <c r="K1117" s="4"/>
      <c r="L1117" s="17"/>
    </row>
    <row r="1118" spans="1:12" x14ac:dyDescent="0.2">
      <c r="A1118" s="4"/>
      <c r="B1118" s="16"/>
      <c r="C1118" s="4"/>
      <c r="D1118" s="4"/>
      <c r="E1118" s="4"/>
      <c r="F1118" s="4"/>
      <c r="G1118" s="4"/>
      <c r="H1118" s="17"/>
      <c r="I1118" s="19"/>
      <c r="J1118" s="4"/>
      <c r="K1118" s="4"/>
      <c r="L1118" s="17"/>
    </row>
    <row r="1119" spans="1:12" x14ac:dyDescent="0.2">
      <c r="A1119" s="4"/>
      <c r="B1119" s="16"/>
      <c r="C1119" s="4"/>
      <c r="D1119" s="4"/>
      <c r="E1119" s="4"/>
      <c r="F1119" s="4"/>
      <c r="G1119" s="4"/>
      <c r="H1119" s="17"/>
      <c r="I1119" s="19"/>
      <c r="J1119" s="4"/>
      <c r="K1119" s="4"/>
      <c r="L1119" s="17"/>
    </row>
    <row r="1120" spans="1:12" x14ac:dyDescent="0.2">
      <c r="A1120" s="4"/>
      <c r="B1120" s="20"/>
      <c r="C1120" s="21"/>
      <c r="D1120" s="21"/>
      <c r="E1120" s="21"/>
      <c r="F1120" s="21"/>
      <c r="G1120" s="21"/>
      <c r="H1120" s="22"/>
      <c r="I1120" s="23"/>
      <c r="J1120" s="21"/>
      <c r="K1120" s="21"/>
      <c r="L1120" s="22"/>
    </row>
    <row r="1121" spans="1:12" ht="15" x14ac:dyDescent="0.25">
      <c r="A1121" s="1"/>
      <c r="B1121" s="39"/>
      <c r="C1121" s="1"/>
      <c r="D1121" s="1"/>
      <c r="E1121" s="1"/>
      <c r="F1121" s="40"/>
      <c r="G1121" s="40"/>
      <c r="H1121" s="1"/>
      <c r="I1121" s="41"/>
      <c r="J1121" s="1"/>
      <c r="K1121" s="1"/>
      <c r="L1121" s="42"/>
    </row>
    <row r="1122" spans="1:12" ht="15.75" thickBot="1" x14ac:dyDescent="0.3">
      <c r="A1122" s="1"/>
      <c r="B1122" s="43"/>
      <c r="C1122" s="44"/>
      <c r="D1122" s="44"/>
      <c r="E1122" s="44"/>
      <c r="F1122" s="45"/>
      <c r="G1122" s="45"/>
      <c r="H1122" s="44"/>
      <c r="I1122" s="46"/>
      <c r="J1122" s="44"/>
      <c r="K1122" s="44"/>
      <c r="L1122" s="47"/>
    </row>
    <row r="1123" spans="1:12" ht="15.75" thickTop="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ht="54" customHeight="1" x14ac:dyDescent="0.2">
      <c r="A1124" s="10"/>
      <c r="B1124" s="279"/>
      <c r="C1124" s="279"/>
      <c r="D1124" s="279"/>
      <c r="E1124" s="279"/>
      <c r="F1124" s="279"/>
      <c r="G1124" s="279"/>
      <c r="H1124" s="279"/>
      <c r="I1124" s="279"/>
      <c r="J1124" s="279"/>
      <c r="K1124" s="279"/>
      <c r="L1124" s="279"/>
    </row>
    <row r="1125" spans="1:12" ht="15" customHeight="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ht="15" x14ac:dyDescent="0.2">
      <c r="A1126" s="280"/>
      <c r="B1126" s="280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</row>
    <row r="1127" spans="1:12" ht="19.5" customHeight="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 ht="15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 ht="1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 ht="15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 ht="1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 ht="15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 ht="1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 ht="9.75" customHeight="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 ht="1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 ht="15" x14ac:dyDescent="0.25">
      <c r="A1136" s="1"/>
      <c r="B1136" s="37"/>
      <c r="C1136" s="1"/>
      <c r="D1136" s="1"/>
      <c r="E1136" s="1"/>
      <c r="F1136" s="1"/>
      <c r="G1136" s="1"/>
      <c r="H1136" s="37"/>
      <c r="I1136" s="1"/>
      <c r="J1136" s="1"/>
      <c r="K1136" s="1"/>
      <c r="L1136" s="1"/>
    </row>
    <row r="1137" spans="1:12" ht="15" x14ac:dyDescent="0.25">
      <c r="A1137" s="1"/>
      <c r="B1137" s="48"/>
      <c r="C1137" s="7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 ht="15" x14ac:dyDescent="0.25">
      <c r="A1138" s="1"/>
      <c r="B1138" s="48"/>
      <c r="C1138" s="7"/>
      <c r="D1138" s="1"/>
      <c r="E1138" s="1"/>
      <c r="F1138" s="1"/>
      <c r="G1138" s="1"/>
      <c r="H1138" s="1"/>
      <c r="I1138" s="1"/>
      <c r="J1138" s="1"/>
      <c r="K1138" s="1"/>
      <c r="L1138" s="1"/>
    </row>
    <row r="1142" spans="1:12" ht="15.75" x14ac:dyDescent="0.25">
      <c r="A1142" s="3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</row>
    <row r="1143" spans="1:12" ht="15.75" x14ac:dyDescent="0.25">
      <c r="A1143" s="3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</row>
    <row r="1144" spans="1:12" ht="15.75" x14ac:dyDescent="0.25">
      <c r="A1144" s="3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 spans="1:12" x14ac:dyDescent="0.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</row>
    <row r="1146" spans="1:12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 spans="1:12" x14ac:dyDescent="0.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</row>
    <row r="1148" spans="1:12" ht="19.5" thickBot="1" x14ac:dyDescent="0.35">
      <c r="A1148" s="339"/>
      <c r="B1148" s="339"/>
      <c r="C1148" s="339"/>
      <c r="D1148" s="339"/>
      <c r="E1148" s="339"/>
      <c r="F1148" s="339"/>
      <c r="G1148" s="339"/>
      <c r="H1148" s="339"/>
      <c r="I1148" s="339"/>
      <c r="J1148" s="339"/>
      <c r="K1148" s="339"/>
      <c r="L1148" s="339"/>
    </row>
    <row r="1149" spans="1:12" ht="19.5" thickTop="1" x14ac:dyDescent="0.3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</row>
    <row r="1150" spans="1:12" ht="18.75" x14ac:dyDescent="0.3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</row>
    <row r="1151" spans="1:12" ht="15" x14ac:dyDescent="0.25">
      <c r="A1151" s="1"/>
      <c r="B1151" s="1"/>
      <c r="C1151" s="4"/>
      <c r="D1151" s="4"/>
      <c r="E1151" s="4"/>
      <c r="F1151" s="4"/>
      <c r="G1151" s="4"/>
      <c r="H1151" s="4"/>
      <c r="I1151" s="4"/>
      <c r="J1151" s="4"/>
      <c r="K1151" s="4"/>
      <c r="L1151" s="4"/>
    </row>
    <row r="1152" spans="1:12" ht="15" x14ac:dyDescent="0.25">
      <c r="A1152" s="1"/>
      <c r="B1152" s="1"/>
      <c r="C1152" s="4"/>
      <c r="D1152" s="4"/>
      <c r="E1152" s="4"/>
      <c r="F1152" s="4"/>
      <c r="G1152" s="4"/>
      <c r="H1152" s="4"/>
      <c r="I1152" s="4"/>
      <c r="J1152" s="4"/>
      <c r="K1152" s="4"/>
      <c r="L1152" s="4"/>
    </row>
    <row r="1153" spans="1:12" ht="15" x14ac:dyDescent="0.25">
      <c r="A1153" s="1"/>
      <c r="B1153" s="1"/>
      <c r="C1153" s="4"/>
      <c r="D1153" s="4"/>
      <c r="E1153" s="4"/>
      <c r="F1153" s="4"/>
      <c r="G1153" s="4"/>
      <c r="H1153" s="4"/>
      <c r="I1153" s="4"/>
      <c r="J1153" s="4"/>
      <c r="K1153" s="4"/>
      <c r="L1153" s="4"/>
    </row>
    <row r="1154" spans="1:12" ht="15" x14ac:dyDescent="0.25">
      <c r="A1154" s="1"/>
      <c r="B1154" s="4"/>
      <c r="C1154" s="9"/>
      <c r="D1154" s="37"/>
      <c r="E1154" s="64"/>
      <c r="F1154" s="4"/>
      <c r="G1154" s="4"/>
      <c r="H1154" s="4"/>
      <c r="I1154" s="4"/>
      <c r="J1154" s="4"/>
      <c r="K1154" s="4"/>
      <c r="L1154" s="4"/>
    </row>
    <row r="1155" spans="1:12" ht="15" x14ac:dyDescent="0.25">
      <c r="A1155" s="1"/>
      <c r="B1155" s="4"/>
      <c r="C1155" s="9"/>
      <c r="D1155" s="1"/>
      <c r="E1155" s="64"/>
      <c r="F1155" s="4"/>
      <c r="G1155" s="4"/>
      <c r="H1155" s="4"/>
      <c r="I1155" s="4"/>
      <c r="J1155" s="4"/>
      <c r="K1155" s="4"/>
      <c r="L1155" s="4"/>
    </row>
    <row r="1156" spans="1:12" ht="15" x14ac:dyDescent="0.25">
      <c r="A1156" s="1"/>
      <c r="B1156" s="4"/>
      <c r="C1156" s="9"/>
      <c r="D1156" s="1"/>
      <c r="E1156" s="64"/>
      <c r="F1156" s="4"/>
      <c r="G1156" s="4"/>
      <c r="H1156" s="4"/>
      <c r="I1156" s="4"/>
      <c r="J1156" s="4"/>
      <c r="K1156" s="4"/>
      <c r="L1156" s="4"/>
    </row>
    <row r="1157" spans="1:12" ht="15" x14ac:dyDescent="0.25">
      <c r="A1157" s="1"/>
      <c r="B1157" s="1"/>
      <c r="C1157" s="4"/>
      <c r="D1157" s="1"/>
      <c r="E1157" s="4"/>
      <c r="F1157" s="4"/>
      <c r="G1157" s="4"/>
      <c r="H1157" s="4"/>
      <c r="I1157" s="4"/>
      <c r="J1157" s="4"/>
      <c r="K1157" s="4"/>
      <c r="L1157" s="4"/>
    </row>
    <row r="1158" spans="1:12" ht="33.75" customHeight="1" x14ac:dyDescent="0.2">
      <c r="A1158" s="280"/>
      <c r="B1158" s="277"/>
      <c r="C1158" s="277"/>
      <c r="D1158" s="277"/>
      <c r="E1158" s="277"/>
      <c r="F1158" s="277"/>
      <c r="G1158" s="277"/>
      <c r="H1158" s="277"/>
      <c r="I1158" s="277"/>
      <c r="J1158" s="277"/>
      <c r="K1158" s="277"/>
      <c r="L1158" s="277"/>
    </row>
    <row r="1159" spans="1:12" ht="15" x14ac:dyDescent="0.25">
      <c r="A1159" s="1"/>
      <c r="B1159" s="1"/>
      <c r="C1159" s="4"/>
      <c r="D1159" s="4"/>
      <c r="E1159" s="4"/>
      <c r="F1159" s="4"/>
      <c r="G1159" s="4"/>
      <c r="H1159" s="4"/>
      <c r="I1159" s="4"/>
      <c r="J1159" s="4"/>
      <c r="K1159" s="4"/>
      <c r="L1159" s="4"/>
    </row>
    <row r="1160" spans="1:12" ht="39" customHeight="1" thickBot="1" x14ac:dyDescent="0.25">
      <c r="A1160" s="10"/>
      <c r="B1160" s="337"/>
      <c r="C1160" s="338"/>
      <c r="D1160" s="338"/>
      <c r="E1160" s="338"/>
      <c r="F1160" s="338"/>
      <c r="G1160" s="338"/>
      <c r="H1160" s="338"/>
      <c r="I1160" s="338"/>
      <c r="J1160" s="338"/>
      <c r="K1160" s="338"/>
      <c r="L1160" s="338"/>
    </row>
    <row r="1161" spans="1:12" ht="15.75" thickTop="1" x14ac:dyDescent="0.25">
      <c r="A1161" s="1"/>
      <c r="B1161" s="11"/>
      <c r="C1161" s="12"/>
      <c r="D1161" s="13"/>
      <c r="E1161" s="13"/>
      <c r="F1161" s="13"/>
      <c r="G1161" s="13"/>
      <c r="H1161" s="14"/>
      <c r="I1161" s="15"/>
      <c r="J1161" s="12"/>
      <c r="K1161" s="13"/>
      <c r="L1161" s="14"/>
    </row>
    <row r="1162" spans="1:12" ht="27" customHeight="1" x14ac:dyDescent="0.2">
      <c r="A1162" s="50"/>
      <c r="B1162" s="60"/>
      <c r="C1162" s="50"/>
      <c r="D1162" s="50"/>
      <c r="E1162" s="50"/>
      <c r="F1162" s="50"/>
      <c r="G1162" s="54"/>
      <c r="H1162" s="55"/>
      <c r="I1162" s="56"/>
      <c r="J1162" s="50"/>
      <c r="K1162" s="50"/>
      <c r="L1162" s="55"/>
    </row>
    <row r="1163" spans="1:12" ht="23.25" customHeight="1" x14ac:dyDescent="0.2">
      <c r="A1163" s="76"/>
      <c r="B1163" s="77"/>
      <c r="C1163" s="76"/>
      <c r="D1163" s="76"/>
      <c r="E1163" s="76"/>
      <c r="F1163" s="76"/>
      <c r="G1163" s="78"/>
      <c r="H1163" s="79"/>
      <c r="I1163" s="80"/>
      <c r="J1163" s="76"/>
      <c r="K1163" s="76"/>
      <c r="L1163" s="79"/>
    </row>
    <row r="1164" spans="1:12" x14ac:dyDescent="0.2">
      <c r="A1164" s="4"/>
      <c r="B1164" s="16"/>
      <c r="C1164" s="4"/>
      <c r="D1164" s="4"/>
      <c r="E1164" s="4"/>
      <c r="F1164" s="4"/>
      <c r="G1164" s="4"/>
      <c r="H1164" s="17"/>
      <c r="I1164" s="19"/>
      <c r="J1164" s="4"/>
      <c r="K1164" s="4"/>
      <c r="L1164" s="17"/>
    </row>
    <row r="1165" spans="1:12" x14ac:dyDescent="0.2">
      <c r="A1165" s="4"/>
      <c r="B1165" s="16"/>
      <c r="C1165" s="4"/>
      <c r="D1165" s="4"/>
      <c r="E1165" s="4"/>
      <c r="F1165" s="4"/>
      <c r="G1165" s="4"/>
      <c r="H1165" s="17"/>
      <c r="I1165" s="19"/>
      <c r="J1165" s="4"/>
      <c r="K1165" s="4"/>
      <c r="L1165" s="17"/>
    </row>
    <row r="1166" spans="1:12" x14ac:dyDescent="0.2">
      <c r="A1166" s="4"/>
      <c r="B1166" s="16"/>
      <c r="C1166" s="4"/>
      <c r="D1166" s="4"/>
      <c r="E1166" s="4"/>
      <c r="F1166" s="4"/>
      <c r="G1166" s="4"/>
      <c r="H1166" s="17"/>
      <c r="I1166" s="19"/>
      <c r="J1166" s="4"/>
      <c r="K1166" s="4"/>
      <c r="L1166" s="17"/>
    </row>
    <row r="1167" spans="1:12" x14ac:dyDescent="0.2">
      <c r="A1167" s="4"/>
      <c r="B1167" s="20"/>
      <c r="C1167" s="21"/>
      <c r="D1167" s="21"/>
      <c r="E1167" s="21"/>
      <c r="F1167" s="21"/>
      <c r="G1167" s="21"/>
      <c r="H1167" s="22"/>
      <c r="I1167" s="23"/>
      <c r="J1167" s="21"/>
      <c r="K1167" s="21"/>
      <c r="L1167" s="22"/>
    </row>
    <row r="1168" spans="1:12" ht="15" x14ac:dyDescent="0.25">
      <c r="A1168" s="1"/>
      <c r="B1168" s="39"/>
      <c r="C1168" s="1"/>
      <c r="D1168" s="1"/>
      <c r="E1168" s="1"/>
      <c r="F1168" s="40"/>
      <c r="G1168" s="40"/>
      <c r="H1168" s="1"/>
      <c r="I1168" s="41"/>
      <c r="J1168" s="1"/>
      <c r="K1168" s="1"/>
      <c r="L1168" s="42"/>
    </row>
    <row r="1169" spans="1:12" ht="15.75" thickBot="1" x14ac:dyDescent="0.3">
      <c r="A1169" s="1"/>
      <c r="B1169" s="43"/>
      <c r="C1169" s="44"/>
      <c r="D1169" s="44"/>
      <c r="E1169" s="44"/>
      <c r="F1169" s="45"/>
      <c r="G1169" s="45"/>
      <c r="H1169" s="44"/>
      <c r="I1169" s="46"/>
      <c r="J1169" s="44"/>
      <c r="K1169" s="44"/>
      <c r="L1169" s="47"/>
    </row>
    <row r="1170" spans="1:12" ht="15.75" thickTop="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 ht="52.5" customHeight="1" x14ac:dyDescent="0.2">
      <c r="A1171" s="10"/>
      <c r="B1171" s="279"/>
      <c r="C1171" s="279"/>
      <c r="D1171" s="279"/>
      <c r="E1171" s="279"/>
      <c r="F1171" s="279"/>
      <c r="G1171" s="279"/>
      <c r="H1171" s="279"/>
      <c r="I1171" s="279"/>
      <c r="J1171" s="279"/>
      <c r="K1171" s="279"/>
      <c r="L1171" s="279"/>
    </row>
    <row r="1172" spans="1:12" ht="17.25" customHeight="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 ht="23.25" customHeight="1" x14ac:dyDescent="0.2">
      <c r="A1173" s="280"/>
      <c r="B1173" s="280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</row>
    <row r="1174" spans="1:12" ht="15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 ht="1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 ht="15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 ht="1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 ht="15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 ht="1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 ht="1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 ht="1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 ht="15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 ht="15" x14ac:dyDescent="0.25">
      <c r="A1183" s="1"/>
      <c r="B1183" s="37"/>
      <c r="C1183" s="1"/>
      <c r="D1183" s="1"/>
      <c r="E1183" s="1"/>
      <c r="F1183" s="1"/>
      <c r="G1183" s="1"/>
      <c r="H1183" s="37"/>
      <c r="I1183" s="1"/>
      <c r="J1183" s="1"/>
      <c r="K1183" s="1"/>
      <c r="L1183" s="1"/>
    </row>
    <row r="1184" spans="1:12" ht="15" x14ac:dyDescent="0.25">
      <c r="A1184" s="1"/>
      <c r="B1184" s="48"/>
      <c r="C1184" s="7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6" ht="15" x14ac:dyDescent="0.25">
      <c r="A1185" s="1"/>
      <c r="B1185" s="48"/>
      <c r="C1185" s="7"/>
      <c r="D1185" s="1"/>
      <c r="E1185" s="1"/>
      <c r="F1185" s="1"/>
      <c r="G1185" s="1"/>
      <c r="H1185" s="1"/>
      <c r="I1185" s="1"/>
      <c r="J1185" s="1"/>
      <c r="K1185" s="1"/>
      <c r="L1185" s="1"/>
    </row>
    <row r="1189" spans="1:16" ht="15.75" x14ac:dyDescent="0.25">
      <c r="A1189" s="3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</row>
    <row r="1190" spans="1:16" ht="15.75" x14ac:dyDescent="0.25">
      <c r="A1190" s="3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</row>
    <row r="1191" spans="1:16" ht="15.75" x14ac:dyDescent="0.25">
      <c r="A1191" s="3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</row>
    <row r="1192" spans="1:16" x14ac:dyDescent="0.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</row>
    <row r="1193" spans="1:16" x14ac:dyDescent="0.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</row>
    <row r="1194" spans="1:16" x14ac:dyDescent="0.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</row>
    <row r="1195" spans="1:16" ht="19.5" thickBot="1" x14ac:dyDescent="0.35">
      <c r="A1195" s="339"/>
      <c r="B1195" s="339"/>
      <c r="C1195" s="339"/>
      <c r="D1195" s="339"/>
      <c r="E1195" s="339"/>
      <c r="F1195" s="339"/>
      <c r="G1195" s="339"/>
      <c r="H1195" s="339"/>
      <c r="I1195" s="339"/>
      <c r="J1195" s="339"/>
      <c r="K1195" s="339"/>
      <c r="L1195" s="339"/>
      <c r="P1195" s="37"/>
    </row>
    <row r="1196" spans="1:16" ht="19.5" thickTop="1" x14ac:dyDescent="0.3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P1196" s="1"/>
    </row>
    <row r="1197" spans="1:16" ht="18.75" x14ac:dyDescent="0.3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P1197" s="1"/>
    </row>
    <row r="1198" spans="1:16" ht="15" x14ac:dyDescent="0.25">
      <c r="A1198" s="1"/>
      <c r="B1198" s="1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spans="1:16" ht="15" x14ac:dyDescent="0.25">
      <c r="A1199" s="1"/>
      <c r="B1199" s="1"/>
      <c r="C1199" s="4"/>
      <c r="D1199" s="4"/>
      <c r="E1199" s="4"/>
      <c r="F1199" s="4"/>
      <c r="G1199" s="4"/>
      <c r="H1199" s="4"/>
      <c r="I1199" s="4"/>
      <c r="J1199" s="4"/>
      <c r="K1199" s="4"/>
      <c r="L1199" s="4"/>
    </row>
    <row r="1200" spans="1:16" ht="15" x14ac:dyDescent="0.25">
      <c r="A1200" s="1"/>
      <c r="B1200" s="1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N1200" s="36"/>
    </row>
    <row r="1201" spans="1:14" ht="15" x14ac:dyDescent="0.25">
      <c r="A1201" s="1"/>
      <c r="B1201" s="4"/>
      <c r="C1201" s="9"/>
      <c r="D1201" s="36"/>
      <c r="E1201" s="64"/>
      <c r="F1201" s="4"/>
      <c r="G1201" s="4"/>
      <c r="H1201" s="4"/>
      <c r="I1201" s="4"/>
      <c r="J1201" s="4"/>
      <c r="K1201" s="4"/>
      <c r="L1201" s="4"/>
      <c r="N1201" s="64"/>
    </row>
    <row r="1202" spans="1:14" ht="15" x14ac:dyDescent="0.25">
      <c r="A1202" s="1"/>
      <c r="B1202" s="4"/>
      <c r="C1202" s="9"/>
      <c r="D1202" s="64"/>
      <c r="E1202" s="64"/>
      <c r="F1202" s="4"/>
      <c r="G1202" s="4"/>
      <c r="H1202" s="4"/>
      <c r="I1202" s="4"/>
      <c r="J1202" s="4"/>
      <c r="K1202" s="4"/>
      <c r="L1202" s="4"/>
      <c r="N1202" s="64"/>
    </row>
    <row r="1203" spans="1:14" ht="15" x14ac:dyDescent="0.25">
      <c r="A1203" s="1"/>
      <c r="B1203" s="4"/>
      <c r="C1203" s="9"/>
      <c r="D1203" s="64"/>
      <c r="E1203" s="64"/>
      <c r="F1203" s="4"/>
      <c r="G1203" s="4"/>
      <c r="H1203" s="4"/>
      <c r="I1203" s="4"/>
      <c r="J1203" s="4"/>
      <c r="K1203" s="4"/>
      <c r="L1203" s="4"/>
    </row>
    <row r="1204" spans="1:14" ht="15" x14ac:dyDescent="0.25">
      <c r="A1204" s="1"/>
      <c r="B1204" s="1"/>
      <c r="C1204" s="4"/>
      <c r="D1204" s="1"/>
      <c r="E1204" s="4"/>
      <c r="F1204" s="4"/>
      <c r="G1204" s="4"/>
      <c r="H1204" s="4"/>
      <c r="I1204" s="4"/>
      <c r="J1204" s="4"/>
      <c r="K1204" s="4"/>
      <c r="L1204" s="4"/>
    </row>
    <row r="1205" spans="1:14" ht="45" customHeight="1" x14ac:dyDescent="0.2">
      <c r="A1205" s="280"/>
      <c r="B1205" s="277"/>
      <c r="C1205" s="277"/>
      <c r="D1205" s="277"/>
      <c r="E1205" s="277"/>
      <c r="F1205" s="277"/>
      <c r="G1205" s="277"/>
      <c r="H1205" s="277"/>
      <c r="I1205" s="277"/>
      <c r="J1205" s="277"/>
      <c r="K1205" s="277"/>
      <c r="L1205" s="277"/>
    </row>
    <row r="1206" spans="1:14" ht="15" x14ac:dyDescent="0.25">
      <c r="A1206" s="1"/>
      <c r="B1206" s="1"/>
      <c r="C1206" s="4"/>
      <c r="D1206" s="4"/>
      <c r="E1206" s="4"/>
      <c r="F1206" s="4"/>
      <c r="G1206" s="4"/>
      <c r="H1206" s="4"/>
      <c r="I1206" s="4"/>
      <c r="J1206" s="4"/>
      <c r="K1206" s="4"/>
      <c r="L1206" s="4"/>
    </row>
    <row r="1207" spans="1:14" ht="38.25" customHeight="1" thickBot="1" x14ac:dyDescent="0.25">
      <c r="A1207" s="10"/>
      <c r="B1207" s="337"/>
      <c r="C1207" s="338"/>
      <c r="D1207" s="338"/>
      <c r="E1207" s="338"/>
      <c r="F1207" s="338"/>
      <c r="G1207" s="338"/>
      <c r="H1207" s="338"/>
      <c r="I1207" s="338"/>
      <c r="J1207" s="338"/>
      <c r="K1207" s="338"/>
      <c r="L1207" s="338"/>
    </row>
    <row r="1208" spans="1:14" ht="15.75" thickTop="1" x14ac:dyDescent="0.25">
      <c r="A1208" s="1"/>
      <c r="B1208" s="11"/>
      <c r="C1208" s="12"/>
      <c r="D1208" s="13"/>
      <c r="E1208" s="13"/>
      <c r="F1208" s="13"/>
      <c r="G1208" s="13"/>
      <c r="H1208" s="14"/>
      <c r="I1208" s="15"/>
      <c r="J1208" s="12"/>
      <c r="K1208" s="13"/>
      <c r="L1208" s="14"/>
    </row>
    <row r="1209" spans="1:14" ht="18.75" customHeight="1" x14ac:dyDescent="0.2">
      <c r="A1209" s="50"/>
      <c r="B1209" s="60"/>
      <c r="C1209" s="50"/>
      <c r="D1209" s="50"/>
      <c r="E1209" s="50"/>
      <c r="F1209" s="50"/>
      <c r="G1209" s="54"/>
      <c r="H1209" s="55"/>
      <c r="I1209" s="56"/>
      <c r="J1209" s="50"/>
      <c r="K1209" s="50"/>
      <c r="L1209" s="55"/>
    </row>
    <row r="1210" spans="1:14" ht="18.75" customHeight="1" x14ac:dyDescent="0.2">
      <c r="A1210" s="76"/>
      <c r="B1210" s="77"/>
      <c r="C1210" s="76"/>
      <c r="D1210" s="76"/>
      <c r="E1210" s="76"/>
      <c r="F1210" s="76"/>
      <c r="G1210" s="78"/>
      <c r="H1210" s="79"/>
      <c r="I1210" s="80"/>
      <c r="J1210" s="76"/>
      <c r="K1210" s="76"/>
      <c r="L1210" s="79"/>
    </row>
    <row r="1211" spans="1:14" x14ac:dyDescent="0.2">
      <c r="A1211" s="4"/>
      <c r="B1211" s="16"/>
      <c r="C1211" s="4"/>
      <c r="D1211" s="4"/>
      <c r="E1211" s="4"/>
      <c r="F1211" s="4"/>
      <c r="G1211" s="4"/>
      <c r="H1211" s="17"/>
      <c r="I1211" s="19"/>
      <c r="J1211" s="4"/>
      <c r="K1211" s="4"/>
      <c r="L1211" s="17"/>
    </row>
    <row r="1212" spans="1:14" x14ac:dyDescent="0.2">
      <c r="A1212" s="4"/>
      <c r="B1212" s="16"/>
      <c r="C1212" s="4"/>
      <c r="D1212" s="4"/>
      <c r="E1212" s="4"/>
      <c r="F1212" s="4"/>
      <c r="G1212" s="4"/>
      <c r="H1212" s="17"/>
      <c r="I1212" s="19"/>
      <c r="J1212" s="4"/>
      <c r="K1212" s="4"/>
      <c r="L1212" s="17"/>
    </row>
    <row r="1213" spans="1:14" x14ac:dyDescent="0.2">
      <c r="A1213" s="4"/>
      <c r="B1213" s="16"/>
      <c r="C1213" s="4"/>
      <c r="D1213" s="4"/>
      <c r="E1213" s="4"/>
      <c r="F1213" s="4"/>
      <c r="G1213" s="4"/>
      <c r="H1213" s="17"/>
      <c r="I1213" s="19"/>
      <c r="J1213" s="4"/>
      <c r="K1213" s="4"/>
      <c r="L1213" s="17"/>
    </row>
    <row r="1214" spans="1:14" x14ac:dyDescent="0.2">
      <c r="A1214" s="4"/>
      <c r="B1214" s="20"/>
      <c r="C1214" s="21"/>
      <c r="D1214" s="21"/>
      <c r="E1214" s="21"/>
      <c r="F1214" s="21"/>
      <c r="G1214" s="21"/>
      <c r="H1214" s="22"/>
      <c r="I1214" s="23"/>
      <c r="J1214" s="21"/>
      <c r="K1214" s="21"/>
      <c r="L1214" s="22"/>
    </row>
    <row r="1215" spans="1:14" ht="15" x14ac:dyDescent="0.25">
      <c r="A1215" s="1"/>
      <c r="B1215" s="39"/>
      <c r="C1215" s="1"/>
      <c r="D1215" s="1"/>
      <c r="E1215" s="1"/>
      <c r="F1215" s="40"/>
      <c r="G1215" s="40"/>
      <c r="H1215" s="1"/>
      <c r="I1215" s="41"/>
      <c r="J1215" s="1"/>
      <c r="K1215" s="1"/>
      <c r="L1215" s="42"/>
    </row>
    <row r="1216" spans="1:14" ht="15.75" thickBot="1" x14ac:dyDescent="0.3">
      <c r="A1216" s="1"/>
      <c r="B1216" s="43"/>
      <c r="C1216" s="44"/>
      <c r="D1216" s="44"/>
      <c r="E1216" s="44"/>
      <c r="F1216" s="45"/>
      <c r="G1216" s="45"/>
      <c r="H1216" s="44"/>
      <c r="I1216" s="46"/>
      <c r="J1216" s="44"/>
      <c r="K1216" s="44"/>
      <c r="L1216" s="47"/>
    </row>
    <row r="1217" spans="1:12" ht="15.75" thickTop="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 ht="46.5" customHeight="1" x14ac:dyDescent="0.2">
      <c r="A1218" s="10"/>
      <c r="B1218" s="279"/>
      <c r="C1218" s="279"/>
      <c r="D1218" s="279"/>
      <c r="E1218" s="279"/>
      <c r="F1218" s="279"/>
      <c r="G1218" s="279"/>
      <c r="H1218" s="279"/>
      <c r="I1218" s="279"/>
      <c r="J1218" s="279"/>
      <c r="K1218" s="279"/>
      <c r="L1218" s="279"/>
    </row>
    <row r="1219" spans="1:12" ht="18" customHeight="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 ht="18" customHeight="1" x14ac:dyDescent="0.2">
      <c r="A1220" s="280"/>
      <c r="B1220" s="280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</row>
    <row r="1221" spans="1:12" ht="17.25" customHeight="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ht="15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ht="1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 ht="15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 ht="1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 ht="15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ht="1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ht="15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ht="1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ht="15" x14ac:dyDescent="0.25">
      <c r="A1230" s="1"/>
      <c r="B1230" s="37"/>
      <c r="C1230" s="1"/>
      <c r="D1230" s="1"/>
      <c r="E1230" s="1"/>
      <c r="F1230" s="1"/>
      <c r="G1230" s="1"/>
      <c r="H1230" s="37"/>
      <c r="I1230" s="1"/>
      <c r="J1230" s="1"/>
      <c r="K1230" s="1"/>
      <c r="L1230" s="1"/>
    </row>
    <row r="1231" spans="1:12" ht="15" x14ac:dyDescent="0.25">
      <c r="A1231" s="1"/>
      <c r="B1231" s="48"/>
      <c r="C1231" s="7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 ht="15" x14ac:dyDescent="0.25">
      <c r="A1232" s="1"/>
      <c r="B1232" s="48"/>
      <c r="C1232" s="7"/>
      <c r="D1232" s="1"/>
      <c r="E1232" s="1"/>
      <c r="F1232" s="1"/>
      <c r="G1232" s="1"/>
      <c r="H1232" s="1"/>
      <c r="I1232" s="1"/>
      <c r="J1232" s="1"/>
      <c r="K1232" s="1"/>
      <c r="L1232" s="1"/>
    </row>
    <row r="1237" spans="1:12" ht="15.75" x14ac:dyDescent="0.25">
      <c r="A1237" s="3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</row>
    <row r="1238" spans="1:12" ht="15.75" x14ac:dyDescent="0.25">
      <c r="A1238" s="3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</row>
    <row r="1239" spans="1:12" ht="15.75" x14ac:dyDescent="0.25">
      <c r="A1239" s="3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</row>
    <row r="1240" spans="1:12" x14ac:dyDescent="0.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</row>
    <row r="1241" spans="1:12" x14ac:dyDescent="0.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</row>
    <row r="1242" spans="1:12" x14ac:dyDescent="0.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</row>
    <row r="1243" spans="1:12" ht="19.5" thickBot="1" x14ac:dyDescent="0.35">
      <c r="A1243" s="339"/>
      <c r="B1243" s="339"/>
      <c r="C1243" s="339"/>
      <c r="D1243" s="339"/>
      <c r="E1243" s="339"/>
      <c r="F1243" s="339"/>
      <c r="G1243" s="339"/>
      <c r="H1243" s="339"/>
      <c r="I1243" s="339"/>
      <c r="J1243" s="339"/>
      <c r="K1243" s="339"/>
      <c r="L1243" s="339"/>
    </row>
    <row r="1244" spans="1:12" ht="19.5" thickTop="1" x14ac:dyDescent="0.3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</row>
    <row r="1245" spans="1:12" ht="18.75" x14ac:dyDescent="0.3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</row>
    <row r="1246" spans="1:12" ht="15" x14ac:dyDescent="0.25">
      <c r="A1246" s="1"/>
      <c r="B1246" s="1"/>
      <c r="C1246" s="4"/>
      <c r="D1246" s="4"/>
      <c r="E1246" s="4"/>
      <c r="F1246" s="4"/>
      <c r="G1246" s="4"/>
      <c r="H1246" s="4"/>
      <c r="I1246" s="4"/>
      <c r="J1246" s="4"/>
      <c r="K1246" s="4"/>
      <c r="L1246" s="4"/>
    </row>
    <row r="1247" spans="1:12" ht="15" x14ac:dyDescent="0.25">
      <c r="A1247" s="1"/>
      <c r="B1247" s="1"/>
      <c r="C1247" s="4"/>
      <c r="D1247" s="4"/>
      <c r="E1247" s="4"/>
      <c r="F1247" s="4"/>
      <c r="G1247" s="4"/>
      <c r="H1247" s="4"/>
      <c r="I1247" s="4"/>
      <c r="J1247" s="4"/>
      <c r="K1247" s="4"/>
      <c r="L1247" s="4"/>
    </row>
    <row r="1248" spans="1:12" ht="15" x14ac:dyDescent="0.25">
      <c r="A1248" s="1"/>
      <c r="B1248" s="1"/>
      <c r="C1248" s="4"/>
      <c r="D1248" s="4"/>
      <c r="E1248" s="4"/>
      <c r="F1248" s="4"/>
      <c r="G1248" s="4"/>
      <c r="H1248" s="4"/>
      <c r="I1248" s="4"/>
      <c r="J1248" s="4"/>
      <c r="K1248" s="4"/>
      <c r="L1248" s="4"/>
    </row>
    <row r="1249" spans="1:12" ht="15" x14ac:dyDescent="0.25">
      <c r="A1249" s="1"/>
      <c r="B1249" s="4"/>
      <c r="C1249" s="9"/>
      <c r="D1249" s="37"/>
      <c r="E1249" s="64"/>
      <c r="F1249" s="4"/>
      <c r="G1249" s="4"/>
      <c r="H1249" s="4"/>
      <c r="I1249" s="4"/>
      <c r="J1249" s="4"/>
      <c r="K1249" s="4"/>
      <c r="L1249" s="4"/>
    </row>
    <row r="1250" spans="1:12" ht="15" x14ac:dyDescent="0.25">
      <c r="A1250" s="1"/>
      <c r="B1250" s="4"/>
      <c r="C1250" s="9"/>
      <c r="D1250" s="1"/>
      <c r="E1250" s="64"/>
      <c r="F1250" s="4"/>
      <c r="G1250" s="4"/>
      <c r="H1250" s="4"/>
      <c r="I1250" s="4"/>
      <c r="J1250" s="4"/>
      <c r="K1250" s="4"/>
      <c r="L1250" s="4"/>
    </row>
    <row r="1251" spans="1:12" ht="15" x14ac:dyDescent="0.25">
      <c r="A1251" s="1"/>
      <c r="B1251" s="4"/>
      <c r="C1251" s="9"/>
      <c r="D1251" s="1"/>
      <c r="E1251" s="64"/>
      <c r="F1251" s="4"/>
      <c r="G1251" s="4"/>
      <c r="H1251" s="4"/>
      <c r="I1251" s="4"/>
      <c r="J1251" s="4"/>
      <c r="K1251" s="4"/>
      <c r="L1251" s="4"/>
    </row>
    <row r="1252" spans="1:12" ht="15" x14ac:dyDescent="0.25">
      <c r="A1252" s="1"/>
      <c r="B1252" s="1"/>
      <c r="C1252" s="4"/>
      <c r="D1252" s="1"/>
      <c r="E1252" s="4"/>
      <c r="F1252" s="4"/>
      <c r="G1252" s="4"/>
      <c r="H1252" s="4"/>
      <c r="I1252" s="4"/>
      <c r="J1252" s="4"/>
      <c r="K1252" s="4"/>
      <c r="L1252" s="4"/>
    </row>
    <row r="1253" spans="1:12" ht="38.25" customHeight="1" x14ac:dyDescent="0.2">
      <c r="A1253" s="280"/>
      <c r="B1253" s="277"/>
      <c r="C1253" s="277"/>
      <c r="D1253" s="277"/>
      <c r="E1253" s="277"/>
      <c r="F1253" s="277"/>
      <c r="G1253" s="277"/>
      <c r="H1253" s="277"/>
      <c r="I1253" s="277"/>
      <c r="J1253" s="277"/>
      <c r="K1253" s="277"/>
      <c r="L1253" s="277"/>
    </row>
    <row r="1254" spans="1:12" ht="15" x14ac:dyDescent="0.25">
      <c r="A1254" s="1"/>
      <c r="B1254" s="1"/>
      <c r="C1254" s="4"/>
      <c r="D1254" s="4"/>
      <c r="E1254" s="4"/>
      <c r="F1254" s="4"/>
      <c r="G1254" s="4"/>
      <c r="H1254" s="4"/>
      <c r="I1254" s="4"/>
      <c r="J1254" s="4"/>
      <c r="K1254" s="4"/>
      <c r="L1254" s="4"/>
    </row>
    <row r="1255" spans="1:12" ht="39.75" customHeight="1" thickBot="1" x14ac:dyDescent="0.25">
      <c r="A1255" s="10"/>
      <c r="B1255" s="337"/>
      <c r="C1255" s="338"/>
      <c r="D1255" s="338"/>
      <c r="E1255" s="338"/>
      <c r="F1255" s="338"/>
      <c r="G1255" s="338"/>
      <c r="H1255" s="338"/>
      <c r="I1255" s="338"/>
      <c r="J1255" s="338"/>
      <c r="K1255" s="338"/>
      <c r="L1255" s="338"/>
    </row>
    <row r="1256" spans="1:12" ht="15.75" thickTop="1" x14ac:dyDescent="0.25">
      <c r="A1256" s="1"/>
      <c r="B1256" s="11"/>
      <c r="C1256" s="12"/>
      <c r="D1256" s="13"/>
      <c r="E1256" s="13"/>
      <c r="F1256" s="13"/>
      <c r="G1256" s="13"/>
      <c r="H1256" s="14"/>
      <c r="I1256" s="15"/>
      <c r="J1256" s="12"/>
      <c r="K1256" s="13"/>
      <c r="L1256" s="14"/>
    </row>
    <row r="1257" spans="1:12" ht="24.75" customHeight="1" x14ac:dyDescent="0.2">
      <c r="A1257" s="50"/>
      <c r="B1257" s="60"/>
      <c r="C1257" s="50"/>
      <c r="D1257" s="50"/>
      <c r="E1257" s="50"/>
      <c r="F1257" s="50"/>
      <c r="G1257" s="54"/>
      <c r="H1257" s="55"/>
      <c r="I1257" s="56"/>
      <c r="J1257" s="50"/>
      <c r="K1257" s="50"/>
      <c r="L1257" s="55"/>
    </row>
    <row r="1258" spans="1:12" x14ac:dyDescent="0.2">
      <c r="A1258" s="76"/>
      <c r="B1258" s="77"/>
      <c r="C1258" s="76"/>
      <c r="D1258" s="76"/>
      <c r="E1258" s="76"/>
      <c r="F1258" s="76"/>
      <c r="G1258" s="78"/>
      <c r="H1258" s="79"/>
      <c r="I1258" s="80"/>
      <c r="J1258" s="76"/>
      <c r="K1258" s="76"/>
      <c r="L1258" s="79"/>
    </row>
    <row r="1259" spans="1:12" x14ac:dyDescent="0.2">
      <c r="A1259" s="4"/>
      <c r="B1259" s="16"/>
      <c r="C1259" s="4"/>
      <c r="D1259" s="4"/>
      <c r="E1259" s="4"/>
      <c r="F1259" s="4"/>
      <c r="G1259" s="4"/>
      <c r="H1259" s="17"/>
      <c r="I1259" s="19"/>
      <c r="J1259" s="4"/>
      <c r="K1259" s="4"/>
      <c r="L1259" s="17"/>
    </row>
    <row r="1260" spans="1:12" x14ac:dyDescent="0.2">
      <c r="A1260" s="4"/>
      <c r="B1260" s="16"/>
      <c r="C1260" s="4"/>
      <c r="D1260" s="4"/>
      <c r="E1260" s="4"/>
      <c r="F1260" s="4"/>
      <c r="G1260" s="4"/>
      <c r="H1260" s="17"/>
      <c r="I1260" s="19"/>
      <c r="J1260" s="4"/>
      <c r="K1260" s="4"/>
      <c r="L1260" s="17"/>
    </row>
    <row r="1261" spans="1:12" x14ac:dyDescent="0.2">
      <c r="A1261" s="4"/>
      <c r="B1261" s="16"/>
      <c r="C1261" s="4"/>
      <c r="D1261" s="4"/>
      <c r="E1261" s="4"/>
      <c r="F1261" s="4"/>
      <c r="G1261" s="4"/>
      <c r="H1261" s="17"/>
      <c r="I1261" s="19"/>
      <c r="J1261" s="4"/>
      <c r="K1261" s="4"/>
      <c r="L1261" s="17"/>
    </row>
    <row r="1262" spans="1:12" x14ac:dyDescent="0.2">
      <c r="A1262" s="4"/>
      <c r="B1262" s="20"/>
      <c r="C1262" s="21"/>
      <c r="D1262" s="21"/>
      <c r="E1262" s="21"/>
      <c r="F1262" s="21"/>
      <c r="G1262" s="21"/>
      <c r="H1262" s="22"/>
      <c r="I1262" s="23"/>
      <c r="J1262" s="21"/>
      <c r="K1262" s="21"/>
      <c r="L1262" s="22"/>
    </row>
    <row r="1263" spans="1:12" ht="15" x14ac:dyDescent="0.25">
      <c r="A1263" s="1"/>
      <c r="B1263" s="39"/>
      <c r="C1263" s="1"/>
      <c r="D1263" s="1"/>
      <c r="E1263" s="1"/>
      <c r="F1263" s="40"/>
      <c r="G1263" s="40"/>
      <c r="H1263" s="1"/>
      <c r="I1263" s="41"/>
      <c r="J1263" s="1"/>
      <c r="K1263" s="1"/>
      <c r="L1263" s="42"/>
    </row>
    <row r="1264" spans="1:12" ht="15.75" thickBot="1" x14ac:dyDescent="0.3">
      <c r="A1264" s="1"/>
      <c r="B1264" s="43"/>
      <c r="C1264" s="44"/>
      <c r="D1264" s="44"/>
      <c r="E1264" s="44"/>
      <c r="F1264" s="45"/>
      <c r="G1264" s="45"/>
      <c r="H1264" s="44"/>
      <c r="I1264" s="46"/>
      <c r="J1264" s="44"/>
      <c r="K1264" s="44"/>
      <c r="L1264" s="47"/>
    </row>
    <row r="1265" spans="1:12" ht="8.25" customHeight="1" thickTop="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 ht="51" customHeight="1" x14ac:dyDescent="0.2">
      <c r="A1266" s="10"/>
      <c r="B1266" s="279"/>
      <c r="C1266" s="279"/>
      <c r="D1266" s="279"/>
      <c r="E1266" s="279"/>
      <c r="F1266" s="279"/>
      <c r="G1266" s="279"/>
      <c r="H1266" s="279"/>
      <c r="I1266" s="279"/>
      <c r="J1266" s="279"/>
      <c r="K1266" s="279"/>
      <c r="L1266" s="279"/>
    </row>
    <row r="1267" spans="1:12" ht="15" customHeight="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 ht="24.75" customHeight="1" x14ac:dyDescent="0.2">
      <c r="A1268" s="280"/>
      <c r="B1268" s="280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</row>
    <row r="1269" spans="1:12" ht="12" customHeight="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 ht="1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 ht="1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 ht="15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 ht="1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 ht="15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 ht="1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ht="8.25" customHeight="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 ht="9.75" customHeight="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ht="15" x14ac:dyDescent="0.25">
      <c r="A1278" s="1"/>
      <c r="B1278" s="37"/>
      <c r="C1278" s="1"/>
      <c r="D1278" s="1"/>
      <c r="E1278" s="1"/>
      <c r="F1278" s="1"/>
      <c r="G1278" s="1"/>
      <c r="H1278" s="37"/>
      <c r="I1278" s="1"/>
      <c r="J1278" s="1"/>
      <c r="K1278" s="1"/>
      <c r="L1278" s="1"/>
    </row>
    <row r="1279" spans="1:12" ht="15" x14ac:dyDescent="0.25">
      <c r="A1279" s="1"/>
      <c r="B1279" s="48"/>
      <c r="C1279" s="7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ht="15" x14ac:dyDescent="0.25">
      <c r="A1280" s="1"/>
      <c r="B1280" s="48"/>
      <c r="C1280" s="7"/>
      <c r="D1280" s="1"/>
      <c r="E1280" s="1"/>
      <c r="F1280" s="1"/>
      <c r="G1280" s="1"/>
      <c r="H1280" s="1"/>
      <c r="I1280" s="1"/>
      <c r="J1280" s="1"/>
      <c r="K1280" s="1"/>
      <c r="L1280" s="1"/>
    </row>
    <row r="1284" spans="1:12" ht="15.75" x14ac:dyDescent="0.25">
      <c r="A1284" s="3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</row>
    <row r="1285" spans="1:12" ht="15.75" x14ac:dyDescent="0.25">
      <c r="A1285" s="3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</row>
    <row r="1286" spans="1:12" ht="15.75" x14ac:dyDescent="0.25">
      <c r="A1286" s="3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</row>
    <row r="1287" spans="1:12" x14ac:dyDescent="0.2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</row>
    <row r="1288" spans="1:12" x14ac:dyDescent="0.2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</row>
    <row r="1289" spans="1:12" x14ac:dyDescent="0.2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</row>
    <row r="1290" spans="1:12" ht="19.5" thickBot="1" x14ac:dyDescent="0.35">
      <c r="A1290" s="339"/>
      <c r="B1290" s="339"/>
      <c r="C1290" s="339"/>
      <c r="D1290" s="339"/>
      <c r="E1290" s="339"/>
      <c r="F1290" s="339"/>
      <c r="G1290" s="339"/>
      <c r="H1290" s="339"/>
      <c r="I1290" s="339"/>
      <c r="J1290" s="339"/>
      <c r="K1290" s="339"/>
      <c r="L1290" s="339"/>
    </row>
    <row r="1291" spans="1:12" ht="19.5" thickTop="1" x14ac:dyDescent="0.3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</row>
    <row r="1292" spans="1:12" ht="18.75" x14ac:dyDescent="0.3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</row>
    <row r="1293" spans="1:12" ht="15" x14ac:dyDescent="0.25">
      <c r="A1293" s="1"/>
      <c r="B1293" s="1"/>
      <c r="C1293" s="4"/>
      <c r="D1293" s="4"/>
      <c r="E1293" s="4"/>
      <c r="F1293" s="4"/>
      <c r="G1293" s="4"/>
      <c r="H1293" s="4"/>
      <c r="I1293" s="4"/>
      <c r="J1293" s="4"/>
      <c r="K1293" s="4"/>
      <c r="L1293" s="4"/>
    </row>
    <row r="1294" spans="1:12" ht="15" x14ac:dyDescent="0.25">
      <c r="A1294" s="1"/>
      <c r="B1294" s="1"/>
      <c r="C1294" s="4"/>
      <c r="D1294" s="4"/>
      <c r="E1294" s="4"/>
      <c r="F1294" s="4"/>
      <c r="G1294" s="4"/>
      <c r="H1294" s="4"/>
      <c r="I1294" s="4"/>
      <c r="J1294" s="4"/>
      <c r="K1294" s="4"/>
      <c r="L1294" s="4"/>
    </row>
    <row r="1295" spans="1:12" ht="15" x14ac:dyDescent="0.25">
      <c r="A1295" s="1"/>
      <c r="B1295" s="1"/>
      <c r="C1295" s="4"/>
      <c r="D1295" s="4"/>
      <c r="E1295" s="4"/>
      <c r="F1295" s="4"/>
      <c r="G1295" s="4"/>
      <c r="H1295" s="4"/>
      <c r="I1295" s="4"/>
      <c r="J1295" s="4"/>
      <c r="K1295" s="4"/>
      <c r="L1295" s="4"/>
    </row>
    <row r="1296" spans="1:12" ht="15" x14ac:dyDescent="0.25">
      <c r="A1296" s="1"/>
      <c r="B1296" s="4"/>
      <c r="C1296" s="9"/>
      <c r="D1296" s="37"/>
      <c r="E1296" s="64"/>
      <c r="F1296" s="4"/>
      <c r="G1296" s="4"/>
      <c r="H1296" s="4"/>
      <c r="I1296" s="4"/>
      <c r="J1296" s="4"/>
      <c r="K1296" s="4"/>
      <c r="L1296" s="4"/>
    </row>
    <row r="1297" spans="1:12" ht="15" x14ac:dyDescent="0.25">
      <c r="A1297" s="1"/>
      <c r="B1297" s="4"/>
      <c r="C1297" s="9"/>
      <c r="D1297" s="1"/>
      <c r="E1297" s="64"/>
      <c r="F1297" s="4"/>
      <c r="G1297" s="4"/>
      <c r="H1297" s="4"/>
      <c r="I1297" s="4"/>
      <c r="J1297" s="4"/>
      <c r="K1297" s="4"/>
      <c r="L1297" s="4"/>
    </row>
    <row r="1298" spans="1:12" ht="15" x14ac:dyDescent="0.25">
      <c r="A1298" s="1"/>
      <c r="B1298" s="4"/>
      <c r="C1298" s="9"/>
      <c r="D1298" s="1"/>
      <c r="E1298" s="64"/>
      <c r="F1298" s="4"/>
      <c r="G1298" s="4"/>
      <c r="H1298" s="4"/>
      <c r="I1298" s="4"/>
      <c r="J1298" s="4"/>
      <c r="K1298" s="4"/>
      <c r="L1298" s="4"/>
    </row>
    <row r="1299" spans="1:12" ht="15" x14ac:dyDescent="0.25">
      <c r="A1299" s="1"/>
      <c r="B1299" s="1"/>
      <c r="C1299" s="4"/>
      <c r="D1299" s="1"/>
      <c r="E1299" s="4"/>
      <c r="F1299" s="4"/>
      <c r="G1299" s="4"/>
      <c r="H1299" s="4"/>
      <c r="I1299" s="4"/>
      <c r="J1299" s="4"/>
      <c r="K1299" s="4"/>
      <c r="L1299" s="4"/>
    </row>
    <row r="1300" spans="1:12" ht="36.75" customHeight="1" x14ac:dyDescent="0.2">
      <c r="A1300" s="280"/>
      <c r="B1300" s="277"/>
      <c r="C1300" s="277"/>
      <c r="D1300" s="277"/>
      <c r="E1300" s="277"/>
      <c r="F1300" s="277"/>
      <c r="G1300" s="277"/>
      <c r="H1300" s="277"/>
      <c r="I1300" s="277"/>
      <c r="J1300" s="277"/>
      <c r="K1300" s="277"/>
      <c r="L1300" s="277"/>
    </row>
    <row r="1301" spans="1:12" ht="15" x14ac:dyDescent="0.25">
      <c r="A1301" s="1"/>
      <c r="B1301" s="1"/>
      <c r="C1301" s="4"/>
      <c r="D1301" s="4"/>
      <c r="E1301" s="4"/>
      <c r="F1301" s="4"/>
      <c r="G1301" s="4"/>
      <c r="H1301" s="4"/>
      <c r="I1301" s="4"/>
      <c r="J1301" s="4"/>
      <c r="K1301" s="4"/>
      <c r="L1301" s="4"/>
    </row>
    <row r="1302" spans="1:12" ht="39.75" customHeight="1" thickBot="1" x14ac:dyDescent="0.25">
      <c r="A1302" s="10"/>
      <c r="B1302" s="337"/>
      <c r="C1302" s="338"/>
      <c r="D1302" s="338"/>
      <c r="E1302" s="338"/>
      <c r="F1302" s="338"/>
      <c r="G1302" s="338"/>
      <c r="H1302" s="338"/>
      <c r="I1302" s="338"/>
      <c r="J1302" s="338"/>
      <c r="K1302" s="338"/>
      <c r="L1302" s="338"/>
    </row>
    <row r="1303" spans="1:12" ht="15.75" thickTop="1" x14ac:dyDescent="0.25">
      <c r="A1303" s="1"/>
      <c r="B1303" s="11"/>
      <c r="C1303" s="12"/>
      <c r="D1303" s="13"/>
      <c r="E1303" s="13"/>
      <c r="F1303" s="13"/>
      <c r="G1303" s="13"/>
      <c r="H1303" s="14"/>
      <c r="I1303" s="15"/>
      <c r="J1303" s="12"/>
      <c r="K1303" s="13"/>
      <c r="L1303" s="14"/>
    </row>
    <row r="1304" spans="1:12" ht="23.25" customHeight="1" x14ac:dyDescent="0.2">
      <c r="A1304" s="50"/>
      <c r="B1304" s="60"/>
      <c r="C1304" s="50"/>
      <c r="D1304" s="50"/>
      <c r="E1304" s="50"/>
      <c r="F1304" s="50"/>
      <c r="G1304" s="54"/>
      <c r="H1304" s="55"/>
      <c r="I1304" s="56"/>
      <c r="J1304" s="50"/>
      <c r="K1304" s="50"/>
      <c r="L1304" s="55"/>
    </row>
    <row r="1305" spans="1:12" ht="21.75" customHeight="1" x14ac:dyDescent="0.2">
      <c r="A1305" s="76"/>
      <c r="B1305" s="77"/>
      <c r="C1305" s="76"/>
      <c r="D1305" s="76"/>
      <c r="E1305" s="76"/>
      <c r="F1305" s="76"/>
      <c r="G1305" s="78"/>
      <c r="H1305" s="79"/>
      <c r="I1305" s="80"/>
      <c r="J1305" s="76"/>
      <c r="K1305" s="76"/>
      <c r="L1305" s="79"/>
    </row>
    <row r="1306" spans="1:12" x14ac:dyDescent="0.2">
      <c r="A1306" s="4"/>
      <c r="B1306" s="16"/>
      <c r="C1306" s="4"/>
      <c r="D1306" s="4"/>
      <c r="E1306" s="4"/>
      <c r="F1306" s="4"/>
      <c r="G1306" s="4"/>
      <c r="H1306" s="17"/>
      <c r="I1306" s="19"/>
      <c r="J1306" s="4"/>
      <c r="K1306" s="4"/>
      <c r="L1306" s="17"/>
    </row>
    <row r="1307" spans="1:12" x14ac:dyDescent="0.2">
      <c r="A1307" s="4"/>
      <c r="B1307" s="16"/>
      <c r="C1307" s="4"/>
      <c r="D1307" s="4"/>
      <c r="E1307" s="4"/>
      <c r="F1307" s="4"/>
      <c r="G1307" s="4"/>
      <c r="H1307" s="17"/>
      <c r="I1307" s="19"/>
      <c r="J1307" s="4"/>
      <c r="K1307" s="4"/>
      <c r="L1307" s="17"/>
    </row>
    <row r="1308" spans="1:12" x14ac:dyDescent="0.2">
      <c r="A1308" s="4"/>
      <c r="B1308" s="16"/>
      <c r="C1308" s="4"/>
      <c r="D1308" s="4"/>
      <c r="E1308" s="4"/>
      <c r="F1308" s="4"/>
      <c r="G1308" s="4"/>
      <c r="H1308" s="17"/>
      <c r="I1308" s="19"/>
      <c r="J1308" s="4"/>
      <c r="K1308" s="4"/>
      <c r="L1308" s="17"/>
    </row>
    <row r="1309" spans="1:12" x14ac:dyDescent="0.2">
      <c r="A1309" s="4"/>
      <c r="B1309" s="20"/>
      <c r="C1309" s="21"/>
      <c r="D1309" s="21"/>
      <c r="E1309" s="21"/>
      <c r="F1309" s="21"/>
      <c r="G1309" s="21"/>
      <c r="H1309" s="22"/>
      <c r="I1309" s="23"/>
      <c r="J1309" s="21"/>
      <c r="K1309" s="21"/>
      <c r="L1309" s="22"/>
    </row>
    <row r="1310" spans="1:12" ht="15" x14ac:dyDescent="0.25">
      <c r="A1310" s="1"/>
      <c r="B1310" s="39"/>
      <c r="C1310" s="1"/>
      <c r="D1310" s="1"/>
      <c r="E1310" s="1"/>
      <c r="F1310" s="40"/>
      <c r="G1310" s="40"/>
      <c r="H1310" s="1"/>
      <c r="I1310" s="41"/>
      <c r="J1310" s="1"/>
      <c r="K1310" s="1"/>
      <c r="L1310" s="42"/>
    </row>
    <row r="1311" spans="1:12" ht="15.75" thickBot="1" x14ac:dyDescent="0.3">
      <c r="A1311" s="1"/>
      <c r="B1311" s="43"/>
      <c r="C1311" s="44"/>
      <c r="D1311" s="44"/>
      <c r="E1311" s="44"/>
      <c r="F1311" s="45"/>
      <c r="G1311" s="45"/>
      <c r="H1311" s="44"/>
      <c r="I1311" s="46"/>
      <c r="J1311" s="44"/>
      <c r="K1311" s="44"/>
      <c r="L1311" s="47"/>
    </row>
    <row r="1312" spans="1:12" ht="15.75" thickTop="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ht="47.25" customHeight="1" x14ac:dyDescent="0.2">
      <c r="A1313" s="10"/>
      <c r="B1313" s="279"/>
      <c r="C1313" s="279"/>
      <c r="D1313" s="279"/>
      <c r="E1313" s="279"/>
      <c r="F1313" s="279"/>
      <c r="G1313" s="279"/>
      <c r="H1313" s="279"/>
      <c r="I1313" s="279"/>
      <c r="J1313" s="279"/>
      <c r="K1313" s="279"/>
      <c r="L1313" s="279"/>
    </row>
    <row r="1314" spans="1:12" ht="12.75" customHeight="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ht="24.75" customHeight="1" x14ac:dyDescent="0.2">
      <c r="A1315" s="280"/>
      <c r="B1315" s="280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</row>
    <row r="1316" spans="1:12" ht="24" customHeight="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ht="15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ht="15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ht="15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ht="15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ht="15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ht="12" customHeight="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ht="1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ht="10.5" customHeight="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ht="15" x14ac:dyDescent="0.25">
      <c r="A1325" s="1"/>
      <c r="B1325" s="37"/>
      <c r="C1325" s="1"/>
      <c r="D1325" s="1"/>
      <c r="E1325" s="1"/>
      <c r="F1325" s="1"/>
      <c r="G1325" s="1"/>
      <c r="H1325" s="37"/>
      <c r="I1325" s="1"/>
      <c r="J1325" s="1"/>
      <c r="K1325" s="1"/>
      <c r="L1325" s="1"/>
    </row>
    <row r="1326" spans="1:12" ht="15" x14ac:dyDescent="0.25">
      <c r="A1326" s="1"/>
      <c r="B1326" s="48"/>
      <c r="C1326" s="7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ht="15" x14ac:dyDescent="0.25">
      <c r="A1327" s="1"/>
      <c r="B1327" s="48"/>
      <c r="C1327" s="7"/>
      <c r="D1327" s="1"/>
      <c r="E1327" s="1"/>
      <c r="F1327" s="1"/>
      <c r="G1327" s="1"/>
      <c r="H1327" s="1"/>
      <c r="I1327" s="1"/>
      <c r="J1327" s="1"/>
      <c r="K1327" s="1"/>
      <c r="L1327" s="1"/>
    </row>
    <row r="1333" spans="1:12" ht="15.75" x14ac:dyDescent="0.25">
      <c r="A1333" s="3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</row>
    <row r="1334" spans="1:12" ht="15.75" x14ac:dyDescent="0.25">
      <c r="A1334" s="3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</row>
    <row r="1335" spans="1:12" ht="15.75" x14ac:dyDescent="0.25">
      <c r="A1335" s="3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</row>
    <row r="1336" spans="1:12" x14ac:dyDescent="0.2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</row>
    <row r="1337" spans="1:12" x14ac:dyDescent="0.2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</row>
    <row r="1338" spans="1:12" x14ac:dyDescent="0.2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</row>
    <row r="1339" spans="1:12" ht="19.5" thickBot="1" x14ac:dyDescent="0.35">
      <c r="A1339" s="339"/>
      <c r="B1339" s="339"/>
      <c r="C1339" s="339"/>
      <c r="D1339" s="339"/>
      <c r="E1339" s="339"/>
      <c r="F1339" s="339"/>
      <c r="G1339" s="339"/>
      <c r="H1339" s="339"/>
      <c r="I1339" s="339"/>
      <c r="J1339" s="339"/>
      <c r="K1339" s="339"/>
      <c r="L1339" s="339"/>
    </row>
    <row r="1340" spans="1:12" ht="19.5" thickTop="1" x14ac:dyDescent="0.3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</row>
    <row r="1341" spans="1:12" ht="12.75" customHeight="1" x14ac:dyDescent="0.3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</row>
    <row r="1342" spans="1:12" ht="15" x14ac:dyDescent="0.25">
      <c r="A1342" s="1"/>
      <c r="B1342" s="1"/>
      <c r="C1342" s="4"/>
      <c r="D1342" s="4"/>
      <c r="E1342" s="4"/>
      <c r="F1342" s="4"/>
      <c r="G1342" s="4"/>
      <c r="H1342" s="4"/>
      <c r="I1342" s="4"/>
      <c r="J1342" s="4"/>
      <c r="K1342" s="4"/>
      <c r="L1342" s="4"/>
    </row>
    <row r="1343" spans="1:12" ht="15" x14ac:dyDescent="0.25">
      <c r="A1343" s="1"/>
      <c r="B1343" s="1"/>
      <c r="C1343" s="4"/>
      <c r="D1343" s="4"/>
      <c r="E1343" s="4"/>
      <c r="F1343" s="4"/>
      <c r="G1343" s="4"/>
      <c r="H1343" s="4"/>
      <c r="I1343" s="4"/>
      <c r="J1343" s="4"/>
      <c r="K1343" s="4"/>
      <c r="L1343" s="4"/>
    </row>
    <row r="1344" spans="1:12" ht="15" x14ac:dyDescent="0.25">
      <c r="A1344" s="1"/>
      <c r="B1344" s="1"/>
      <c r="C1344" s="4"/>
      <c r="D1344" s="4"/>
      <c r="E1344" s="4"/>
      <c r="F1344" s="4"/>
      <c r="G1344" s="4"/>
      <c r="H1344" s="4"/>
      <c r="I1344" s="4"/>
      <c r="J1344" s="4"/>
      <c r="K1344" s="4"/>
      <c r="L1344" s="4"/>
    </row>
    <row r="1345" spans="1:12" ht="15" x14ac:dyDescent="0.25">
      <c r="A1345" s="1"/>
      <c r="B1345" s="4"/>
      <c r="C1345" s="9"/>
      <c r="D1345" s="37"/>
      <c r="E1345" s="64"/>
      <c r="F1345" s="4"/>
      <c r="G1345" s="4"/>
      <c r="H1345" s="4"/>
      <c r="I1345" s="4"/>
      <c r="J1345" s="4"/>
      <c r="K1345" s="4"/>
      <c r="L1345" s="4"/>
    </row>
    <row r="1346" spans="1:12" ht="15" x14ac:dyDescent="0.25">
      <c r="A1346" s="1"/>
      <c r="B1346" s="4"/>
      <c r="C1346" s="9"/>
      <c r="D1346" s="1"/>
      <c r="E1346" s="64"/>
      <c r="F1346" s="4"/>
      <c r="G1346" s="4"/>
      <c r="H1346" s="4"/>
      <c r="I1346" s="4"/>
      <c r="J1346" s="4"/>
      <c r="K1346" s="4"/>
      <c r="L1346" s="4"/>
    </row>
    <row r="1347" spans="1:12" ht="15" x14ac:dyDescent="0.25">
      <c r="A1347" s="1"/>
      <c r="B1347" s="4"/>
      <c r="C1347" s="9"/>
      <c r="D1347" s="1"/>
      <c r="E1347" s="64"/>
      <c r="F1347" s="4"/>
      <c r="G1347" s="4"/>
      <c r="H1347" s="4"/>
      <c r="I1347" s="4"/>
      <c r="J1347" s="4"/>
      <c r="K1347" s="4"/>
      <c r="L1347" s="4"/>
    </row>
    <row r="1348" spans="1:12" ht="15" x14ac:dyDescent="0.25">
      <c r="A1348" s="1"/>
      <c r="B1348" s="1"/>
      <c r="C1348" s="4"/>
      <c r="D1348" s="1"/>
      <c r="E1348" s="4"/>
      <c r="F1348" s="4"/>
      <c r="G1348" s="4"/>
      <c r="H1348" s="4"/>
      <c r="I1348" s="4"/>
      <c r="J1348" s="4"/>
      <c r="K1348" s="4"/>
      <c r="L1348" s="4"/>
    </row>
    <row r="1349" spans="1:12" ht="33.75" customHeight="1" x14ac:dyDescent="0.2">
      <c r="A1349" s="280"/>
      <c r="B1349" s="277"/>
      <c r="C1349" s="277"/>
      <c r="D1349" s="277"/>
      <c r="E1349" s="277"/>
      <c r="F1349" s="277"/>
      <c r="G1349" s="277"/>
      <c r="H1349" s="277"/>
      <c r="I1349" s="277"/>
      <c r="J1349" s="277"/>
      <c r="K1349" s="277"/>
      <c r="L1349" s="277"/>
    </row>
    <row r="1350" spans="1:12" ht="15" x14ac:dyDescent="0.25">
      <c r="A1350" s="1"/>
      <c r="B1350" s="1"/>
      <c r="C1350" s="4"/>
      <c r="D1350" s="4"/>
      <c r="E1350" s="4"/>
      <c r="F1350" s="4"/>
      <c r="G1350" s="4"/>
      <c r="H1350" s="4"/>
      <c r="I1350" s="4"/>
      <c r="J1350" s="4"/>
      <c r="K1350" s="4"/>
      <c r="L1350" s="4"/>
    </row>
    <row r="1351" spans="1:12" ht="40.5" customHeight="1" thickBot="1" x14ac:dyDescent="0.25">
      <c r="A1351" s="10"/>
      <c r="B1351" s="337"/>
      <c r="C1351" s="338"/>
      <c r="D1351" s="338"/>
      <c r="E1351" s="338"/>
      <c r="F1351" s="338"/>
      <c r="G1351" s="338"/>
      <c r="H1351" s="338"/>
      <c r="I1351" s="338"/>
      <c r="J1351" s="338"/>
      <c r="K1351" s="338"/>
      <c r="L1351" s="338"/>
    </row>
    <row r="1352" spans="1:12" ht="21" customHeight="1" thickTop="1" x14ac:dyDescent="0.25">
      <c r="A1352" s="1"/>
      <c r="B1352" s="11"/>
      <c r="C1352" s="12"/>
      <c r="D1352" s="13"/>
      <c r="E1352" s="13"/>
      <c r="F1352" s="13"/>
      <c r="G1352" s="13"/>
      <c r="H1352" s="14"/>
      <c r="I1352" s="15"/>
      <c r="J1352" s="12"/>
      <c r="K1352" s="13"/>
      <c r="L1352" s="14"/>
    </row>
    <row r="1353" spans="1:12" ht="30.75" customHeight="1" x14ac:dyDescent="0.2">
      <c r="A1353" s="50"/>
      <c r="B1353" s="60"/>
      <c r="C1353" s="50"/>
      <c r="D1353" s="50"/>
      <c r="E1353" s="50"/>
      <c r="F1353" s="50"/>
      <c r="G1353" s="54"/>
      <c r="H1353" s="55"/>
      <c r="I1353" s="56"/>
      <c r="J1353" s="50"/>
      <c r="K1353" s="50"/>
      <c r="L1353" s="55"/>
    </row>
    <row r="1354" spans="1:12" ht="21.75" customHeight="1" x14ac:dyDescent="0.2">
      <c r="A1354" s="76"/>
      <c r="B1354" s="77"/>
      <c r="C1354" s="76"/>
      <c r="D1354" s="76"/>
      <c r="E1354" s="76"/>
      <c r="F1354" s="76"/>
      <c r="G1354" s="78"/>
      <c r="H1354" s="79"/>
      <c r="I1354" s="80"/>
      <c r="J1354" s="76"/>
      <c r="K1354" s="76"/>
      <c r="L1354" s="79"/>
    </row>
    <row r="1355" spans="1:12" x14ac:dyDescent="0.2">
      <c r="A1355" s="4"/>
      <c r="B1355" s="16"/>
      <c r="C1355" s="4"/>
      <c r="D1355" s="4"/>
      <c r="E1355" s="4"/>
      <c r="F1355" s="4"/>
      <c r="G1355" s="4"/>
      <c r="H1355" s="17"/>
      <c r="I1355" s="19"/>
      <c r="J1355" s="4"/>
      <c r="K1355" s="4"/>
      <c r="L1355" s="17"/>
    </row>
    <row r="1356" spans="1:12" x14ac:dyDescent="0.2">
      <c r="A1356" s="4"/>
      <c r="B1356" s="16"/>
      <c r="C1356" s="4"/>
      <c r="D1356" s="4"/>
      <c r="E1356" s="4"/>
      <c r="F1356" s="4"/>
      <c r="G1356" s="4"/>
      <c r="H1356" s="17"/>
      <c r="I1356" s="19"/>
      <c r="J1356" s="4"/>
      <c r="K1356" s="4"/>
      <c r="L1356" s="17"/>
    </row>
    <row r="1357" spans="1:12" x14ac:dyDescent="0.2">
      <c r="A1357" s="4"/>
      <c r="B1357" s="16"/>
      <c r="C1357" s="4"/>
      <c r="D1357" s="4"/>
      <c r="E1357" s="4"/>
      <c r="F1357" s="4"/>
      <c r="G1357" s="4"/>
      <c r="H1357" s="17"/>
      <c r="I1357" s="19"/>
      <c r="J1357" s="4"/>
      <c r="K1357" s="4"/>
      <c r="L1357" s="17"/>
    </row>
    <row r="1358" spans="1:12" x14ac:dyDescent="0.2">
      <c r="A1358" s="4"/>
      <c r="B1358" s="20"/>
      <c r="C1358" s="21"/>
      <c r="D1358" s="21"/>
      <c r="E1358" s="21"/>
      <c r="F1358" s="21"/>
      <c r="G1358" s="21"/>
      <c r="H1358" s="22"/>
      <c r="I1358" s="23"/>
      <c r="J1358" s="21"/>
      <c r="K1358" s="21"/>
      <c r="L1358" s="22"/>
    </row>
    <row r="1359" spans="1:12" ht="15" x14ac:dyDescent="0.25">
      <c r="A1359" s="1"/>
      <c r="B1359" s="39"/>
      <c r="C1359" s="1"/>
      <c r="D1359" s="1"/>
      <c r="E1359" s="1"/>
      <c r="F1359" s="40"/>
      <c r="G1359" s="40"/>
      <c r="H1359" s="1"/>
      <c r="I1359" s="41"/>
      <c r="J1359" s="1"/>
      <c r="K1359" s="1"/>
      <c r="L1359" s="42"/>
    </row>
    <row r="1360" spans="1:12" ht="15.75" thickBot="1" x14ac:dyDescent="0.3">
      <c r="A1360" s="1"/>
      <c r="B1360" s="43"/>
      <c r="C1360" s="44"/>
      <c r="D1360" s="44"/>
      <c r="E1360" s="44"/>
      <c r="F1360" s="45"/>
      <c r="G1360" s="45"/>
      <c r="H1360" s="44"/>
      <c r="I1360" s="46"/>
      <c r="J1360" s="44"/>
      <c r="K1360" s="44"/>
      <c r="L1360" s="47"/>
    </row>
    <row r="1361" spans="1:12" ht="15.75" thickTop="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ht="51" customHeight="1" x14ac:dyDescent="0.2">
      <c r="A1362" s="10"/>
      <c r="B1362" s="279"/>
      <c r="C1362" s="279"/>
      <c r="D1362" s="279"/>
      <c r="E1362" s="279"/>
      <c r="F1362" s="279"/>
      <c r="G1362" s="279"/>
      <c r="H1362" s="279"/>
      <c r="I1362" s="279"/>
      <c r="J1362" s="279"/>
      <c r="K1362" s="279"/>
      <c r="L1362" s="279"/>
    </row>
    <row r="1363" spans="1:12" ht="12.75" customHeight="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ht="24.75" customHeight="1" x14ac:dyDescent="0.2">
      <c r="A1364" s="280"/>
      <c r="B1364" s="280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</row>
    <row r="1365" spans="1:12" ht="13.5" customHeight="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ht="10.5" customHeight="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ht="15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 ht="15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ht="15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ht="15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ht="15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ht="15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ht="15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ht="15" x14ac:dyDescent="0.25">
      <c r="A1374" s="1"/>
      <c r="B1374" s="37"/>
      <c r="C1374" s="1"/>
      <c r="D1374" s="1"/>
      <c r="E1374" s="1"/>
      <c r="F1374" s="1"/>
      <c r="G1374" s="1"/>
      <c r="H1374" s="37"/>
      <c r="I1374" s="1"/>
      <c r="J1374" s="1"/>
      <c r="K1374" s="1"/>
      <c r="L1374" s="1"/>
    </row>
    <row r="1375" spans="1:12" ht="15" x14ac:dyDescent="0.25">
      <c r="A1375" s="1"/>
      <c r="B1375" s="48"/>
      <c r="C1375" s="7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 ht="15" x14ac:dyDescent="0.25">
      <c r="A1376" s="1"/>
      <c r="B1376" s="48"/>
      <c r="C1376" s="7"/>
      <c r="D1376" s="1"/>
      <c r="E1376" s="1"/>
      <c r="F1376" s="1"/>
      <c r="G1376" s="1"/>
      <c r="H1376" s="1"/>
      <c r="I1376" s="1"/>
      <c r="J1376" s="1"/>
      <c r="K1376" s="1"/>
      <c r="L1376" s="1"/>
    </row>
    <row r="1380" spans="1:12" ht="15.75" x14ac:dyDescent="0.25">
      <c r="A1380" s="3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</row>
    <row r="1381" spans="1:12" ht="15.75" x14ac:dyDescent="0.25">
      <c r="A1381" s="3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</row>
    <row r="1382" spans="1:12" ht="15.75" x14ac:dyDescent="0.25">
      <c r="A1382" s="3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</row>
    <row r="1383" spans="1:12" x14ac:dyDescent="0.2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</row>
    <row r="1384" spans="1:12" x14ac:dyDescent="0.2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</row>
    <row r="1385" spans="1:12" x14ac:dyDescent="0.2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</row>
    <row r="1386" spans="1:12" ht="19.5" thickBot="1" x14ac:dyDescent="0.35">
      <c r="A1386" s="339"/>
      <c r="B1386" s="339"/>
      <c r="C1386" s="339"/>
      <c r="D1386" s="339"/>
      <c r="E1386" s="339"/>
      <c r="F1386" s="339"/>
      <c r="G1386" s="339"/>
      <c r="H1386" s="339"/>
      <c r="I1386" s="339"/>
      <c r="J1386" s="339"/>
      <c r="K1386" s="339"/>
      <c r="L1386" s="339"/>
    </row>
    <row r="1387" spans="1:12" ht="19.5" thickTop="1" x14ac:dyDescent="0.3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</row>
    <row r="1388" spans="1:12" ht="18.75" x14ac:dyDescent="0.3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</row>
    <row r="1389" spans="1:12" ht="15" x14ac:dyDescent="0.25">
      <c r="A1389" s="1"/>
      <c r="B1389" s="1"/>
      <c r="C1389" s="4"/>
      <c r="D1389" s="4"/>
      <c r="E1389" s="4"/>
      <c r="F1389" s="4"/>
      <c r="G1389" s="4"/>
      <c r="H1389" s="4"/>
      <c r="I1389" s="4"/>
      <c r="J1389" s="4"/>
      <c r="K1389" s="4"/>
      <c r="L1389" s="4"/>
    </row>
    <row r="1390" spans="1:12" ht="15" x14ac:dyDescent="0.25">
      <c r="A1390" s="1"/>
      <c r="B1390" s="1"/>
      <c r="C1390" s="4"/>
      <c r="D1390" s="4"/>
      <c r="E1390" s="4"/>
      <c r="F1390" s="4"/>
      <c r="G1390" s="4"/>
      <c r="H1390" s="4"/>
      <c r="I1390" s="4"/>
      <c r="J1390" s="4"/>
      <c r="K1390" s="4"/>
      <c r="L1390" s="4"/>
    </row>
    <row r="1391" spans="1:12" ht="15" x14ac:dyDescent="0.25">
      <c r="A1391" s="1"/>
      <c r="B1391" s="1"/>
      <c r="C1391" s="4"/>
      <c r="D1391" s="4"/>
      <c r="E1391" s="4"/>
      <c r="F1391" s="4"/>
      <c r="G1391" s="4"/>
      <c r="H1391" s="4"/>
      <c r="I1391" s="4"/>
      <c r="J1391" s="4"/>
      <c r="K1391" s="4"/>
      <c r="L1391" s="4"/>
    </row>
    <row r="1392" spans="1:12" ht="15" x14ac:dyDescent="0.25">
      <c r="A1392" s="1"/>
      <c r="B1392" s="4"/>
      <c r="C1392" s="9"/>
      <c r="D1392" s="37"/>
      <c r="E1392" s="64"/>
      <c r="F1392" s="4"/>
      <c r="G1392" s="4"/>
      <c r="H1392" s="4"/>
      <c r="I1392" s="4"/>
      <c r="J1392" s="4"/>
      <c r="K1392" s="4"/>
      <c r="L1392" s="4"/>
    </row>
    <row r="1393" spans="1:12" ht="15" x14ac:dyDescent="0.25">
      <c r="A1393" s="1"/>
      <c r="B1393" s="4"/>
      <c r="C1393" s="9"/>
      <c r="D1393" s="1"/>
      <c r="E1393" s="64"/>
      <c r="F1393" s="4"/>
      <c r="G1393" s="4"/>
      <c r="H1393" s="4"/>
      <c r="I1393" s="4"/>
      <c r="J1393" s="4"/>
      <c r="K1393" s="4"/>
      <c r="L1393" s="4"/>
    </row>
    <row r="1394" spans="1:12" ht="15" x14ac:dyDescent="0.25">
      <c r="A1394" s="1"/>
      <c r="B1394" s="4"/>
      <c r="C1394" s="9"/>
      <c r="D1394" s="1"/>
      <c r="E1394" s="64"/>
      <c r="F1394" s="4"/>
      <c r="G1394" s="4"/>
      <c r="H1394" s="4"/>
      <c r="I1394" s="4"/>
      <c r="J1394" s="4"/>
      <c r="K1394" s="4"/>
      <c r="L1394" s="4"/>
    </row>
    <row r="1395" spans="1:12" ht="15" x14ac:dyDescent="0.25">
      <c r="A1395" s="1"/>
      <c r="B1395" s="1"/>
      <c r="C1395" s="4"/>
      <c r="D1395" s="1"/>
      <c r="E1395" s="4"/>
      <c r="F1395" s="4"/>
      <c r="G1395" s="4"/>
      <c r="H1395" s="4"/>
      <c r="I1395" s="4"/>
      <c r="J1395" s="4"/>
      <c r="K1395" s="4"/>
      <c r="L1395" s="4"/>
    </row>
    <row r="1396" spans="1:12" ht="40.5" customHeight="1" x14ac:dyDescent="0.2">
      <c r="A1396" s="280"/>
      <c r="B1396" s="277"/>
      <c r="C1396" s="277"/>
      <c r="D1396" s="277"/>
      <c r="E1396" s="277"/>
      <c r="F1396" s="277"/>
      <c r="G1396" s="277"/>
      <c r="H1396" s="277"/>
      <c r="I1396" s="277"/>
      <c r="J1396" s="277"/>
      <c r="K1396" s="277"/>
      <c r="L1396" s="277"/>
    </row>
    <row r="1397" spans="1:12" ht="15" customHeight="1" x14ac:dyDescent="0.25">
      <c r="A1397" s="1"/>
      <c r="B1397" s="1"/>
      <c r="C1397" s="4"/>
      <c r="D1397" s="4"/>
      <c r="E1397" s="4"/>
      <c r="F1397" s="4"/>
      <c r="G1397" s="4"/>
      <c r="H1397" s="4"/>
      <c r="I1397" s="4"/>
      <c r="J1397" s="4"/>
      <c r="K1397" s="4"/>
      <c r="L1397" s="4"/>
    </row>
    <row r="1398" spans="1:12" ht="43.5" customHeight="1" thickBot="1" x14ac:dyDescent="0.25">
      <c r="A1398" s="10"/>
      <c r="B1398" s="337"/>
      <c r="C1398" s="338"/>
      <c r="D1398" s="338"/>
      <c r="E1398" s="338"/>
      <c r="F1398" s="338"/>
      <c r="G1398" s="338"/>
      <c r="H1398" s="338"/>
      <c r="I1398" s="338"/>
      <c r="J1398" s="338"/>
      <c r="K1398" s="338"/>
      <c r="L1398" s="338"/>
    </row>
    <row r="1399" spans="1:12" ht="15.75" thickTop="1" x14ac:dyDescent="0.25">
      <c r="A1399" s="1"/>
      <c r="B1399" s="11"/>
      <c r="C1399" s="12"/>
      <c r="D1399" s="13"/>
      <c r="E1399" s="13"/>
      <c r="F1399" s="13"/>
      <c r="G1399" s="13"/>
      <c r="H1399" s="14"/>
      <c r="I1399" s="15"/>
      <c r="J1399" s="12"/>
      <c r="K1399" s="13"/>
      <c r="L1399" s="14"/>
    </row>
    <row r="1400" spans="1:12" ht="22.5" customHeight="1" x14ac:dyDescent="0.2">
      <c r="A1400" s="50"/>
      <c r="B1400" s="60"/>
      <c r="C1400" s="50"/>
      <c r="D1400" s="50"/>
      <c r="E1400" s="50"/>
      <c r="F1400" s="50"/>
      <c r="G1400" s="54"/>
      <c r="H1400" s="55"/>
      <c r="I1400" s="56"/>
      <c r="J1400" s="50"/>
      <c r="K1400" s="50"/>
      <c r="L1400" s="55"/>
    </row>
    <row r="1401" spans="1:12" ht="12" customHeight="1" x14ac:dyDescent="0.2">
      <c r="A1401" s="76"/>
      <c r="B1401" s="77"/>
      <c r="C1401" s="76"/>
      <c r="D1401" s="76"/>
      <c r="E1401" s="76"/>
      <c r="F1401" s="76"/>
      <c r="G1401" s="78"/>
      <c r="H1401" s="79"/>
      <c r="I1401" s="80"/>
      <c r="J1401" s="76"/>
      <c r="K1401" s="76"/>
      <c r="L1401" s="79"/>
    </row>
    <row r="1402" spans="1:12" ht="12.75" customHeight="1" x14ac:dyDescent="0.2">
      <c r="A1402" s="4"/>
      <c r="B1402" s="16"/>
      <c r="C1402" s="4"/>
      <c r="D1402" s="4"/>
      <c r="E1402" s="4"/>
      <c r="F1402" s="4"/>
      <c r="G1402" s="4"/>
      <c r="H1402" s="17"/>
      <c r="I1402" s="19"/>
      <c r="J1402" s="4"/>
      <c r="K1402" s="4"/>
      <c r="L1402" s="17"/>
    </row>
    <row r="1403" spans="1:12" ht="6.75" customHeight="1" x14ac:dyDescent="0.2">
      <c r="A1403" s="4"/>
      <c r="B1403" s="16"/>
      <c r="C1403" s="4"/>
      <c r="D1403" s="4"/>
      <c r="E1403" s="4"/>
      <c r="F1403" s="4"/>
      <c r="G1403" s="4"/>
      <c r="H1403" s="17"/>
      <c r="I1403" s="19"/>
      <c r="J1403" s="4"/>
      <c r="K1403" s="4"/>
      <c r="L1403" s="17"/>
    </row>
    <row r="1404" spans="1:12" x14ac:dyDescent="0.2">
      <c r="A1404" s="4"/>
      <c r="B1404" s="16"/>
      <c r="C1404" s="4"/>
      <c r="D1404" s="4"/>
      <c r="E1404" s="4"/>
      <c r="F1404" s="4"/>
      <c r="G1404" s="4"/>
      <c r="H1404" s="17"/>
      <c r="I1404" s="19"/>
      <c r="J1404" s="4"/>
      <c r="K1404" s="4"/>
      <c r="L1404" s="17"/>
    </row>
    <row r="1405" spans="1:12" x14ac:dyDescent="0.2">
      <c r="A1405" s="4"/>
      <c r="B1405" s="20"/>
      <c r="C1405" s="21"/>
      <c r="D1405" s="21"/>
      <c r="E1405" s="21"/>
      <c r="F1405" s="21"/>
      <c r="G1405" s="21"/>
      <c r="H1405" s="22"/>
      <c r="I1405" s="23"/>
      <c r="J1405" s="21"/>
      <c r="K1405" s="21"/>
      <c r="L1405" s="22"/>
    </row>
    <row r="1406" spans="1:12" ht="15" x14ac:dyDescent="0.25">
      <c r="A1406" s="1"/>
      <c r="B1406" s="39"/>
      <c r="C1406" s="1"/>
      <c r="D1406" s="1"/>
      <c r="E1406" s="1"/>
      <c r="F1406" s="40"/>
      <c r="G1406" s="40"/>
      <c r="H1406" s="1"/>
      <c r="I1406" s="41"/>
      <c r="J1406" s="1"/>
      <c r="K1406" s="1"/>
      <c r="L1406" s="42"/>
    </row>
    <row r="1407" spans="1:12" ht="15.75" thickBot="1" x14ac:dyDescent="0.3">
      <c r="A1407" s="1"/>
      <c r="B1407" s="43"/>
      <c r="C1407" s="44"/>
      <c r="D1407" s="44"/>
      <c r="E1407" s="44"/>
      <c r="F1407" s="45"/>
      <c r="G1407" s="45"/>
      <c r="H1407" s="44"/>
      <c r="I1407" s="46"/>
      <c r="J1407" s="44"/>
      <c r="K1407" s="44"/>
      <c r="L1407" s="47"/>
    </row>
    <row r="1408" spans="1:12" ht="15.75" thickTop="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 ht="50.25" customHeight="1" x14ac:dyDescent="0.2">
      <c r="A1409" s="10"/>
      <c r="B1409" s="279"/>
      <c r="C1409" s="279"/>
      <c r="D1409" s="279"/>
      <c r="E1409" s="279"/>
      <c r="F1409" s="279"/>
      <c r="G1409" s="279"/>
      <c r="H1409" s="279"/>
      <c r="I1409" s="279"/>
      <c r="J1409" s="279"/>
      <c r="K1409" s="279"/>
      <c r="L1409" s="279"/>
    </row>
    <row r="1410" spans="1:12" ht="15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 ht="18.75" customHeight="1" x14ac:dyDescent="0.2">
      <c r="A1411" s="280"/>
      <c r="B1411" s="280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</row>
    <row r="1412" spans="1:12" ht="15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 ht="22.5" customHeight="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ht="15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 ht="15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ht="15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 ht="1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ht="15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 ht="15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 ht="10.5" customHeight="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 ht="12" customHeight="1" x14ac:dyDescent="0.25">
      <c r="A1421" s="1"/>
      <c r="B1421" s="37"/>
      <c r="C1421" s="1"/>
      <c r="D1421" s="1"/>
      <c r="E1421" s="1"/>
      <c r="F1421" s="1"/>
      <c r="G1421" s="1"/>
      <c r="H1421" s="37"/>
      <c r="I1421" s="1"/>
      <c r="J1421" s="1"/>
      <c r="K1421" s="1"/>
      <c r="L1421" s="1"/>
    </row>
    <row r="1422" spans="1:12" ht="15" x14ac:dyDescent="0.25">
      <c r="A1422" s="1"/>
      <c r="B1422" s="48"/>
      <c r="C1422" s="7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ht="15" x14ac:dyDescent="0.25">
      <c r="A1423" s="1"/>
      <c r="B1423" s="48"/>
      <c r="C1423" s="7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 ht="15" x14ac:dyDescent="0.25">
      <c r="A1424" s="1"/>
      <c r="B1424" s="48"/>
      <c r="C1424" s="7"/>
      <c r="D1424" s="1"/>
      <c r="E1424" s="1"/>
      <c r="F1424" s="1"/>
      <c r="G1424" s="1"/>
      <c r="H1424" s="1"/>
      <c r="I1424" s="1"/>
      <c r="J1424" s="1"/>
      <c r="K1424" s="1"/>
      <c r="L1424" s="1"/>
    </row>
    <row r="1429" spans="1:12" ht="15.75" x14ac:dyDescent="0.25">
      <c r="A1429" s="3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</row>
    <row r="1430" spans="1:12" ht="15.75" x14ac:dyDescent="0.25">
      <c r="A1430" s="3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</row>
    <row r="1431" spans="1:12" ht="15.75" x14ac:dyDescent="0.25">
      <c r="A1431" s="3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</row>
    <row r="1432" spans="1:12" x14ac:dyDescent="0.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</row>
    <row r="1433" spans="1:12" x14ac:dyDescent="0.2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</row>
    <row r="1434" spans="1:12" x14ac:dyDescent="0.2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</row>
    <row r="1435" spans="1:12" ht="19.5" thickBot="1" x14ac:dyDescent="0.35">
      <c r="A1435" s="339"/>
      <c r="B1435" s="339"/>
      <c r="C1435" s="339"/>
      <c r="D1435" s="339"/>
      <c r="E1435" s="339"/>
      <c r="F1435" s="339"/>
      <c r="G1435" s="339"/>
      <c r="H1435" s="339"/>
      <c r="I1435" s="339"/>
      <c r="J1435" s="339"/>
      <c r="K1435" s="339"/>
      <c r="L1435" s="339"/>
    </row>
    <row r="1436" spans="1:12" ht="19.5" thickTop="1" x14ac:dyDescent="0.3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</row>
    <row r="1437" spans="1:12" ht="18.75" x14ac:dyDescent="0.3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</row>
    <row r="1438" spans="1:12" ht="15" x14ac:dyDescent="0.25">
      <c r="A1438" s="1"/>
      <c r="B1438" s="1"/>
      <c r="C1438" s="4"/>
      <c r="D1438" s="4"/>
      <c r="E1438" s="4"/>
      <c r="F1438" s="4"/>
      <c r="G1438" s="4"/>
      <c r="H1438" s="4"/>
      <c r="I1438" s="4"/>
      <c r="J1438" s="4"/>
      <c r="K1438" s="4"/>
      <c r="L1438" s="4"/>
    </row>
    <row r="1439" spans="1:12" ht="15" x14ac:dyDescent="0.25">
      <c r="A1439" s="1"/>
      <c r="B1439" s="1"/>
      <c r="C1439" s="4"/>
      <c r="D1439" s="4"/>
      <c r="E1439" s="4"/>
      <c r="F1439" s="4"/>
      <c r="G1439" s="4"/>
      <c r="H1439" s="4"/>
      <c r="I1439" s="4"/>
      <c r="J1439" s="4"/>
      <c r="K1439" s="4"/>
      <c r="L1439" s="4"/>
    </row>
    <row r="1440" spans="1:12" ht="15" x14ac:dyDescent="0.25">
      <c r="A1440" s="1"/>
      <c r="B1440" s="1"/>
      <c r="C1440" s="4"/>
      <c r="D1440" s="4"/>
      <c r="E1440" s="4"/>
      <c r="F1440" s="4"/>
      <c r="G1440" s="4"/>
      <c r="H1440" s="4"/>
      <c r="I1440" s="4"/>
      <c r="J1440" s="4"/>
      <c r="K1440" s="4"/>
      <c r="L1440" s="4"/>
    </row>
    <row r="1441" spans="1:12" ht="15" x14ac:dyDescent="0.25">
      <c r="A1441" s="1"/>
      <c r="B1441" s="4"/>
      <c r="C1441" s="9"/>
      <c r="D1441" s="37"/>
      <c r="E1441" s="64"/>
      <c r="F1441" s="4"/>
      <c r="G1441" s="4"/>
      <c r="H1441" s="4"/>
      <c r="I1441" s="4"/>
      <c r="J1441" s="4"/>
      <c r="K1441" s="4"/>
      <c r="L1441" s="4"/>
    </row>
    <row r="1442" spans="1:12" ht="15" x14ac:dyDescent="0.25">
      <c r="A1442" s="1"/>
      <c r="B1442" s="4"/>
      <c r="C1442" s="9"/>
      <c r="D1442" s="1"/>
      <c r="E1442" s="64"/>
      <c r="F1442" s="4"/>
      <c r="G1442" s="4"/>
      <c r="H1442" s="4"/>
      <c r="I1442" s="4"/>
      <c r="J1442" s="4"/>
      <c r="K1442" s="4"/>
      <c r="L1442" s="4"/>
    </row>
    <row r="1443" spans="1:12" ht="15" x14ac:dyDescent="0.25">
      <c r="A1443" s="1"/>
      <c r="B1443" s="4"/>
      <c r="C1443" s="9"/>
      <c r="D1443" s="1"/>
      <c r="E1443" s="64"/>
      <c r="F1443" s="4"/>
      <c r="G1443" s="4"/>
      <c r="H1443" s="4"/>
      <c r="I1443" s="4"/>
      <c r="J1443" s="4"/>
      <c r="K1443" s="4"/>
      <c r="L1443" s="4"/>
    </row>
    <row r="1444" spans="1:12" ht="15" x14ac:dyDescent="0.25">
      <c r="A1444" s="1"/>
      <c r="B1444" s="1"/>
      <c r="C1444" s="4"/>
      <c r="D1444" s="1"/>
      <c r="E1444" s="4"/>
      <c r="F1444" s="4"/>
      <c r="G1444" s="4"/>
      <c r="H1444" s="4"/>
      <c r="I1444" s="4"/>
      <c r="J1444" s="4"/>
      <c r="K1444" s="4"/>
      <c r="L1444" s="4"/>
    </row>
    <row r="1445" spans="1:12" ht="40.5" customHeight="1" x14ac:dyDescent="0.2">
      <c r="A1445" s="280"/>
      <c r="B1445" s="277"/>
      <c r="C1445" s="277"/>
      <c r="D1445" s="277"/>
      <c r="E1445" s="277"/>
      <c r="F1445" s="277"/>
      <c r="G1445" s="277"/>
      <c r="H1445" s="277"/>
      <c r="I1445" s="277"/>
      <c r="J1445" s="277"/>
      <c r="K1445" s="277"/>
      <c r="L1445" s="277"/>
    </row>
    <row r="1446" spans="1:12" ht="15" x14ac:dyDescent="0.25">
      <c r="A1446" s="1"/>
      <c r="B1446" s="1"/>
      <c r="C1446" s="4"/>
      <c r="D1446" s="4"/>
      <c r="E1446" s="4"/>
      <c r="F1446" s="4"/>
      <c r="G1446" s="4"/>
      <c r="H1446" s="4"/>
      <c r="I1446" s="4"/>
      <c r="J1446" s="4"/>
      <c r="K1446" s="4"/>
      <c r="L1446" s="4"/>
    </row>
    <row r="1447" spans="1:12" ht="42.75" customHeight="1" thickBot="1" x14ac:dyDescent="0.25">
      <c r="A1447" s="10"/>
      <c r="B1447" s="337"/>
      <c r="C1447" s="338"/>
      <c r="D1447" s="338"/>
      <c r="E1447" s="338"/>
      <c r="F1447" s="338"/>
      <c r="G1447" s="338"/>
      <c r="H1447" s="338"/>
      <c r="I1447" s="338"/>
      <c r="J1447" s="338"/>
      <c r="K1447" s="338"/>
      <c r="L1447" s="338"/>
    </row>
    <row r="1448" spans="1:12" ht="15.75" thickTop="1" x14ac:dyDescent="0.25">
      <c r="A1448" s="1"/>
      <c r="B1448" s="11"/>
      <c r="C1448" s="12"/>
      <c r="D1448" s="13"/>
      <c r="E1448" s="13"/>
      <c r="F1448" s="13"/>
      <c r="G1448" s="13"/>
      <c r="H1448" s="14"/>
      <c r="I1448" s="15"/>
      <c r="J1448" s="12"/>
      <c r="K1448" s="13"/>
      <c r="L1448" s="14"/>
    </row>
    <row r="1449" spans="1:12" ht="24.75" customHeight="1" x14ac:dyDescent="0.2">
      <c r="A1449" s="50"/>
      <c r="B1449" s="60"/>
      <c r="C1449" s="50"/>
      <c r="D1449" s="50"/>
      <c r="E1449" s="50"/>
      <c r="F1449" s="50"/>
      <c r="G1449" s="54"/>
      <c r="H1449" s="55"/>
      <c r="I1449" s="56"/>
      <c r="J1449" s="50"/>
      <c r="K1449" s="50"/>
      <c r="L1449" s="55"/>
    </row>
    <row r="1450" spans="1:12" ht="12" customHeight="1" x14ac:dyDescent="0.2">
      <c r="A1450" s="76"/>
      <c r="B1450" s="77"/>
      <c r="C1450" s="76"/>
      <c r="D1450" s="76"/>
      <c r="E1450" s="76"/>
      <c r="F1450" s="76"/>
      <c r="G1450" s="78"/>
      <c r="H1450" s="79"/>
      <c r="I1450" s="80"/>
      <c r="J1450" s="76"/>
      <c r="K1450" s="76"/>
      <c r="L1450" s="79"/>
    </row>
    <row r="1451" spans="1:12" x14ac:dyDescent="0.2">
      <c r="A1451" s="4"/>
      <c r="B1451" s="16"/>
      <c r="C1451" s="4"/>
      <c r="D1451" s="4"/>
      <c r="E1451" s="4"/>
      <c r="F1451" s="4"/>
      <c r="G1451" s="4"/>
      <c r="H1451" s="17"/>
      <c r="I1451" s="19"/>
      <c r="J1451" s="4"/>
      <c r="K1451" s="4"/>
      <c r="L1451" s="17"/>
    </row>
    <row r="1452" spans="1:12" x14ac:dyDescent="0.2">
      <c r="A1452" s="4"/>
      <c r="B1452" s="16"/>
      <c r="C1452" s="4"/>
      <c r="D1452" s="4"/>
      <c r="E1452" s="4"/>
      <c r="F1452" s="4"/>
      <c r="G1452" s="4"/>
      <c r="H1452" s="17"/>
      <c r="I1452" s="19"/>
      <c r="J1452" s="4"/>
      <c r="K1452" s="4"/>
      <c r="L1452" s="17"/>
    </row>
    <row r="1453" spans="1:12" ht="8.25" customHeight="1" x14ac:dyDescent="0.2">
      <c r="A1453" s="4"/>
      <c r="B1453" s="16"/>
      <c r="C1453" s="4"/>
      <c r="D1453" s="4"/>
      <c r="E1453" s="4"/>
      <c r="F1453" s="4"/>
      <c r="G1453" s="4"/>
      <c r="H1453" s="17"/>
      <c r="I1453" s="19"/>
      <c r="J1453" s="4"/>
      <c r="K1453" s="4"/>
      <c r="L1453" s="17"/>
    </row>
    <row r="1454" spans="1:12" x14ac:dyDescent="0.2">
      <c r="A1454" s="4"/>
      <c r="B1454" s="20"/>
      <c r="C1454" s="21"/>
      <c r="D1454" s="21"/>
      <c r="E1454" s="21"/>
      <c r="F1454" s="21"/>
      <c r="G1454" s="21"/>
      <c r="H1454" s="22"/>
      <c r="I1454" s="23"/>
      <c r="J1454" s="21"/>
      <c r="K1454" s="21"/>
      <c r="L1454" s="22"/>
    </row>
    <row r="1455" spans="1:12" ht="15" x14ac:dyDescent="0.25">
      <c r="A1455" s="1"/>
      <c r="B1455" s="39"/>
      <c r="C1455" s="1"/>
      <c r="D1455" s="1"/>
      <c r="E1455" s="1"/>
      <c r="F1455" s="40"/>
      <c r="G1455" s="40"/>
      <c r="H1455" s="1"/>
      <c r="I1455" s="41"/>
      <c r="J1455" s="1"/>
      <c r="K1455" s="1"/>
      <c r="L1455" s="42"/>
    </row>
    <row r="1456" spans="1:12" ht="15.75" thickBot="1" x14ac:dyDescent="0.3">
      <c r="A1456" s="1"/>
      <c r="B1456" s="43"/>
      <c r="C1456" s="44"/>
      <c r="D1456" s="44"/>
      <c r="E1456" s="44"/>
      <c r="F1456" s="45"/>
      <c r="G1456" s="45"/>
      <c r="H1456" s="44"/>
      <c r="I1456" s="46"/>
      <c r="J1456" s="44"/>
      <c r="K1456" s="44"/>
      <c r="L1456" s="47"/>
    </row>
    <row r="1457" spans="1:12" ht="15.75" thickTop="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ht="51" customHeight="1" x14ac:dyDescent="0.2">
      <c r="A1458" s="10"/>
      <c r="B1458" s="279"/>
      <c r="C1458" s="279"/>
      <c r="D1458" s="279"/>
      <c r="E1458" s="279"/>
      <c r="F1458" s="279"/>
      <c r="G1458" s="279"/>
      <c r="H1458" s="279"/>
      <c r="I1458" s="279"/>
      <c r="J1458" s="279"/>
      <c r="K1458" s="279"/>
      <c r="L1458" s="279"/>
    </row>
    <row r="1459" spans="1:12" ht="15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ht="18" customHeight="1" x14ac:dyDescent="0.2">
      <c r="A1460" s="280"/>
      <c r="B1460" s="280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</row>
    <row r="1461" spans="1:12" ht="14.25" customHeight="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ht="15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ht="15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ht="15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 ht="15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 ht="15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 ht="1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ht="6" customHeight="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ht="15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 ht="15" x14ac:dyDescent="0.25">
      <c r="A1470" s="1"/>
      <c r="B1470" s="37"/>
      <c r="C1470" s="1"/>
      <c r="D1470" s="1"/>
      <c r="E1470" s="1"/>
      <c r="F1470" s="1"/>
      <c r="G1470" s="1"/>
      <c r="H1470" s="37"/>
      <c r="I1470" s="1"/>
      <c r="J1470" s="1"/>
      <c r="K1470" s="1"/>
      <c r="L1470" s="1"/>
    </row>
    <row r="1471" spans="1:12" ht="15" x14ac:dyDescent="0.25">
      <c r="A1471" s="1"/>
      <c r="B1471" s="48"/>
      <c r="C1471" s="7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ht="15" x14ac:dyDescent="0.25">
      <c r="A1472" s="1"/>
      <c r="B1472" s="48"/>
      <c r="C1472" s="7"/>
      <c r="D1472" s="1"/>
      <c r="E1472" s="1"/>
      <c r="F1472" s="1"/>
      <c r="G1472" s="1"/>
      <c r="H1472" s="1"/>
      <c r="I1472" s="1"/>
      <c r="J1472" s="1"/>
      <c r="K1472" s="1"/>
      <c r="L1472" s="1"/>
    </row>
    <row r="1478" spans="1:12" ht="15.75" x14ac:dyDescent="0.25">
      <c r="A1478" s="3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</row>
    <row r="1479" spans="1:12" ht="15.75" x14ac:dyDescent="0.25">
      <c r="A1479" s="3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</row>
    <row r="1480" spans="1:12" ht="15.75" x14ac:dyDescent="0.2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</row>
    <row r="1481" spans="1:12" x14ac:dyDescent="0.2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</row>
    <row r="1482" spans="1:12" x14ac:dyDescent="0.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</row>
    <row r="1483" spans="1:12" x14ac:dyDescent="0.2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</row>
    <row r="1484" spans="1:12" ht="19.5" thickBot="1" x14ac:dyDescent="0.35">
      <c r="A1484" s="339"/>
      <c r="B1484" s="339"/>
      <c r="C1484" s="339"/>
      <c r="D1484" s="339"/>
      <c r="E1484" s="339"/>
      <c r="F1484" s="339"/>
      <c r="G1484" s="339"/>
      <c r="H1484" s="339"/>
      <c r="I1484" s="339"/>
      <c r="J1484" s="339"/>
      <c r="K1484" s="339"/>
      <c r="L1484" s="339"/>
    </row>
    <row r="1485" spans="1:12" ht="19.5" thickTop="1" x14ac:dyDescent="0.3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</row>
    <row r="1486" spans="1:12" ht="18.75" x14ac:dyDescent="0.3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</row>
    <row r="1487" spans="1:12" ht="15" x14ac:dyDescent="0.25">
      <c r="A1487" s="1"/>
      <c r="B1487" s="1"/>
      <c r="C1487" s="4"/>
      <c r="D1487" s="4"/>
      <c r="E1487" s="4"/>
      <c r="F1487" s="4"/>
      <c r="G1487" s="4"/>
      <c r="H1487" s="4"/>
      <c r="I1487" s="4"/>
      <c r="J1487" s="4"/>
      <c r="K1487" s="4"/>
      <c r="L1487" s="4"/>
    </row>
    <row r="1488" spans="1:12" ht="15" x14ac:dyDescent="0.25">
      <c r="A1488" s="1"/>
      <c r="B1488" s="1"/>
      <c r="C1488" s="4"/>
      <c r="D1488" s="4"/>
      <c r="E1488" s="4"/>
      <c r="F1488" s="4"/>
      <c r="G1488" s="4"/>
      <c r="H1488" s="4"/>
      <c r="I1488" s="4"/>
      <c r="J1488" s="4"/>
      <c r="K1488" s="4"/>
      <c r="L1488" s="4"/>
    </row>
    <row r="1489" spans="1:12" ht="15" x14ac:dyDescent="0.25">
      <c r="A1489" s="1"/>
      <c r="B1489" s="1"/>
      <c r="C1489" s="4"/>
      <c r="D1489" s="4"/>
      <c r="E1489" s="4"/>
      <c r="F1489" s="4"/>
      <c r="G1489" s="4"/>
      <c r="H1489" s="4"/>
      <c r="I1489" s="4"/>
      <c r="J1489" s="4"/>
      <c r="K1489" s="4"/>
      <c r="L1489" s="4"/>
    </row>
    <row r="1490" spans="1:12" ht="15" x14ac:dyDescent="0.25">
      <c r="A1490" s="1"/>
      <c r="B1490" s="4"/>
      <c r="C1490" s="9"/>
      <c r="D1490" s="37"/>
      <c r="E1490" s="64"/>
      <c r="F1490" s="4"/>
      <c r="G1490" s="4"/>
      <c r="H1490" s="4"/>
      <c r="I1490" s="4"/>
      <c r="J1490" s="4"/>
      <c r="K1490" s="4"/>
      <c r="L1490" s="4"/>
    </row>
    <row r="1491" spans="1:12" ht="15" x14ac:dyDescent="0.25">
      <c r="A1491" s="1"/>
      <c r="B1491" s="4"/>
      <c r="C1491" s="9"/>
      <c r="D1491" s="1"/>
      <c r="E1491" s="64"/>
      <c r="F1491" s="4"/>
      <c r="G1491" s="4"/>
      <c r="H1491" s="4"/>
      <c r="I1491" s="4"/>
      <c r="J1491" s="4"/>
      <c r="K1491" s="4"/>
      <c r="L1491" s="4"/>
    </row>
    <row r="1492" spans="1:12" ht="15" x14ac:dyDescent="0.25">
      <c r="A1492" s="1"/>
      <c r="B1492" s="4"/>
      <c r="C1492" s="9"/>
      <c r="D1492" s="1"/>
      <c r="E1492" s="64"/>
      <c r="F1492" s="4"/>
      <c r="G1492" s="4"/>
      <c r="H1492" s="4"/>
      <c r="I1492" s="4"/>
      <c r="J1492" s="4"/>
      <c r="K1492" s="4"/>
      <c r="L1492" s="4"/>
    </row>
    <row r="1493" spans="1:12" ht="15" x14ac:dyDescent="0.25">
      <c r="A1493" s="1"/>
      <c r="B1493" s="1"/>
      <c r="C1493" s="4"/>
      <c r="D1493" s="1"/>
      <c r="E1493" s="4"/>
      <c r="F1493" s="4"/>
      <c r="G1493" s="4"/>
      <c r="H1493" s="4"/>
      <c r="I1493" s="4"/>
      <c r="J1493" s="4"/>
      <c r="K1493" s="4"/>
      <c r="L1493" s="4"/>
    </row>
    <row r="1494" spans="1:12" ht="40.5" customHeight="1" x14ac:dyDescent="0.2">
      <c r="A1494" s="280"/>
      <c r="B1494" s="277"/>
      <c r="C1494" s="277"/>
      <c r="D1494" s="277"/>
      <c r="E1494" s="277"/>
      <c r="F1494" s="277"/>
      <c r="G1494" s="277"/>
      <c r="H1494" s="277"/>
      <c r="I1494" s="277"/>
      <c r="J1494" s="277"/>
      <c r="K1494" s="277"/>
      <c r="L1494" s="277"/>
    </row>
    <row r="1495" spans="1:12" ht="15" x14ac:dyDescent="0.25">
      <c r="A1495" s="1"/>
      <c r="B1495" s="1"/>
      <c r="C1495" s="4"/>
      <c r="D1495" s="4"/>
      <c r="E1495" s="4"/>
      <c r="F1495" s="4"/>
      <c r="G1495" s="4"/>
      <c r="H1495" s="4"/>
      <c r="I1495" s="4"/>
      <c r="J1495" s="4"/>
      <c r="K1495" s="4"/>
      <c r="L1495" s="4"/>
    </row>
    <row r="1496" spans="1:12" ht="42" customHeight="1" thickBot="1" x14ac:dyDescent="0.25">
      <c r="A1496" s="10"/>
      <c r="B1496" s="337"/>
      <c r="C1496" s="338"/>
      <c r="D1496" s="338"/>
      <c r="E1496" s="338"/>
      <c r="F1496" s="338"/>
      <c r="G1496" s="338"/>
      <c r="H1496" s="338"/>
      <c r="I1496" s="338"/>
      <c r="J1496" s="338"/>
      <c r="K1496" s="338"/>
      <c r="L1496" s="338"/>
    </row>
    <row r="1497" spans="1:12" ht="22.5" customHeight="1" thickTop="1" x14ac:dyDescent="0.25">
      <c r="A1497" s="1"/>
      <c r="B1497" s="11"/>
      <c r="C1497" s="12"/>
      <c r="D1497" s="13"/>
      <c r="E1497" s="13"/>
      <c r="F1497" s="13"/>
      <c r="G1497" s="13"/>
      <c r="H1497" s="14"/>
      <c r="I1497" s="15"/>
      <c r="J1497" s="12"/>
      <c r="K1497" s="13"/>
      <c r="L1497" s="14"/>
    </row>
    <row r="1498" spans="1:12" ht="27" customHeight="1" x14ac:dyDescent="0.2">
      <c r="A1498" s="50"/>
      <c r="B1498" s="60"/>
      <c r="C1498" s="50"/>
      <c r="D1498" s="50"/>
      <c r="E1498" s="50"/>
      <c r="F1498" s="50"/>
      <c r="G1498" s="54"/>
      <c r="H1498" s="55"/>
      <c r="I1498" s="56"/>
      <c r="J1498" s="50"/>
      <c r="K1498" s="50"/>
      <c r="L1498" s="55"/>
    </row>
    <row r="1499" spans="1:12" s="51" customFormat="1" ht="16.5" customHeight="1" x14ac:dyDescent="0.2">
      <c r="A1499" s="76"/>
      <c r="B1499" s="77"/>
      <c r="C1499" s="76"/>
      <c r="D1499" s="76"/>
      <c r="E1499" s="76"/>
      <c r="F1499" s="76"/>
      <c r="G1499" s="78"/>
      <c r="H1499" s="79"/>
      <c r="I1499" s="80"/>
      <c r="J1499" s="76"/>
      <c r="K1499" s="76"/>
      <c r="L1499" s="79"/>
    </row>
    <row r="1500" spans="1:12" x14ac:dyDescent="0.2">
      <c r="A1500" s="4"/>
      <c r="B1500" s="16"/>
      <c r="C1500" s="4"/>
      <c r="D1500" s="4"/>
      <c r="E1500" s="4"/>
      <c r="F1500" s="4"/>
      <c r="G1500" s="4"/>
      <c r="H1500" s="17"/>
      <c r="I1500" s="19"/>
      <c r="J1500" s="4"/>
      <c r="K1500" s="4"/>
      <c r="L1500" s="17"/>
    </row>
    <row r="1501" spans="1:12" x14ac:dyDescent="0.2">
      <c r="A1501" s="4"/>
      <c r="B1501" s="16"/>
      <c r="C1501" s="4"/>
      <c r="D1501" s="4"/>
      <c r="E1501" s="4"/>
      <c r="F1501" s="4"/>
      <c r="G1501" s="4"/>
      <c r="H1501" s="17"/>
      <c r="I1501" s="19"/>
      <c r="J1501" s="4"/>
      <c r="K1501" s="4"/>
      <c r="L1501" s="17"/>
    </row>
    <row r="1502" spans="1:12" x14ac:dyDescent="0.2">
      <c r="A1502" s="4"/>
      <c r="B1502" s="16"/>
      <c r="C1502" s="4"/>
      <c r="D1502" s="4"/>
      <c r="E1502" s="4"/>
      <c r="F1502" s="4"/>
      <c r="G1502" s="4"/>
      <c r="H1502" s="17"/>
      <c r="I1502" s="19"/>
      <c r="J1502" s="4"/>
      <c r="K1502" s="4"/>
      <c r="L1502" s="17"/>
    </row>
    <row r="1503" spans="1:12" x14ac:dyDescent="0.2">
      <c r="A1503" s="4"/>
      <c r="B1503" s="20"/>
      <c r="C1503" s="21"/>
      <c r="D1503" s="21"/>
      <c r="E1503" s="21"/>
      <c r="F1503" s="21"/>
      <c r="G1503" s="21"/>
      <c r="H1503" s="22"/>
      <c r="I1503" s="23"/>
      <c r="J1503" s="21"/>
      <c r="K1503" s="21"/>
      <c r="L1503" s="22"/>
    </row>
    <row r="1504" spans="1:12" ht="15" x14ac:dyDescent="0.25">
      <c r="A1504" s="1"/>
      <c r="B1504" s="39"/>
      <c r="C1504" s="1"/>
      <c r="D1504" s="1"/>
      <c r="E1504" s="1"/>
      <c r="F1504" s="40"/>
      <c r="G1504" s="40"/>
      <c r="H1504" s="1"/>
      <c r="I1504" s="41"/>
      <c r="J1504" s="1"/>
      <c r="K1504" s="1"/>
      <c r="L1504" s="42"/>
    </row>
    <row r="1505" spans="1:12" ht="15.75" thickBot="1" x14ac:dyDescent="0.3">
      <c r="A1505" s="1"/>
      <c r="B1505" s="43"/>
      <c r="C1505" s="44"/>
      <c r="D1505" s="44"/>
      <c r="E1505" s="44"/>
      <c r="F1505" s="45"/>
      <c r="G1505" s="45"/>
      <c r="H1505" s="44"/>
      <c r="I1505" s="46"/>
      <c r="J1505" s="44"/>
      <c r="K1505" s="44"/>
      <c r="L1505" s="47"/>
    </row>
    <row r="1506" spans="1:12" ht="15.75" thickTop="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 ht="51" customHeight="1" x14ac:dyDescent="0.2">
      <c r="A1507" s="10"/>
      <c r="B1507" s="279"/>
      <c r="C1507" s="279"/>
      <c r="D1507" s="279"/>
      <c r="E1507" s="279"/>
      <c r="F1507" s="279"/>
      <c r="G1507" s="279"/>
      <c r="H1507" s="279"/>
      <c r="I1507" s="279"/>
      <c r="J1507" s="279"/>
      <c r="K1507" s="279"/>
      <c r="L1507" s="279"/>
    </row>
    <row r="1508" spans="1:12" ht="10.5" customHeight="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ht="19.5" customHeight="1" x14ac:dyDescent="0.2">
      <c r="A1509" s="280"/>
      <c r="B1509" s="280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</row>
    <row r="1510" spans="1:12" ht="10.5" customHeight="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ht="15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ht="15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 ht="15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ht="15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ht="15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ht="9.75" customHeight="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ht="15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ht="8.25" customHeight="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ht="15" x14ac:dyDescent="0.25">
      <c r="A1519" s="1"/>
      <c r="B1519" s="37"/>
      <c r="C1519" s="1"/>
      <c r="D1519" s="1"/>
      <c r="E1519" s="1"/>
      <c r="F1519" s="1"/>
      <c r="G1519" s="1"/>
      <c r="H1519" s="37"/>
      <c r="I1519" s="1"/>
      <c r="J1519" s="1"/>
      <c r="K1519" s="1"/>
      <c r="L1519" s="1"/>
    </row>
    <row r="1520" spans="1:12" ht="15" x14ac:dyDescent="0.25">
      <c r="A1520" s="1"/>
      <c r="B1520" s="48"/>
      <c r="C1520" s="7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ht="15" x14ac:dyDescent="0.25">
      <c r="A1521" s="1"/>
      <c r="B1521" s="48"/>
      <c r="C1521" s="7"/>
      <c r="D1521" s="1"/>
      <c r="E1521" s="1"/>
      <c r="F1521" s="1"/>
      <c r="G1521" s="1"/>
      <c r="H1521" s="1"/>
      <c r="I1521" s="1"/>
      <c r="J1521" s="1"/>
      <c r="K1521" s="1"/>
      <c r="L1521" s="1"/>
    </row>
    <row r="1526" spans="1:12" ht="15.75" x14ac:dyDescent="0.25">
      <c r="A1526" s="3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</row>
    <row r="1527" spans="1:12" ht="15.75" x14ac:dyDescent="0.25">
      <c r="A1527" s="3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</row>
    <row r="1528" spans="1:12" ht="15.75" x14ac:dyDescent="0.25">
      <c r="A1528" s="3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</row>
    <row r="1529" spans="1:12" x14ac:dyDescent="0.2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</row>
    <row r="1530" spans="1:12" x14ac:dyDescent="0.2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</row>
    <row r="1531" spans="1:12" x14ac:dyDescent="0.2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</row>
    <row r="1532" spans="1:12" ht="19.5" thickBot="1" x14ac:dyDescent="0.35">
      <c r="A1532" s="339"/>
      <c r="B1532" s="339"/>
      <c r="C1532" s="339"/>
      <c r="D1532" s="339"/>
      <c r="E1532" s="339"/>
      <c r="F1532" s="339"/>
      <c r="G1532" s="339"/>
      <c r="H1532" s="339"/>
      <c r="I1532" s="339"/>
      <c r="J1532" s="339"/>
      <c r="K1532" s="339"/>
      <c r="L1532" s="339"/>
    </row>
    <row r="1533" spans="1:12" ht="19.5" thickTop="1" x14ac:dyDescent="0.3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</row>
    <row r="1534" spans="1:12" ht="18.75" x14ac:dyDescent="0.3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</row>
    <row r="1535" spans="1:12" ht="15" x14ac:dyDescent="0.25">
      <c r="A1535" s="1"/>
      <c r="B1535" s="1"/>
      <c r="C1535" s="4"/>
      <c r="D1535" s="4"/>
      <c r="E1535" s="4"/>
      <c r="F1535" s="4"/>
      <c r="G1535" s="4"/>
      <c r="H1535" s="4"/>
      <c r="I1535" s="4"/>
      <c r="J1535" s="4"/>
      <c r="K1535" s="4"/>
      <c r="L1535" s="4"/>
    </row>
    <row r="1536" spans="1:12" ht="15" x14ac:dyDescent="0.25">
      <c r="A1536" s="1"/>
      <c r="B1536" s="1"/>
      <c r="C1536" s="4"/>
      <c r="D1536" s="4"/>
      <c r="E1536" s="4"/>
      <c r="F1536" s="4"/>
      <c r="G1536" s="4"/>
      <c r="H1536" s="4"/>
      <c r="I1536" s="4"/>
      <c r="J1536" s="4"/>
      <c r="K1536" s="4"/>
      <c r="L1536" s="4"/>
    </row>
    <row r="1537" spans="1:12" ht="15" x14ac:dyDescent="0.25">
      <c r="A1537" s="1"/>
      <c r="B1537" s="1"/>
      <c r="C1537" s="4"/>
      <c r="D1537" s="4"/>
      <c r="E1537" s="4"/>
      <c r="F1537" s="4"/>
      <c r="G1537" s="4"/>
      <c r="H1537" s="4"/>
      <c r="I1537" s="4"/>
      <c r="J1537" s="4"/>
      <c r="K1537" s="4"/>
      <c r="L1537" s="4"/>
    </row>
    <row r="1538" spans="1:12" ht="15" x14ac:dyDescent="0.25">
      <c r="A1538" s="1"/>
      <c r="B1538" s="4"/>
      <c r="C1538" s="9"/>
      <c r="D1538" s="37"/>
      <c r="E1538" s="64"/>
      <c r="F1538" s="4"/>
      <c r="G1538" s="4"/>
      <c r="H1538" s="4"/>
      <c r="I1538" s="4"/>
      <c r="J1538" s="4"/>
      <c r="K1538" s="4"/>
      <c r="L1538" s="4"/>
    </row>
    <row r="1539" spans="1:12" ht="15" x14ac:dyDescent="0.25">
      <c r="A1539" s="1"/>
      <c r="B1539" s="4"/>
      <c r="C1539" s="9"/>
      <c r="D1539" s="1"/>
      <c r="E1539" s="64"/>
      <c r="F1539" s="4"/>
      <c r="G1539" s="4"/>
      <c r="H1539" s="4"/>
      <c r="I1539" s="4"/>
      <c r="J1539" s="4"/>
      <c r="K1539" s="4"/>
      <c r="L1539" s="4"/>
    </row>
    <row r="1540" spans="1:12" ht="15" x14ac:dyDescent="0.25">
      <c r="A1540" s="1"/>
      <c r="B1540" s="4"/>
      <c r="C1540" s="9"/>
      <c r="D1540" s="1"/>
      <c r="E1540" s="64"/>
      <c r="F1540" s="4"/>
      <c r="G1540" s="4"/>
      <c r="H1540" s="4"/>
      <c r="I1540" s="4"/>
      <c r="J1540" s="4"/>
      <c r="K1540" s="4"/>
      <c r="L1540" s="4"/>
    </row>
    <row r="1541" spans="1:12" ht="15" x14ac:dyDescent="0.25">
      <c r="A1541" s="1"/>
      <c r="B1541" s="1"/>
      <c r="C1541" s="4"/>
      <c r="D1541" s="1"/>
      <c r="E1541" s="4"/>
      <c r="F1541" s="4"/>
      <c r="G1541" s="4"/>
      <c r="H1541" s="4"/>
      <c r="I1541" s="4"/>
      <c r="J1541" s="4"/>
      <c r="K1541" s="4"/>
      <c r="L1541" s="4"/>
    </row>
    <row r="1542" spans="1:12" ht="38.25" customHeight="1" x14ac:dyDescent="0.2">
      <c r="A1542" s="280"/>
      <c r="B1542" s="277"/>
      <c r="C1542" s="277"/>
      <c r="D1542" s="277"/>
      <c r="E1542" s="277"/>
      <c r="F1542" s="277"/>
      <c r="G1542" s="277"/>
      <c r="H1542" s="277"/>
      <c r="I1542" s="277"/>
      <c r="J1542" s="277"/>
      <c r="K1542" s="277"/>
      <c r="L1542" s="277"/>
    </row>
    <row r="1543" spans="1:12" ht="15" x14ac:dyDescent="0.25">
      <c r="A1543" s="1"/>
      <c r="B1543" s="1"/>
      <c r="C1543" s="4"/>
      <c r="D1543" s="4"/>
      <c r="E1543" s="4"/>
      <c r="F1543" s="4"/>
      <c r="G1543" s="4"/>
      <c r="H1543" s="4"/>
      <c r="I1543" s="4"/>
      <c r="J1543" s="4"/>
      <c r="K1543" s="4"/>
      <c r="L1543" s="4"/>
    </row>
    <row r="1544" spans="1:12" ht="39" customHeight="1" thickBot="1" x14ac:dyDescent="0.25">
      <c r="A1544" s="10"/>
      <c r="B1544" s="337"/>
      <c r="C1544" s="338"/>
      <c r="D1544" s="338"/>
      <c r="E1544" s="338"/>
      <c r="F1544" s="338"/>
      <c r="G1544" s="338"/>
      <c r="H1544" s="338"/>
      <c r="I1544" s="338"/>
      <c r="J1544" s="338"/>
      <c r="K1544" s="338"/>
      <c r="L1544" s="338"/>
    </row>
    <row r="1545" spans="1:12" ht="15.75" customHeight="1" thickTop="1" x14ac:dyDescent="0.25">
      <c r="A1545" s="1"/>
      <c r="B1545" s="11"/>
      <c r="C1545" s="12"/>
      <c r="D1545" s="13"/>
      <c r="E1545" s="13"/>
      <c r="F1545" s="13"/>
      <c r="G1545" s="13"/>
      <c r="H1545" s="14"/>
      <c r="I1545" s="15"/>
      <c r="J1545" s="12"/>
      <c r="K1545" s="13"/>
      <c r="L1545" s="14"/>
    </row>
    <row r="1546" spans="1:12" ht="21.75" customHeight="1" x14ac:dyDescent="0.2">
      <c r="A1546" s="50"/>
      <c r="B1546" s="60"/>
      <c r="C1546" s="50"/>
      <c r="D1546" s="50"/>
      <c r="E1546" s="50"/>
      <c r="F1546" s="50"/>
      <c r="G1546" s="54"/>
      <c r="H1546" s="55"/>
      <c r="I1546" s="56"/>
      <c r="J1546" s="50"/>
      <c r="K1546" s="50"/>
      <c r="L1546" s="55"/>
    </row>
    <row r="1547" spans="1:12" x14ac:dyDescent="0.2">
      <c r="A1547" s="76"/>
      <c r="B1547" s="77"/>
      <c r="C1547" s="76"/>
      <c r="D1547" s="76"/>
      <c r="E1547" s="76"/>
      <c r="F1547" s="76"/>
      <c r="G1547" s="78"/>
      <c r="H1547" s="79"/>
      <c r="I1547" s="80"/>
      <c r="J1547" s="76"/>
      <c r="K1547" s="76"/>
      <c r="L1547" s="79"/>
    </row>
    <row r="1548" spans="1:12" x14ac:dyDescent="0.2">
      <c r="A1548" s="4"/>
      <c r="B1548" s="16"/>
      <c r="C1548" s="4"/>
      <c r="D1548" s="4"/>
      <c r="E1548" s="4"/>
      <c r="F1548" s="4"/>
      <c r="G1548" s="4"/>
      <c r="H1548" s="17"/>
      <c r="I1548" s="19"/>
      <c r="J1548" s="4"/>
      <c r="K1548" s="4"/>
      <c r="L1548" s="17"/>
    </row>
    <row r="1549" spans="1:12" x14ac:dyDescent="0.2">
      <c r="A1549" s="4"/>
      <c r="B1549" s="16"/>
      <c r="C1549" s="4"/>
      <c r="D1549" s="4"/>
      <c r="E1549" s="4"/>
      <c r="F1549" s="4"/>
      <c r="G1549" s="4"/>
      <c r="H1549" s="17"/>
      <c r="I1549" s="19"/>
      <c r="J1549" s="4"/>
      <c r="K1549" s="4"/>
      <c r="L1549" s="17"/>
    </row>
    <row r="1550" spans="1:12" x14ac:dyDescent="0.2">
      <c r="A1550" s="4"/>
      <c r="B1550" s="16"/>
      <c r="C1550" s="4"/>
      <c r="D1550" s="4"/>
      <c r="E1550" s="4"/>
      <c r="F1550" s="4"/>
      <c r="G1550" s="4"/>
      <c r="H1550" s="17"/>
      <c r="I1550" s="19"/>
      <c r="J1550" s="4"/>
      <c r="K1550" s="4"/>
      <c r="L1550" s="17"/>
    </row>
    <row r="1551" spans="1:12" x14ac:dyDescent="0.2">
      <c r="A1551" s="4"/>
      <c r="B1551" s="20"/>
      <c r="C1551" s="21"/>
      <c r="D1551" s="21"/>
      <c r="E1551" s="21"/>
      <c r="F1551" s="21"/>
      <c r="G1551" s="21"/>
      <c r="H1551" s="22"/>
      <c r="I1551" s="23"/>
      <c r="J1551" s="21"/>
      <c r="K1551" s="21"/>
      <c r="L1551" s="22"/>
    </row>
    <row r="1552" spans="1:12" ht="15" x14ac:dyDescent="0.25">
      <c r="A1552" s="1"/>
      <c r="B1552" s="39"/>
      <c r="C1552" s="1"/>
      <c r="D1552" s="1"/>
      <c r="E1552" s="1"/>
      <c r="F1552" s="40"/>
      <c r="G1552" s="40"/>
      <c r="H1552" s="1"/>
      <c r="I1552" s="41"/>
      <c r="J1552" s="1"/>
      <c r="K1552" s="1"/>
      <c r="L1552" s="42"/>
    </row>
    <row r="1553" spans="1:12" ht="15.75" thickBot="1" x14ac:dyDescent="0.3">
      <c r="A1553" s="1"/>
      <c r="B1553" s="43"/>
      <c r="C1553" s="44"/>
      <c r="D1553" s="44"/>
      <c r="E1553" s="44"/>
      <c r="F1553" s="45"/>
      <c r="G1553" s="45"/>
      <c r="H1553" s="44"/>
      <c r="I1553" s="46"/>
      <c r="J1553" s="44"/>
      <c r="K1553" s="44"/>
      <c r="L1553" s="47"/>
    </row>
    <row r="1554" spans="1:12" ht="15.75" thickTop="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 ht="45.75" customHeight="1" x14ac:dyDescent="0.2">
      <c r="A1555" s="10"/>
      <c r="B1555" s="279"/>
      <c r="C1555" s="279"/>
      <c r="D1555" s="279"/>
      <c r="E1555" s="279"/>
      <c r="F1555" s="279"/>
      <c r="G1555" s="279"/>
      <c r="H1555" s="279"/>
      <c r="I1555" s="279"/>
      <c r="J1555" s="279"/>
      <c r="K1555" s="279"/>
      <c r="L1555" s="279"/>
    </row>
    <row r="1556" spans="1:12" ht="11.25" customHeight="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 ht="21.75" customHeight="1" x14ac:dyDescent="0.2">
      <c r="A1557" s="280"/>
      <c r="B1557" s="280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</row>
    <row r="1558" spans="1:12" ht="12.75" customHeight="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 ht="7.5" customHeight="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 ht="15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ht="15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 ht="15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 ht="15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 ht="15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 ht="15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 ht="8.25" customHeight="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 ht="15" x14ac:dyDescent="0.25">
      <c r="A1567" s="1"/>
      <c r="B1567" s="37"/>
      <c r="C1567" s="1"/>
      <c r="D1567" s="1"/>
      <c r="E1567" s="1"/>
      <c r="F1567" s="1"/>
      <c r="G1567" s="1"/>
      <c r="H1567" s="37"/>
      <c r="I1567" s="1"/>
      <c r="J1567" s="1"/>
      <c r="K1567" s="1"/>
      <c r="L1567" s="1"/>
    </row>
    <row r="1568" spans="1:12" ht="15" x14ac:dyDescent="0.25">
      <c r="A1568" s="1"/>
      <c r="B1568" s="48"/>
      <c r="C1568" s="7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 ht="15" x14ac:dyDescent="0.25">
      <c r="A1569" s="1"/>
      <c r="B1569" s="48"/>
      <c r="C1569" s="7"/>
      <c r="D1569" s="1"/>
      <c r="E1569" s="1"/>
      <c r="F1569" s="1"/>
      <c r="G1569" s="1"/>
      <c r="H1569" s="1"/>
      <c r="I1569" s="1"/>
      <c r="J1569" s="1"/>
      <c r="K1569" s="1"/>
      <c r="L1569" s="1"/>
    </row>
    <row r="1573" spans="1:12" ht="15.75" x14ac:dyDescent="0.25">
      <c r="A1573" s="3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</row>
    <row r="1574" spans="1:12" ht="15.75" x14ac:dyDescent="0.25">
      <c r="A1574" s="3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</row>
    <row r="1575" spans="1:12" ht="15.75" x14ac:dyDescent="0.25">
      <c r="A1575" s="3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</row>
    <row r="1576" spans="1:12" x14ac:dyDescent="0.2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</row>
    <row r="1577" spans="1:12" x14ac:dyDescent="0.2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</row>
    <row r="1578" spans="1:12" x14ac:dyDescent="0.2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</row>
    <row r="1579" spans="1:12" ht="19.5" thickBot="1" x14ac:dyDescent="0.35">
      <c r="A1579" s="339"/>
      <c r="B1579" s="339"/>
      <c r="C1579" s="339"/>
      <c r="D1579" s="339"/>
      <c r="E1579" s="339"/>
      <c r="F1579" s="339"/>
      <c r="G1579" s="339"/>
      <c r="H1579" s="339"/>
      <c r="I1579" s="339"/>
      <c r="J1579" s="339"/>
      <c r="K1579" s="339"/>
      <c r="L1579" s="339"/>
    </row>
    <row r="1580" spans="1:12" ht="19.5" thickTop="1" x14ac:dyDescent="0.3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</row>
    <row r="1581" spans="1:12" ht="18.75" x14ac:dyDescent="0.3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</row>
    <row r="1582" spans="1:12" ht="15" x14ac:dyDescent="0.25">
      <c r="A1582" s="1"/>
      <c r="B1582" s="1"/>
      <c r="C1582" s="4"/>
      <c r="D1582" s="4"/>
      <c r="E1582" s="4"/>
      <c r="F1582" s="4"/>
      <c r="G1582" s="4"/>
      <c r="H1582" s="4"/>
      <c r="I1582" s="4"/>
      <c r="J1582" s="4"/>
      <c r="K1582" s="4"/>
      <c r="L1582" s="4"/>
    </row>
    <row r="1583" spans="1:12" ht="15" x14ac:dyDescent="0.25">
      <c r="A1583" s="1"/>
      <c r="B1583" s="1"/>
      <c r="C1583" s="4"/>
      <c r="D1583" s="4"/>
      <c r="E1583" s="4"/>
      <c r="F1583" s="4"/>
      <c r="G1583" s="4"/>
      <c r="H1583" s="4"/>
      <c r="I1583" s="4"/>
      <c r="J1583" s="4"/>
      <c r="K1583" s="4"/>
      <c r="L1583" s="4"/>
    </row>
    <row r="1584" spans="1:12" ht="15" x14ac:dyDescent="0.25">
      <c r="A1584" s="1"/>
      <c r="B1584" s="1"/>
      <c r="C1584" s="4"/>
      <c r="D1584" s="4"/>
      <c r="E1584" s="4"/>
      <c r="F1584" s="4"/>
      <c r="G1584" s="4"/>
      <c r="H1584" s="4"/>
      <c r="I1584" s="4"/>
      <c r="J1584" s="4"/>
      <c r="K1584" s="4"/>
      <c r="L1584" s="4"/>
    </row>
    <row r="1585" spans="1:12" ht="15" x14ac:dyDescent="0.25">
      <c r="A1585" s="1"/>
      <c r="B1585" s="4"/>
      <c r="C1585" s="9"/>
      <c r="D1585" s="37"/>
      <c r="E1585" s="64"/>
      <c r="F1585" s="4"/>
      <c r="G1585" s="4"/>
      <c r="H1585" s="4"/>
      <c r="I1585" s="4"/>
      <c r="J1585" s="4"/>
      <c r="K1585" s="4"/>
      <c r="L1585" s="4"/>
    </row>
    <row r="1586" spans="1:12" ht="15" x14ac:dyDescent="0.25">
      <c r="A1586" s="1"/>
      <c r="B1586" s="4"/>
      <c r="C1586" s="9"/>
      <c r="D1586" s="48"/>
      <c r="E1586" s="64"/>
      <c r="F1586" s="4"/>
      <c r="G1586" s="4"/>
      <c r="H1586" s="4"/>
      <c r="I1586" s="4"/>
      <c r="J1586" s="4"/>
      <c r="K1586" s="4"/>
      <c r="L1586" s="4"/>
    </row>
    <row r="1587" spans="1:12" ht="15" x14ac:dyDescent="0.25">
      <c r="A1587" s="1"/>
      <c r="B1587" s="4"/>
      <c r="C1587" s="9"/>
      <c r="D1587" s="1"/>
      <c r="E1587" s="64"/>
      <c r="F1587" s="4"/>
      <c r="G1587" s="4"/>
      <c r="H1587" s="4"/>
      <c r="I1587" s="4"/>
      <c r="J1587" s="4"/>
      <c r="K1587" s="4"/>
      <c r="L1587" s="4"/>
    </row>
    <row r="1588" spans="1:12" ht="15" x14ac:dyDescent="0.25">
      <c r="A1588" s="1"/>
      <c r="B1588" s="1"/>
      <c r="C1588" s="4"/>
      <c r="D1588" s="1"/>
      <c r="E1588" s="4"/>
      <c r="F1588" s="4"/>
      <c r="G1588" s="4"/>
      <c r="H1588" s="4"/>
      <c r="I1588" s="4"/>
      <c r="J1588" s="4"/>
      <c r="K1588" s="4"/>
      <c r="L1588" s="4"/>
    </row>
    <row r="1589" spans="1:12" ht="36" customHeight="1" x14ac:dyDescent="0.2">
      <c r="A1589" s="280"/>
      <c r="B1589" s="277"/>
      <c r="C1589" s="277"/>
      <c r="D1589" s="277"/>
      <c r="E1589" s="277"/>
      <c r="F1589" s="277"/>
      <c r="G1589" s="277"/>
      <c r="H1589" s="277"/>
      <c r="I1589" s="277"/>
      <c r="J1589" s="277"/>
      <c r="K1589" s="277"/>
      <c r="L1589" s="277"/>
    </row>
    <row r="1590" spans="1:12" ht="15" x14ac:dyDescent="0.25">
      <c r="A1590" s="1"/>
      <c r="B1590" s="1"/>
      <c r="C1590" s="4"/>
      <c r="D1590" s="4"/>
      <c r="E1590" s="4"/>
      <c r="F1590" s="4"/>
      <c r="G1590" s="4"/>
      <c r="H1590" s="4"/>
      <c r="I1590" s="4"/>
      <c r="J1590" s="4"/>
      <c r="K1590" s="4"/>
      <c r="L1590" s="4"/>
    </row>
    <row r="1591" spans="1:12" ht="44.25" customHeight="1" thickBot="1" x14ac:dyDescent="0.25">
      <c r="A1591" s="10"/>
      <c r="B1591" s="337"/>
      <c r="C1591" s="338"/>
      <c r="D1591" s="338"/>
      <c r="E1591" s="338"/>
      <c r="F1591" s="338"/>
      <c r="G1591" s="338"/>
      <c r="H1591" s="338"/>
      <c r="I1591" s="338"/>
      <c r="J1591" s="338"/>
      <c r="K1591" s="338"/>
      <c r="L1591" s="338"/>
    </row>
    <row r="1592" spans="1:12" ht="15.75" thickTop="1" x14ac:dyDescent="0.25">
      <c r="A1592" s="1"/>
      <c r="B1592" s="11"/>
      <c r="C1592" s="12"/>
      <c r="D1592" s="13"/>
      <c r="E1592" s="13"/>
      <c r="F1592" s="13"/>
      <c r="G1592" s="13"/>
      <c r="H1592" s="14"/>
      <c r="I1592" s="15"/>
      <c r="J1592" s="12"/>
      <c r="K1592" s="13"/>
      <c r="L1592" s="14"/>
    </row>
    <row r="1593" spans="1:12" ht="14.25" customHeight="1" x14ac:dyDescent="0.2">
      <c r="A1593" s="50"/>
      <c r="B1593" s="60"/>
      <c r="C1593" s="50"/>
      <c r="D1593" s="50"/>
      <c r="E1593" s="50"/>
      <c r="F1593" s="50"/>
      <c r="G1593" s="54"/>
      <c r="H1593" s="55"/>
      <c r="I1593" s="56"/>
      <c r="J1593" s="50"/>
      <c r="K1593" s="50"/>
      <c r="L1593" s="55"/>
    </row>
    <row r="1594" spans="1:12" ht="20.25" customHeight="1" x14ac:dyDescent="0.2">
      <c r="A1594" s="76"/>
      <c r="B1594" s="77"/>
      <c r="C1594" s="76"/>
      <c r="D1594" s="76"/>
      <c r="E1594" s="76"/>
      <c r="F1594" s="76"/>
      <c r="G1594" s="78"/>
      <c r="H1594" s="79"/>
      <c r="I1594" s="80"/>
      <c r="J1594" s="76"/>
      <c r="K1594" s="76"/>
      <c r="L1594" s="79"/>
    </row>
    <row r="1595" spans="1:12" x14ac:dyDescent="0.2">
      <c r="A1595" s="4"/>
      <c r="B1595" s="16"/>
      <c r="C1595" s="4"/>
      <c r="D1595" s="4"/>
      <c r="E1595" s="4"/>
      <c r="F1595" s="4"/>
      <c r="G1595" s="4"/>
      <c r="H1595" s="17"/>
      <c r="I1595" s="19"/>
      <c r="J1595" s="4"/>
      <c r="K1595" s="4"/>
      <c r="L1595" s="17"/>
    </row>
    <row r="1596" spans="1:12" x14ac:dyDescent="0.2">
      <c r="A1596" s="4"/>
      <c r="B1596" s="16"/>
      <c r="C1596" s="4"/>
      <c r="D1596" s="4"/>
      <c r="E1596" s="4"/>
      <c r="F1596" s="4"/>
      <c r="G1596" s="4"/>
      <c r="H1596" s="17"/>
      <c r="I1596" s="19"/>
      <c r="J1596" s="4"/>
      <c r="K1596" s="4"/>
      <c r="L1596" s="17"/>
    </row>
    <row r="1597" spans="1:12" x14ac:dyDescent="0.2">
      <c r="A1597" s="4"/>
      <c r="B1597" s="16"/>
      <c r="C1597" s="4"/>
      <c r="D1597" s="4"/>
      <c r="E1597" s="4"/>
      <c r="F1597" s="4"/>
      <c r="G1597" s="4"/>
      <c r="H1597" s="17"/>
      <c r="I1597" s="19"/>
      <c r="J1597" s="4"/>
      <c r="K1597" s="4"/>
      <c r="L1597" s="17"/>
    </row>
    <row r="1598" spans="1:12" x14ac:dyDescent="0.2">
      <c r="A1598" s="4"/>
      <c r="B1598" s="20"/>
      <c r="C1598" s="21"/>
      <c r="D1598" s="21"/>
      <c r="E1598" s="21"/>
      <c r="F1598" s="21"/>
      <c r="G1598" s="21"/>
      <c r="H1598" s="22"/>
      <c r="I1598" s="23"/>
      <c r="J1598" s="21"/>
      <c r="K1598" s="21"/>
      <c r="L1598" s="22"/>
    </row>
    <row r="1599" spans="1:12" ht="15" x14ac:dyDescent="0.25">
      <c r="A1599" s="1"/>
      <c r="B1599" s="39"/>
      <c r="C1599" s="1"/>
      <c r="D1599" s="1"/>
      <c r="E1599" s="1"/>
      <c r="F1599" s="40"/>
      <c r="G1599" s="40"/>
      <c r="H1599" s="1"/>
      <c r="I1599" s="41"/>
      <c r="J1599" s="1"/>
      <c r="K1599" s="1"/>
      <c r="L1599" s="42"/>
    </row>
    <row r="1600" spans="1:12" ht="15.75" thickBot="1" x14ac:dyDescent="0.3">
      <c r="A1600" s="1"/>
      <c r="B1600" s="43"/>
      <c r="C1600" s="44"/>
      <c r="D1600" s="44"/>
      <c r="E1600" s="44"/>
      <c r="F1600" s="45"/>
      <c r="G1600" s="45"/>
      <c r="H1600" s="44"/>
      <c r="I1600" s="46"/>
      <c r="J1600" s="44"/>
      <c r="K1600" s="44"/>
      <c r="L1600" s="47"/>
    </row>
    <row r="1601" spans="1:12" ht="15.75" thickTop="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 ht="45" customHeight="1" x14ac:dyDescent="0.2">
      <c r="A1602" s="10"/>
      <c r="B1602" s="279"/>
      <c r="C1602" s="279"/>
      <c r="D1602" s="279"/>
      <c r="E1602" s="279"/>
      <c r="F1602" s="279"/>
      <c r="G1602" s="279"/>
      <c r="H1602" s="279"/>
      <c r="I1602" s="279"/>
      <c r="J1602" s="279"/>
      <c r="K1602" s="279"/>
      <c r="L1602" s="279"/>
    </row>
    <row r="1603" spans="1:12" ht="10.5" customHeight="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ht="25.5" customHeight="1" x14ac:dyDescent="0.2">
      <c r="A1604" s="280"/>
      <c r="B1604" s="280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</row>
    <row r="1605" spans="1:12" ht="14.25" customHeight="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ht="9.75" customHeight="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ht="15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ht="15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ht="15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ht="15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ht="15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ht="6" customHeight="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ht="15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ht="15" x14ac:dyDescent="0.25">
      <c r="A1614" s="1"/>
      <c r="B1614" s="37"/>
      <c r="C1614" s="1"/>
      <c r="D1614" s="1"/>
      <c r="E1614" s="1"/>
      <c r="F1614" s="1"/>
      <c r="G1614" s="1"/>
      <c r="H1614" s="37"/>
      <c r="I1614" s="1"/>
      <c r="J1614" s="1"/>
      <c r="K1614" s="1"/>
      <c r="L1614" s="1"/>
    </row>
    <row r="1615" spans="1:12" ht="15" x14ac:dyDescent="0.25">
      <c r="A1615" s="1"/>
      <c r="B1615" s="48"/>
      <c r="C1615" s="7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 ht="15" x14ac:dyDescent="0.25">
      <c r="A1616" s="1"/>
      <c r="B1616" s="48"/>
      <c r="C1616" s="7"/>
      <c r="D1616" s="1"/>
      <c r="E1616" s="1"/>
      <c r="F1616" s="1"/>
      <c r="G1616" s="1"/>
      <c r="H1616" s="1"/>
      <c r="I1616" s="1"/>
      <c r="J1616" s="1"/>
      <c r="K1616" s="1"/>
      <c r="L1616" s="1"/>
    </row>
    <row r="1621" spans="1:12" ht="15.75" x14ac:dyDescent="0.25">
      <c r="A1621" s="3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</row>
    <row r="1622" spans="1:12" ht="15.75" x14ac:dyDescent="0.25">
      <c r="A1622" s="3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</row>
    <row r="1623" spans="1:12" ht="15.75" x14ac:dyDescent="0.25">
      <c r="A1623" s="3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</row>
    <row r="1624" spans="1:12" x14ac:dyDescent="0.2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</row>
    <row r="1625" spans="1:12" x14ac:dyDescent="0.2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</row>
    <row r="1626" spans="1:12" x14ac:dyDescent="0.2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</row>
    <row r="1627" spans="1:12" ht="19.5" thickBot="1" x14ac:dyDescent="0.35">
      <c r="A1627" s="339"/>
      <c r="B1627" s="339"/>
      <c r="C1627" s="339"/>
      <c r="D1627" s="339"/>
      <c r="E1627" s="339"/>
      <c r="F1627" s="339"/>
      <c r="G1627" s="339"/>
      <c r="H1627" s="339"/>
      <c r="I1627" s="339"/>
      <c r="J1627" s="339"/>
      <c r="K1627" s="339"/>
      <c r="L1627" s="339"/>
    </row>
    <row r="1628" spans="1:12" ht="19.5" thickTop="1" x14ac:dyDescent="0.3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</row>
    <row r="1629" spans="1:12" ht="12" customHeight="1" x14ac:dyDescent="0.3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</row>
    <row r="1630" spans="1:12" ht="15" x14ac:dyDescent="0.25">
      <c r="A1630" s="1"/>
      <c r="B1630" s="1"/>
      <c r="C1630" s="4"/>
      <c r="D1630" s="4"/>
      <c r="E1630" s="4"/>
      <c r="F1630" s="4"/>
      <c r="G1630" s="4"/>
      <c r="H1630" s="4"/>
      <c r="I1630" s="4"/>
      <c r="J1630" s="4"/>
      <c r="K1630" s="4"/>
      <c r="L1630" s="4"/>
    </row>
    <row r="1631" spans="1:12" ht="15" x14ac:dyDescent="0.25">
      <c r="A1631" s="1"/>
      <c r="B1631" s="1"/>
      <c r="C1631" s="4"/>
      <c r="D1631" s="4"/>
      <c r="E1631" s="4"/>
      <c r="F1631" s="4"/>
      <c r="G1631" s="4"/>
      <c r="H1631" s="4"/>
      <c r="I1631" s="4"/>
      <c r="J1631" s="4"/>
      <c r="K1631" s="4"/>
      <c r="L1631" s="4"/>
    </row>
    <row r="1632" spans="1:12" ht="15" x14ac:dyDescent="0.25">
      <c r="A1632" s="1"/>
      <c r="B1632" s="1"/>
      <c r="C1632" s="4"/>
      <c r="D1632" s="4"/>
      <c r="E1632" s="4"/>
      <c r="F1632" s="4"/>
      <c r="G1632" s="4"/>
      <c r="H1632" s="4"/>
      <c r="I1632" s="4"/>
      <c r="J1632" s="4"/>
      <c r="K1632" s="4"/>
      <c r="L1632" s="4"/>
    </row>
    <row r="1633" spans="1:12" ht="15" x14ac:dyDescent="0.25">
      <c r="A1633" s="1"/>
      <c r="B1633" s="4"/>
      <c r="C1633" s="9"/>
      <c r="D1633" s="37"/>
      <c r="E1633" s="64"/>
      <c r="F1633" s="4"/>
      <c r="G1633" s="4"/>
      <c r="H1633" s="4"/>
      <c r="I1633" s="4"/>
      <c r="J1633" s="4"/>
      <c r="K1633" s="4"/>
      <c r="L1633" s="4"/>
    </row>
    <row r="1634" spans="1:12" ht="15" x14ac:dyDescent="0.25">
      <c r="A1634" s="1"/>
      <c r="B1634" s="4"/>
      <c r="C1634" s="9"/>
      <c r="D1634" s="1"/>
      <c r="E1634" s="64"/>
      <c r="F1634" s="4"/>
      <c r="G1634" s="4"/>
      <c r="H1634" s="4"/>
      <c r="I1634" s="4"/>
      <c r="J1634" s="4"/>
      <c r="K1634" s="4"/>
      <c r="L1634" s="4"/>
    </row>
    <row r="1635" spans="1:12" ht="15" x14ac:dyDescent="0.25">
      <c r="A1635" s="1"/>
      <c r="B1635" s="4"/>
      <c r="C1635" s="9"/>
      <c r="D1635" s="1"/>
      <c r="E1635" s="64"/>
      <c r="F1635" s="4"/>
      <c r="G1635" s="4"/>
      <c r="H1635" s="4"/>
      <c r="I1635" s="4"/>
      <c r="J1635" s="4"/>
      <c r="K1635" s="4"/>
      <c r="L1635" s="4"/>
    </row>
    <row r="1636" spans="1:12" ht="15" x14ac:dyDescent="0.25">
      <c r="A1636" s="1"/>
      <c r="B1636" s="1"/>
      <c r="C1636" s="4"/>
      <c r="D1636" s="1"/>
      <c r="E1636" s="4"/>
      <c r="F1636" s="4"/>
      <c r="G1636" s="4"/>
      <c r="H1636" s="4"/>
      <c r="I1636" s="4"/>
      <c r="J1636" s="4"/>
      <c r="K1636" s="4"/>
      <c r="L1636" s="4"/>
    </row>
    <row r="1637" spans="1:12" ht="42.75" customHeight="1" x14ac:dyDescent="0.2">
      <c r="A1637" s="280"/>
      <c r="B1637" s="277"/>
      <c r="C1637" s="277"/>
      <c r="D1637" s="277"/>
      <c r="E1637" s="277"/>
      <c r="F1637" s="277"/>
      <c r="G1637" s="277"/>
      <c r="H1637" s="277"/>
      <c r="I1637" s="277"/>
      <c r="J1637" s="277"/>
      <c r="K1637" s="277"/>
      <c r="L1637" s="277"/>
    </row>
    <row r="1638" spans="1:12" ht="15" x14ac:dyDescent="0.25">
      <c r="A1638" s="1"/>
      <c r="B1638" s="1"/>
      <c r="C1638" s="4"/>
      <c r="D1638" s="4"/>
      <c r="E1638" s="4"/>
      <c r="F1638" s="4"/>
      <c r="G1638" s="4"/>
      <c r="H1638" s="4"/>
      <c r="I1638" s="4"/>
      <c r="J1638" s="4"/>
      <c r="K1638" s="4"/>
      <c r="L1638" s="4"/>
    </row>
    <row r="1639" spans="1:12" ht="31.5" customHeight="1" thickBot="1" x14ac:dyDescent="0.25">
      <c r="A1639" s="10"/>
      <c r="B1639" s="337"/>
      <c r="C1639" s="338"/>
      <c r="D1639" s="338"/>
      <c r="E1639" s="338"/>
      <c r="F1639" s="338"/>
      <c r="G1639" s="338"/>
      <c r="H1639" s="338"/>
      <c r="I1639" s="338"/>
      <c r="J1639" s="338"/>
      <c r="K1639" s="338"/>
      <c r="L1639" s="338"/>
    </row>
    <row r="1640" spans="1:12" ht="15.75" thickTop="1" x14ac:dyDescent="0.25">
      <c r="A1640" s="1"/>
      <c r="B1640" s="11"/>
      <c r="C1640" s="12"/>
      <c r="D1640" s="13"/>
      <c r="E1640" s="13"/>
      <c r="F1640" s="13"/>
      <c r="G1640" s="13"/>
      <c r="H1640" s="14"/>
      <c r="I1640" s="15"/>
      <c r="J1640" s="12"/>
      <c r="K1640" s="13"/>
      <c r="L1640" s="14"/>
    </row>
    <row r="1641" spans="1:12" ht="24" customHeight="1" x14ac:dyDescent="0.2">
      <c r="A1641" s="50"/>
      <c r="B1641" s="60"/>
      <c r="C1641" s="50"/>
      <c r="D1641" s="50"/>
      <c r="E1641" s="50"/>
      <c r="F1641" s="50"/>
      <c r="G1641" s="54"/>
      <c r="H1641" s="55"/>
      <c r="I1641" s="56"/>
      <c r="J1641" s="50"/>
      <c r="K1641" s="50"/>
      <c r="L1641" s="55"/>
    </row>
    <row r="1642" spans="1:12" x14ac:dyDescent="0.2">
      <c r="A1642" s="76"/>
      <c r="B1642" s="77"/>
      <c r="C1642" s="76"/>
      <c r="D1642" s="76"/>
      <c r="E1642" s="76"/>
      <c r="F1642" s="76"/>
      <c r="G1642" s="78"/>
      <c r="H1642" s="79"/>
      <c r="I1642" s="80"/>
      <c r="J1642" s="76"/>
      <c r="K1642" s="76"/>
      <c r="L1642" s="79"/>
    </row>
    <row r="1643" spans="1:12" x14ac:dyDescent="0.2">
      <c r="A1643" s="4"/>
      <c r="B1643" s="16"/>
      <c r="C1643" s="4"/>
      <c r="D1643" s="4"/>
      <c r="E1643" s="4"/>
      <c r="F1643" s="4"/>
      <c r="G1643" s="4"/>
      <c r="H1643" s="17"/>
      <c r="I1643" s="19"/>
      <c r="J1643" s="4"/>
      <c r="K1643" s="4"/>
      <c r="L1643" s="17"/>
    </row>
    <row r="1644" spans="1:12" x14ac:dyDescent="0.2">
      <c r="A1644" s="4"/>
      <c r="B1644" s="16"/>
      <c r="C1644" s="4"/>
      <c r="D1644" s="4"/>
      <c r="E1644" s="4"/>
      <c r="F1644" s="4"/>
      <c r="G1644" s="4"/>
      <c r="H1644" s="17"/>
      <c r="I1644" s="19"/>
      <c r="J1644" s="4"/>
      <c r="K1644" s="4"/>
      <c r="L1644" s="17"/>
    </row>
    <row r="1645" spans="1:12" x14ac:dyDescent="0.2">
      <c r="A1645" s="4"/>
      <c r="B1645" s="16"/>
      <c r="C1645" s="4"/>
      <c r="D1645" s="4"/>
      <c r="E1645" s="4"/>
      <c r="F1645" s="4"/>
      <c r="G1645" s="4"/>
      <c r="H1645" s="17"/>
      <c r="I1645" s="19"/>
      <c r="J1645" s="4"/>
      <c r="K1645" s="4"/>
      <c r="L1645" s="17"/>
    </row>
    <row r="1646" spans="1:12" x14ac:dyDescent="0.2">
      <c r="A1646" s="4"/>
      <c r="B1646" s="20"/>
      <c r="C1646" s="21"/>
      <c r="D1646" s="21"/>
      <c r="E1646" s="21"/>
      <c r="F1646" s="21"/>
      <c r="G1646" s="21"/>
      <c r="H1646" s="22"/>
      <c r="I1646" s="23"/>
      <c r="J1646" s="21"/>
      <c r="K1646" s="21"/>
      <c r="L1646" s="22"/>
    </row>
    <row r="1647" spans="1:12" ht="15" x14ac:dyDescent="0.25">
      <c r="A1647" s="1"/>
      <c r="B1647" s="39"/>
      <c r="C1647" s="1"/>
      <c r="D1647" s="1"/>
      <c r="E1647" s="1"/>
      <c r="F1647" s="40"/>
      <c r="G1647" s="40"/>
      <c r="H1647" s="1"/>
      <c r="I1647" s="41"/>
      <c r="J1647" s="1"/>
      <c r="K1647" s="1"/>
      <c r="L1647" s="42"/>
    </row>
    <row r="1648" spans="1:12" ht="15.75" thickBot="1" x14ac:dyDescent="0.3">
      <c r="A1648" s="1"/>
      <c r="B1648" s="43"/>
      <c r="C1648" s="44"/>
      <c r="D1648" s="44"/>
      <c r="E1648" s="44"/>
      <c r="F1648" s="45"/>
      <c r="G1648" s="45"/>
      <c r="H1648" s="44"/>
      <c r="I1648" s="46"/>
      <c r="J1648" s="44"/>
      <c r="K1648" s="44"/>
      <c r="L1648" s="47"/>
    </row>
    <row r="1649" spans="1:12" ht="15.75" thickTop="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 ht="46.5" customHeight="1" x14ac:dyDescent="0.2">
      <c r="A1650" s="10"/>
      <c r="B1650" s="279"/>
      <c r="C1650" s="279"/>
      <c r="D1650" s="279"/>
      <c r="E1650" s="279"/>
      <c r="F1650" s="279"/>
      <c r="G1650" s="279"/>
      <c r="H1650" s="279"/>
      <c r="I1650" s="279"/>
      <c r="J1650" s="279"/>
      <c r="K1650" s="279"/>
      <c r="L1650" s="279"/>
    </row>
    <row r="1651" spans="1:12" ht="11.25" customHeight="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 ht="20.25" customHeight="1" x14ac:dyDescent="0.2">
      <c r="A1652" s="280"/>
      <c r="B1652" s="280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</row>
    <row r="1653" spans="1:12" ht="15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ht="15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ht="15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 ht="15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 ht="15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ht="15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ht="15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ht="15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ht="7.5" customHeight="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ht="15" x14ac:dyDescent="0.25">
      <c r="A1662" s="1"/>
      <c r="B1662" s="37"/>
      <c r="C1662" s="1"/>
      <c r="D1662" s="1"/>
      <c r="E1662" s="1"/>
      <c r="F1662" s="1"/>
      <c r="G1662" s="1"/>
      <c r="H1662" s="37"/>
      <c r="I1662" s="1"/>
      <c r="J1662" s="1"/>
      <c r="K1662" s="1"/>
      <c r="L1662" s="1"/>
    </row>
    <row r="1663" spans="1:12" ht="15" x14ac:dyDescent="0.25">
      <c r="A1663" s="1"/>
      <c r="B1663" s="48"/>
      <c r="C1663" s="7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ht="15" x14ac:dyDescent="0.25">
      <c r="A1664" s="1"/>
      <c r="B1664" s="48"/>
      <c r="C1664" s="7"/>
      <c r="D1664" s="1"/>
      <c r="E1664" s="1"/>
      <c r="F1664" s="1"/>
      <c r="G1664" s="1"/>
      <c r="H1664" s="1"/>
      <c r="I1664" s="1"/>
      <c r="J1664" s="1"/>
      <c r="K1664" s="1"/>
      <c r="L1664" s="1"/>
    </row>
    <row r="1667" spans="1:12" ht="15.75" x14ac:dyDescent="0.25">
      <c r="A1667" s="3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</row>
    <row r="1668" spans="1:12" ht="15.75" x14ac:dyDescent="0.25">
      <c r="A1668" s="3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</row>
    <row r="1669" spans="1:12" ht="15.75" x14ac:dyDescent="0.25">
      <c r="A1669" s="3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</row>
    <row r="1670" spans="1:12" x14ac:dyDescent="0.2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</row>
    <row r="1671" spans="1:12" x14ac:dyDescent="0.2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</row>
    <row r="1672" spans="1:12" x14ac:dyDescent="0.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</row>
    <row r="1673" spans="1:12" ht="19.5" thickBot="1" x14ac:dyDescent="0.35">
      <c r="A1673" s="339"/>
      <c r="B1673" s="339"/>
      <c r="C1673" s="339"/>
      <c r="D1673" s="339"/>
      <c r="E1673" s="339"/>
      <c r="F1673" s="339"/>
      <c r="G1673" s="339"/>
      <c r="H1673" s="339"/>
      <c r="I1673" s="339"/>
      <c r="J1673" s="339"/>
      <c r="K1673" s="339"/>
      <c r="L1673" s="339"/>
    </row>
    <row r="1674" spans="1:12" ht="19.5" thickTop="1" x14ac:dyDescent="0.3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</row>
    <row r="1675" spans="1:12" ht="12" customHeight="1" x14ac:dyDescent="0.3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</row>
    <row r="1676" spans="1:12" ht="15" x14ac:dyDescent="0.25">
      <c r="A1676" s="1"/>
      <c r="B1676" s="1"/>
      <c r="C1676" s="4"/>
      <c r="D1676" s="4"/>
      <c r="E1676" s="4"/>
      <c r="F1676" s="4"/>
      <c r="G1676" s="4"/>
      <c r="H1676" s="4"/>
      <c r="I1676" s="4"/>
      <c r="J1676" s="4"/>
      <c r="K1676" s="4"/>
      <c r="L1676" s="4"/>
    </row>
    <row r="1677" spans="1:12" ht="15" x14ac:dyDescent="0.25">
      <c r="A1677" s="1"/>
      <c r="B1677" s="1"/>
      <c r="C1677" s="4"/>
      <c r="D1677" s="4"/>
      <c r="E1677" s="4"/>
      <c r="F1677" s="4"/>
      <c r="G1677" s="4"/>
      <c r="H1677" s="4"/>
      <c r="I1677" s="4"/>
      <c r="J1677" s="4"/>
      <c r="K1677" s="4"/>
      <c r="L1677" s="4"/>
    </row>
    <row r="1678" spans="1:12" ht="15" x14ac:dyDescent="0.25">
      <c r="A1678" s="1"/>
      <c r="B1678" s="1"/>
      <c r="C1678" s="4"/>
      <c r="D1678" s="4"/>
      <c r="E1678" s="4"/>
      <c r="F1678" s="4"/>
      <c r="G1678" s="4"/>
      <c r="H1678" s="4"/>
      <c r="I1678" s="4"/>
      <c r="J1678" s="4"/>
      <c r="K1678" s="4"/>
      <c r="L1678" s="4"/>
    </row>
    <row r="1679" spans="1:12" ht="15" x14ac:dyDescent="0.25">
      <c r="A1679" s="1"/>
      <c r="B1679" s="4"/>
      <c r="C1679" s="9"/>
      <c r="D1679" s="37"/>
      <c r="E1679" s="64"/>
      <c r="F1679" s="4"/>
      <c r="G1679" s="4"/>
      <c r="H1679" s="4"/>
      <c r="I1679" s="4"/>
      <c r="J1679" s="4"/>
      <c r="K1679" s="4"/>
      <c r="L1679" s="4"/>
    </row>
    <row r="1680" spans="1:12" ht="15" x14ac:dyDescent="0.25">
      <c r="A1680" s="1"/>
      <c r="B1680" s="4"/>
      <c r="C1680" s="9"/>
      <c r="D1680" s="1"/>
      <c r="E1680" s="64"/>
      <c r="F1680" s="4"/>
      <c r="G1680" s="4"/>
      <c r="H1680" s="4"/>
      <c r="I1680" s="4"/>
      <c r="J1680" s="4"/>
      <c r="K1680" s="4"/>
      <c r="L1680" s="4"/>
    </row>
    <row r="1681" spans="1:12" ht="15" x14ac:dyDescent="0.25">
      <c r="A1681" s="1"/>
      <c r="B1681" s="4"/>
      <c r="C1681" s="9"/>
      <c r="D1681" s="1"/>
      <c r="E1681" s="64"/>
      <c r="F1681" s="4"/>
      <c r="G1681" s="4"/>
      <c r="H1681" s="4"/>
      <c r="I1681" s="4"/>
      <c r="J1681" s="4"/>
      <c r="K1681" s="4"/>
      <c r="L1681" s="4"/>
    </row>
    <row r="1682" spans="1:12" ht="15" x14ac:dyDescent="0.25">
      <c r="A1682" s="1"/>
      <c r="B1682" s="1"/>
      <c r="C1682" s="4"/>
      <c r="D1682" s="1"/>
      <c r="E1682" s="4"/>
      <c r="F1682" s="4"/>
      <c r="G1682" s="4"/>
      <c r="H1682" s="4"/>
      <c r="I1682" s="4"/>
      <c r="J1682" s="4"/>
      <c r="K1682" s="4"/>
      <c r="L1682" s="4"/>
    </row>
    <row r="1683" spans="1:12" ht="38.25" customHeight="1" x14ac:dyDescent="0.2">
      <c r="A1683" s="280"/>
      <c r="B1683" s="277"/>
      <c r="C1683" s="277"/>
      <c r="D1683" s="277"/>
      <c r="E1683" s="277"/>
      <c r="F1683" s="277"/>
      <c r="G1683" s="277"/>
      <c r="H1683" s="277"/>
      <c r="I1683" s="277"/>
      <c r="J1683" s="277"/>
      <c r="K1683" s="277"/>
      <c r="L1683" s="277"/>
    </row>
    <row r="1684" spans="1:12" ht="15" x14ac:dyDescent="0.25">
      <c r="A1684" s="1"/>
      <c r="B1684" s="1"/>
      <c r="C1684" s="4"/>
      <c r="D1684" s="4"/>
      <c r="E1684" s="4"/>
      <c r="F1684" s="4"/>
      <c r="G1684" s="4"/>
      <c r="H1684" s="4"/>
      <c r="I1684" s="4"/>
      <c r="J1684" s="4"/>
      <c r="K1684" s="4"/>
      <c r="L1684" s="4"/>
    </row>
    <row r="1685" spans="1:12" ht="36" customHeight="1" thickBot="1" x14ac:dyDescent="0.25">
      <c r="A1685" s="10"/>
      <c r="B1685" s="337"/>
      <c r="C1685" s="338"/>
      <c r="D1685" s="338"/>
      <c r="E1685" s="338"/>
      <c r="F1685" s="338"/>
      <c r="G1685" s="338"/>
      <c r="H1685" s="338"/>
      <c r="I1685" s="338"/>
      <c r="J1685" s="338"/>
      <c r="K1685" s="338"/>
      <c r="L1685" s="338"/>
    </row>
    <row r="1686" spans="1:12" ht="15.75" thickTop="1" x14ac:dyDescent="0.25">
      <c r="A1686" s="1"/>
      <c r="B1686" s="11"/>
      <c r="C1686" s="12"/>
      <c r="D1686" s="13"/>
      <c r="E1686" s="13"/>
      <c r="F1686" s="13"/>
      <c r="G1686" s="13"/>
      <c r="H1686" s="14"/>
      <c r="I1686" s="15"/>
      <c r="J1686" s="12"/>
      <c r="K1686" s="13"/>
      <c r="L1686" s="14"/>
    </row>
    <row r="1687" spans="1:12" ht="21.75" customHeight="1" x14ac:dyDescent="0.2">
      <c r="A1687" s="50"/>
      <c r="B1687" s="60"/>
      <c r="C1687" s="50"/>
      <c r="D1687" s="50"/>
      <c r="E1687" s="50"/>
      <c r="F1687" s="50"/>
      <c r="G1687" s="54"/>
      <c r="H1687" s="55"/>
      <c r="I1687" s="56"/>
      <c r="J1687" s="50"/>
      <c r="K1687" s="50"/>
      <c r="L1687" s="55"/>
    </row>
    <row r="1688" spans="1:12" x14ac:dyDescent="0.2">
      <c r="A1688" s="76"/>
      <c r="B1688" s="77"/>
      <c r="C1688" s="76"/>
      <c r="D1688" s="76"/>
      <c r="E1688" s="76"/>
      <c r="F1688" s="76"/>
      <c r="G1688" s="78"/>
      <c r="H1688" s="79"/>
      <c r="I1688" s="80"/>
      <c r="J1688" s="76"/>
      <c r="K1688" s="76"/>
      <c r="L1688" s="79"/>
    </row>
    <row r="1689" spans="1:12" x14ac:dyDescent="0.2">
      <c r="A1689" s="4"/>
      <c r="B1689" s="16"/>
      <c r="C1689" s="4"/>
      <c r="D1689" s="4"/>
      <c r="E1689" s="4"/>
      <c r="F1689" s="4"/>
      <c r="G1689" s="4"/>
      <c r="H1689" s="17"/>
      <c r="I1689" s="19"/>
      <c r="J1689" s="4"/>
      <c r="K1689" s="4"/>
      <c r="L1689" s="17"/>
    </row>
    <row r="1690" spans="1:12" x14ac:dyDescent="0.2">
      <c r="A1690" s="4"/>
      <c r="B1690" s="16"/>
      <c r="C1690" s="4"/>
      <c r="D1690" s="4"/>
      <c r="E1690" s="4"/>
      <c r="F1690" s="4"/>
      <c r="G1690" s="4"/>
      <c r="H1690" s="17"/>
      <c r="I1690" s="19"/>
      <c r="J1690" s="4"/>
      <c r="K1690" s="4"/>
      <c r="L1690" s="17"/>
    </row>
    <row r="1691" spans="1:12" x14ac:dyDescent="0.2">
      <c r="A1691" s="4"/>
      <c r="B1691" s="16"/>
      <c r="C1691" s="4"/>
      <c r="D1691" s="4"/>
      <c r="E1691" s="4"/>
      <c r="F1691" s="4"/>
      <c r="G1691" s="4"/>
      <c r="H1691" s="17"/>
      <c r="I1691" s="19"/>
      <c r="J1691" s="4"/>
      <c r="K1691" s="4"/>
      <c r="L1691" s="17"/>
    </row>
    <row r="1692" spans="1:12" x14ac:dyDescent="0.2">
      <c r="A1692" s="4"/>
      <c r="B1692" s="20"/>
      <c r="C1692" s="21"/>
      <c r="D1692" s="21"/>
      <c r="E1692" s="21"/>
      <c r="F1692" s="21"/>
      <c r="G1692" s="21"/>
      <c r="H1692" s="22"/>
      <c r="I1692" s="23"/>
      <c r="J1692" s="21"/>
      <c r="K1692" s="21"/>
      <c r="L1692" s="22"/>
    </row>
    <row r="1693" spans="1:12" ht="15" x14ac:dyDescent="0.25">
      <c r="A1693" s="1"/>
      <c r="B1693" s="39"/>
      <c r="C1693" s="1"/>
      <c r="D1693" s="1"/>
      <c r="E1693" s="1"/>
      <c r="F1693" s="40"/>
      <c r="G1693" s="40"/>
      <c r="H1693" s="1"/>
      <c r="I1693" s="41"/>
      <c r="J1693" s="1"/>
      <c r="K1693" s="1"/>
      <c r="L1693" s="42"/>
    </row>
    <row r="1694" spans="1:12" ht="15.75" thickBot="1" x14ac:dyDescent="0.3">
      <c r="A1694" s="1"/>
      <c r="B1694" s="43"/>
      <c r="C1694" s="44"/>
      <c r="D1694" s="44"/>
      <c r="E1694" s="44"/>
      <c r="F1694" s="45"/>
      <c r="G1694" s="45"/>
      <c r="H1694" s="44"/>
      <c r="I1694" s="46"/>
      <c r="J1694" s="44"/>
      <c r="K1694" s="44"/>
      <c r="L1694" s="47"/>
    </row>
    <row r="1695" spans="1:12" ht="15.75" thickTop="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ht="49.5" customHeight="1" x14ac:dyDescent="0.2">
      <c r="A1696" s="10"/>
      <c r="B1696" s="279"/>
      <c r="C1696" s="279"/>
      <c r="D1696" s="279"/>
      <c r="E1696" s="279"/>
      <c r="F1696" s="279"/>
      <c r="G1696" s="279"/>
      <c r="H1696" s="279"/>
      <c r="I1696" s="279"/>
      <c r="J1696" s="279"/>
      <c r="K1696" s="279"/>
      <c r="L1696" s="279"/>
    </row>
    <row r="1697" spans="1:12" ht="14.25" customHeight="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ht="20.25" customHeight="1" x14ac:dyDescent="0.2">
      <c r="A1698" s="280"/>
      <c r="B1698" s="280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</row>
    <row r="1699" spans="1:12" ht="14.25" customHeight="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ht="15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 ht="15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 ht="15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 ht="15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 ht="15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 ht="15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 ht="6.75" customHeight="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ht="15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ht="15" x14ac:dyDescent="0.25">
      <c r="A1708" s="1"/>
      <c r="B1708" s="37"/>
      <c r="C1708" s="1"/>
      <c r="D1708" s="1"/>
      <c r="E1708" s="1"/>
      <c r="F1708" s="1"/>
      <c r="G1708" s="1"/>
      <c r="H1708" s="37"/>
      <c r="I1708" s="1"/>
      <c r="J1708" s="1"/>
      <c r="K1708" s="1"/>
      <c r="L1708" s="1"/>
    </row>
    <row r="1709" spans="1:12" ht="15" x14ac:dyDescent="0.25">
      <c r="A1709" s="1"/>
      <c r="B1709" s="48"/>
      <c r="C1709" s="7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 ht="15" x14ac:dyDescent="0.25">
      <c r="A1710" s="1"/>
      <c r="B1710" s="48"/>
      <c r="C1710" s="7"/>
      <c r="D1710" s="1"/>
      <c r="E1710" s="1"/>
      <c r="F1710" s="1"/>
      <c r="G1710" s="1"/>
      <c r="H1710" s="1"/>
      <c r="I1710" s="1"/>
      <c r="J1710" s="1"/>
      <c r="K1710" s="1"/>
      <c r="L1710" s="1"/>
    </row>
    <row r="1713" spans="1:12" ht="15.75" x14ac:dyDescent="0.25">
      <c r="A1713" s="3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</row>
    <row r="1714" spans="1:12" ht="15.75" x14ac:dyDescent="0.2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</row>
    <row r="1715" spans="1:12" ht="15.75" x14ac:dyDescent="0.25">
      <c r="A1715" s="3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</row>
    <row r="1716" spans="1:12" x14ac:dyDescent="0.2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</row>
    <row r="1717" spans="1:12" x14ac:dyDescent="0.2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</row>
    <row r="1718" spans="1:12" x14ac:dyDescent="0.2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</row>
    <row r="1719" spans="1:12" ht="19.5" thickBot="1" x14ac:dyDescent="0.35">
      <c r="A1719" s="339"/>
      <c r="B1719" s="339"/>
      <c r="C1719" s="339"/>
      <c r="D1719" s="339"/>
      <c r="E1719" s="339"/>
      <c r="F1719" s="339"/>
      <c r="G1719" s="339"/>
      <c r="H1719" s="339"/>
      <c r="I1719" s="339"/>
      <c r="J1719" s="339"/>
      <c r="K1719" s="339"/>
      <c r="L1719" s="339"/>
    </row>
    <row r="1720" spans="1:12" ht="19.5" thickTop="1" x14ac:dyDescent="0.3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</row>
    <row r="1721" spans="1:12" ht="10.5" customHeight="1" x14ac:dyDescent="0.3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</row>
    <row r="1722" spans="1:12" ht="15" x14ac:dyDescent="0.25">
      <c r="A1722" s="1"/>
      <c r="B1722" s="1"/>
      <c r="C1722" s="4"/>
      <c r="D1722" s="4"/>
      <c r="E1722" s="4"/>
      <c r="F1722" s="4"/>
      <c r="G1722" s="4"/>
      <c r="H1722" s="4"/>
      <c r="I1722" s="4"/>
      <c r="J1722" s="4"/>
      <c r="K1722" s="4"/>
      <c r="L1722" s="4"/>
    </row>
    <row r="1723" spans="1:12" ht="15" x14ac:dyDescent="0.25">
      <c r="A1723" s="1"/>
      <c r="B1723" s="1"/>
      <c r="C1723" s="4"/>
      <c r="D1723" s="4"/>
      <c r="E1723" s="4"/>
      <c r="F1723" s="4"/>
      <c r="G1723" s="4"/>
      <c r="H1723" s="4"/>
      <c r="I1723" s="4"/>
      <c r="J1723" s="4"/>
      <c r="K1723" s="4"/>
      <c r="L1723" s="4"/>
    </row>
    <row r="1724" spans="1:12" ht="15" x14ac:dyDescent="0.25">
      <c r="A1724" s="1"/>
      <c r="B1724" s="1"/>
      <c r="C1724" s="4"/>
      <c r="D1724" s="4"/>
      <c r="E1724" s="4"/>
      <c r="F1724" s="4"/>
      <c r="G1724" s="4"/>
      <c r="H1724" s="4"/>
      <c r="I1724" s="4"/>
      <c r="J1724" s="4"/>
      <c r="K1724" s="4"/>
      <c r="L1724" s="4"/>
    </row>
    <row r="1725" spans="1:12" ht="15" x14ac:dyDescent="0.25">
      <c r="A1725" s="1"/>
      <c r="B1725" s="4"/>
      <c r="C1725" s="9"/>
      <c r="D1725" s="37"/>
      <c r="E1725" s="64"/>
      <c r="F1725" s="4"/>
      <c r="G1725" s="4"/>
      <c r="H1725" s="4"/>
      <c r="I1725" s="4"/>
      <c r="J1725" s="4"/>
      <c r="K1725" s="4"/>
      <c r="L1725" s="4"/>
    </row>
    <row r="1726" spans="1:12" ht="15" x14ac:dyDescent="0.25">
      <c r="A1726" s="1"/>
      <c r="B1726" s="4"/>
      <c r="C1726" s="9"/>
      <c r="D1726" s="48"/>
      <c r="E1726" s="64"/>
      <c r="F1726" s="4"/>
      <c r="G1726" s="4"/>
      <c r="H1726" s="4"/>
      <c r="I1726" s="4"/>
      <c r="J1726" s="4"/>
      <c r="K1726" s="4"/>
      <c r="L1726" s="4"/>
    </row>
    <row r="1727" spans="1:12" ht="15" x14ac:dyDescent="0.25">
      <c r="A1727" s="1"/>
      <c r="B1727" s="4"/>
      <c r="C1727" s="9"/>
      <c r="D1727" s="48"/>
      <c r="E1727" s="64"/>
      <c r="F1727" s="4"/>
      <c r="G1727" s="4"/>
      <c r="H1727" s="4"/>
      <c r="I1727" s="4"/>
      <c r="J1727" s="4"/>
      <c r="K1727" s="4"/>
      <c r="L1727" s="4"/>
    </row>
    <row r="1728" spans="1:12" ht="15" x14ac:dyDescent="0.25">
      <c r="A1728" s="1"/>
      <c r="B1728" s="1"/>
      <c r="C1728" s="4"/>
      <c r="D1728" s="1"/>
      <c r="E1728" s="4"/>
      <c r="F1728" s="4"/>
      <c r="G1728" s="4"/>
      <c r="H1728" s="4"/>
      <c r="I1728" s="4"/>
      <c r="J1728" s="4"/>
      <c r="K1728" s="4"/>
      <c r="L1728" s="4"/>
    </row>
    <row r="1729" spans="1:12" ht="37.5" customHeight="1" x14ac:dyDescent="0.2">
      <c r="A1729" s="280"/>
      <c r="B1729" s="277"/>
      <c r="C1729" s="277"/>
      <c r="D1729" s="277"/>
      <c r="E1729" s="277"/>
      <c r="F1729" s="277"/>
      <c r="G1729" s="277"/>
      <c r="H1729" s="277"/>
      <c r="I1729" s="277"/>
      <c r="J1729" s="277"/>
      <c r="K1729" s="277"/>
      <c r="L1729" s="277"/>
    </row>
    <row r="1730" spans="1:12" ht="15" x14ac:dyDescent="0.25">
      <c r="A1730" s="1"/>
      <c r="B1730" s="1"/>
      <c r="C1730" s="4"/>
      <c r="D1730" s="4"/>
      <c r="E1730" s="4"/>
      <c r="F1730" s="4"/>
      <c r="G1730" s="4"/>
      <c r="H1730" s="4"/>
      <c r="I1730" s="4"/>
      <c r="J1730" s="4"/>
      <c r="K1730" s="4"/>
      <c r="L1730" s="4"/>
    </row>
    <row r="1731" spans="1:12" ht="39" customHeight="1" thickBot="1" x14ac:dyDescent="0.25">
      <c r="A1731" s="10"/>
      <c r="B1731" s="337"/>
      <c r="C1731" s="338"/>
      <c r="D1731" s="338"/>
      <c r="E1731" s="338"/>
      <c r="F1731" s="338"/>
      <c r="G1731" s="338"/>
      <c r="H1731" s="338"/>
      <c r="I1731" s="338"/>
      <c r="J1731" s="338"/>
      <c r="K1731" s="338"/>
      <c r="L1731" s="338"/>
    </row>
    <row r="1732" spans="1:12" ht="15.75" thickTop="1" x14ac:dyDescent="0.25">
      <c r="A1732" s="1"/>
      <c r="B1732" s="11"/>
      <c r="C1732" s="12"/>
      <c r="D1732" s="13"/>
      <c r="E1732" s="13"/>
      <c r="F1732" s="13"/>
      <c r="G1732" s="13"/>
      <c r="H1732" s="14"/>
      <c r="I1732" s="15"/>
      <c r="J1732" s="12"/>
      <c r="K1732" s="13"/>
      <c r="L1732" s="14"/>
    </row>
    <row r="1733" spans="1:12" ht="21" customHeight="1" x14ac:dyDescent="0.2">
      <c r="A1733" s="50"/>
      <c r="B1733" s="60"/>
      <c r="C1733" s="50"/>
      <c r="D1733" s="50"/>
      <c r="E1733" s="50"/>
      <c r="F1733" s="50"/>
      <c r="G1733" s="54"/>
      <c r="H1733" s="55"/>
      <c r="I1733" s="56"/>
      <c r="J1733" s="50"/>
      <c r="K1733" s="50"/>
      <c r="L1733" s="55"/>
    </row>
    <row r="1734" spans="1:12" ht="21" customHeight="1" x14ac:dyDescent="0.2">
      <c r="A1734" s="76"/>
      <c r="B1734" s="77"/>
      <c r="C1734" s="76"/>
      <c r="D1734" s="76"/>
      <c r="E1734" s="76"/>
      <c r="F1734" s="76"/>
      <c r="G1734" s="78"/>
      <c r="H1734" s="79"/>
      <c r="I1734" s="80"/>
      <c r="J1734" s="76"/>
      <c r="K1734" s="76"/>
      <c r="L1734" s="79"/>
    </row>
    <row r="1735" spans="1:12" x14ac:dyDescent="0.2">
      <c r="A1735" s="4"/>
      <c r="B1735" s="16"/>
      <c r="C1735" s="4"/>
      <c r="D1735" s="4"/>
      <c r="E1735" s="4"/>
      <c r="F1735" s="4"/>
      <c r="G1735" s="4"/>
      <c r="H1735" s="17"/>
      <c r="I1735" s="19"/>
      <c r="J1735" s="4"/>
      <c r="K1735" s="4"/>
      <c r="L1735" s="17"/>
    </row>
    <row r="1736" spans="1:12" x14ac:dyDescent="0.2">
      <c r="A1736" s="4"/>
      <c r="B1736" s="16"/>
      <c r="C1736" s="4"/>
      <c r="D1736" s="4"/>
      <c r="E1736" s="4"/>
      <c r="F1736" s="4"/>
      <c r="G1736" s="4"/>
      <c r="H1736" s="17"/>
      <c r="I1736" s="19"/>
      <c r="J1736" s="4"/>
      <c r="K1736" s="4"/>
      <c r="L1736" s="17"/>
    </row>
    <row r="1737" spans="1:12" x14ac:dyDescent="0.2">
      <c r="A1737" s="4"/>
      <c r="B1737" s="16"/>
      <c r="C1737" s="4"/>
      <c r="D1737" s="4"/>
      <c r="E1737" s="4"/>
      <c r="F1737" s="4"/>
      <c r="G1737" s="4"/>
      <c r="H1737" s="17"/>
      <c r="I1737" s="19"/>
      <c r="J1737" s="4"/>
      <c r="K1737" s="4"/>
      <c r="L1737" s="17"/>
    </row>
    <row r="1738" spans="1:12" x14ac:dyDescent="0.2">
      <c r="A1738" s="4"/>
      <c r="B1738" s="20"/>
      <c r="C1738" s="21"/>
      <c r="D1738" s="21"/>
      <c r="E1738" s="21"/>
      <c r="F1738" s="21"/>
      <c r="G1738" s="21"/>
      <c r="H1738" s="22"/>
      <c r="I1738" s="23"/>
      <c r="J1738" s="21"/>
      <c r="K1738" s="21"/>
      <c r="L1738" s="22"/>
    </row>
    <row r="1739" spans="1:12" ht="15" x14ac:dyDescent="0.25">
      <c r="A1739" s="1"/>
      <c r="B1739" s="39"/>
      <c r="C1739" s="1"/>
      <c r="D1739" s="1"/>
      <c r="E1739" s="1"/>
      <c r="F1739" s="40"/>
      <c r="G1739" s="40"/>
      <c r="H1739" s="1"/>
      <c r="I1739" s="41"/>
      <c r="J1739" s="1"/>
      <c r="K1739" s="1"/>
      <c r="L1739" s="42"/>
    </row>
    <row r="1740" spans="1:12" ht="15.75" thickBot="1" x14ac:dyDescent="0.3">
      <c r="A1740" s="1"/>
      <c r="B1740" s="43"/>
      <c r="C1740" s="44"/>
      <c r="D1740" s="44"/>
      <c r="E1740" s="44"/>
      <c r="F1740" s="45"/>
      <c r="G1740" s="45"/>
      <c r="H1740" s="44"/>
      <c r="I1740" s="46"/>
      <c r="J1740" s="44"/>
      <c r="K1740" s="44"/>
      <c r="L1740" s="47"/>
    </row>
    <row r="1741" spans="1:12" ht="15.75" thickTop="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 ht="52.5" customHeight="1" x14ac:dyDescent="0.2">
      <c r="A1742" s="10"/>
      <c r="B1742" s="279"/>
      <c r="C1742" s="279"/>
      <c r="D1742" s="279"/>
      <c r="E1742" s="279"/>
      <c r="F1742" s="279"/>
      <c r="G1742" s="279"/>
      <c r="H1742" s="279"/>
      <c r="I1742" s="279"/>
      <c r="J1742" s="279"/>
      <c r="K1742" s="279"/>
      <c r="L1742" s="279"/>
    </row>
    <row r="1743" spans="1:12" ht="12" customHeight="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 ht="15" x14ac:dyDescent="0.2">
      <c r="A1744" s="280"/>
      <c r="B1744" s="280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</row>
    <row r="1745" spans="1:12" ht="15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 ht="15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 ht="15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 ht="15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 ht="15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 ht="15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 ht="15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 ht="15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 ht="10.5" customHeight="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 ht="15" x14ac:dyDescent="0.25">
      <c r="A1754" s="1"/>
      <c r="B1754" s="37"/>
      <c r="C1754" s="1"/>
      <c r="D1754" s="1"/>
      <c r="E1754" s="1"/>
      <c r="F1754" s="1"/>
      <c r="G1754" s="1"/>
      <c r="H1754" s="37"/>
      <c r="I1754" s="1"/>
      <c r="J1754" s="1"/>
      <c r="K1754" s="1"/>
      <c r="L1754" s="1"/>
    </row>
    <row r="1755" spans="1:12" ht="15" x14ac:dyDescent="0.25">
      <c r="A1755" s="1"/>
      <c r="B1755" s="48"/>
      <c r="C1755" s="7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 ht="15" x14ac:dyDescent="0.25">
      <c r="A1756" s="1"/>
      <c r="B1756" s="48"/>
      <c r="C1756" s="7"/>
      <c r="D1756" s="1"/>
      <c r="E1756" s="1"/>
      <c r="F1756" s="1"/>
      <c r="G1756" s="1"/>
      <c r="H1756" s="1"/>
      <c r="I1756" s="1"/>
      <c r="J1756" s="1"/>
      <c r="K1756" s="1"/>
      <c r="L1756" s="1"/>
    </row>
    <row r="1761" spans="1:12" ht="15.75" x14ac:dyDescent="0.25">
      <c r="A1761" s="3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</row>
    <row r="1762" spans="1:12" ht="15.75" x14ac:dyDescent="0.25">
      <c r="A1762" s="3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</row>
    <row r="1763" spans="1:12" ht="15.75" x14ac:dyDescent="0.25">
      <c r="A1763" s="3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</row>
    <row r="1764" spans="1:12" x14ac:dyDescent="0.2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</row>
    <row r="1765" spans="1:12" x14ac:dyDescent="0.2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</row>
    <row r="1766" spans="1:12" x14ac:dyDescent="0.2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</row>
    <row r="1767" spans="1:12" ht="19.5" thickBot="1" x14ac:dyDescent="0.35">
      <c r="A1767" s="339"/>
      <c r="B1767" s="339"/>
      <c r="C1767" s="339"/>
      <c r="D1767" s="339"/>
      <c r="E1767" s="339"/>
      <c r="F1767" s="339"/>
      <c r="G1767" s="339"/>
      <c r="H1767" s="339"/>
      <c r="I1767" s="339"/>
      <c r="J1767" s="339"/>
      <c r="K1767" s="339"/>
      <c r="L1767" s="339"/>
    </row>
    <row r="1768" spans="1:12" ht="19.5" thickTop="1" x14ac:dyDescent="0.3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</row>
    <row r="1769" spans="1:12" ht="12" customHeight="1" x14ac:dyDescent="0.3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</row>
    <row r="1770" spans="1:12" ht="15" x14ac:dyDescent="0.25">
      <c r="A1770" s="1"/>
      <c r="B1770" s="1"/>
      <c r="C1770" s="4"/>
      <c r="D1770" s="4"/>
      <c r="E1770" s="4"/>
      <c r="F1770" s="4"/>
      <c r="G1770" s="4"/>
      <c r="H1770" s="4"/>
      <c r="I1770" s="4"/>
      <c r="J1770" s="4"/>
      <c r="K1770" s="4"/>
      <c r="L1770" s="4"/>
    </row>
    <row r="1771" spans="1:12" ht="15" x14ac:dyDescent="0.25">
      <c r="A1771" s="1"/>
      <c r="B1771" s="1"/>
      <c r="C1771" s="4"/>
      <c r="D1771" s="4"/>
      <c r="E1771" s="4"/>
      <c r="F1771" s="4"/>
      <c r="G1771" s="4"/>
      <c r="H1771" s="4"/>
      <c r="I1771" s="4"/>
      <c r="J1771" s="4"/>
      <c r="K1771" s="4"/>
      <c r="L1771" s="4"/>
    </row>
    <row r="1772" spans="1:12" ht="15" x14ac:dyDescent="0.25">
      <c r="A1772" s="1"/>
      <c r="B1772" s="1"/>
      <c r="C1772" s="4"/>
      <c r="D1772" s="4"/>
      <c r="E1772" s="4"/>
      <c r="F1772" s="4"/>
      <c r="G1772" s="4"/>
      <c r="H1772" s="4"/>
      <c r="I1772" s="4"/>
      <c r="J1772" s="4"/>
      <c r="K1772" s="4"/>
      <c r="L1772" s="4"/>
    </row>
    <row r="1773" spans="1:12" ht="15" x14ac:dyDescent="0.25">
      <c r="A1773" s="1"/>
      <c r="B1773" s="4"/>
      <c r="C1773" s="9"/>
      <c r="D1773" s="37"/>
      <c r="E1773" s="64"/>
      <c r="F1773" s="4"/>
      <c r="G1773" s="4"/>
      <c r="H1773" s="4"/>
      <c r="I1773" s="4"/>
      <c r="J1773" s="4"/>
      <c r="K1773" s="4"/>
      <c r="L1773" s="4"/>
    </row>
    <row r="1774" spans="1:12" ht="15" x14ac:dyDescent="0.25">
      <c r="A1774" s="1"/>
      <c r="B1774" s="4"/>
      <c r="C1774" s="9"/>
      <c r="D1774" s="1"/>
      <c r="E1774" s="64"/>
      <c r="F1774" s="4"/>
      <c r="G1774" s="4"/>
      <c r="H1774" s="4"/>
      <c r="I1774" s="4"/>
      <c r="J1774" s="4"/>
      <c r="K1774" s="4"/>
      <c r="L1774" s="4"/>
    </row>
    <row r="1775" spans="1:12" ht="15" x14ac:dyDescent="0.25">
      <c r="A1775" s="1"/>
      <c r="B1775" s="4"/>
      <c r="C1775" s="9"/>
      <c r="D1775" s="1"/>
      <c r="E1775" s="64"/>
      <c r="F1775" s="4"/>
      <c r="G1775" s="4"/>
      <c r="H1775" s="4"/>
      <c r="I1775" s="4"/>
      <c r="J1775" s="4"/>
      <c r="K1775" s="4"/>
      <c r="L1775" s="4"/>
    </row>
    <row r="1776" spans="1:12" ht="15" x14ac:dyDescent="0.25">
      <c r="A1776" s="1"/>
      <c r="B1776" s="1"/>
      <c r="C1776" s="4"/>
      <c r="D1776" s="1"/>
      <c r="E1776" s="4"/>
      <c r="F1776" s="4"/>
      <c r="G1776" s="4"/>
      <c r="H1776" s="4"/>
      <c r="I1776" s="4"/>
      <c r="J1776" s="4"/>
      <c r="K1776" s="4"/>
      <c r="L1776" s="4"/>
    </row>
    <row r="1777" spans="1:12" ht="33" customHeight="1" x14ac:dyDescent="0.2">
      <c r="A1777" s="280"/>
      <c r="B1777" s="277"/>
      <c r="C1777" s="277"/>
      <c r="D1777" s="277"/>
      <c r="E1777" s="277"/>
      <c r="F1777" s="277"/>
      <c r="G1777" s="277"/>
      <c r="H1777" s="277"/>
      <c r="I1777" s="277"/>
      <c r="J1777" s="277"/>
      <c r="K1777" s="277"/>
      <c r="L1777" s="277"/>
    </row>
    <row r="1778" spans="1:12" ht="15" x14ac:dyDescent="0.25">
      <c r="A1778" s="1"/>
      <c r="B1778" s="1"/>
      <c r="C1778" s="4"/>
      <c r="D1778" s="4"/>
      <c r="E1778" s="4"/>
      <c r="F1778" s="4"/>
      <c r="G1778" s="4"/>
      <c r="H1778" s="4"/>
      <c r="I1778" s="4"/>
      <c r="J1778" s="4"/>
      <c r="K1778" s="4"/>
      <c r="L1778" s="4"/>
    </row>
    <row r="1779" spans="1:12" ht="37.5" customHeight="1" thickBot="1" x14ac:dyDescent="0.25">
      <c r="A1779" s="10"/>
      <c r="B1779" s="337"/>
      <c r="C1779" s="338"/>
      <c r="D1779" s="338"/>
      <c r="E1779" s="338"/>
      <c r="F1779" s="338"/>
      <c r="G1779" s="338"/>
      <c r="H1779" s="338"/>
      <c r="I1779" s="338"/>
      <c r="J1779" s="338"/>
      <c r="K1779" s="338"/>
      <c r="L1779" s="338"/>
    </row>
    <row r="1780" spans="1:12" ht="15.75" thickTop="1" x14ac:dyDescent="0.25">
      <c r="A1780" s="1"/>
      <c r="B1780" s="11"/>
      <c r="C1780" s="12"/>
      <c r="D1780" s="13"/>
      <c r="E1780" s="13"/>
      <c r="F1780" s="13"/>
      <c r="G1780" s="13"/>
      <c r="H1780" s="14"/>
      <c r="I1780" s="15"/>
      <c r="J1780" s="12"/>
      <c r="K1780" s="13"/>
      <c r="L1780" s="14"/>
    </row>
    <row r="1781" spans="1:12" ht="22.5" customHeight="1" x14ac:dyDescent="0.2">
      <c r="A1781" s="50"/>
      <c r="B1781" s="60"/>
      <c r="C1781" s="50"/>
      <c r="D1781" s="50"/>
      <c r="E1781" s="50"/>
      <c r="F1781" s="50"/>
      <c r="G1781" s="54"/>
      <c r="H1781" s="55"/>
      <c r="I1781" s="56"/>
      <c r="J1781" s="50"/>
      <c r="K1781" s="50"/>
      <c r="L1781" s="55"/>
    </row>
    <row r="1782" spans="1:12" ht="22.5" customHeight="1" x14ac:dyDescent="0.2">
      <c r="A1782" s="76"/>
      <c r="B1782" s="77"/>
      <c r="C1782" s="76"/>
      <c r="D1782" s="76"/>
      <c r="E1782" s="76"/>
      <c r="F1782" s="76"/>
      <c r="G1782" s="78"/>
      <c r="H1782" s="79"/>
      <c r="I1782" s="80"/>
      <c r="J1782" s="76"/>
      <c r="K1782" s="76"/>
      <c r="L1782" s="79"/>
    </row>
    <row r="1783" spans="1:12" x14ac:dyDescent="0.2">
      <c r="A1783" s="4"/>
      <c r="B1783" s="16"/>
      <c r="C1783" s="4"/>
      <c r="D1783" s="4"/>
      <c r="E1783" s="4"/>
      <c r="F1783" s="4"/>
      <c r="G1783" s="4"/>
      <c r="H1783" s="17"/>
      <c r="I1783" s="19"/>
      <c r="J1783" s="4"/>
      <c r="K1783" s="4"/>
      <c r="L1783" s="17"/>
    </row>
    <row r="1784" spans="1:12" x14ac:dyDescent="0.2">
      <c r="A1784" s="4"/>
      <c r="B1784" s="16"/>
      <c r="C1784" s="4"/>
      <c r="D1784" s="4"/>
      <c r="E1784" s="4"/>
      <c r="F1784" s="4"/>
      <c r="G1784" s="4"/>
      <c r="H1784" s="17"/>
      <c r="I1784" s="19"/>
      <c r="J1784" s="4"/>
      <c r="K1784" s="4"/>
      <c r="L1784" s="17"/>
    </row>
    <row r="1785" spans="1:12" x14ac:dyDescent="0.2">
      <c r="A1785" s="4"/>
      <c r="B1785" s="16"/>
      <c r="C1785" s="4"/>
      <c r="D1785" s="4"/>
      <c r="E1785" s="4"/>
      <c r="F1785" s="4"/>
      <c r="G1785" s="4"/>
      <c r="H1785" s="17"/>
      <c r="I1785" s="19"/>
      <c r="J1785" s="4"/>
      <c r="K1785" s="4"/>
      <c r="L1785" s="17"/>
    </row>
    <row r="1786" spans="1:12" x14ac:dyDescent="0.2">
      <c r="A1786" s="4"/>
      <c r="B1786" s="20"/>
      <c r="C1786" s="21"/>
      <c r="D1786" s="21"/>
      <c r="E1786" s="21"/>
      <c r="F1786" s="21"/>
      <c r="G1786" s="21"/>
      <c r="H1786" s="22"/>
      <c r="I1786" s="23"/>
      <c r="J1786" s="21"/>
      <c r="K1786" s="21"/>
      <c r="L1786" s="22"/>
    </row>
    <row r="1787" spans="1:12" ht="15" x14ac:dyDescent="0.25">
      <c r="A1787" s="1"/>
      <c r="B1787" s="39"/>
      <c r="C1787" s="1"/>
      <c r="D1787" s="1"/>
      <c r="E1787" s="1"/>
      <c r="F1787" s="40"/>
      <c r="G1787" s="40"/>
      <c r="H1787" s="1"/>
      <c r="I1787" s="41"/>
      <c r="J1787" s="1"/>
      <c r="K1787" s="1"/>
      <c r="L1787" s="42"/>
    </row>
    <row r="1788" spans="1:12" ht="15.75" thickBot="1" x14ac:dyDescent="0.3">
      <c r="A1788" s="1"/>
      <c r="B1788" s="43"/>
      <c r="C1788" s="44"/>
      <c r="D1788" s="44"/>
      <c r="E1788" s="44"/>
      <c r="F1788" s="45"/>
      <c r="G1788" s="45"/>
      <c r="H1788" s="44"/>
      <c r="I1788" s="46"/>
      <c r="J1788" s="44"/>
      <c r="K1788" s="44"/>
      <c r="L1788" s="47"/>
    </row>
    <row r="1789" spans="1:12" ht="15.75" thickTop="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 ht="51" customHeight="1" x14ac:dyDescent="0.2">
      <c r="A1790" s="10"/>
      <c r="B1790" s="279"/>
      <c r="C1790" s="279"/>
      <c r="D1790" s="279"/>
      <c r="E1790" s="279"/>
      <c r="F1790" s="279"/>
      <c r="G1790" s="279"/>
      <c r="H1790" s="279"/>
      <c r="I1790" s="279"/>
      <c r="J1790" s="279"/>
      <c r="K1790" s="279"/>
      <c r="L1790" s="279"/>
    </row>
    <row r="1791" spans="1:12" ht="9" customHeight="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ht="20.25" customHeight="1" x14ac:dyDescent="0.2">
      <c r="A1792" s="280"/>
      <c r="B1792" s="280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</row>
    <row r="1793" spans="1:12" ht="10.5" customHeight="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ht="15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ht="15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ht="15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ht="15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ht="15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ht="15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 ht="7.5" customHeight="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 ht="15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ht="15" x14ac:dyDescent="0.25">
      <c r="A1802" s="1"/>
      <c r="B1802" s="37"/>
      <c r="C1802" s="1"/>
      <c r="D1802" s="1"/>
      <c r="E1802" s="1"/>
      <c r="F1802" s="1"/>
      <c r="G1802" s="1"/>
      <c r="H1802" s="37"/>
      <c r="I1802" s="1"/>
      <c r="J1802" s="1"/>
      <c r="K1802" s="1"/>
      <c r="L1802" s="1"/>
    </row>
    <row r="1803" spans="1:12" ht="15" x14ac:dyDescent="0.25">
      <c r="A1803" s="1"/>
      <c r="B1803" s="48"/>
      <c r="C1803" s="7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ht="15" x14ac:dyDescent="0.25">
      <c r="A1804" s="1"/>
      <c r="B1804" s="48"/>
      <c r="C1804" s="7"/>
      <c r="D1804" s="1"/>
      <c r="E1804" s="1"/>
      <c r="F1804" s="1"/>
      <c r="G1804" s="1"/>
      <c r="H1804" s="1"/>
      <c r="I1804" s="1"/>
      <c r="J1804" s="1"/>
      <c r="K1804" s="1"/>
      <c r="L1804" s="1"/>
    </row>
    <row r="1810" spans="1:12" ht="15.75" x14ac:dyDescent="0.25">
      <c r="A1810" s="3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</row>
    <row r="1811" spans="1:12" ht="15.75" x14ac:dyDescent="0.25">
      <c r="A1811" s="3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</row>
    <row r="1812" spans="1:12" ht="15.75" x14ac:dyDescent="0.25">
      <c r="A1812" s="3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</row>
    <row r="1813" spans="1:12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</row>
    <row r="1814" spans="1:12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</row>
    <row r="1815" spans="1:12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</row>
    <row r="1816" spans="1:12" ht="19.5" thickBot="1" x14ac:dyDescent="0.35">
      <c r="A1816" s="339"/>
      <c r="B1816" s="339"/>
      <c r="C1816" s="339"/>
      <c r="D1816" s="339"/>
      <c r="E1816" s="339"/>
      <c r="F1816" s="339"/>
      <c r="G1816" s="339"/>
      <c r="H1816" s="339"/>
      <c r="I1816" s="339"/>
      <c r="J1816" s="339"/>
      <c r="K1816" s="339"/>
      <c r="L1816" s="339"/>
    </row>
    <row r="1817" spans="1:12" ht="19.5" thickTop="1" x14ac:dyDescent="0.3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</row>
    <row r="1818" spans="1:12" ht="18.75" x14ac:dyDescent="0.3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</row>
    <row r="1819" spans="1:12" ht="15" x14ac:dyDescent="0.25">
      <c r="A1819" s="1"/>
      <c r="B1819" s="1"/>
      <c r="C1819" s="4"/>
      <c r="D1819" s="4"/>
      <c r="E1819" s="4"/>
      <c r="F1819" s="4"/>
      <c r="G1819" s="4"/>
      <c r="H1819" s="4"/>
      <c r="I1819" s="4"/>
      <c r="J1819" s="4"/>
      <c r="K1819" s="4"/>
      <c r="L1819" s="4"/>
    </row>
    <row r="1820" spans="1:12" ht="15" x14ac:dyDescent="0.25">
      <c r="A1820" s="1"/>
      <c r="B1820" s="1"/>
      <c r="C1820" s="4"/>
      <c r="D1820" s="4"/>
      <c r="E1820" s="4"/>
      <c r="F1820" s="4"/>
      <c r="G1820" s="4"/>
      <c r="H1820" s="4"/>
      <c r="I1820" s="4"/>
      <c r="J1820" s="4"/>
      <c r="K1820" s="4"/>
      <c r="L1820" s="4"/>
    </row>
    <row r="1821" spans="1:12" ht="15" x14ac:dyDescent="0.25">
      <c r="A1821" s="1"/>
      <c r="B1821" s="1"/>
      <c r="C1821" s="4"/>
      <c r="D1821" s="4"/>
      <c r="E1821" s="4"/>
      <c r="F1821" s="4"/>
      <c r="G1821" s="4"/>
      <c r="H1821" s="4"/>
      <c r="I1821" s="4"/>
      <c r="J1821" s="4"/>
      <c r="K1821" s="4"/>
      <c r="L1821" s="4"/>
    </row>
    <row r="1822" spans="1:12" ht="17.25" customHeight="1" x14ac:dyDescent="0.25">
      <c r="A1822" s="1"/>
      <c r="B1822" s="4"/>
      <c r="C1822" s="9"/>
      <c r="D1822" s="37"/>
      <c r="E1822" s="64"/>
      <c r="F1822" s="4"/>
      <c r="G1822" s="4"/>
      <c r="H1822" s="4"/>
      <c r="I1822" s="4"/>
      <c r="J1822" s="4"/>
      <c r="K1822" s="4"/>
      <c r="L1822" s="4"/>
    </row>
    <row r="1823" spans="1:12" ht="17.25" customHeight="1" x14ac:dyDescent="0.25">
      <c r="A1823" s="1"/>
      <c r="B1823" s="4"/>
      <c r="C1823" s="9"/>
      <c r="D1823" s="1"/>
      <c r="E1823" s="64"/>
      <c r="F1823" s="4"/>
      <c r="G1823" s="4"/>
      <c r="H1823" s="4"/>
      <c r="I1823" s="4"/>
      <c r="J1823" s="4"/>
      <c r="K1823" s="4"/>
      <c r="L1823" s="4"/>
    </row>
    <row r="1824" spans="1:12" ht="17.25" customHeight="1" x14ac:dyDescent="0.25">
      <c r="A1824" s="1"/>
      <c r="B1824" s="4"/>
      <c r="C1824" s="9"/>
      <c r="D1824" s="1"/>
      <c r="E1824" s="64"/>
      <c r="F1824" s="4"/>
      <c r="G1824" s="4"/>
      <c r="H1824" s="4"/>
      <c r="I1824" s="4"/>
      <c r="J1824" s="4"/>
      <c r="K1824" s="4"/>
      <c r="L1824" s="4"/>
    </row>
    <row r="1825" spans="1:12" ht="15" x14ac:dyDescent="0.25">
      <c r="A1825" s="1"/>
      <c r="B1825" s="1"/>
      <c r="C1825" s="4"/>
      <c r="D1825" s="1"/>
      <c r="E1825" s="4"/>
      <c r="F1825" s="4"/>
      <c r="G1825" s="4"/>
      <c r="H1825" s="4"/>
      <c r="I1825" s="4"/>
      <c r="J1825" s="4"/>
      <c r="K1825" s="4"/>
      <c r="L1825" s="4"/>
    </row>
    <row r="1826" spans="1:12" ht="38.25" customHeight="1" x14ac:dyDescent="0.2">
      <c r="A1826" s="280"/>
      <c r="B1826" s="277"/>
      <c r="C1826" s="277"/>
      <c r="D1826" s="277"/>
      <c r="E1826" s="277"/>
      <c r="F1826" s="277"/>
      <c r="G1826" s="277"/>
      <c r="H1826" s="277"/>
      <c r="I1826" s="277"/>
      <c r="J1826" s="277"/>
      <c r="K1826" s="277"/>
      <c r="L1826" s="277"/>
    </row>
    <row r="1827" spans="1:12" ht="15" x14ac:dyDescent="0.25">
      <c r="A1827" s="1"/>
      <c r="B1827" s="1"/>
      <c r="C1827" s="4"/>
      <c r="D1827" s="4"/>
      <c r="E1827" s="4"/>
      <c r="F1827" s="4"/>
      <c r="G1827" s="4"/>
      <c r="H1827" s="4"/>
      <c r="I1827" s="4"/>
      <c r="J1827" s="4"/>
      <c r="K1827" s="4"/>
      <c r="L1827" s="4"/>
    </row>
    <row r="1828" spans="1:12" ht="39.75" customHeight="1" thickBot="1" x14ac:dyDescent="0.25">
      <c r="A1828" s="10"/>
      <c r="B1828" s="337"/>
      <c r="C1828" s="338"/>
      <c r="D1828" s="338"/>
      <c r="E1828" s="338"/>
      <c r="F1828" s="338"/>
      <c r="G1828" s="338"/>
      <c r="H1828" s="338"/>
      <c r="I1828" s="338"/>
      <c r="J1828" s="338"/>
      <c r="K1828" s="338"/>
      <c r="L1828" s="338"/>
    </row>
    <row r="1829" spans="1:12" ht="15.75" thickTop="1" x14ac:dyDescent="0.25">
      <c r="A1829" s="1"/>
      <c r="B1829" s="11"/>
      <c r="C1829" s="12"/>
      <c r="D1829" s="13"/>
      <c r="E1829" s="13"/>
      <c r="F1829" s="13"/>
      <c r="G1829" s="13"/>
      <c r="H1829" s="14"/>
      <c r="I1829" s="15"/>
      <c r="J1829" s="12"/>
      <c r="K1829" s="13"/>
      <c r="L1829" s="14"/>
    </row>
    <row r="1830" spans="1:12" ht="24.75" customHeight="1" x14ac:dyDescent="0.2">
      <c r="A1830" s="50"/>
      <c r="B1830" s="60"/>
      <c r="C1830" s="76"/>
      <c r="D1830" s="76"/>
      <c r="E1830" s="76"/>
      <c r="F1830" s="76"/>
      <c r="G1830" s="78"/>
      <c r="H1830" s="79"/>
      <c r="I1830" s="80"/>
      <c r="J1830" s="76"/>
      <c r="K1830" s="50"/>
      <c r="L1830" s="55"/>
    </row>
    <row r="1831" spans="1:12" ht="20.25" customHeight="1" x14ac:dyDescent="0.2">
      <c r="A1831" s="76"/>
      <c r="B1831" s="77"/>
      <c r="C1831" s="76"/>
      <c r="D1831" s="76"/>
      <c r="E1831" s="76"/>
      <c r="F1831" s="76"/>
      <c r="G1831" s="78"/>
      <c r="H1831" s="79"/>
      <c r="I1831" s="80"/>
      <c r="J1831" s="76"/>
      <c r="K1831" s="76"/>
      <c r="L1831" s="79"/>
    </row>
    <row r="1832" spans="1:12" x14ac:dyDescent="0.2">
      <c r="A1832" s="4"/>
      <c r="B1832" s="16"/>
      <c r="C1832" s="4"/>
      <c r="D1832" s="4"/>
      <c r="E1832" s="4"/>
      <c r="F1832" s="4"/>
      <c r="G1832" s="4"/>
      <c r="H1832" s="17"/>
      <c r="I1832" s="19"/>
      <c r="J1832" s="4"/>
      <c r="K1832" s="4"/>
      <c r="L1832" s="17"/>
    </row>
    <row r="1833" spans="1:12" x14ac:dyDescent="0.2">
      <c r="A1833" s="4"/>
      <c r="B1833" s="16"/>
      <c r="C1833" s="4"/>
      <c r="D1833" s="4"/>
      <c r="E1833" s="4"/>
      <c r="F1833" s="4"/>
      <c r="G1833" s="4"/>
      <c r="H1833" s="17"/>
      <c r="I1833" s="19"/>
      <c r="J1833" s="4"/>
      <c r="K1833" s="4"/>
      <c r="L1833" s="17"/>
    </row>
    <row r="1834" spans="1:12" x14ac:dyDescent="0.2">
      <c r="A1834" s="4"/>
      <c r="B1834" s="16"/>
      <c r="C1834" s="4"/>
      <c r="D1834" s="4"/>
      <c r="E1834" s="4"/>
      <c r="F1834" s="4"/>
      <c r="G1834" s="4"/>
      <c r="H1834" s="17"/>
      <c r="I1834" s="19"/>
      <c r="J1834" s="4"/>
      <c r="K1834" s="4"/>
      <c r="L1834" s="17"/>
    </row>
    <row r="1835" spans="1:12" x14ac:dyDescent="0.2">
      <c r="A1835" s="4"/>
      <c r="B1835" s="20"/>
      <c r="C1835" s="21"/>
      <c r="D1835" s="21"/>
      <c r="E1835" s="21"/>
      <c r="F1835" s="21"/>
      <c r="G1835" s="21"/>
      <c r="H1835" s="22"/>
      <c r="I1835" s="23"/>
      <c r="J1835" s="21"/>
      <c r="K1835" s="21"/>
      <c r="L1835" s="22"/>
    </row>
    <row r="1836" spans="1:12" ht="15" x14ac:dyDescent="0.25">
      <c r="A1836" s="1"/>
      <c r="B1836" s="39"/>
      <c r="C1836" s="1"/>
      <c r="D1836" s="1"/>
      <c r="E1836" s="1"/>
      <c r="F1836" s="40"/>
      <c r="G1836" s="40"/>
      <c r="H1836" s="1"/>
      <c r="I1836" s="41"/>
      <c r="J1836" s="1"/>
      <c r="K1836" s="1"/>
      <c r="L1836" s="42"/>
    </row>
    <row r="1837" spans="1:12" ht="15.75" thickBot="1" x14ac:dyDescent="0.3">
      <c r="A1837" s="1"/>
      <c r="B1837" s="43"/>
      <c r="C1837" s="44"/>
      <c r="D1837" s="44"/>
      <c r="E1837" s="44"/>
      <c r="F1837" s="45"/>
      <c r="G1837" s="45"/>
      <c r="H1837" s="44"/>
      <c r="I1837" s="46"/>
      <c r="J1837" s="44"/>
      <c r="K1837" s="44"/>
      <c r="L1837" s="47"/>
    </row>
    <row r="1838" spans="1:12" ht="15.75" thickTop="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 ht="49.5" customHeight="1" x14ac:dyDescent="0.2">
      <c r="A1839" s="10"/>
      <c r="B1839" s="279"/>
      <c r="C1839" s="279"/>
      <c r="D1839" s="279"/>
      <c r="E1839" s="279"/>
      <c r="F1839" s="279"/>
      <c r="G1839" s="279"/>
      <c r="H1839" s="279"/>
      <c r="I1839" s="279"/>
      <c r="J1839" s="279"/>
      <c r="K1839" s="279"/>
      <c r="L1839" s="279"/>
    </row>
    <row r="1840" spans="1:12" ht="15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 ht="22.5" customHeight="1" x14ac:dyDescent="0.2">
      <c r="A1841" s="280"/>
      <c r="B1841" s="280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</row>
    <row r="1842" spans="1:12" ht="9.75" customHeight="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 ht="12.75" customHeight="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 ht="15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 ht="15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 ht="15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 ht="15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 ht="15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 ht="15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 ht="15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 ht="15" x14ac:dyDescent="0.25">
      <c r="A1851" s="1"/>
      <c r="B1851" s="37"/>
      <c r="C1851" s="1"/>
      <c r="D1851" s="1"/>
      <c r="E1851" s="1"/>
      <c r="F1851" s="1"/>
      <c r="G1851" s="1"/>
      <c r="H1851" s="37"/>
      <c r="I1851" s="1"/>
      <c r="J1851" s="1"/>
      <c r="K1851" s="1"/>
      <c r="L1851" s="1"/>
    </row>
    <row r="1852" spans="1:12" ht="15" x14ac:dyDescent="0.25">
      <c r="A1852" s="1"/>
      <c r="B1852" s="48"/>
      <c r="C1852" s="7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 ht="15" x14ac:dyDescent="0.25">
      <c r="A1853" s="1"/>
      <c r="B1853" s="48"/>
      <c r="C1853" s="7"/>
      <c r="D1853" s="1"/>
      <c r="E1853" s="1"/>
      <c r="F1853" s="1"/>
      <c r="G1853" s="1"/>
      <c r="H1853" s="1"/>
      <c r="I1853" s="1"/>
      <c r="J1853" s="1"/>
      <c r="K1853" s="1"/>
      <c r="L1853" s="1"/>
    </row>
    <row r="1857" spans="1:12" ht="15.75" x14ac:dyDescent="0.25">
      <c r="A1857" s="3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</row>
    <row r="1858" spans="1:12" ht="15.75" x14ac:dyDescent="0.2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</row>
    <row r="1859" spans="1:12" ht="15.75" x14ac:dyDescent="0.25">
      <c r="A1859" s="3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</row>
    <row r="1860" spans="1:12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</row>
    <row r="1861" spans="1:12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</row>
    <row r="1862" spans="1:12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</row>
    <row r="1863" spans="1:12" ht="19.5" thickBot="1" x14ac:dyDescent="0.35">
      <c r="A1863" s="339"/>
      <c r="B1863" s="339"/>
      <c r="C1863" s="339"/>
      <c r="D1863" s="339"/>
      <c r="E1863" s="339"/>
      <c r="F1863" s="339"/>
      <c r="G1863" s="339"/>
      <c r="H1863" s="339"/>
      <c r="I1863" s="339"/>
      <c r="J1863" s="339"/>
      <c r="K1863" s="339"/>
      <c r="L1863" s="339"/>
    </row>
    <row r="1864" spans="1:12" ht="19.5" thickTop="1" x14ac:dyDescent="0.3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</row>
    <row r="1865" spans="1:12" ht="18.75" x14ac:dyDescent="0.3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</row>
    <row r="1866" spans="1:12" ht="15" x14ac:dyDescent="0.25">
      <c r="A1866" s="1"/>
      <c r="B1866" s="1"/>
      <c r="C1866" s="4"/>
      <c r="D1866" s="4"/>
      <c r="E1866" s="4"/>
      <c r="F1866" s="4"/>
      <c r="G1866" s="4"/>
      <c r="H1866" s="4"/>
      <c r="I1866" s="4"/>
      <c r="J1866" s="4"/>
      <c r="K1866" s="4"/>
      <c r="L1866" s="4"/>
    </row>
    <row r="1867" spans="1:12" ht="15" x14ac:dyDescent="0.25">
      <c r="A1867" s="1"/>
      <c r="B1867" s="1"/>
      <c r="C1867" s="4"/>
      <c r="D1867" s="4"/>
      <c r="E1867" s="4"/>
      <c r="F1867" s="4"/>
      <c r="G1867" s="4"/>
      <c r="H1867" s="4"/>
      <c r="I1867" s="4"/>
      <c r="J1867" s="4"/>
      <c r="K1867" s="4"/>
      <c r="L1867" s="4"/>
    </row>
    <row r="1868" spans="1:12" ht="15" x14ac:dyDescent="0.25">
      <c r="A1868" s="1"/>
      <c r="B1868" s="1"/>
      <c r="C1868" s="4"/>
      <c r="D1868" s="4"/>
      <c r="E1868" s="4"/>
      <c r="F1868" s="4"/>
      <c r="G1868" s="4"/>
      <c r="H1868" s="4"/>
      <c r="I1868" s="4"/>
      <c r="J1868" s="4"/>
      <c r="K1868" s="4"/>
      <c r="L1868" s="4"/>
    </row>
    <row r="1869" spans="1:12" ht="15" x14ac:dyDescent="0.25">
      <c r="A1869" s="1"/>
      <c r="B1869" s="4"/>
      <c r="C1869" s="9"/>
      <c r="D1869" s="37"/>
      <c r="E1869" s="64"/>
      <c r="F1869" s="4"/>
      <c r="G1869" s="4"/>
      <c r="H1869" s="4"/>
      <c r="I1869" s="4"/>
      <c r="J1869" s="4"/>
      <c r="K1869" s="4"/>
      <c r="L1869" s="4"/>
    </row>
    <row r="1870" spans="1:12" ht="15" x14ac:dyDescent="0.25">
      <c r="A1870" s="1"/>
      <c r="B1870" s="4"/>
      <c r="C1870" s="9"/>
      <c r="D1870" s="48"/>
      <c r="E1870" s="64"/>
      <c r="F1870" s="4"/>
      <c r="G1870" s="4"/>
      <c r="H1870" s="4"/>
      <c r="I1870" s="4"/>
      <c r="J1870" s="4"/>
      <c r="K1870" s="4"/>
      <c r="L1870" s="4"/>
    </row>
    <row r="1871" spans="1:12" ht="15" x14ac:dyDescent="0.25">
      <c r="A1871" s="1"/>
      <c r="B1871" s="4"/>
      <c r="C1871" s="9"/>
      <c r="D1871" s="1"/>
      <c r="E1871" s="64"/>
      <c r="F1871" s="4"/>
      <c r="G1871" s="4"/>
      <c r="H1871" s="4"/>
      <c r="I1871" s="4"/>
      <c r="J1871" s="4"/>
      <c r="K1871" s="4"/>
      <c r="L1871" s="4"/>
    </row>
    <row r="1872" spans="1:12" ht="15" x14ac:dyDescent="0.25">
      <c r="A1872" s="1"/>
      <c r="B1872" s="1"/>
      <c r="C1872" s="4"/>
      <c r="D1872" s="1"/>
      <c r="E1872" s="4"/>
      <c r="F1872" s="4"/>
      <c r="G1872" s="4"/>
      <c r="H1872" s="4"/>
      <c r="I1872" s="4"/>
      <c r="J1872" s="4"/>
      <c r="K1872" s="4"/>
      <c r="L1872" s="4"/>
    </row>
    <row r="1873" spans="1:12" ht="36" customHeight="1" x14ac:dyDescent="0.2">
      <c r="A1873" s="280"/>
      <c r="B1873" s="277"/>
      <c r="C1873" s="277"/>
      <c r="D1873" s="277"/>
      <c r="E1873" s="277"/>
      <c r="F1873" s="277"/>
      <c r="G1873" s="277"/>
      <c r="H1873" s="277"/>
      <c r="I1873" s="277"/>
      <c r="J1873" s="277"/>
      <c r="K1873" s="277"/>
      <c r="L1873" s="277"/>
    </row>
    <row r="1874" spans="1:12" ht="15" x14ac:dyDescent="0.25">
      <c r="A1874" s="1"/>
      <c r="B1874" s="1"/>
      <c r="C1874" s="4"/>
      <c r="D1874" s="4"/>
      <c r="E1874" s="4"/>
      <c r="F1874" s="4"/>
      <c r="G1874" s="4"/>
      <c r="H1874" s="4"/>
      <c r="I1874" s="4"/>
      <c r="J1874" s="4"/>
      <c r="K1874" s="4"/>
      <c r="L1874" s="4"/>
    </row>
    <row r="1875" spans="1:12" ht="38.25" customHeight="1" thickBot="1" x14ac:dyDescent="0.25">
      <c r="A1875" s="10"/>
      <c r="B1875" s="337"/>
      <c r="C1875" s="338"/>
      <c r="D1875" s="338"/>
      <c r="E1875" s="338"/>
      <c r="F1875" s="338"/>
      <c r="G1875" s="338"/>
      <c r="H1875" s="338"/>
      <c r="I1875" s="338"/>
      <c r="J1875" s="338"/>
      <c r="K1875" s="338"/>
      <c r="L1875" s="338"/>
    </row>
    <row r="1876" spans="1:12" ht="15.75" thickTop="1" x14ac:dyDescent="0.25">
      <c r="A1876" s="1"/>
      <c r="B1876" s="11"/>
      <c r="C1876" s="12"/>
      <c r="D1876" s="13"/>
      <c r="E1876" s="13"/>
      <c r="F1876" s="13"/>
      <c r="G1876" s="13"/>
      <c r="H1876" s="14"/>
      <c r="I1876" s="15"/>
      <c r="J1876" s="12"/>
      <c r="K1876" s="13"/>
      <c r="L1876" s="14"/>
    </row>
    <row r="1877" spans="1:12" ht="16.5" customHeight="1" x14ac:dyDescent="0.2">
      <c r="A1877" s="50"/>
      <c r="B1877" s="60"/>
      <c r="C1877" s="50"/>
      <c r="D1877" s="50"/>
      <c r="E1877" s="50"/>
      <c r="F1877" s="50"/>
      <c r="G1877" s="54"/>
      <c r="H1877" s="55"/>
      <c r="I1877" s="56"/>
      <c r="J1877" s="50"/>
      <c r="K1877" s="50"/>
      <c r="L1877" s="55"/>
    </row>
    <row r="1878" spans="1:12" ht="16.5" customHeight="1" x14ac:dyDescent="0.2">
      <c r="A1878" s="76"/>
      <c r="B1878" s="77"/>
      <c r="C1878" s="76"/>
      <c r="D1878" s="76"/>
      <c r="E1878" s="76"/>
      <c r="F1878" s="76"/>
      <c r="G1878" s="78"/>
      <c r="H1878" s="79"/>
      <c r="I1878" s="80"/>
      <c r="J1878" s="76"/>
      <c r="K1878" s="76"/>
      <c r="L1878" s="79"/>
    </row>
    <row r="1879" spans="1:12" x14ac:dyDescent="0.2">
      <c r="A1879" s="4"/>
      <c r="B1879" s="16"/>
      <c r="C1879" s="4"/>
      <c r="D1879" s="4"/>
      <c r="E1879" s="4"/>
      <c r="F1879" s="4"/>
      <c r="G1879" s="4"/>
      <c r="H1879" s="17"/>
      <c r="I1879" s="19"/>
      <c r="J1879" s="4"/>
      <c r="K1879" s="4"/>
      <c r="L1879" s="17"/>
    </row>
    <row r="1880" spans="1:12" x14ac:dyDescent="0.2">
      <c r="A1880" s="4"/>
      <c r="B1880" s="16"/>
      <c r="C1880" s="4"/>
      <c r="D1880" s="4"/>
      <c r="E1880" s="4"/>
      <c r="F1880" s="4"/>
      <c r="G1880" s="4"/>
      <c r="H1880" s="17"/>
      <c r="I1880" s="19"/>
      <c r="J1880" s="4"/>
      <c r="K1880" s="4"/>
      <c r="L1880" s="17"/>
    </row>
    <row r="1881" spans="1:12" x14ac:dyDescent="0.2">
      <c r="A1881" s="4"/>
      <c r="B1881" s="16"/>
      <c r="C1881" s="4"/>
      <c r="D1881" s="4"/>
      <c r="E1881" s="4"/>
      <c r="F1881" s="4"/>
      <c r="G1881" s="4"/>
      <c r="H1881" s="17"/>
      <c r="I1881" s="19"/>
      <c r="J1881" s="4"/>
      <c r="K1881" s="4"/>
      <c r="L1881" s="17"/>
    </row>
    <row r="1882" spans="1:12" x14ac:dyDescent="0.2">
      <c r="A1882" s="4"/>
      <c r="B1882" s="20"/>
      <c r="C1882" s="21"/>
      <c r="D1882" s="21"/>
      <c r="E1882" s="21"/>
      <c r="F1882" s="21"/>
      <c r="G1882" s="21"/>
      <c r="H1882" s="22"/>
      <c r="I1882" s="23"/>
      <c r="J1882" s="21"/>
      <c r="K1882" s="21"/>
      <c r="L1882" s="22"/>
    </row>
    <row r="1883" spans="1:12" ht="15" x14ac:dyDescent="0.25">
      <c r="A1883" s="1"/>
      <c r="B1883" s="39"/>
      <c r="C1883" s="1"/>
      <c r="D1883" s="1"/>
      <c r="E1883" s="1"/>
      <c r="F1883" s="40"/>
      <c r="G1883" s="40"/>
      <c r="H1883" s="1"/>
      <c r="I1883" s="41"/>
      <c r="J1883" s="1"/>
      <c r="K1883" s="1"/>
      <c r="L1883" s="42"/>
    </row>
    <row r="1884" spans="1:12" ht="15.75" thickBot="1" x14ac:dyDescent="0.3">
      <c r="A1884" s="1"/>
      <c r="B1884" s="43"/>
      <c r="C1884" s="44"/>
      <c r="D1884" s="44"/>
      <c r="E1884" s="44"/>
      <c r="F1884" s="45"/>
      <c r="G1884" s="45"/>
      <c r="H1884" s="44"/>
      <c r="I1884" s="46"/>
      <c r="J1884" s="44"/>
      <c r="K1884" s="44"/>
      <c r="L1884" s="47"/>
    </row>
    <row r="1885" spans="1:12" ht="15.75" thickTop="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ht="48" customHeight="1" x14ac:dyDescent="0.2">
      <c r="A1886" s="10"/>
      <c r="B1886" s="279"/>
      <c r="C1886" s="279"/>
      <c r="D1886" s="279"/>
      <c r="E1886" s="279"/>
      <c r="F1886" s="279"/>
      <c r="G1886" s="279"/>
      <c r="H1886" s="279"/>
      <c r="I1886" s="279"/>
      <c r="J1886" s="279"/>
      <c r="K1886" s="279"/>
      <c r="L1886" s="279"/>
    </row>
    <row r="1887" spans="1:12" ht="15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ht="18" customHeight="1" x14ac:dyDescent="0.2">
      <c r="A1888" s="280"/>
      <c r="B1888" s="280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</row>
    <row r="1889" spans="1:12" ht="15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 ht="8.25" customHeight="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 ht="15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 ht="15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 ht="15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 ht="15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 ht="15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 ht="10.5" customHeight="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 ht="15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 ht="15" x14ac:dyDescent="0.25">
      <c r="A1898" s="1"/>
      <c r="B1898" s="37"/>
      <c r="C1898" s="1"/>
      <c r="D1898" s="1"/>
      <c r="E1898" s="1"/>
      <c r="F1898" s="1"/>
      <c r="G1898" s="1"/>
      <c r="H1898" s="37"/>
      <c r="I1898" s="1"/>
      <c r="J1898" s="1"/>
      <c r="K1898" s="1"/>
      <c r="L1898" s="1"/>
    </row>
    <row r="1899" spans="1:12" ht="15" x14ac:dyDescent="0.25">
      <c r="A1899" s="1"/>
      <c r="B1899" s="48"/>
      <c r="C1899" s="7"/>
      <c r="D1899" s="1"/>
      <c r="E1899" s="1"/>
      <c r="F1899" s="1"/>
      <c r="G1899" s="1"/>
      <c r="H1899" s="1"/>
      <c r="I1899" s="1"/>
      <c r="J1899" s="1"/>
      <c r="K1899" s="1"/>
      <c r="L1899" s="1"/>
    </row>
    <row r="1904" spans="1:12" ht="15.75" x14ac:dyDescent="0.25">
      <c r="A1904" s="3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</row>
    <row r="1905" spans="1:12" ht="15.75" x14ac:dyDescent="0.25">
      <c r="A1905" s="3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</row>
    <row r="1906" spans="1:12" ht="15.75" x14ac:dyDescent="0.25">
      <c r="A1906" s="3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</row>
    <row r="1907" spans="1:12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</row>
    <row r="1908" spans="1:12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</row>
    <row r="1909" spans="1:12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</row>
    <row r="1910" spans="1:12" ht="19.5" thickBot="1" x14ac:dyDescent="0.35">
      <c r="A1910" s="339"/>
      <c r="B1910" s="339"/>
      <c r="C1910" s="339"/>
      <c r="D1910" s="339"/>
      <c r="E1910" s="339"/>
      <c r="F1910" s="339"/>
      <c r="G1910" s="339"/>
      <c r="H1910" s="339"/>
      <c r="I1910" s="339"/>
      <c r="J1910" s="339"/>
      <c r="K1910" s="339"/>
      <c r="L1910" s="339"/>
    </row>
    <row r="1911" spans="1:12" ht="19.5" thickTop="1" x14ac:dyDescent="0.3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</row>
    <row r="1912" spans="1:12" ht="18.75" x14ac:dyDescent="0.3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</row>
    <row r="1913" spans="1:12" ht="15" x14ac:dyDescent="0.25">
      <c r="A1913" s="1"/>
      <c r="B1913" s="1"/>
      <c r="C1913" s="4"/>
      <c r="D1913" s="4"/>
      <c r="E1913" s="4"/>
      <c r="F1913" s="4"/>
      <c r="G1913" s="4"/>
      <c r="H1913" s="4"/>
      <c r="I1913" s="4"/>
      <c r="J1913" s="4"/>
      <c r="K1913" s="4"/>
      <c r="L1913" s="4"/>
    </row>
    <row r="1914" spans="1:12" ht="15" x14ac:dyDescent="0.25">
      <c r="A1914" s="1"/>
      <c r="B1914" s="1"/>
      <c r="C1914" s="4"/>
      <c r="D1914" s="4"/>
      <c r="E1914" s="4"/>
      <c r="F1914" s="4"/>
      <c r="G1914" s="4"/>
      <c r="H1914" s="4"/>
      <c r="I1914" s="4"/>
      <c r="J1914" s="4"/>
      <c r="K1914" s="4"/>
      <c r="L1914" s="4"/>
    </row>
    <row r="1915" spans="1:12" ht="15" x14ac:dyDescent="0.25">
      <c r="A1915" s="1"/>
      <c r="B1915" s="1"/>
      <c r="C1915" s="4"/>
      <c r="D1915" s="4"/>
      <c r="E1915" s="4"/>
      <c r="F1915" s="4"/>
      <c r="G1915" s="4"/>
      <c r="H1915" s="4"/>
      <c r="I1915" s="4"/>
      <c r="J1915" s="4"/>
      <c r="K1915" s="4"/>
      <c r="L1915" s="4"/>
    </row>
    <row r="1916" spans="1:12" ht="15" x14ac:dyDescent="0.25">
      <c r="A1916" s="1"/>
      <c r="B1916" s="4"/>
      <c r="C1916" s="9"/>
      <c r="D1916" s="37"/>
      <c r="E1916" s="64"/>
      <c r="F1916" s="4"/>
      <c r="G1916" s="4"/>
      <c r="H1916" s="4"/>
      <c r="I1916" s="4"/>
      <c r="J1916" s="4"/>
      <c r="K1916" s="4"/>
      <c r="L1916" s="4"/>
    </row>
    <row r="1917" spans="1:12" ht="15" x14ac:dyDescent="0.25">
      <c r="A1917" s="1"/>
      <c r="B1917" s="4"/>
      <c r="C1917" s="9"/>
      <c r="D1917" s="1"/>
      <c r="E1917" s="64"/>
      <c r="F1917" s="4"/>
      <c r="G1917" s="4"/>
      <c r="H1917" s="4"/>
      <c r="I1917" s="4"/>
      <c r="J1917" s="4"/>
      <c r="K1917" s="4"/>
      <c r="L1917" s="4"/>
    </row>
    <row r="1918" spans="1:12" ht="15" x14ac:dyDescent="0.25">
      <c r="A1918" s="1"/>
      <c r="B1918" s="4"/>
      <c r="C1918" s="9"/>
      <c r="D1918" s="1"/>
      <c r="E1918" s="64"/>
      <c r="F1918" s="4"/>
      <c r="G1918" s="4"/>
      <c r="H1918" s="4"/>
      <c r="I1918" s="4"/>
      <c r="J1918" s="4"/>
      <c r="K1918" s="4"/>
      <c r="L1918" s="4"/>
    </row>
    <row r="1919" spans="1:12" ht="15" x14ac:dyDescent="0.25">
      <c r="A1919" s="1"/>
      <c r="B1919" s="1"/>
      <c r="C1919" s="4"/>
      <c r="D1919" s="1"/>
      <c r="E1919" s="4"/>
      <c r="F1919" s="4"/>
      <c r="G1919" s="4"/>
      <c r="H1919" s="4"/>
      <c r="I1919" s="4"/>
      <c r="J1919" s="4"/>
      <c r="K1919" s="4"/>
      <c r="L1919" s="4"/>
    </row>
    <row r="1920" spans="1:12" ht="34.5" customHeight="1" x14ac:dyDescent="0.2">
      <c r="A1920" s="280"/>
      <c r="B1920" s="277"/>
      <c r="C1920" s="277"/>
      <c r="D1920" s="277"/>
      <c r="E1920" s="277"/>
      <c r="F1920" s="277"/>
      <c r="G1920" s="277"/>
      <c r="H1920" s="277"/>
      <c r="I1920" s="277"/>
      <c r="J1920" s="277"/>
      <c r="K1920" s="277"/>
      <c r="L1920" s="277"/>
    </row>
    <row r="1921" spans="1:12" ht="9" customHeight="1" x14ac:dyDescent="0.25">
      <c r="A1921" s="1"/>
      <c r="B1921" s="1"/>
      <c r="C1921" s="4"/>
      <c r="D1921" s="4"/>
      <c r="E1921" s="4"/>
      <c r="F1921" s="4"/>
      <c r="G1921" s="4"/>
      <c r="H1921" s="4"/>
      <c r="I1921" s="4"/>
      <c r="J1921" s="4"/>
      <c r="K1921" s="4"/>
      <c r="L1921" s="4"/>
    </row>
    <row r="1922" spans="1:12" ht="34.5" customHeight="1" thickBot="1" x14ac:dyDescent="0.25">
      <c r="A1922" s="10"/>
      <c r="B1922" s="337"/>
      <c r="C1922" s="338"/>
      <c r="D1922" s="338"/>
      <c r="E1922" s="338"/>
      <c r="F1922" s="338"/>
      <c r="G1922" s="338"/>
      <c r="H1922" s="338"/>
      <c r="I1922" s="338"/>
      <c r="J1922" s="338"/>
      <c r="K1922" s="338"/>
      <c r="L1922" s="338"/>
    </row>
    <row r="1923" spans="1:12" ht="15.75" thickTop="1" x14ac:dyDescent="0.25">
      <c r="A1923" s="1"/>
      <c r="B1923" s="11"/>
      <c r="C1923" s="12"/>
      <c r="D1923" s="13"/>
      <c r="E1923" s="13"/>
      <c r="F1923" s="13"/>
      <c r="G1923" s="13"/>
      <c r="H1923" s="14"/>
      <c r="I1923" s="15"/>
      <c r="J1923" s="12"/>
      <c r="K1923" s="13"/>
      <c r="L1923" s="14"/>
    </row>
    <row r="1924" spans="1:12" ht="20.25" customHeight="1" x14ac:dyDescent="0.2">
      <c r="A1924" s="50"/>
      <c r="B1924" s="60"/>
      <c r="C1924" s="50"/>
      <c r="D1924" s="50"/>
      <c r="E1924" s="50"/>
      <c r="F1924" s="50"/>
      <c r="G1924" s="54"/>
      <c r="H1924" s="55"/>
      <c r="I1924" s="56"/>
      <c r="J1924" s="50"/>
      <c r="K1924" s="50"/>
      <c r="L1924" s="55"/>
    </row>
    <row r="1925" spans="1:12" ht="20.25" customHeight="1" x14ac:dyDescent="0.2">
      <c r="A1925" s="76"/>
      <c r="B1925" s="77"/>
      <c r="C1925" s="76"/>
      <c r="D1925" s="76"/>
      <c r="E1925" s="76"/>
      <c r="F1925" s="76"/>
      <c r="G1925" s="78"/>
      <c r="H1925" s="79"/>
      <c r="I1925" s="80"/>
      <c r="J1925" s="76"/>
      <c r="K1925" s="76"/>
      <c r="L1925" s="79"/>
    </row>
    <row r="1926" spans="1:12" x14ac:dyDescent="0.2">
      <c r="A1926" s="4"/>
      <c r="B1926" s="16"/>
      <c r="C1926" s="4"/>
      <c r="D1926" s="4"/>
      <c r="E1926" s="4"/>
      <c r="F1926" s="4"/>
      <c r="G1926" s="4"/>
      <c r="H1926" s="17"/>
      <c r="I1926" s="19"/>
      <c r="J1926" s="4"/>
      <c r="K1926" s="4"/>
      <c r="L1926" s="17"/>
    </row>
    <row r="1927" spans="1:12" x14ac:dyDescent="0.2">
      <c r="A1927" s="4"/>
      <c r="B1927" s="16"/>
      <c r="C1927" s="4"/>
      <c r="D1927" s="4"/>
      <c r="E1927" s="4"/>
      <c r="F1927" s="4"/>
      <c r="G1927" s="4"/>
      <c r="H1927" s="17"/>
      <c r="I1927" s="19"/>
      <c r="J1927" s="4"/>
      <c r="K1927" s="4"/>
      <c r="L1927" s="17"/>
    </row>
    <row r="1928" spans="1:12" x14ac:dyDescent="0.2">
      <c r="A1928" s="4"/>
      <c r="B1928" s="16"/>
      <c r="C1928" s="4"/>
      <c r="D1928" s="4"/>
      <c r="E1928" s="4"/>
      <c r="F1928" s="4"/>
      <c r="G1928" s="4"/>
      <c r="H1928" s="17"/>
      <c r="I1928" s="19"/>
      <c r="J1928" s="4"/>
      <c r="K1928" s="4"/>
      <c r="L1928" s="17"/>
    </row>
    <row r="1929" spans="1:12" x14ac:dyDescent="0.2">
      <c r="A1929" s="4"/>
      <c r="B1929" s="20"/>
      <c r="C1929" s="21"/>
      <c r="D1929" s="21"/>
      <c r="E1929" s="21"/>
      <c r="F1929" s="21"/>
      <c r="G1929" s="21"/>
      <c r="H1929" s="22"/>
      <c r="I1929" s="23"/>
      <c r="J1929" s="21"/>
      <c r="K1929" s="21"/>
      <c r="L1929" s="22"/>
    </row>
    <row r="1930" spans="1:12" ht="15" x14ac:dyDescent="0.25">
      <c r="A1930" s="1"/>
      <c r="B1930" s="39"/>
      <c r="C1930" s="1"/>
      <c r="D1930" s="1"/>
      <c r="E1930" s="1"/>
      <c r="F1930" s="40"/>
      <c r="G1930" s="40"/>
      <c r="H1930" s="1"/>
      <c r="I1930" s="41"/>
      <c r="J1930" s="1"/>
      <c r="K1930" s="1"/>
      <c r="L1930" s="42"/>
    </row>
    <row r="1931" spans="1:12" ht="15.75" thickBot="1" x14ac:dyDescent="0.3">
      <c r="A1931" s="1"/>
      <c r="B1931" s="43"/>
      <c r="C1931" s="44"/>
      <c r="D1931" s="44"/>
      <c r="E1931" s="44"/>
      <c r="F1931" s="45"/>
      <c r="G1931" s="45"/>
      <c r="H1931" s="44"/>
      <c r="I1931" s="46"/>
      <c r="J1931" s="44"/>
      <c r="K1931" s="44"/>
      <c r="L1931" s="47"/>
    </row>
    <row r="1932" spans="1:12" ht="15.75" thickTop="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 ht="46.5" customHeight="1" x14ac:dyDescent="0.2">
      <c r="A1933" s="10"/>
      <c r="B1933" s="279"/>
      <c r="C1933" s="279"/>
      <c r="D1933" s="279"/>
      <c r="E1933" s="279"/>
      <c r="F1933" s="279"/>
      <c r="G1933" s="279"/>
      <c r="H1933" s="279"/>
      <c r="I1933" s="279"/>
      <c r="J1933" s="279"/>
      <c r="K1933" s="279"/>
      <c r="L1933" s="279"/>
    </row>
    <row r="1934" spans="1:12" ht="15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 ht="21" customHeight="1" x14ac:dyDescent="0.2">
      <c r="A1935" s="280"/>
      <c r="B1935" s="280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</row>
    <row r="1936" spans="1:12" ht="15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 ht="15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 ht="15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 ht="15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  <row r="1940" spans="1:12" ht="15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 spans="1:12" ht="15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 ht="15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 spans="1:12" ht="9.75" customHeight="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</row>
    <row r="1944" spans="1:12" ht="15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</row>
    <row r="1945" spans="1:12" ht="15" x14ac:dyDescent="0.25">
      <c r="A1945" s="1"/>
      <c r="B1945" s="37"/>
      <c r="C1945" s="1"/>
      <c r="D1945" s="1"/>
      <c r="E1945" s="1"/>
      <c r="F1945" s="1"/>
      <c r="G1945" s="1"/>
      <c r="H1945" s="37"/>
      <c r="I1945" s="1"/>
      <c r="J1945" s="1"/>
      <c r="K1945" s="1"/>
      <c r="L1945" s="1"/>
    </row>
    <row r="1946" spans="1:12" ht="15" x14ac:dyDescent="0.25">
      <c r="A1946" s="1"/>
      <c r="B1946" s="48"/>
      <c r="C1946" s="7"/>
      <c r="D1946" s="1"/>
      <c r="E1946" s="1"/>
      <c r="F1946" s="1"/>
      <c r="G1946" s="1"/>
      <c r="H1946" s="1"/>
      <c r="I1946" s="1"/>
      <c r="J1946" s="1"/>
      <c r="K1946" s="1"/>
      <c r="L1946" s="1"/>
    </row>
    <row r="1951" spans="1:12" ht="15.75" x14ac:dyDescent="0.25">
      <c r="A1951" s="3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</row>
    <row r="1952" spans="1:12" ht="15.75" x14ac:dyDescent="0.25">
      <c r="A1952" s="3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</row>
    <row r="1953" spans="1:12" ht="15.75" x14ac:dyDescent="0.25">
      <c r="A1953" s="3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</row>
    <row r="1954" spans="1:12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</row>
    <row r="1955" spans="1:12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</row>
    <row r="1956" spans="1:12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</row>
    <row r="1957" spans="1:12" ht="19.5" thickBot="1" x14ac:dyDescent="0.35">
      <c r="A1957" s="339"/>
      <c r="B1957" s="339"/>
      <c r="C1957" s="339"/>
      <c r="D1957" s="339"/>
      <c r="E1957" s="339"/>
      <c r="F1957" s="339"/>
      <c r="G1957" s="339"/>
      <c r="H1957" s="339"/>
      <c r="I1957" s="339"/>
      <c r="J1957" s="339"/>
      <c r="K1957" s="339"/>
      <c r="L1957" s="339"/>
    </row>
    <row r="1958" spans="1:12" ht="19.5" thickTop="1" x14ac:dyDescent="0.3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</row>
    <row r="1959" spans="1:12" ht="18.75" x14ac:dyDescent="0.3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</row>
    <row r="1960" spans="1:12" ht="15" x14ac:dyDescent="0.25">
      <c r="A1960" s="1"/>
      <c r="B1960" s="1"/>
      <c r="C1960" s="4"/>
      <c r="D1960" s="4"/>
      <c r="E1960" s="4"/>
      <c r="F1960" s="4"/>
      <c r="G1960" s="4"/>
      <c r="H1960" s="4"/>
      <c r="I1960" s="4"/>
      <c r="J1960" s="4"/>
      <c r="K1960" s="4"/>
      <c r="L1960" s="4"/>
    </row>
    <row r="1961" spans="1:12" ht="17.25" customHeight="1" x14ac:dyDescent="0.25">
      <c r="A1961" s="1"/>
      <c r="B1961" s="1"/>
      <c r="C1961" s="4"/>
      <c r="D1961" s="4"/>
      <c r="E1961" s="4"/>
      <c r="F1961" s="4"/>
      <c r="G1961" s="4"/>
      <c r="H1961" s="4"/>
      <c r="I1961" s="4"/>
      <c r="J1961" s="4"/>
      <c r="K1961" s="4"/>
      <c r="L1961" s="4"/>
    </row>
    <row r="1962" spans="1:12" ht="15" x14ac:dyDescent="0.25">
      <c r="A1962" s="1"/>
      <c r="B1962" s="1"/>
      <c r="C1962" s="4"/>
      <c r="D1962" s="4"/>
      <c r="E1962" s="4"/>
      <c r="F1962" s="4"/>
      <c r="G1962" s="4"/>
      <c r="H1962" s="4"/>
      <c r="I1962" s="4"/>
      <c r="J1962" s="4"/>
      <c r="K1962" s="4"/>
      <c r="L1962" s="4"/>
    </row>
    <row r="1963" spans="1:12" ht="15" x14ac:dyDescent="0.25">
      <c r="A1963" s="1"/>
      <c r="B1963" s="4"/>
      <c r="C1963" s="9"/>
      <c r="D1963" s="37"/>
      <c r="E1963" s="64"/>
      <c r="F1963" s="4"/>
      <c r="G1963" s="4"/>
      <c r="H1963" s="4"/>
      <c r="I1963" s="4"/>
      <c r="J1963" s="4"/>
      <c r="K1963" s="4"/>
      <c r="L1963" s="4"/>
    </row>
    <row r="1964" spans="1:12" ht="15" x14ac:dyDescent="0.25">
      <c r="A1964" s="1"/>
      <c r="B1964" s="4"/>
      <c r="C1964" s="9"/>
      <c r="D1964" s="1"/>
      <c r="E1964" s="64"/>
      <c r="F1964" s="4"/>
      <c r="G1964" s="4"/>
      <c r="H1964" s="4"/>
      <c r="I1964" s="4"/>
      <c r="J1964" s="4"/>
      <c r="K1964" s="4"/>
      <c r="L1964" s="4"/>
    </row>
    <row r="1965" spans="1:12" ht="15" x14ac:dyDescent="0.25">
      <c r="A1965" s="1"/>
      <c r="B1965" s="4"/>
      <c r="C1965" s="9"/>
      <c r="D1965" s="1"/>
      <c r="E1965" s="64"/>
      <c r="F1965" s="4"/>
      <c r="G1965" s="4"/>
      <c r="H1965" s="4"/>
      <c r="I1965" s="4"/>
      <c r="J1965" s="4"/>
      <c r="K1965" s="4"/>
      <c r="L1965" s="4"/>
    </row>
    <row r="1966" spans="1:12" ht="15" x14ac:dyDescent="0.25">
      <c r="A1966" s="1"/>
      <c r="B1966" s="1"/>
      <c r="C1966" s="4"/>
      <c r="D1966" s="1"/>
      <c r="E1966" s="4"/>
      <c r="F1966" s="4"/>
      <c r="G1966" s="4"/>
      <c r="H1966" s="4"/>
      <c r="I1966" s="4"/>
      <c r="J1966" s="4"/>
      <c r="K1966" s="4"/>
      <c r="L1966" s="4"/>
    </row>
    <row r="1967" spans="1:12" ht="38.25" customHeight="1" x14ac:dyDescent="0.2">
      <c r="A1967" s="280"/>
      <c r="B1967" s="277"/>
      <c r="C1967" s="277"/>
      <c r="D1967" s="277"/>
      <c r="E1967" s="277"/>
      <c r="F1967" s="277"/>
      <c r="G1967" s="277"/>
      <c r="H1967" s="277"/>
      <c r="I1967" s="277"/>
      <c r="J1967" s="277"/>
      <c r="K1967" s="277"/>
      <c r="L1967" s="277"/>
    </row>
    <row r="1968" spans="1:12" ht="15" x14ac:dyDescent="0.25">
      <c r="A1968" s="1"/>
      <c r="B1968" s="1"/>
      <c r="C1968" s="4"/>
      <c r="D1968" s="4"/>
      <c r="E1968" s="4"/>
      <c r="F1968" s="4"/>
      <c r="G1968" s="4"/>
      <c r="H1968" s="4"/>
      <c r="I1968" s="4"/>
      <c r="J1968" s="4"/>
      <c r="K1968" s="4"/>
      <c r="L1968" s="4"/>
    </row>
    <row r="1969" spans="1:12" ht="39.75" customHeight="1" thickBot="1" x14ac:dyDescent="0.25">
      <c r="A1969" s="10"/>
      <c r="B1969" s="337"/>
      <c r="C1969" s="338"/>
      <c r="D1969" s="338"/>
      <c r="E1969" s="338"/>
      <c r="F1969" s="338"/>
      <c r="G1969" s="338"/>
      <c r="H1969" s="338"/>
      <c r="I1969" s="338"/>
      <c r="J1969" s="338"/>
      <c r="K1969" s="338"/>
      <c r="L1969" s="338"/>
    </row>
    <row r="1970" spans="1:12" ht="17.25" customHeight="1" thickTop="1" x14ac:dyDescent="0.25">
      <c r="A1970" s="1"/>
      <c r="B1970" s="11"/>
      <c r="C1970" s="12"/>
      <c r="D1970" s="13"/>
      <c r="E1970" s="13"/>
      <c r="F1970" s="13"/>
      <c r="G1970" s="13"/>
      <c r="H1970" s="14"/>
      <c r="I1970" s="15"/>
      <c r="J1970" s="12"/>
      <c r="K1970" s="13"/>
      <c r="L1970" s="14"/>
    </row>
    <row r="1971" spans="1:12" ht="21.75" customHeight="1" x14ac:dyDescent="0.2">
      <c r="A1971" s="50"/>
      <c r="B1971" s="60"/>
      <c r="C1971" s="50"/>
      <c r="D1971" s="50"/>
      <c r="E1971" s="50"/>
      <c r="F1971" s="50"/>
      <c r="G1971" s="54"/>
      <c r="H1971" s="55"/>
      <c r="I1971" s="56"/>
      <c r="J1971" s="50"/>
      <c r="K1971" s="50"/>
      <c r="L1971" s="55"/>
    </row>
    <row r="1972" spans="1:12" x14ac:dyDescent="0.2">
      <c r="A1972" s="76"/>
      <c r="B1972" s="77"/>
      <c r="C1972" s="76"/>
      <c r="D1972" s="76"/>
      <c r="E1972" s="76"/>
      <c r="F1972" s="76"/>
      <c r="G1972" s="78"/>
      <c r="H1972" s="79"/>
      <c r="I1972" s="80"/>
      <c r="J1972" s="76"/>
      <c r="K1972" s="76"/>
      <c r="L1972" s="79"/>
    </row>
    <row r="1973" spans="1:12" x14ac:dyDescent="0.2">
      <c r="A1973" s="4"/>
      <c r="B1973" s="16"/>
      <c r="C1973" s="4"/>
      <c r="D1973" s="4"/>
      <c r="E1973" s="4"/>
      <c r="F1973" s="4"/>
      <c r="G1973" s="4"/>
      <c r="H1973" s="17"/>
      <c r="I1973" s="19"/>
      <c r="J1973" s="4"/>
      <c r="K1973" s="4"/>
      <c r="L1973" s="17"/>
    </row>
    <row r="1974" spans="1:12" ht="8.25" customHeight="1" x14ac:dyDescent="0.2">
      <c r="A1974" s="4"/>
      <c r="B1974" s="16"/>
      <c r="C1974" s="4"/>
      <c r="D1974" s="4"/>
      <c r="E1974" s="4"/>
      <c r="F1974" s="4"/>
      <c r="G1974" s="4"/>
      <c r="H1974" s="17"/>
      <c r="I1974" s="19"/>
      <c r="J1974" s="4"/>
      <c r="K1974" s="4"/>
      <c r="L1974" s="17"/>
    </row>
    <row r="1975" spans="1:12" x14ac:dyDescent="0.2">
      <c r="A1975" s="4"/>
      <c r="B1975" s="16"/>
      <c r="C1975" s="4"/>
      <c r="D1975" s="4"/>
      <c r="E1975" s="4"/>
      <c r="F1975" s="4"/>
      <c r="G1975" s="4"/>
      <c r="H1975" s="17"/>
      <c r="I1975" s="19"/>
      <c r="J1975" s="4"/>
      <c r="K1975" s="4"/>
      <c r="L1975" s="17"/>
    </row>
    <row r="1976" spans="1:12" x14ac:dyDescent="0.2">
      <c r="A1976" s="4"/>
      <c r="B1976" s="20"/>
      <c r="C1976" s="21"/>
      <c r="D1976" s="21"/>
      <c r="E1976" s="21"/>
      <c r="F1976" s="21"/>
      <c r="G1976" s="21"/>
      <c r="H1976" s="22"/>
      <c r="I1976" s="23"/>
      <c r="J1976" s="21"/>
      <c r="K1976" s="21"/>
      <c r="L1976" s="22"/>
    </row>
    <row r="1977" spans="1:12" ht="15" x14ac:dyDescent="0.25">
      <c r="A1977" s="1"/>
      <c r="B1977" s="39"/>
      <c r="C1977" s="1"/>
      <c r="D1977" s="1"/>
      <c r="E1977" s="1"/>
      <c r="F1977" s="40"/>
      <c r="G1977" s="40"/>
      <c r="H1977" s="1"/>
      <c r="I1977" s="41"/>
      <c r="J1977" s="1"/>
      <c r="K1977" s="1"/>
      <c r="L1977" s="42"/>
    </row>
    <row r="1978" spans="1:12" ht="15.75" thickBot="1" x14ac:dyDescent="0.3">
      <c r="A1978" s="1"/>
      <c r="B1978" s="43"/>
      <c r="C1978" s="44"/>
      <c r="D1978" s="44"/>
      <c r="E1978" s="44"/>
      <c r="F1978" s="45"/>
      <c r="G1978" s="45"/>
      <c r="H1978" s="44"/>
      <c r="I1978" s="46"/>
      <c r="J1978" s="44"/>
      <c r="K1978" s="44"/>
      <c r="L1978" s="47"/>
    </row>
    <row r="1979" spans="1:12" ht="15.75" thickTop="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 ht="51" customHeight="1" x14ac:dyDescent="0.2">
      <c r="A1980" s="10"/>
      <c r="B1980" s="279"/>
      <c r="C1980" s="279"/>
      <c r="D1980" s="279"/>
      <c r="E1980" s="279"/>
      <c r="F1980" s="279"/>
      <c r="G1980" s="279"/>
      <c r="H1980" s="279"/>
      <c r="I1980" s="279"/>
      <c r="J1980" s="279"/>
      <c r="K1980" s="279"/>
      <c r="L1980" s="279"/>
    </row>
    <row r="1981" spans="1:12" ht="15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</row>
    <row r="1982" spans="1:12" ht="24" customHeight="1" x14ac:dyDescent="0.2">
      <c r="A1982" s="280"/>
      <c r="B1982" s="280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</row>
    <row r="1983" spans="1:12" ht="15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</row>
    <row r="1984" spans="1:12" ht="9.75" customHeight="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</row>
    <row r="1985" spans="1:12" ht="15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</row>
    <row r="1986" spans="1:12" ht="15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</row>
    <row r="1987" spans="1:12" ht="15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</row>
    <row r="1988" spans="1:12" ht="15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</row>
    <row r="1989" spans="1:12" ht="15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</row>
    <row r="1990" spans="1:12" ht="6" customHeight="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</row>
    <row r="1991" spans="1:12" ht="15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</row>
    <row r="1992" spans="1:12" ht="15" x14ac:dyDescent="0.25">
      <c r="A1992" s="1"/>
      <c r="B1992" s="37"/>
      <c r="C1992" s="1"/>
      <c r="D1992" s="1"/>
      <c r="E1992" s="1"/>
      <c r="F1992" s="1"/>
      <c r="G1992" s="1"/>
      <c r="H1992" s="37"/>
      <c r="I1992" s="1"/>
      <c r="J1992" s="1"/>
      <c r="K1992" s="1"/>
      <c r="L1992" s="1"/>
    </row>
    <row r="1993" spans="1:12" ht="15" x14ac:dyDescent="0.25">
      <c r="A1993" s="1"/>
      <c r="B1993" s="48"/>
      <c r="C1993" s="7"/>
      <c r="D1993" s="1"/>
      <c r="E1993" s="1"/>
      <c r="F1993" s="1"/>
      <c r="G1993" s="1"/>
      <c r="H1993" s="1"/>
      <c r="I1993" s="1"/>
      <c r="J1993" s="1"/>
      <c r="K1993" s="1"/>
      <c r="L1993" s="1"/>
    </row>
    <row r="1997" spans="1:12" ht="15.75" x14ac:dyDescent="0.25">
      <c r="A1997" s="3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</row>
    <row r="1998" spans="1:12" ht="15.75" x14ac:dyDescent="0.25">
      <c r="A1998" s="3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</row>
    <row r="1999" spans="1:12" ht="15.75" x14ac:dyDescent="0.25">
      <c r="A1999" s="3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</row>
    <row r="2000" spans="1:12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</row>
    <row r="2001" spans="1:12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</row>
    <row r="2002" spans="1:12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</row>
    <row r="2003" spans="1:12" ht="19.5" thickBot="1" x14ac:dyDescent="0.35">
      <c r="A2003" s="339"/>
      <c r="B2003" s="339"/>
      <c r="C2003" s="339"/>
      <c r="D2003" s="339"/>
      <c r="E2003" s="339"/>
      <c r="F2003" s="339"/>
      <c r="G2003" s="339"/>
      <c r="H2003" s="339"/>
      <c r="I2003" s="339"/>
      <c r="J2003" s="339"/>
      <c r="K2003" s="339"/>
      <c r="L2003" s="339"/>
    </row>
    <row r="2004" spans="1:12" ht="19.5" thickTop="1" x14ac:dyDescent="0.3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</row>
    <row r="2005" spans="1:12" ht="18.75" x14ac:dyDescent="0.3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</row>
    <row r="2006" spans="1:12" ht="15" x14ac:dyDescent="0.25">
      <c r="A2006" s="1"/>
      <c r="B2006" s="1"/>
      <c r="C2006" s="4"/>
      <c r="D2006" s="4"/>
      <c r="E2006" s="4"/>
      <c r="F2006" s="4"/>
      <c r="G2006" s="4"/>
      <c r="H2006" s="4"/>
      <c r="I2006" s="4"/>
      <c r="J2006" s="4"/>
      <c r="K2006" s="4"/>
      <c r="L2006" s="4"/>
    </row>
    <row r="2007" spans="1:12" ht="15" x14ac:dyDescent="0.25">
      <c r="A2007" s="1"/>
      <c r="B2007" s="1"/>
      <c r="C2007" s="4"/>
      <c r="D2007" s="4"/>
      <c r="E2007" s="4"/>
      <c r="F2007" s="4"/>
      <c r="G2007" s="4"/>
      <c r="H2007" s="4"/>
      <c r="I2007" s="4"/>
      <c r="J2007" s="4"/>
      <c r="K2007" s="4"/>
      <c r="L2007" s="4"/>
    </row>
    <row r="2008" spans="1:12" ht="15" x14ac:dyDescent="0.25">
      <c r="A2008" s="1"/>
      <c r="B2008" s="1"/>
      <c r="C2008" s="4"/>
      <c r="D2008" s="4"/>
      <c r="E2008" s="4"/>
      <c r="F2008" s="4"/>
      <c r="G2008" s="4"/>
      <c r="H2008" s="4"/>
      <c r="I2008" s="4"/>
      <c r="J2008" s="4"/>
      <c r="K2008" s="4"/>
      <c r="L2008" s="4"/>
    </row>
    <row r="2009" spans="1:12" ht="15" x14ac:dyDescent="0.25">
      <c r="A2009" s="1"/>
      <c r="B2009" s="4"/>
      <c r="C2009" s="9"/>
      <c r="D2009" s="37"/>
      <c r="E2009" s="64"/>
      <c r="F2009" s="4"/>
      <c r="G2009" s="4"/>
      <c r="H2009" s="4"/>
      <c r="I2009" s="4"/>
      <c r="J2009" s="4"/>
      <c r="K2009" s="4"/>
      <c r="L2009" s="4"/>
    </row>
    <row r="2010" spans="1:12" ht="15" x14ac:dyDescent="0.25">
      <c r="A2010" s="1"/>
      <c r="B2010" s="4"/>
      <c r="C2010" s="9"/>
      <c r="D2010" s="1"/>
      <c r="E2010" s="64"/>
      <c r="F2010" s="4"/>
      <c r="G2010" s="4"/>
      <c r="H2010" s="4"/>
      <c r="I2010" s="4"/>
      <c r="J2010" s="4"/>
      <c r="K2010" s="4"/>
      <c r="L2010" s="4"/>
    </row>
    <row r="2011" spans="1:12" ht="15" x14ac:dyDescent="0.25">
      <c r="A2011" s="1"/>
      <c r="B2011" s="4"/>
      <c r="C2011" s="9"/>
      <c r="D2011" s="1"/>
      <c r="E2011" s="64"/>
      <c r="F2011" s="4"/>
      <c r="G2011" s="4"/>
      <c r="H2011" s="4"/>
      <c r="I2011" s="4"/>
      <c r="J2011" s="4"/>
      <c r="K2011" s="4"/>
      <c r="L2011" s="4"/>
    </row>
    <row r="2012" spans="1:12" ht="15" x14ac:dyDescent="0.25">
      <c r="A2012" s="1"/>
      <c r="B2012" s="1"/>
      <c r="C2012" s="4"/>
      <c r="D2012" s="1"/>
      <c r="E2012" s="4"/>
      <c r="F2012" s="4"/>
      <c r="G2012" s="4"/>
      <c r="H2012" s="4"/>
      <c r="I2012" s="4"/>
      <c r="J2012" s="4"/>
      <c r="K2012" s="4"/>
      <c r="L2012" s="4"/>
    </row>
    <row r="2013" spans="1:12" ht="45.75" customHeight="1" x14ac:dyDescent="0.2">
      <c r="A2013" s="280"/>
      <c r="B2013" s="277"/>
      <c r="C2013" s="277"/>
      <c r="D2013" s="277"/>
      <c r="E2013" s="277"/>
      <c r="F2013" s="277"/>
      <c r="G2013" s="277"/>
      <c r="H2013" s="277"/>
      <c r="I2013" s="277"/>
      <c r="J2013" s="277"/>
      <c r="K2013" s="277"/>
      <c r="L2013" s="277"/>
    </row>
    <row r="2014" spans="1:12" ht="15" x14ac:dyDescent="0.25">
      <c r="A2014" s="1"/>
      <c r="B2014" s="1"/>
      <c r="C2014" s="4"/>
      <c r="D2014" s="4"/>
      <c r="E2014" s="4"/>
      <c r="F2014" s="4"/>
      <c r="G2014" s="4"/>
      <c r="H2014" s="4"/>
      <c r="I2014" s="4"/>
      <c r="J2014" s="4"/>
      <c r="K2014" s="4"/>
      <c r="L2014" s="4"/>
    </row>
    <row r="2015" spans="1:12" ht="36.75" customHeight="1" thickBot="1" x14ac:dyDescent="0.25">
      <c r="A2015" s="10"/>
      <c r="B2015" s="337"/>
      <c r="C2015" s="338"/>
      <c r="D2015" s="338"/>
      <c r="E2015" s="338"/>
      <c r="F2015" s="338"/>
      <c r="G2015" s="338"/>
      <c r="H2015" s="338"/>
      <c r="I2015" s="338"/>
      <c r="J2015" s="338"/>
      <c r="K2015" s="338"/>
      <c r="L2015" s="338"/>
    </row>
    <row r="2016" spans="1:12" ht="23.25" customHeight="1" thickTop="1" x14ac:dyDescent="0.25">
      <c r="A2016" s="1"/>
      <c r="B2016" s="11"/>
      <c r="C2016" s="12"/>
      <c r="D2016" s="13"/>
      <c r="E2016" s="13"/>
      <c r="F2016" s="13"/>
      <c r="G2016" s="13"/>
      <c r="H2016" s="14"/>
      <c r="I2016" s="15"/>
      <c r="J2016" s="12"/>
      <c r="K2016" s="13"/>
      <c r="L2016" s="14"/>
    </row>
    <row r="2017" spans="1:12" ht="21.75" customHeight="1" x14ac:dyDescent="0.2">
      <c r="A2017" s="50"/>
      <c r="B2017" s="60"/>
      <c r="C2017" s="50"/>
      <c r="D2017" s="50"/>
      <c r="E2017" s="50"/>
      <c r="F2017" s="50"/>
      <c r="G2017" s="54"/>
      <c r="H2017" s="55"/>
      <c r="I2017" s="56"/>
      <c r="J2017" s="50"/>
      <c r="K2017" s="50"/>
      <c r="L2017" s="55"/>
    </row>
    <row r="2018" spans="1:12" ht="21.75" customHeight="1" x14ac:dyDescent="0.2">
      <c r="A2018" s="76"/>
      <c r="B2018" s="77"/>
      <c r="C2018" s="76"/>
      <c r="D2018" s="76"/>
      <c r="E2018" s="76"/>
      <c r="F2018" s="76"/>
      <c r="G2018" s="78"/>
      <c r="H2018" s="79"/>
      <c r="I2018" s="80"/>
      <c r="J2018" s="76"/>
      <c r="K2018" s="76"/>
      <c r="L2018" s="79"/>
    </row>
    <row r="2019" spans="1:12" x14ac:dyDescent="0.2">
      <c r="A2019" s="4"/>
      <c r="B2019" s="16"/>
      <c r="C2019" s="4"/>
      <c r="D2019" s="4"/>
      <c r="E2019" s="4"/>
      <c r="F2019" s="4"/>
      <c r="G2019" s="4"/>
      <c r="H2019" s="17"/>
      <c r="I2019" s="19"/>
      <c r="J2019" s="4"/>
      <c r="K2019" s="4"/>
      <c r="L2019" s="17"/>
    </row>
    <row r="2020" spans="1:12" x14ac:dyDescent="0.2">
      <c r="A2020" s="4"/>
      <c r="B2020" s="16"/>
      <c r="C2020" s="4"/>
      <c r="D2020" s="4"/>
      <c r="E2020" s="4"/>
      <c r="F2020" s="4"/>
      <c r="G2020" s="4"/>
      <c r="H2020" s="17"/>
      <c r="I2020" s="19"/>
      <c r="J2020" s="4"/>
      <c r="K2020" s="4"/>
      <c r="L2020" s="17"/>
    </row>
    <row r="2021" spans="1:12" x14ac:dyDescent="0.2">
      <c r="A2021" s="4"/>
      <c r="B2021" s="16"/>
      <c r="C2021" s="4"/>
      <c r="D2021" s="4"/>
      <c r="E2021" s="4"/>
      <c r="F2021" s="4"/>
      <c r="G2021" s="4"/>
      <c r="H2021" s="17"/>
      <c r="I2021" s="19"/>
      <c r="J2021" s="4"/>
      <c r="K2021" s="4"/>
      <c r="L2021" s="17"/>
    </row>
    <row r="2022" spans="1:12" x14ac:dyDescent="0.2">
      <c r="A2022" s="4"/>
      <c r="B2022" s="20"/>
      <c r="C2022" s="21"/>
      <c r="D2022" s="21"/>
      <c r="E2022" s="21"/>
      <c r="F2022" s="21"/>
      <c r="G2022" s="21"/>
      <c r="H2022" s="22"/>
      <c r="I2022" s="23"/>
      <c r="J2022" s="21"/>
      <c r="K2022" s="21"/>
      <c r="L2022" s="22"/>
    </row>
    <row r="2023" spans="1:12" ht="15" x14ac:dyDescent="0.25">
      <c r="A2023" s="1"/>
      <c r="B2023" s="39"/>
      <c r="C2023" s="1"/>
      <c r="D2023" s="1"/>
      <c r="E2023" s="1"/>
      <c r="F2023" s="40"/>
      <c r="G2023" s="40"/>
      <c r="H2023" s="1"/>
      <c r="I2023" s="41"/>
      <c r="J2023" s="1"/>
      <c r="K2023" s="1"/>
      <c r="L2023" s="42"/>
    </row>
    <row r="2024" spans="1:12" ht="15.75" thickBot="1" x14ac:dyDescent="0.3">
      <c r="A2024" s="1"/>
      <c r="B2024" s="43"/>
      <c r="C2024" s="44"/>
      <c r="D2024" s="44"/>
      <c r="E2024" s="44"/>
      <c r="F2024" s="45"/>
      <c r="G2024" s="45"/>
      <c r="H2024" s="44"/>
      <c r="I2024" s="46"/>
      <c r="J2024" s="44"/>
      <c r="K2024" s="44"/>
      <c r="L2024" s="47"/>
    </row>
    <row r="2025" spans="1:12" ht="15.75" thickTop="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</row>
    <row r="2026" spans="1:12" ht="51" customHeight="1" x14ac:dyDescent="0.2">
      <c r="A2026" s="10"/>
      <c r="B2026" s="279"/>
      <c r="C2026" s="279"/>
      <c r="D2026" s="279"/>
      <c r="E2026" s="279"/>
      <c r="F2026" s="279"/>
      <c r="G2026" s="279"/>
      <c r="H2026" s="279"/>
      <c r="I2026" s="279"/>
      <c r="J2026" s="279"/>
      <c r="K2026" s="279"/>
      <c r="L2026" s="279"/>
    </row>
    <row r="2027" spans="1:12" ht="15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</row>
    <row r="2028" spans="1:12" ht="23.25" customHeight="1" x14ac:dyDescent="0.2">
      <c r="A2028" s="280"/>
      <c r="B2028" s="280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</row>
    <row r="2029" spans="1:12" ht="15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</row>
    <row r="2030" spans="1:12" ht="8.25" customHeight="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</row>
    <row r="2031" spans="1:12" ht="15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</row>
    <row r="2032" spans="1:12" ht="15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</row>
    <row r="2033" spans="1:12" ht="15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</row>
    <row r="2034" spans="1:12" ht="15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</row>
    <row r="2035" spans="1:12" ht="15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</row>
    <row r="2036" spans="1:12" ht="6" customHeight="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</row>
    <row r="2037" spans="1:12" ht="15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</row>
    <row r="2038" spans="1:12" ht="15" x14ac:dyDescent="0.25">
      <c r="A2038" s="1"/>
      <c r="B2038" s="37"/>
      <c r="C2038" s="1"/>
      <c r="D2038" s="1"/>
      <c r="E2038" s="1"/>
      <c r="F2038" s="1"/>
      <c r="G2038" s="1"/>
      <c r="H2038" s="37"/>
      <c r="I2038" s="1"/>
      <c r="J2038" s="1"/>
      <c r="K2038" s="1"/>
      <c r="L2038" s="1"/>
    </row>
    <row r="2039" spans="1:12" ht="15" x14ac:dyDescent="0.25">
      <c r="A2039" s="1"/>
      <c r="B2039" s="48"/>
      <c r="C2039" s="7"/>
      <c r="D2039" s="1"/>
      <c r="E2039" s="1"/>
      <c r="F2039" s="1"/>
      <c r="G2039" s="1"/>
      <c r="H2039" s="1"/>
      <c r="I2039" s="1"/>
      <c r="J2039" s="1"/>
      <c r="K2039" s="1"/>
      <c r="L2039" s="1"/>
    </row>
    <row r="2044" spans="1:12" ht="15.75" x14ac:dyDescent="0.25">
      <c r="A2044" s="3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</row>
    <row r="2045" spans="1:12" ht="15.75" x14ac:dyDescent="0.25">
      <c r="A2045" s="3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</row>
    <row r="2046" spans="1:12" ht="15.75" x14ac:dyDescent="0.25">
      <c r="A2046" s="3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</row>
    <row r="2047" spans="1:12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</row>
    <row r="2048" spans="1:12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</row>
    <row r="2049" spans="1:1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</row>
    <row r="2050" spans="1:16" ht="19.5" thickBot="1" x14ac:dyDescent="0.35">
      <c r="A2050" s="339"/>
      <c r="B2050" s="339"/>
      <c r="C2050" s="339"/>
      <c r="D2050" s="339"/>
      <c r="E2050" s="339"/>
      <c r="F2050" s="339"/>
      <c r="G2050" s="339"/>
      <c r="H2050" s="339"/>
      <c r="I2050" s="339"/>
      <c r="J2050" s="339"/>
      <c r="K2050" s="339"/>
      <c r="L2050" s="339"/>
    </row>
    <row r="2051" spans="1:16" ht="19.5" thickTop="1" x14ac:dyDescent="0.3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P2051" s="37"/>
    </row>
    <row r="2052" spans="1:16" ht="18.75" x14ac:dyDescent="0.3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P2052" s="1"/>
    </row>
    <row r="2053" spans="1:16" ht="15" x14ac:dyDescent="0.25">
      <c r="A2053" s="1"/>
      <c r="B2053" s="1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P2053" s="1"/>
    </row>
    <row r="2054" spans="1:16" ht="15" x14ac:dyDescent="0.25">
      <c r="A2054" s="1"/>
      <c r="B2054" s="1"/>
      <c r="C2054" s="4"/>
      <c r="D2054" s="4"/>
      <c r="E2054" s="4"/>
      <c r="F2054" s="4"/>
      <c r="G2054" s="4"/>
      <c r="H2054" s="4"/>
      <c r="I2054" s="4"/>
      <c r="J2054" s="4"/>
      <c r="K2054" s="4"/>
      <c r="L2054" s="4"/>
    </row>
    <row r="2055" spans="1:16" ht="15" x14ac:dyDescent="0.25">
      <c r="A2055" s="1"/>
      <c r="B2055" s="1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P2055" s="37"/>
    </row>
    <row r="2056" spans="1:16" ht="15" x14ac:dyDescent="0.25">
      <c r="A2056" s="1"/>
      <c r="B2056" s="4"/>
      <c r="C2056" s="9"/>
      <c r="D2056" s="37"/>
      <c r="E2056" s="64"/>
      <c r="F2056" s="4"/>
      <c r="G2056" s="4"/>
      <c r="H2056" s="4"/>
      <c r="I2056" s="4"/>
      <c r="J2056" s="4"/>
      <c r="K2056" s="4"/>
      <c r="L2056" s="4"/>
      <c r="P2056" s="1"/>
    </row>
    <row r="2057" spans="1:16" ht="15" x14ac:dyDescent="0.25">
      <c r="A2057" s="1"/>
      <c r="B2057" s="4"/>
      <c r="C2057" s="9"/>
      <c r="D2057" s="1"/>
      <c r="E2057" s="64"/>
      <c r="F2057" s="4"/>
      <c r="G2057" s="4"/>
      <c r="H2057" s="4"/>
      <c r="I2057" s="4"/>
      <c r="J2057" s="4"/>
      <c r="K2057" s="4"/>
      <c r="L2057" s="4"/>
      <c r="P2057" s="1"/>
    </row>
    <row r="2058" spans="1:16" ht="15" x14ac:dyDescent="0.25">
      <c r="A2058" s="1"/>
      <c r="B2058" s="4"/>
      <c r="C2058" s="9"/>
      <c r="D2058" s="1"/>
      <c r="E2058" s="64"/>
      <c r="F2058" s="4"/>
      <c r="G2058" s="4"/>
      <c r="H2058" s="4"/>
      <c r="I2058" s="4"/>
      <c r="J2058" s="4"/>
      <c r="K2058" s="4"/>
      <c r="L2058" s="4"/>
    </row>
    <row r="2059" spans="1:16" ht="15" x14ac:dyDescent="0.25">
      <c r="A2059" s="1"/>
      <c r="B2059" s="1"/>
      <c r="C2059" s="4"/>
      <c r="D2059" s="1"/>
      <c r="E2059" s="4"/>
      <c r="F2059" s="4"/>
      <c r="G2059" s="4"/>
      <c r="H2059" s="4"/>
      <c r="I2059" s="4"/>
      <c r="J2059" s="4"/>
      <c r="K2059" s="4"/>
      <c r="L2059" s="4"/>
    </row>
    <row r="2060" spans="1:16" ht="33.75" customHeight="1" x14ac:dyDescent="0.2">
      <c r="A2060" s="280"/>
      <c r="B2060" s="277"/>
      <c r="C2060" s="277"/>
      <c r="D2060" s="277"/>
      <c r="E2060" s="277"/>
      <c r="F2060" s="277"/>
      <c r="G2060" s="277"/>
      <c r="H2060" s="277"/>
      <c r="I2060" s="277"/>
      <c r="J2060" s="277"/>
      <c r="K2060" s="277"/>
      <c r="L2060" s="277"/>
    </row>
    <row r="2061" spans="1:16" ht="15" x14ac:dyDescent="0.25">
      <c r="A2061" s="1"/>
      <c r="B2061" s="1"/>
      <c r="C2061" s="4"/>
      <c r="D2061" s="4"/>
      <c r="E2061" s="4"/>
      <c r="F2061" s="4"/>
      <c r="G2061" s="4"/>
      <c r="H2061" s="4"/>
      <c r="I2061" s="4"/>
      <c r="J2061" s="4"/>
      <c r="K2061" s="4"/>
      <c r="L2061" s="4"/>
    </row>
    <row r="2062" spans="1:16" ht="45" customHeight="1" thickBot="1" x14ac:dyDescent="0.25">
      <c r="A2062" s="10"/>
      <c r="B2062" s="337"/>
      <c r="C2062" s="338"/>
      <c r="D2062" s="338"/>
      <c r="E2062" s="338"/>
      <c r="F2062" s="338"/>
      <c r="G2062" s="338"/>
      <c r="H2062" s="338"/>
      <c r="I2062" s="338"/>
      <c r="J2062" s="338"/>
      <c r="K2062" s="338"/>
      <c r="L2062" s="338"/>
    </row>
    <row r="2063" spans="1:16" ht="15.75" thickTop="1" x14ac:dyDescent="0.25">
      <c r="A2063" s="1"/>
      <c r="B2063" s="11"/>
      <c r="C2063" s="12"/>
      <c r="D2063" s="13"/>
      <c r="E2063" s="13"/>
      <c r="F2063" s="13"/>
      <c r="G2063" s="13"/>
      <c r="H2063" s="14"/>
      <c r="I2063" s="15"/>
      <c r="J2063" s="12"/>
      <c r="K2063" s="13"/>
      <c r="L2063" s="14"/>
    </row>
    <row r="2064" spans="1:16" ht="21" customHeight="1" x14ac:dyDescent="0.2">
      <c r="A2064" s="50"/>
      <c r="B2064" s="60"/>
      <c r="C2064" s="50"/>
      <c r="D2064" s="50"/>
      <c r="E2064" s="50"/>
      <c r="F2064" s="50"/>
      <c r="G2064" s="54"/>
      <c r="H2064" s="55"/>
      <c r="I2064" s="56"/>
      <c r="J2064" s="50"/>
      <c r="K2064" s="50"/>
      <c r="L2064" s="55"/>
    </row>
    <row r="2065" spans="1:12" ht="18.75" customHeight="1" x14ac:dyDescent="0.2">
      <c r="A2065" s="76"/>
      <c r="B2065" s="77"/>
      <c r="C2065" s="76"/>
      <c r="D2065" s="76"/>
      <c r="E2065" s="76"/>
      <c r="F2065" s="76"/>
      <c r="G2065" s="78"/>
      <c r="H2065" s="79"/>
      <c r="I2065" s="80"/>
      <c r="J2065" s="76"/>
      <c r="K2065" s="76"/>
      <c r="L2065" s="79"/>
    </row>
    <row r="2066" spans="1:12" ht="19.5" customHeight="1" x14ac:dyDescent="0.2">
      <c r="A2066" s="4"/>
      <c r="B2066" s="16"/>
      <c r="C2066" s="76"/>
      <c r="D2066" s="76"/>
      <c r="E2066" s="76"/>
      <c r="F2066" s="76"/>
      <c r="G2066" s="78"/>
      <c r="H2066" s="79"/>
      <c r="I2066" s="80"/>
      <c r="J2066" s="76"/>
      <c r="K2066" s="76"/>
      <c r="L2066" s="17"/>
    </row>
    <row r="2067" spans="1:12" x14ac:dyDescent="0.2">
      <c r="A2067" s="4"/>
      <c r="B2067" s="16"/>
      <c r="C2067" s="4"/>
      <c r="D2067" s="4"/>
      <c r="E2067" s="4"/>
      <c r="F2067" s="4"/>
      <c r="G2067" s="4"/>
      <c r="H2067" s="17"/>
      <c r="I2067" s="19"/>
      <c r="J2067" s="4"/>
      <c r="K2067" s="4"/>
      <c r="L2067" s="17"/>
    </row>
    <row r="2068" spans="1:12" x14ac:dyDescent="0.2">
      <c r="A2068" s="4"/>
      <c r="B2068" s="16"/>
      <c r="C2068" s="4"/>
      <c r="D2068" s="4"/>
      <c r="E2068" s="4"/>
      <c r="F2068" s="4"/>
      <c r="G2068" s="4"/>
      <c r="H2068" s="17"/>
      <c r="I2068" s="19"/>
      <c r="J2068" s="4"/>
      <c r="K2068" s="4"/>
      <c r="L2068" s="17"/>
    </row>
    <row r="2069" spans="1:12" x14ac:dyDescent="0.2">
      <c r="A2069" s="4"/>
      <c r="B2069" s="20"/>
      <c r="C2069" s="21"/>
      <c r="D2069" s="21"/>
      <c r="E2069" s="21"/>
      <c r="F2069" s="21"/>
      <c r="G2069" s="21"/>
      <c r="H2069" s="22"/>
      <c r="I2069" s="23"/>
      <c r="J2069" s="21"/>
      <c r="K2069" s="21"/>
      <c r="L2069" s="22"/>
    </row>
    <row r="2070" spans="1:12" ht="15" x14ac:dyDescent="0.25">
      <c r="A2070" s="1"/>
      <c r="B2070" s="39"/>
      <c r="C2070" s="1"/>
      <c r="D2070" s="1"/>
      <c r="E2070" s="1"/>
      <c r="F2070" s="40"/>
      <c r="G2070" s="40"/>
      <c r="H2070" s="1"/>
      <c r="I2070" s="41"/>
      <c r="J2070" s="1"/>
      <c r="K2070" s="1"/>
      <c r="L2070" s="42"/>
    </row>
    <row r="2071" spans="1:12" ht="15.75" thickBot="1" x14ac:dyDescent="0.3">
      <c r="A2071" s="1"/>
      <c r="B2071" s="43"/>
      <c r="C2071" s="44"/>
      <c r="D2071" s="44"/>
      <c r="E2071" s="44"/>
      <c r="F2071" s="45"/>
      <c r="G2071" s="45"/>
      <c r="H2071" s="44"/>
      <c r="I2071" s="46"/>
      <c r="J2071" s="44"/>
      <c r="K2071" s="44"/>
      <c r="L2071" s="47"/>
    </row>
    <row r="2072" spans="1:12" ht="15.75" thickTop="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</row>
    <row r="2073" spans="1:12" ht="52.5" customHeight="1" x14ac:dyDescent="0.2">
      <c r="A2073" s="10"/>
      <c r="B2073" s="279"/>
      <c r="C2073" s="279"/>
      <c r="D2073" s="279"/>
      <c r="E2073" s="279"/>
      <c r="F2073" s="279"/>
      <c r="G2073" s="279"/>
      <c r="H2073" s="279"/>
      <c r="I2073" s="279"/>
      <c r="J2073" s="279"/>
      <c r="K2073" s="279"/>
      <c r="L2073" s="279"/>
    </row>
    <row r="2074" spans="1:12" ht="15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</row>
    <row r="2075" spans="1:12" ht="25.5" customHeight="1" x14ac:dyDescent="0.2">
      <c r="A2075" s="280"/>
      <c r="B2075" s="280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</row>
    <row r="2076" spans="1:12" ht="15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</row>
    <row r="2077" spans="1:12" ht="9.75" customHeight="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</row>
    <row r="2078" spans="1:12" ht="15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</row>
    <row r="2079" spans="1:12" ht="15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</row>
    <row r="2080" spans="1:12" ht="15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</row>
    <row r="2081" spans="1:12" ht="15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 spans="1:12" ht="15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</row>
    <row r="2083" spans="1:12" ht="15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</row>
    <row r="2084" spans="1:12" ht="9" customHeight="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 ht="15" x14ac:dyDescent="0.25">
      <c r="A2085" s="1"/>
      <c r="B2085" s="37"/>
      <c r="C2085" s="1"/>
      <c r="D2085" s="1"/>
      <c r="E2085" s="1"/>
      <c r="F2085" s="1"/>
      <c r="G2085" s="1"/>
      <c r="H2085" s="37"/>
      <c r="I2085" s="1"/>
      <c r="J2085" s="1"/>
      <c r="K2085" s="1"/>
      <c r="L2085" s="1"/>
    </row>
    <row r="2086" spans="1:12" ht="15" x14ac:dyDescent="0.25">
      <c r="A2086" s="1"/>
      <c r="B2086" s="48"/>
      <c r="C2086" s="7"/>
      <c r="D2086" s="1"/>
      <c r="E2086" s="1"/>
      <c r="F2086" s="1"/>
      <c r="G2086" s="1"/>
      <c r="H2086" s="1"/>
      <c r="I2086" s="1"/>
      <c r="J2086" s="1"/>
      <c r="K2086" s="1"/>
      <c r="L2086" s="1"/>
    </row>
    <row r="2090" spans="1:12" ht="15.75" x14ac:dyDescent="0.25">
      <c r="A2090" s="3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</row>
    <row r="2091" spans="1:12" ht="15.75" x14ac:dyDescent="0.25">
      <c r="A2091" s="3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</row>
    <row r="2092" spans="1:12" ht="15.75" x14ac:dyDescent="0.25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</row>
    <row r="2093" spans="1:12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</row>
    <row r="2094" spans="1:12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</row>
    <row r="2095" spans="1:12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</row>
    <row r="2096" spans="1:12" ht="19.5" thickBot="1" x14ac:dyDescent="0.35">
      <c r="A2096" s="339"/>
      <c r="B2096" s="339"/>
      <c r="C2096" s="339"/>
      <c r="D2096" s="339"/>
      <c r="E2096" s="339"/>
      <c r="F2096" s="339"/>
      <c r="G2096" s="339"/>
      <c r="H2096" s="339"/>
      <c r="I2096" s="339"/>
      <c r="J2096" s="339"/>
      <c r="K2096" s="339"/>
      <c r="L2096" s="339"/>
    </row>
    <row r="2097" spans="1:17" ht="19.5" thickTop="1" x14ac:dyDescent="0.3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</row>
    <row r="2098" spans="1:17" ht="18.75" x14ac:dyDescent="0.3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</row>
    <row r="2099" spans="1:17" ht="15" x14ac:dyDescent="0.25">
      <c r="A2099" s="1"/>
      <c r="B2099" s="1"/>
      <c r="C2099" s="4"/>
      <c r="D2099" s="4"/>
      <c r="E2099" s="4"/>
      <c r="F2099" s="4"/>
      <c r="G2099" s="4"/>
      <c r="H2099" s="4"/>
      <c r="I2099" s="4"/>
      <c r="J2099" s="4"/>
      <c r="K2099" s="4"/>
      <c r="L2099" s="4"/>
    </row>
    <row r="2100" spans="1:17" ht="15" x14ac:dyDescent="0.25">
      <c r="A2100" s="1"/>
      <c r="B2100" s="1"/>
      <c r="C2100" s="4"/>
      <c r="D2100" s="4"/>
      <c r="E2100" s="4"/>
      <c r="F2100" s="4"/>
      <c r="G2100" s="4"/>
      <c r="H2100" s="4"/>
      <c r="I2100" s="4"/>
      <c r="J2100" s="4"/>
      <c r="K2100" s="4"/>
      <c r="L2100" s="4"/>
    </row>
    <row r="2101" spans="1:17" ht="15" x14ac:dyDescent="0.25">
      <c r="A2101" s="1"/>
      <c r="B2101" s="1"/>
      <c r="C2101" s="4"/>
      <c r="D2101" s="4"/>
      <c r="E2101" s="4"/>
      <c r="F2101" s="4"/>
      <c r="G2101" s="4"/>
      <c r="H2101" s="4"/>
      <c r="I2101" s="4"/>
      <c r="J2101" s="4"/>
      <c r="K2101" s="4"/>
      <c r="L2101" s="4"/>
    </row>
    <row r="2102" spans="1:17" ht="15" x14ac:dyDescent="0.25">
      <c r="A2102" s="1"/>
      <c r="B2102" s="4"/>
      <c r="C2102" s="9"/>
      <c r="D2102" s="37"/>
      <c r="E2102" s="64"/>
      <c r="F2102" s="4"/>
      <c r="G2102" s="4"/>
      <c r="H2102" s="4"/>
      <c r="I2102" s="4"/>
      <c r="J2102" s="4"/>
      <c r="K2102" s="4"/>
      <c r="L2102" s="4"/>
      <c r="N2102" s="37"/>
      <c r="Q2102" s="37"/>
    </row>
    <row r="2103" spans="1:17" ht="15" x14ac:dyDescent="0.25">
      <c r="A2103" s="1"/>
      <c r="B2103" s="4"/>
      <c r="C2103" s="9"/>
      <c r="D2103" s="1"/>
      <c r="E2103" s="64"/>
      <c r="F2103" s="4"/>
      <c r="G2103" s="4"/>
      <c r="H2103" s="4"/>
      <c r="I2103" s="4"/>
      <c r="J2103" s="4"/>
      <c r="K2103" s="4"/>
      <c r="L2103" s="4"/>
      <c r="N2103" s="1"/>
      <c r="Q2103" s="1"/>
    </row>
    <row r="2104" spans="1:17" ht="15" x14ac:dyDescent="0.25">
      <c r="A2104" s="1"/>
      <c r="B2104" s="4"/>
      <c r="C2104" s="9"/>
      <c r="D2104" s="1"/>
      <c r="E2104" s="64"/>
      <c r="F2104" s="4"/>
      <c r="G2104" s="4"/>
      <c r="H2104" s="4"/>
      <c r="I2104" s="4"/>
      <c r="J2104" s="4"/>
      <c r="K2104" s="4"/>
      <c r="L2104" s="4"/>
      <c r="N2104" s="1"/>
      <c r="Q2104" s="1"/>
    </row>
    <row r="2105" spans="1:17" ht="15" x14ac:dyDescent="0.25">
      <c r="A2105" s="1"/>
      <c r="B2105" s="1"/>
      <c r="C2105" s="4"/>
      <c r="D2105" s="1"/>
      <c r="E2105" s="4"/>
      <c r="F2105" s="4"/>
      <c r="G2105" s="4"/>
      <c r="H2105" s="4"/>
      <c r="I2105" s="4"/>
      <c r="J2105" s="4"/>
      <c r="K2105" s="4"/>
      <c r="L2105" s="4"/>
    </row>
    <row r="2106" spans="1:17" ht="40.5" customHeight="1" x14ac:dyDescent="0.2">
      <c r="A2106" s="280"/>
      <c r="B2106" s="277"/>
      <c r="C2106" s="277"/>
      <c r="D2106" s="277"/>
      <c r="E2106" s="277"/>
      <c r="F2106" s="277"/>
      <c r="G2106" s="277"/>
      <c r="H2106" s="277"/>
      <c r="I2106" s="277"/>
      <c r="J2106" s="277"/>
      <c r="K2106" s="277"/>
      <c r="L2106" s="277"/>
    </row>
    <row r="2107" spans="1:17" ht="15" x14ac:dyDescent="0.25">
      <c r="A2107" s="1"/>
      <c r="B2107" s="1"/>
      <c r="C2107" s="4"/>
      <c r="D2107" s="4"/>
      <c r="E2107" s="4"/>
      <c r="F2107" s="4"/>
      <c r="G2107" s="4"/>
      <c r="H2107" s="4"/>
      <c r="I2107" s="4"/>
      <c r="J2107" s="4"/>
      <c r="K2107" s="4"/>
      <c r="L2107" s="4"/>
    </row>
    <row r="2108" spans="1:17" ht="38.25" customHeight="1" thickBot="1" x14ac:dyDescent="0.25">
      <c r="A2108" s="10"/>
      <c r="B2108" s="337"/>
      <c r="C2108" s="338"/>
      <c r="D2108" s="338"/>
      <c r="E2108" s="338"/>
      <c r="F2108" s="338"/>
      <c r="G2108" s="338"/>
      <c r="H2108" s="338"/>
      <c r="I2108" s="338"/>
      <c r="J2108" s="338"/>
      <c r="K2108" s="338"/>
      <c r="L2108" s="338"/>
    </row>
    <row r="2109" spans="1:17" ht="15.75" thickTop="1" x14ac:dyDescent="0.25">
      <c r="A2109" s="1"/>
      <c r="B2109" s="11"/>
      <c r="C2109" s="12"/>
      <c r="D2109" s="13"/>
      <c r="E2109" s="13"/>
      <c r="F2109" s="13"/>
      <c r="G2109" s="13"/>
      <c r="H2109" s="14"/>
      <c r="I2109" s="15"/>
      <c r="J2109" s="12"/>
      <c r="K2109" s="13"/>
      <c r="L2109" s="14"/>
    </row>
    <row r="2110" spans="1:17" ht="20.25" customHeight="1" x14ac:dyDescent="0.2">
      <c r="A2110" s="50"/>
      <c r="B2110" s="60"/>
      <c r="C2110" s="50"/>
      <c r="D2110" s="50"/>
      <c r="E2110" s="50"/>
      <c r="F2110" s="50"/>
      <c r="G2110" s="54"/>
      <c r="H2110" s="55"/>
      <c r="I2110" s="56"/>
      <c r="J2110" s="50"/>
      <c r="K2110" s="50"/>
      <c r="L2110" s="55"/>
    </row>
    <row r="2111" spans="1:17" ht="20.25" customHeight="1" x14ac:dyDescent="0.2">
      <c r="A2111" s="76"/>
      <c r="B2111" s="77"/>
      <c r="C2111" s="76"/>
      <c r="D2111" s="76"/>
      <c r="E2111" s="76"/>
      <c r="F2111" s="76"/>
      <c r="G2111" s="78"/>
      <c r="H2111" s="79"/>
      <c r="I2111" s="80"/>
      <c r="J2111" s="76"/>
      <c r="K2111" s="76"/>
      <c r="L2111" s="79"/>
    </row>
    <row r="2112" spans="1:17" ht="20.25" customHeight="1" x14ac:dyDescent="0.2">
      <c r="A2112" s="4"/>
      <c r="B2112" s="16"/>
      <c r="C2112" s="76"/>
      <c r="D2112" s="76"/>
      <c r="E2112" s="76"/>
      <c r="F2112" s="76"/>
      <c r="G2112" s="78"/>
      <c r="H2112" s="79"/>
      <c r="I2112" s="80"/>
      <c r="J2112" s="76"/>
      <c r="K2112" s="76"/>
      <c r="L2112" s="17"/>
    </row>
    <row r="2113" spans="1:12" ht="5.25" customHeight="1" x14ac:dyDescent="0.2">
      <c r="A2113" s="4"/>
      <c r="B2113" s="16"/>
      <c r="C2113" s="4"/>
      <c r="D2113" s="4"/>
      <c r="E2113" s="4"/>
      <c r="F2113" s="4"/>
      <c r="G2113" s="4"/>
      <c r="H2113" s="17"/>
      <c r="I2113" s="19"/>
      <c r="J2113" s="4"/>
      <c r="K2113" s="4"/>
      <c r="L2113" s="17"/>
    </row>
    <row r="2114" spans="1:12" x14ac:dyDescent="0.2">
      <c r="A2114" s="4"/>
      <c r="B2114" s="16"/>
      <c r="C2114" s="4"/>
      <c r="D2114" s="4"/>
      <c r="E2114" s="4"/>
      <c r="F2114" s="4"/>
      <c r="G2114" s="4"/>
      <c r="H2114" s="17"/>
      <c r="I2114" s="19"/>
      <c r="J2114" s="4"/>
      <c r="K2114" s="4"/>
      <c r="L2114" s="17"/>
    </row>
    <row r="2115" spans="1:12" x14ac:dyDescent="0.2">
      <c r="A2115" s="4"/>
      <c r="B2115" s="20"/>
      <c r="C2115" s="21"/>
      <c r="D2115" s="21"/>
      <c r="E2115" s="21"/>
      <c r="F2115" s="21"/>
      <c r="G2115" s="21"/>
      <c r="H2115" s="22"/>
      <c r="I2115" s="23"/>
      <c r="J2115" s="21"/>
      <c r="K2115" s="21"/>
      <c r="L2115" s="22"/>
    </row>
    <row r="2116" spans="1:12" ht="15" x14ac:dyDescent="0.25">
      <c r="A2116" s="1"/>
      <c r="B2116" s="39"/>
      <c r="C2116" s="1"/>
      <c r="D2116" s="1"/>
      <c r="E2116" s="1"/>
      <c r="F2116" s="40"/>
      <c r="G2116" s="40"/>
      <c r="H2116" s="1"/>
      <c r="I2116" s="41"/>
      <c r="J2116" s="1"/>
      <c r="K2116" s="1"/>
      <c r="L2116" s="42"/>
    </row>
    <row r="2117" spans="1:12" ht="15.75" thickBot="1" x14ac:dyDescent="0.3">
      <c r="A2117" s="1"/>
      <c r="B2117" s="43"/>
      <c r="C2117" s="44"/>
      <c r="D2117" s="44"/>
      <c r="E2117" s="44"/>
      <c r="F2117" s="45"/>
      <c r="G2117" s="45"/>
      <c r="H2117" s="44"/>
      <c r="I2117" s="46"/>
      <c r="J2117" s="44"/>
      <c r="K2117" s="44"/>
      <c r="L2117" s="47"/>
    </row>
    <row r="2118" spans="1:12" ht="15.75" thickTop="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 ht="50.25" customHeight="1" x14ac:dyDescent="0.2">
      <c r="A2119" s="10"/>
      <c r="B2119" s="279"/>
      <c r="C2119" s="279"/>
      <c r="D2119" s="279"/>
      <c r="E2119" s="279"/>
      <c r="F2119" s="279"/>
      <c r="G2119" s="279"/>
      <c r="H2119" s="279"/>
      <c r="I2119" s="279"/>
      <c r="J2119" s="279"/>
      <c r="K2119" s="279"/>
      <c r="L2119" s="279"/>
    </row>
    <row r="2120" spans="1:12" ht="12" customHeight="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 ht="21" customHeight="1" x14ac:dyDescent="0.2">
      <c r="A2121" s="280"/>
      <c r="B2121" s="280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</row>
    <row r="2122" spans="1:12" ht="15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 ht="7.5" customHeight="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ht="15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 ht="15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 ht="15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 ht="15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 ht="15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 ht="15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 ht="15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</row>
    <row r="2131" spans="1:12" ht="15" x14ac:dyDescent="0.25">
      <c r="A2131" s="1"/>
      <c r="B2131" s="37"/>
      <c r="C2131" s="1"/>
      <c r="D2131" s="1"/>
      <c r="E2131" s="1"/>
      <c r="F2131" s="1"/>
      <c r="G2131" s="1"/>
      <c r="H2131" s="37"/>
      <c r="I2131" s="1"/>
      <c r="J2131" s="1"/>
      <c r="K2131" s="1"/>
      <c r="L2131" s="1"/>
    </row>
    <row r="2132" spans="1:12" ht="15" x14ac:dyDescent="0.25">
      <c r="A2132" s="1"/>
      <c r="B2132" s="48"/>
      <c r="C2132" s="7"/>
      <c r="D2132" s="1"/>
      <c r="E2132" s="1"/>
      <c r="F2132" s="1"/>
      <c r="G2132" s="1"/>
      <c r="H2132" s="1"/>
      <c r="I2132" s="1"/>
      <c r="J2132" s="1"/>
      <c r="K2132" s="1"/>
      <c r="L2132" s="1"/>
    </row>
    <row r="2137" spans="1:12" ht="15.75" x14ac:dyDescent="0.25">
      <c r="A2137" s="3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</row>
    <row r="2138" spans="1:12" ht="15.75" x14ac:dyDescent="0.25">
      <c r="A2138" s="3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</row>
    <row r="2139" spans="1:12" ht="15.75" x14ac:dyDescent="0.25">
      <c r="A2139" s="3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</row>
    <row r="2140" spans="1:12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</row>
    <row r="2141" spans="1:12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</row>
    <row r="2142" spans="1:12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</row>
    <row r="2143" spans="1:12" ht="19.5" thickBot="1" x14ac:dyDescent="0.35">
      <c r="A2143" s="339"/>
      <c r="B2143" s="339"/>
      <c r="C2143" s="339"/>
      <c r="D2143" s="339"/>
      <c r="E2143" s="339"/>
      <c r="F2143" s="339"/>
      <c r="G2143" s="339"/>
      <c r="H2143" s="339"/>
      <c r="I2143" s="339"/>
      <c r="J2143" s="339"/>
      <c r="K2143" s="339"/>
      <c r="L2143" s="339"/>
    </row>
    <row r="2144" spans="1:12" ht="19.5" thickTop="1" x14ac:dyDescent="0.3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</row>
    <row r="2145" spans="1:14" ht="18.75" x14ac:dyDescent="0.3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</row>
    <row r="2146" spans="1:14" ht="15" x14ac:dyDescent="0.25">
      <c r="A2146" s="1"/>
      <c r="B2146" s="1"/>
      <c r="C2146" s="4"/>
      <c r="D2146" s="4"/>
      <c r="E2146" s="4"/>
      <c r="F2146" s="4"/>
      <c r="G2146" s="4"/>
      <c r="H2146" s="4"/>
      <c r="I2146" s="4"/>
      <c r="J2146" s="4"/>
      <c r="K2146" s="4"/>
      <c r="L2146" s="4"/>
    </row>
    <row r="2147" spans="1:14" ht="15" x14ac:dyDescent="0.25">
      <c r="A2147" s="1"/>
      <c r="B2147" s="1"/>
      <c r="C2147" s="4"/>
      <c r="D2147" s="4"/>
      <c r="E2147" s="4"/>
      <c r="F2147" s="4"/>
      <c r="G2147" s="4"/>
      <c r="H2147" s="4"/>
      <c r="I2147" s="4"/>
      <c r="J2147" s="4"/>
      <c r="K2147" s="4"/>
      <c r="L2147" s="4"/>
    </row>
    <row r="2148" spans="1:14" ht="15" x14ac:dyDescent="0.25">
      <c r="A2148" s="1"/>
      <c r="B2148" s="1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N2148" s="37"/>
    </row>
    <row r="2149" spans="1:14" ht="15" x14ac:dyDescent="0.25">
      <c r="A2149" s="1"/>
      <c r="B2149" s="4"/>
      <c r="C2149" s="9"/>
      <c r="D2149" s="37"/>
      <c r="E2149" s="64"/>
      <c r="F2149" s="4"/>
      <c r="G2149" s="4"/>
      <c r="H2149" s="4"/>
      <c r="I2149" s="4"/>
      <c r="J2149" s="4"/>
      <c r="K2149" s="4"/>
      <c r="L2149" s="4"/>
      <c r="N2149" s="1"/>
    </row>
    <row r="2150" spans="1:14" ht="15" x14ac:dyDescent="0.25">
      <c r="A2150" s="1"/>
      <c r="B2150" s="4"/>
      <c r="C2150" s="9"/>
      <c r="D2150" s="1"/>
      <c r="E2150" s="64"/>
      <c r="F2150" s="4"/>
      <c r="G2150" s="4"/>
      <c r="H2150" s="4"/>
      <c r="I2150" s="4"/>
      <c r="J2150" s="4"/>
      <c r="K2150" s="4"/>
      <c r="L2150" s="4"/>
      <c r="N2150" s="1"/>
    </row>
    <row r="2151" spans="1:14" ht="15" x14ac:dyDescent="0.25">
      <c r="A2151" s="1"/>
      <c r="B2151" s="4"/>
      <c r="C2151" s="9"/>
      <c r="D2151" s="1"/>
      <c r="E2151" s="64"/>
      <c r="F2151" s="4"/>
      <c r="G2151" s="4"/>
      <c r="H2151" s="4"/>
      <c r="I2151" s="4"/>
      <c r="J2151" s="4"/>
      <c r="K2151" s="4"/>
      <c r="L2151" s="4"/>
    </row>
    <row r="2152" spans="1:14" ht="15" x14ac:dyDescent="0.25">
      <c r="A2152" s="1"/>
      <c r="B2152" s="1"/>
      <c r="C2152" s="4"/>
      <c r="D2152" s="1"/>
      <c r="E2152" s="4"/>
      <c r="F2152" s="4"/>
      <c r="G2152" s="4"/>
      <c r="H2152" s="4"/>
      <c r="I2152" s="4"/>
      <c r="J2152" s="4"/>
      <c r="K2152" s="4"/>
      <c r="L2152" s="4"/>
    </row>
    <row r="2153" spans="1:14" ht="33" customHeight="1" x14ac:dyDescent="0.2">
      <c r="A2153" s="280"/>
      <c r="B2153" s="277"/>
      <c r="C2153" s="277"/>
      <c r="D2153" s="277"/>
      <c r="E2153" s="277"/>
      <c r="F2153" s="277"/>
      <c r="G2153" s="277"/>
      <c r="H2153" s="277"/>
      <c r="I2153" s="277"/>
      <c r="J2153" s="277"/>
      <c r="K2153" s="277"/>
      <c r="L2153" s="277"/>
    </row>
    <row r="2154" spans="1:14" ht="15" x14ac:dyDescent="0.25">
      <c r="A2154" s="1"/>
      <c r="B2154" s="1"/>
      <c r="C2154" s="4"/>
      <c r="D2154" s="4"/>
      <c r="E2154" s="4"/>
      <c r="F2154" s="4"/>
      <c r="G2154" s="4"/>
      <c r="H2154" s="4"/>
      <c r="I2154" s="4"/>
      <c r="J2154" s="4"/>
      <c r="K2154" s="4"/>
      <c r="L2154" s="4"/>
    </row>
    <row r="2155" spans="1:14" ht="35.25" customHeight="1" thickBot="1" x14ac:dyDescent="0.25">
      <c r="A2155" s="10"/>
      <c r="B2155" s="337"/>
      <c r="C2155" s="338"/>
      <c r="D2155" s="338"/>
      <c r="E2155" s="338"/>
      <c r="F2155" s="338"/>
      <c r="G2155" s="338"/>
      <c r="H2155" s="338"/>
      <c r="I2155" s="338"/>
      <c r="J2155" s="338"/>
      <c r="K2155" s="338"/>
      <c r="L2155" s="338"/>
    </row>
    <row r="2156" spans="1:14" ht="24" customHeight="1" thickTop="1" x14ac:dyDescent="0.25">
      <c r="A2156" s="1"/>
      <c r="B2156" s="11"/>
      <c r="C2156" s="12"/>
      <c r="D2156" s="13"/>
      <c r="E2156" s="13"/>
      <c r="F2156" s="13"/>
      <c r="G2156" s="13"/>
      <c r="H2156" s="14"/>
      <c r="I2156" s="15"/>
      <c r="J2156" s="12"/>
      <c r="K2156" s="13"/>
      <c r="L2156" s="14"/>
    </row>
    <row r="2157" spans="1:14" ht="19.5" customHeight="1" x14ac:dyDescent="0.2">
      <c r="A2157" s="50"/>
      <c r="B2157" s="60"/>
      <c r="C2157" s="50"/>
      <c r="D2157" s="50"/>
      <c r="E2157" s="50"/>
      <c r="F2157" s="50"/>
      <c r="G2157" s="54"/>
      <c r="H2157" s="55"/>
      <c r="I2157" s="56"/>
      <c r="J2157" s="50"/>
      <c r="K2157" s="50"/>
      <c r="L2157" s="55"/>
    </row>
    <row r="2158" spans="1:14" ht="19.5" customHeight="1" x14ac:dyDescent="0.2">
      <c r="A2158" s="76"/>
      <c r="B2158" s="77"/>
      <c r="C2158" s="76"/>
      <c r="D2158" s="76"/>
      <c r="E2158" s="76"/>
      <c r="F2158" s="76"/>
      <c r="G2158" s="78"/>
      <c r="H2158" s="79"/>
      <c r="I2158" s="80"/>
      <c r="J2158" s="76"/>
      <c r="K2158" s="76"/>
      <c r="L2158" s="79"/>
    </row>
    <row r="2159" spans="1:14" ht="19.5" customHeight="1" x14ac:dyDescent="0.2">
      <c r="A2159" s="4"/>
      <c r="B2159" s="16"/>
      <c r="C2159" s="76"/>
      <c r="D2159" s="76"/>
      <c r="E2159" s="76"/>
      <c r="F2159" s="76"/>
      <c r="G2159" s="78"/>
      <c r="H2159" s="79"/>
      <c r="I2159" s="80"/>
      <c r="J2159" s="76"/>
      <c r="K2159" s="76"/>
      <c r="L2159" s="17"/>
    </row>
    <row r="2160" spans="1:14" x14ac:dyDescent="0.2">
      <c r="A2160" s="4"/>
      <c r="B2160" s="16"/>
      <c r="C2160" s="4"/>
      <c r="D2160" s="4"/>
      <c r="E2160" s="4"/>
      <c r="F2160" s="4"/>
      <c r="G2160" s="4"/>
      <c r="H2160" s="17"/>
      <c r="I2160" s="19"/>
      <c r="J2160" s="4"/>
      <c r="K2160" s="4"/>
      <c r="L2160" s="17"/>
    </row>
    <row r="2161" spans="1:12" x14ac:dyDescent="0.2">
      <c r="A2161" s="4"/>
      <c r="B2161" s="16"/>
      <c r="C2161" s="4"/>
      <c r="D2161" s="4"/>
      <c r="E2161" s="4"/>
      <c r="F2161" s="4"/>
      <c r="G2161" s="4"/>
      <c r="H2161" s="17"/>
      <c r="I2161" s="19"/>
      <c r="J2161" s="4"/>
      <c r="K2161" s="4"/>
      <c r="L2161" s="17"/>
    </row>
    <row r="2162" spans="1:12" x14ac:dyDescent="0.2">
      <c r="A2162" s="4"/>
      <c r="B2162" s="20"/>
      <c r="C2162" s="21"/>
      <c r="D2162" s="21"/>
      <c r="E2162" s="21"/>
      <c r="F2162" s="21"/>
      <c r="G2162" s="21"/>
      <c r="H2162" s="22"/>
      <c r="I2162" s="23"/>
      <c r="J2162" s="21"/>
      <c r="K2162" s="21"/>
      <c r="L2162" s="22"/>
    </row>
    <row r="2163" spans="1:12" ht="15" x14ac:dyDescent="0.25">
      <c r="A2163" s="1"/>
      <c r="B2163" s="39"/>
      <c r="C2163" s="1"/>
      <c r="D2163" s="1"/>
      <c r="E2163" s="1"/>
      <c r="F2163" s="40"/>
      <c r="G2163" s="40"/>
      <c r="H2163" s="1"/>
      <c r="I2163" s="41"/>
      <c r="J2163" s="1"/>
      <c r="K2163" s="1"/>
      <c r="L2163" s="42"/>
    </row>
    <row r="2164" spans="1:12" ht="15.75" thickBot="1" x14ac:dyDescent="0.3">
      <c r="A2164" s="1"/>
      <c r="B2164" s="43"/>
      <c r="C2164" s="44"/>
      <c r="D2164" s="44"/>
      <c r="E2164" s="44"/>
      <c r="F2164" s="45"/>
      <c r="G2164" s="45"/>
      <c r="H2164" s="44"/>
      <c r="I2164" s="46"/>
      <c r="J2164" s="44"/>
      <c r="K2164" s="44"/>
      <c r="L2164" s="47"/>
    </row>
    <row r="2165" spans="1:12" ht="15.75" thickTop="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ht="46.5" customHeight="1" x14ac:dyDescent="0.2">
      <c r="A2166" s="10"/>
      <c r="B2166" s="279"/>
      <c r="C2166" s="279"/>
      <c r="D2166" s="279"/>
      <c r="E2166" s="279"/>
      <c r="F2166" s="279"/>
      <c r="G2166" s="279"/>
      <c r="H2166" s="279"/>
      <c r="I2166" s="279"/>
      <c r="J2166" s="279"/>
      <c r="K2166" s="279"/>
      <c r="L2166" s="279"/>
    </row>
    <row r="2167" spans="1:12" ht="15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 ht="18" customHeight="1" x14ac:dyDescent="0.2">
      <c r="A2168" s="280"/>
      <c r="B2168" s="280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</row>
    <row r="2169" spans="1:12" ht="15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 ht="15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 spans="1:12" ht="15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 spans="1:12" ht="15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 spans="1:12" ht="15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 spans="1:12" ht="15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 spans="1:12" ht="15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 spans="1:12" ht="15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 ht="15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 spans="1:12" ht="15" x14ac:dyDescent="0.25">
      <c r="A2178" s="1"/>
      <c r="B2178" s="37"/>
      <c r="C2178" s="1"/>
      <c r="D2178" s="1"/>
      <c r="E2178" s="1"/>
      <c r="F2178" s="1"/>
      <c r="G2178" s="1"/>
      <c r="H2178" s="37"/>
      <c r="I2178" s="1"/>
      <c r="J2178" s="1"/>
      <c r="K2178" s="1"/>
      <c r="L2178" s="1"/>
    </row>
    <row r="2179" spans="1:12" ht="15" x14ac:dyDescent="0.25">
      <c r="A2179" s="1"/>
      <c r="B2179" s="48"/>
      <c r="C2179" s="7"/>
      <c r="D2179" s="1"/>
      <c r="E2179" s="1"/>
      <c r="F2179" s="1"/>
      <c r="G2179" s="1"/>
      <c r="H2179" s="1"/>
      <c r="I2179" s="1"/>
      <c r="J2179" s="1"/>
      <c r="K2179" s="1"/>
      <c r="L2179" s="1"/>
    </row>
    <row r="2185" spans="1:12" ht="15.75" x14ac:dyDescent="0.25">
      <c r="A2185" s="3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</row>
    <row r="2186" spans="1:12" ht="15.75" x14ac:dyDescent="0.25">
      <c r="A2186" s="3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</row>
    <row r="2187" spans="1:12" ht="15.75" x14ac:dyDescent="0.25">
      <c r="A2187" s="3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</row>
    <row r="2188" spans="1:12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</row>
    <row r="2189" spans="1:12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</row>
    <row r="2190" spans="1:12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</row>
    <row r="2191" spans="1:12" ht="19.5" thickBot="1" x14ac:dyDescent="0.35">
      <c r="A2191" s="339"/>
      <c r="B2191" s="339"/>
      <c r="C2191" s="339"/>
      <c r="D2191" s="339"/>
      <c r="E2191" s="339"/>
      <c r="F2191" s="339"/>
      <c r="G2191" s="339"/>
      <c r="H2191" s="339"/>
      <c r="I2191" s="339"/>
      <c r="J2191" s="339"/>
      <c r="K2191" s="339"/>
      <c r="L2191" s="339"/>
    </row>
    <row r="2192" spans="1:12" ht="19.5" thickTop="1" x14ac:dyDescent="0.3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</row>
    <row r="2193" spans="1:12" ht="18.75" x14ac:dyDescent="0.3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</row>
    <row r="2194" spans="1:12" ht="15" x14ac:dyDescent="0.25">
      <c r="A2194" s="1"/>
      <c r="B2194" s="1"/>
      <c r="C2194" s="4"/>
      <c r="D2194" s="4"/>
      <c r="E2194" s="4"/>
      <c r="F2194" s="4"/>
      <c r="G2194" s="4"/>
      <c r="H2194" s="4"/>
      <c r="I2194" s="4"/>
      <c r="J2194" s="4"/>
      <c r="K2194" s="4"/>
      <c r="L2194" s="4"/>
    </row>
    <row r="2195" spans="1:12" ht="15" x14ac:dyDescent="0.25">
      <c r="A2195" s="1"/>
      <c r="B2195" s="1"/>
      <c r="C2195" s="4"/>
      <c r="D2195" s="4"/>
      <c r="E2195" s="4"/>
      <c r="F2195" s="4"/>
      <c r="G2195" s="4"/>
      <c r="H2195" s="4"/>
      <c r="I2195" s="4"/>
      <c r="J2195" s="4"/>
      <c r="K2195" s="4"/>
      <c r="L2195" s="4"/>
    </row>
    <row r="2196" spans="1:12" ht="15" x14ac:dyDescent="0.25">
      <c r="A2196" s="1"/>
      <c r="B2196" s="1"/>
      <c r="C2196" s="4"/>
      <c r="D2196" s="4"/>
      <c r="E2196" s="4"/>
      <c r="F2196" s="4"/>
      <c r="G2196" s="4"/>
      <c r="H2196" s="4"/>
      <c r="I2196" s="4"/>
      <c r="J2196" s="4"/>
      <c r="K2196" s="4"/>
      <c r="L2196" s="4"/>
    </row>
    <row r="2197" spans="1:12" ht="15" x14ac:dyDescent="0.25">
      <c r="A2197" s="1"/>
      <c r="B2197" s="4"/>
      <c r="C2197" s="9"/>
      <c r="D2197" s="37"/>
      <c r="E2197" s="64"/>
      <c r="F2197" s="4"/>
      <c r="G2197" s="4"/>
      <c r="H2197" s="4"/>
      <c r="I2197" s="4"/>
      <c r="J2197" s="4"/>
      <c r="K2197" s="4"/>
      <c r="L2197" s="4"/>
    </row>
    <row r="2198" spans="1:12" ht="15" x14ac:dyDescent="0.25">
      <c r="A2198" s="1"/>
      <c r="B2198" s="4"/>
      <c r="C2198" s="9"/>
      <c r="D2198" s="1"/>
      <c r="E2198" s="64"/>
      <c r="F2198" s="4"/>
      <c r="G2198" s="4"/>
      <c r="H2198" s="4"/>
      <c r="I2198" s="4"/>
      <c r="J2198" s="4"/>
      <c r="K2198" s="4"/>
      <c r="L2198" s="4"/>
    </row>
    <row r="2199" spans="1:12" ht="15" x14ac:dyDescent="0.25">
      <c r="A2199" s="1"/>
      <c r="B2199" s="4"/>
      <c r="C2199" s="9"/>
      <c r="D2199" s="1"/>
      <c r="E2199" s="64"/>
      <c r="F2199" s="4"/>
      <c r="G2199" s="4"/>
      <c r="H2199" s="4"/>
      <c r="I2199" s="4"/>
      <c r="J2199" s="4"/>
      <c r="K2199" s="4"/>
      <c r="L2199" s="4"/>
    </row>
    <row r="2200" spans="1:12" ht="15" x14ac:dyDescent="0.25">
      <c r="A2200" s="1"/>
      <c r="B2200" s="1"/>
      <c r="C2200" s="4"/>
      <c r="D2200" s="1"/>
      <c r="E2200" s="4"/>
      <c r="F2200" s="4"/>
      <c r="G2200" s="4"/>
      <c r="H2200" s="4"/>
      <c r="I2200" s="4"/>
      <c r="J2200" s="4"/>
      <c r="K2200" s="4"/>
      <c r="L2200" s="4"/>
    </row>
    <row r="2201" spans="1:12" ht="15" x14ac:dyDescent="0.2">
      <c r="A2201" s="280"/>
      <c r="B2201" s="277"/>
      <c r="C2201" s="277"/>
      <c r="D2201" s="277"/>
      <c r="E2201" s="277"/>
      <c r="F2201" s="277"/>
      <c r="G2201" s="277"/>
      <c r="H2201" s="277"/>
      <c r="I2201" s="277"/>
      <c r="J2201" s="277"/>
      <c r="K2201" s="277"/>
      <c r="L2201" s="277"/>
    </row>
    <row r="2202" spans="1:12" ht="15" x14ac:dyDescent="0.25">
      <c r="A2202" s="1"/>
      <c r="B2202" s="1"/>
      <c r="C2202" s="4"/>
      <c r="D2202" s="4"/>
      <c r="E2202" s="4"/>
      <c r="F2202" s="4"/>
      <c r="G2202" s="4"/>
      <c r="H2202" s="4"/>
      <c r="I2202" s="4"/>
      <c r="J2202" s="4"/>
      <c r="K2202" s="4"/>
      <c r="L2202" s="4"/>
    </row>
    <row r="2203" spans="1:12" ht="15.75" thickBot="1" x14ac:dyDescent="0.25">
      <c r="A2203" s="10"/>
      <c r="B2203" s="337"/>
      <c r="C2203" s="338"/>
      <c r="D2203" s="338"/>
      <c r="E2203" s="338"/>
      <c r="F2203" s="338"/>
      <c r="G2203" s="338"/>
      <c r="H2203" s="338"/>
      <c r="I2203" s="338"/>
      <c r="J2203" s="338"/>
      <c r="K2203" s="338"/>
      <c r="L2203" s="338"/>
    </row>
    <row r="2204" spans="1:12" ht="15.75" thickTop="1" x14ac:dyDescent="0.25">
      <c r="A2204" s="1"/>
      <c r="B2204" s="11"/>
      <c r="C2204" s="12"/>
      <c r="D2204" s="13"/>
      <c r="E2204" s="13"/>
      <c r="F2204" s="13"/>
      <c r="G2204" s="13"/>
      <c r="H2204" s="14"/>
      <c r="I2204" s="15"/>
      <c r="J2204" s="12"/>
      <c r="K2204" s="13"/>
      <c r="L2204" s="14"/>
    </row>
    <row r="2205" spans="1:12" ht="15" x14ac:dyDescent="0.2">
      <c r="A2205" s="50"/>
      <c r="B2205" s="60"/>
      <c r="C2205" s="50"/>
      <c r="D2205" s="50"/>
      <c r="E2205" s="50"/>
      <c r="F2205" s="50"/>
      <c r="G2205" s="54"/>
      <c r="H2205" s="55"/>
      <c r="I2205" s="56"/>
      <c r="J2205" s="50"/>
      <c r="K2205" s="50"/>
      <c r="L2205" s="55"/>
    </row>
    <row r="2206" spans="1:12" x14ac:dyDescent="0.2">
      <c r="A2206" s="76"/>
      <c r="B2206" s="77"/>
      <c r="C2206" s="76"/>
      <c r="D2206" s="76"/>
      <c r="E2206" s="76"/>
      <c r="F2206" s="76"/>
      <c r="G2206" s="78"/>
      <c r="H2206" s="79"/>
      <c r="I2206" s="80"/>
      <c r="J2206" s="76"/>
      <c r="K2206" s="76"/>
      <c r="L2206" s="79"/>
    </row>
    <row r="2207" spans="1:12" x14ac:dyDescent="0.2">
      <c r="A2207" s="4"/>
      <c r="B2207" s="16"/>
      <c r="C2207" s="4"/>
      <c r="D2207" s="4"/>
      <c r="E2207" s="4"/>
      <c r="F2207" s="4"/>
      <c r="G2207" s="4"/>
      <c r="H2207" s="17"/>
      <c r="I2207" s="19"/>
      <c r="J2207" s="4"/>
      <c r="K2207" s="4"/>
      <c r="L2207" s="17"/>
    </row>
    <row r="2208" spans="1:12" x14ac:dyDescent="0.2">
      <c r="A2208" s="4"/>
      <c r="B2208" s="16"/>
      <c r="C2208" s="4"/>
      <c r="D2208" s="4"/>
      <c r="E2208" s="4"/>
      <c r="F2208" s="4"/>
      <c r="G2208" s="4"/>
      <c r="H2208" s="17"/>
      <c r="I2208" s="19"/>
      <c r="J2208" s="4"/>
      <c r="K2208" s="4"/>
      <c r="L2208" s="17"/>
    </row>
    <row r="2209" spans="1:12" x14ac:dyDescent="0.2">
      <c r="A2209" s="4"/>
      <c r="B2209" s="16"/>
      <c r="C2209" s="4"/>
      <c r="D2209" s="4"/>
      <c r="E2209" s="4"/>
      <c r="F2209" s="4"/>
      <c r="G2209" s="4"/>
      <c r="H2209" s="17"/>
      <c r="I2209" s="19"/>
      <c r="J2209" s="4"/>
      <c r="K2209" s="4"/>
      <c r="L2209" s="17"/>
    </row>
    <row r="2210" spans="1:12" x14ac:dyDescent="0.2">
      <c r="A2210" s="4"/>
      <c r="B2210" s="20"/>
      <c r="C2210" s="21"/>
      <c r="D2210" s="21"/>
      <c r="E2210" s="21"/>
      <c r="F2210" s="21"/>
      <c r="G2210" s="21"/>
      <c r="H2210" s="22"/>
      <c r="I2210" s="23"/>
      <c r="J2210" s="21"/>
      <c r="K2210" s="21"/>
      <c r="L2210" s="22"/>
    </row>
    <row r="2211" spans="1:12" ht="15" x14ac:dyDescent="0.25">
      <c r="A2211" s="1"/>
      <c r="B2211" s="39"/>
      <c r="C2211" s="1"/>
      <c r="D2211" s="1"/>
      <c r="E2211" s="1"/>
      <c r="F2211" s="40"/>
      <c r="G2211" s="40"/>
      <c r="H2211" s="1"/>
      <c r="I2211" s="41"/>
      <c r="J2211" s="1"/>
      <c r="K2211" s="1"/>
      <c r="L2211" s="42"/>
    </row>
    <row r="2212" spans="1:12" ht="15.75" thickBot="1" x14ac:dyDescent="0.3">
      <c r="A2212" s="1"/>
      <c r="B2212" s="43"/>
      <c r="C2212" s="44"/>
      <c r="D2212" s="44"/>
      <c r="E2212" s="44"/>
      <c r="F2212" s="45"/>
      <c r="G2212" s="45"/>
      <c r="H2212" s="44"/>
      <c r="I2212" s="46"/>
      <c r="J2212" s="44"/>
      <c r="K2212" s="44"/>
      <c r="L2212" s="47"/>
    </row>
    <row r="2213" spans="1:12" ht="15.75" thickTop="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</row>
    <row r="2214" spans="1:12" ht="15" x14ac:dyDescent="0.2">
      <c r="A2214" s="10"/>
      <c r="B2214" s="279"/>
      <c r="C2214" s="279"/>
      <c r="D2214" s="279"/>
      <c r="E2214" s="279"/>
      <c r="F2214" s="279"/>
      <c r="G2214" s="279"/>
      <c r="H2214" s="279"/>
      <c r="I2214" s="279"/>
      <c r="J2214" s="279"/>
      <c r="K2214" s="279"/>
      <c r="L2214" s="279"/>
    </row>
    <row r="2215" spans="1:12" ht="15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</row>
    <row r="2216" spans="1:12" ht="15" x14ac:dyDescent="0.2">
      <c r="A2216" s="280"/>
      <c r="B2216" s="280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</row>
    <row r="2217" spans="1:12" ht="15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 spans="1:12" ht="15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</row>
    <row r="2219" spans="1:12" ht="15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 ht="15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</row>
    <row r="2221" spans="1:12" ht="15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12" ht="15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</row>
    <row r="2223" spans="1:12" ht="15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</row>
    <row r="2224" spans="1:12" ht="15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</row>
    <row r="2225" spans="1:12" ht="15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</row>
    <row r="2226" spans="1:12" ht="15" x14ac:dyDescent="0.25">
      <c r="A2226" s="1"/>
      <c r="B2226" s="37"/>
      <c r="C2226" s="1"/>
      <c r="D2226" s="1"/>
      <c r="E2226" s="1"/>
      <c r="F2226" s="1"/>
      <c r="G2226" s="1"/>
      <c r="H2226" s="37"/>
      <c r="I2226" s="1"/>
      <c r="J2226" s="1"/>
      <c r="K2226" s="1"/>
      <c r="L2226" s="1"/>
    </row>
    <row r="2227" spans="1:12" ht="15" x14ac:dyDescent="0.25">
      <c r="A2227" s="1"/>
      <c r="B2227" s="48"/>
      <c r="C2227" s="7"/>
      <c r="D2227" s="1"/>
      <c r="E2227" s="1"/>
      <c r="F2227" s="1"/>
      <c r="G2227" s="1"/>
      <c r="H2227" s="1"/>
      <c r="I2227" s="1"/>
      <c r="J2227" s="1"/>
      <c r="K2227" s="1"/>
      <c r="L2227" s="1"/>
    </row>
    <row r="2232" spans="1:12" ht="15.75" x14ac:dyDescent="0.25">
      <c r="A2232" s="3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</row>
    <row r="2233" spans="1:12" ht="15.75" x14ac:dyDescent="0.25">
      <c r="A2233" s="3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</row>
    <row r="2234" spans="1:12" ht="15.75" x14ac:dyDescent="0.25">
      <c r="A2234" s="3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</row>
    <row r="2235" spans="1:12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</row>
    <row r="2236" spans="1:12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</row>
    <row r="2237" spans="1:12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</row>
    <row r="2238" spans="1:12" ht="19.5" thickBot="1" x14ac:dyDescent="0.35">
      <c r="A2238" s="339"/>
      <c r="B2238" s="339"/>
      <c r="C2238" s="339"/>
      <c r="D2238" s="339"/>
      <c r="E2238" s="339"/>
      <c r="F2238" s="339"/>
      <c r="G2238" s="339"/>
      <c r="H2238" s="339"/>
      <c r="I2238" s="339"/>
      <c r="J2238" s="339"/>
      <c r="K2238" s="339"/>
      <c r="L2238" s="339"/>
    </row>
    <row r="2239" spans="1:12" ht="19.5" thickTop="1" x14ac:dyDescent="0.3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</row>
    <row r="2240" spans="1:12" ht="18.75" x14ac:dyDescent="0.3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</row>
    <row r="2241" spans="1:12" ht="15" x14ac:dyDescent="0.25">
      <c r="A2241" s="1"/>
      <c r="B2241" s="1"/>
      <c r="C2241" s="4"/>
      <c r="D2241" s="4"/>
      <c r="E2241" s="4"/>
      <c r="F2241" s="4"/>
      <c r="G2241" s="4"/>
      <c r="H2241" s="4"/>
      <c r="I2241" s="4"/>
      <c r="J2241" s="4"/>
      <c r="K2241" s="4"/>
      <c r="L2241" s="4"/>
    </row>
    <row r="2242" spans="1:12" ht="15" x14ac:dyDescent="0.25">
      <c r="A2242" s="1"/>
      <c r="B2242" s="1"/>
      <c r="C2242" s="4"/>
      <c r="D2242" s="4"/>
      <c r="E2242" s="4"/>
      <c r="F2242" s="4"/>
      <c r="G2242" s="4"/>
      <c r="H2242" s="4"/>
      <c r="I2242" s="4"/>
      <c r="J2242" s="4"/>
      <c r="K2242" s="4"/>
      <c r="L2242" s="4"/>
    </row>
    <row r="2243" spans="1:12" ht="15" x14ac:dyDescent="0.25">
      <c r="A2243" s="1"/>
      <c r="B2243" s="1"/>
      <c r="C2243" s="4"/>
      <c r="D2243" s="4"/>
      <c r="E2243" s="4"/>
      <c r="F2243" s="4"/>
      <c r="G2243" s="4"/>
      <c r="H2243" s="4"/>
      <c r="I2243" s="4"/>
      <c r="J2243" s="4"/>
      <c r="K2243" s="4"/>
      <c r="L2243" s="4"/>
    </row>
    <row r="2244" spans="1:12" ht="15" x14ac:dyDescent="0.25">
      <c r="A2244" s="1"/>
      <c r="B2244" s="4"/>
      <c r="C2244" s="9"/>
      <c r="D2244" s="37"/>
      <c r="E2244" s="64"/>
      <c r="F2244" s="4"/>
      <c r="G2244" s="4"/>
      <c r="H2244" s="4"/>
      <c r="I2244" s="4"/>
      <c r="J2244" s="4"/>
      <c r="K2244" s="4"/>
      <c r="L2244" s="4"/>
    </row>
    <row r="2245" spans="1:12" ht="15" x14ac:dyDescent="0.25">
      <c r="A2245" s="1"/>
      <c r="B2245" s="4"/>
      <c r="C2245" s="9"/>
      <c r="D2245" s="1"/>
      <c r="E2245" s="64"/>
      <c r="F2245" s="4"/>
      <c r="G2245" s="4"/>
      <c r="H2245" s="4"/>
      <c r="I2245" s="4"/>
      <c r="J2245" s="4"/>
      <c r="K2245" s="4"/>
      <c r="L2245" s="4"/>
    </row>
    <row r="2246" spans="1:12" ht="15" x14ac:dyDescent="0.25">
      <c r="A2246" s="1"/>
      <c r="B2246" s="4"/>
      <c r="C2246" s="9"/>
      <c r="D2246" s="1"/>
      <c r="E2246" s="64"/>
      <c r="F2246" s="4"/>
      <c r="G2246" s="4"/>
      <c r="H2246" s="4"/>
      <c r="I2246" s="4"/>
      <c r="J2246" s="4"/>
      <c r="K2246" s="4"/>
      <c r="L2246" s="4"/>
    </row>
    <row r="2247" spans="1:12" ht="15" x14ac:dyDescent="0.25">
      <c r="A2247" s="1"/>
      <c r="B2247" s="1"/>
      <c r="C2247" s="4"/>
      <c r="D2247" s="1"/>
      <c r="E2247" s="4"/>
      <c r="F2247" s="4"/>
      <c r="G2247" s="4"/>
      <c r="H2247" s="4"/>
      <c r="I2247" s="4"/>
      <c r="J2247" s="4"/>
      <c r="K2247" s="4"/>
      <c r="L2247" s="4"/>
    </row>
    <row r="2248" spans="1:12" ht="38.25" customHeight="1" x14ac:dyDescent="0.2">
      <c r="A2248" s="280"/>
      <c r="B2248" s="277"/>
      <c r="C2248" s="277"/>
      <c r="D2248" s="277"/>
      <c r="E2248" s="277"/>
      <c r="F2248" s="277"/>
      <c r="G2248" s="277"/>
      <c r="H2248" s="277"/>
      <c r="I2248" s="277"/>
      <c r="J2248" s="277"/>
      <c r="K2248" s="277"/>
      <c r="L2248" s="277"/>
    </row>
    <row r="2249" spans="1:12" ht="15" x14ac:dyDescent="0.25">
      <c r="A2249" s="1"/>
      <c r="B2249" s="1"/>
      <c r="C2249" s="4"/>
      <c r="D2249" s="4"/>
      <c r="E2249" s="4"/>
      <c r="F2249" s="4"/>
      <c r="G2249" s="4"/>
      <c r="H2249" s="4"/>
      <c r="I2249" s="4"/>
      <c r="J2249" s="4"/>
      <c r="K2249" s="4"/>
      <c r="L2249" s="4"/>
    </row>
    <row r="2250" spans="1:12" ht="38.25" customHeight="1" thickBot="1" x14ac:dyDescent="0.25">
      <c r="A2250" s="10"/>
      <c r="B2250" s="337"/>
      <c r="C2250" s="338"/>
      <c r="D2250" s="338"/>
      <c r="E2250" s="338"/>
      <c r="F2250" s="338"/>
      <c r="G2250" s="338"/>
      <c r="H2250" s="338"/>
      <c r="I2250" s="338"/>
      <c r="J2250" s="338"/>
      <c r="K2250" s="338"/>
      <c r="L2250" s="338"/>
    </row>
    <row r="2251" spans="1:12" ht="15.75" thickTop="1" x14ac:dyDescent="0.25">
      <c r="A2251" s="1"/>
      <c r="B2251" s="11"/>
      <c r="C2251" s="12"/>
      <c r="D2251" s="13"/>
      <c r="E2251" s="13"/>
      <c r="F2251" s="13"/>
      <c r="G2251" s="13"/>
      <c r="H2251" s="14"/>
      <c r="I2251" s="15"/>
      <c r="J2251" s="12"/>
      <c r="K2251" s="13"/>
      <c r="L2251" s="14"/>
    </row>
    <row r="2252" spans="1:12" ht="18.75" customHeight="1" x14ac:dyDescent="0.2">
      <c r="A2252" s="50"/>
      <c r="B2252" s="60"/>
      <c r="C2252" s="50"/>
      <c r="D2252" s="50"/>
      <c r="E2252" s="50"/>
      <c r="F2252" s="50"/>
      <c r="G2252" s="54"/>
      <c r="H2252" s="55"/>
      <c r="I2252" s="56"/>
      <c r="J2252" s="50"/>
      <c r="K2252" s="50"/>
      <c r="L2252" s="55"/>
    </row>
    <row r="2253" spans="1:12" ht="18.75" customHeight="1" x14ac:dyDescent="0.2">
      <c r="A2253" s="76"/>
      <c r="B2253" s="77"/>
      <c r="C2253" s="76"/>
      <c r="D2253" s="76"/>
      <c r="E2253" s="76"/>
      <c r="F2253" s="76"/>
      <c r="G2253" s="78"/>
      <c r="H2253" s="79"/>
      <c r="I2253" s="80"/>
      <c r="J2253" s="76"/>
      <c r="K2253" s="76"/>
      <c r="L2253" s="79"/>
    </row>
    <row r="2254" spans="1:12" x14ac:dyDescent="0.2">
      <c r="A2254" s="4"/>
      <c r="B2254" s="16"/>
      <c r="C2254" s="4"/>
      <c r="D2254" s="4"/>
      <c r="E2254" s="4"/>
      <c r="F2254" s="4"/>
      <c r="G2254" s="4"/>
      <c r="H2254" s="17"/>
      <c r="I2254" s="19"/>
      <c r="J2254" s="4"/>
      <c r="K2254" s="4"/>
      <c r="L2254" s="17"/>
    </row>
    <row r="2255" spans="1:12" x14ac:dyDescent="0.2">
      <c r="A2255" s="4"/>
      <c r="B2255" s="16"/>
      <c r="C2255" s="4"/>
      <c r="D2255" s="4"/>
      <c r="E2255" s="4"/>
      <c r="F2255" s="4"/>
      <c r="G2255" s="4"/>
      <c r="H2255" s="17"/>
      <c r="I2255" s="19"/>
      <c r="J2255" s="4"/>
      <c r="K2255" s="4"/>
      <c r="L2255" s="17"/>
    </row>
    <row r="2256" spans="1:12" x14ac:dyDescent="0.2">
      <c r="A2256" s="4"/>
      <c r="B2256" s="16"/>
      <c r="C2256" s="4"/>
      <c r="D2256" s="4"/>
      <c r="E2256" s="4"/>
      <c r="F2256" s="4"/>
      <c r="G2256" s="4"/>
      <c r="H2256" s="17"/>
      <c r="I2256" s="19"/>
      <c r="J2256" s="4"/>
      <c r="K2256" s="4"/>
      <c r="L2256" s="17"/>
    </row>
    <row r="2257" spans="1:12" x14ac:dyDescent="0.2">
      <c r="A2257" s="4"/>
      <c r="B2257" s="20"/>
      <c r="C2257" s="21"/>
      <c r="D2257" s="21"/>
      <c r="E2257" s="21"/>
      <c r="F2257" s="21"/>
      <c r="G2257" s="21"/>
      <c r="H2257" s="22"/>
      <c r="I2257" s="23"/>
      <c r="J2257" s="21"/>
      <c r="K2257" s="21"/>
      <c r="L2257" s="22"/>
    </row>
    <row r="2258" spans="1:12" ht="15" x14ac:dyDescent="0.25">
      <c r="A2258" s="1"/>
      <c r="B2258" s="39"/>
      <c r="C2258" s="1"/>
      <c r="D2258" s="1"/>
      <c r="E2258" s="1"/>
      <c r="F2258" s="40"/>
      <c r="G2258" s="40"/>
      <c r="H2258" s="1"/>
      <c r="I2258" s="41"/>
      <c r="J2258" s="1"/>
      <c r="K2258" s="1"/>
      <c r="L2258" s="42"/>
    </row>
    <row r="2259" spans="1:12" ht="15.75" thickBot="1" x14ac:dyDescent="0.3">
      <c r="A2259" s="1"/>
      <c r="B2259" s="43"/>
      <c r="C2259" s="44"/>
      <c r="D2259" s="44"/>
      <c r="E2259" s="44"/>
      <c r="F2259" s="45"/>
      <c r="G2259" s="45"/>
      <c r="H2259" s="44"/>
      <c r="I2259" s="46"/>
      <c r="J2259" s="44"/>
      <c r="K2259" s="44"/>
      <c r="L2259" s="47"/>
    </row>
    <row r="2260" spans="1:12" ht="15.75" thickTop="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</row>
    <row r="2261" spans="1:12" ht="54.75" customHeight="1" x14ac:dyDescent="0.2">
      <c r="A2261" s="10"/>
      <c r="B2261" s="279"/>
      <c r="C2261" s="279"/>
      <c r="D2261" s="279"/>
      <c r="E2261" s="279"/>
      <c r="F2261" s="279"/>
      <c r="G2261" s="279"/>
      <c r="H2261" s="279"/>
      <c r="I2261" s="279"/>
      <c r="J2261" s="279"/>
      <c r="K2261" s="279"/>
      <c r="L2261" s="279"/>
    </row>
    <row r="2262" spans="1:12" ht="15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 ht="19.5" customHeight="1" x14ac:dyDescent="0.2">
      <c r="A2263" s="280"/>
      <c r="B2263" s="280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</row>
    <row r="2264" spans="1:12" ht="15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 spans="1:12" ht="15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</row>
    <row r="2266" spans="1:12" ht="15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 spans="1:12" ht="15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 ht="15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 spans="1:12" ht="15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</row>
    <row r="2270" spans="1:12" ht="15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 ht="15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 ht="15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 ht="15" x14ac:dyDescent="0.25">
      <c r="A2273" s="1"/>
      <c r="B2273" s="37"/>
      <c r="C2273" s="1"/>
      <c r="D2273" s="1"/>
      <c r="E2273" s="1"/>
      <c r="F2273" s="1"/>
      <c r="G2273" s="1"/>
      <c r="H2273" s="37"/>
      <c r="I2273" s="1"/>
      <c r="J2273" s="1"/>
      <c r="K2273" s="1"/>
      <c r="L2273" s="1"/>
    </row>
    <row r="2274" spans="1:12" ht="15" x14ac:dyDescent="0.25">
      <c r="A2274" s="1"/>
      <c r="B2274" s="48"/>
      <c r="C2274" s="7"/>
      <c r="D2274" s="1"/>
      <c r="E2274" s="1"/>
      <c r="F2274" s="1"/>
      <c r="G2274" s="1"/>
      <c r="H2274" s="1"/>
      <c r="I2274" s="1"/>
      <c r="J2274" s="1"/>
      <c r="K2274" s="1"/>
      <c r="L2274" s="1"/>
    </row>
    <row r="2278" spans="1:12" ht="15.75" x14ac:dyDescent="0.25">
      <c r="A2278" s="3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</row>
    <row r="2279" spans="1:12" ht="15.75" x14ac:dyDescent="0.25">
      <c r="A2279" s="3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</row>
    <row r="2280" spans="1:12" ht="15.75" x14ac:dyDescent="0.25">
      <c r="A2280" s="3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</row>
    <row r="2281" spans="1:12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</row>
    <row r="2282" spans="1:12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</row>
    <row r="2283" spans="1:12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</row>
    <row r="2284" spans="1:12" ht="19.5" thickBot="1" x14ac:dyDescent="0.35">
      <c r="A2284" s="339"/>
      <c r="B2284" s="339"/>
      <c r="C2284" s="339"/>
      <c r="D2284" s="339"/>
      <c r="E2284" s="339"/>
      <c r="F2284" s="339"/>
      <c r="G2284" s="339"/>
      <c r="H2284" s="339"/>
      <c r="I2284" s="339"/>
      <c r="J2284" s="339"/>
      <c r="K2284" s="339"/>
      <c r="L2284" s="339"/>
    </row>
    <row r="2285" spans="1:12" ht="19.5" thickTop="1" x14ac:dyDescent="0.3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</row>
    <row r="2286" spans="1:12" ht="12" customHeight="1" x14ac:dyDescent="0.3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</row>
    <row r="2287" spans="1:12" ht="15" x14ac:dyDescent="0.25">
      <c r="A2287" s="1"/>
      <c r="B2287" s="1"/>
      <c r="C2287" s="4"/>
      <c r="D2287" s="4"/>
      <c r="E2287" s="4"/>
      <c r="F2287" s="4"/>
      <c r="G2287" s="4"/>
      <c r="H2287" s="4"/>
      <c r="I2287" s="4"/>
      <c r="J2287" s="4"/>
      <c r="K2287" s="4"/>
      <c r="L2287" s="4"/>
    </row>
    <row r="2288" spans="1:12" ht="15" x14ac:dyDescent="0.25">
      <c r="A2288" s="1"/>
      <c r="B2288" s="1"/>
      <c r="C2288" s="4"/>
      <c r="D2288" s="4"/>
      <c r="E2288" s="4"/>
      <c r="F2288" s="4"/>
      <c r="G2288" s="4"/>
      <c r="H2288" s="4"/>
      <c r="I2288" s="4"/>
      <c r="J2288" s="4"/>
      <c r="K2288" s="4"/>
      <c r="L2288" s="4"/>
    </row>
    <row r="2289" spans="1:12" ht="15" x14ac:dyDescent="0.25">
      <c r="A2289" s="1"/>
      <c r="B2289" s="1"/>
      <c r="C2289" s="4"/>
      <c r="D2289" s="4"/>
      <c r="E2289" s="4"/>
      <c r="F2289" s="4"/>
      <c r="G2289" s="4"/>
      <c r="H2289" s="4"/>
      <c r="I2289" s="4"/>
      <c r="J2289" s="4"/>
      <c r="K2289" s="4"/>
      <c r="L2289" s="4"/>
    </row>
    <row r="2290" spans="1:12" ht="15" x14ac:dyDescent="0.25">
      <c r="A2290" s="1"/>
      <c r="B2290" s="4"/>
      <c r="C2290" s="9"/>
      <c r="D2290" s="37"/>
      <c r="E2290" s="64"/>
      <c r="F2290" s="4"/>
      <c r="G2290" s="4"/>
      <c r="H2290" s="4"/>
      <c r="I2290" s="4"/>
      <c r="J2290" s="4"/>
      <c r="K2290" s="4"/>
      <c r="L2290" s="4"/>
    </row>
    <row r="2291" spans="1:12" ht="15" x14ac:dyDescent="0.25">
      <c r="A2291" s="1"/>
      <c r="B2291" s="4"/>
      <c r="C2291" s="9"/>
      <c r="D2291" s="1"/>
      <c r="E2291" s="64"/>
      <c r="F2291" s="4"/>
      <c r="G2291" s="4"/>
      <c r="H2291" s="4"/>
      <c r="I2291" s="4"/>
      <c r="J2291" s="4"/>
      <c r="K2291" s="4"/>
      <c r="L2291" s="4"/>
    </row>
    <row r="2292" spans="1:12" ht="15" x14ac:dyDescent="0.25">
      <c r="A2292" s="1"/>
      <c r="B2292" s="4"/>
      <c r="C2292" s="9"/>
      <c r="D2292" s="1"/>
      <c r="E2292" s="64"/>
      <c r="F2292" s="4"/>
      <c r="G2292" s="4"/>
      <c r="H2292" s="4"/>
      <c r="I2292" s="4"/>
      <c r="J2292" s="4"/>
      <c r="K2292" s="4"/>
      <c r="L2292" s="4"/>
    </row>
    <row r="2293" spans="1:12" ht="15" x14ac:dyDescent="0.25">
      <c r="A2293" s="1"/>
      <c r="B2293" s="1"/>
      <c r="C2293" s="4"/>
      <c r="D2293" s="1"/>
      <c r="E2293" s="4"/>
      <c r="F2293" s="4"/>
      <c r="G2293" s="4"/>
      <c r="H2293" s="4"/>
      <c r="I2293" s="4"/>
      <c r="J2293" s="4"/>
      <c r="K2293" s="4"/>
      <c r="L2293" s="4"/>
    </row>
    <row r="2294" spans="1:12" ht="43.5" customHeight="1" x14ac:dyDescent="0.2">
      <c r="A2294" s="280"/>
      <c r="B2294" s="277"/>
      <c r="C2294" s="277"/>
      <c r="D2294" s="277"/>
      <c r="E2294" s="277"/>
      <c r="F2294" s="277"/>
      <c r="G2294" s="277"/>
      <c r="H2294" s="277"/>
      <c r="I2294" s="277"/>
      <c r="J2294" s="277"/>
      <c r="K2294" s="277"/>
      <c r="L2294" s="277"/>
    </row>
    <row r="2295" spans="1:12" ht="15" x14ac:dyDescent="0.25">
      <c r="A2295" s="1"/>
      <c r="B2295" s="1"/>
      <c r="C2295" s="4"/>
      <c r="D2295" s="4"/>
      <c r="E2295" s="4"/>
      <c r="F2295" s="4"/>
      <c r="G2295" s="4"/>
      <c r="H2295" s="4"/>
      <c r="I2295" s="4"/>
      <c r="J2295" s="4"/>
      <c r="K2295" s="4"/>
      <c r="L2295" s="4"/>
    </row>
    <row r="2296" spans="1:12" ht="39.75" customHeight="1" thickBot="1" x14ac:dyDescent="0.25">
      <c r="A2296" s="10"/>
      <c r="B2296" s="337"/>
      <c r="C2296" s="338"/>
      <c r="D2296" s="338"/>
      <c r="E2296" s="338"/>
      <c r="F2296" s="338"/>
      <c r="G2296" s="338"/>
      <c r="H2296" s="338"/>
      <c r="I2296" s="338"/>
      <c r="J2296" s="338"/>
      <c r="K2296" s="338"/>
      <c r="L2296" s="338"/>
    </row>
    <row r="2297" spans="1:12" ht="21" customHeight="1" thickTop="1" x14ac:dyDescent="0.25">
      <c r="A2297" s="1"/>
      <c r="B2297" s="11"/>
      <c r="C2297" s="12"/>
      <c r="D2297" s="13"/>
      <c r="E2297" s="13"/>
      <c r="F2297" s="13"/>
      <c r="G2297" s="13"/>
      <c r="H2297" s="14"/>
      <c r="I2297" s="15"/>
      <c r="J2297" s="12"/>
      <c r="K2297" s="13"/>
      <c r="L2297" s="14"/>
    </row>
    <row r="2298" spans="1:12" ht="20.25" customHeight="1" x14ac:dyDescent="0.2">
      <c r="A2298" s="50"/>
      <c r="B2298" s="60"/>
      <c r="C2298" s="50"/>
      <c r="D2298" s="50"/>
      <c r="E2298" s="50"/>
      <c r="F2298" s="50"/>
      <c r="G2298" s="54"/>
      <c r="H2298" s="55"/>
      <c r="I2298" s="56"/>
      <c r="J2298" s="50"/>
      <c r="K2298" s="50"/>
      <c r="L2298" s="55"/>
    </row>
    <row r="2299" spans="1:12" ht="20.25" customHeight="1" x14ac:dyDescent="0.2">
      <c r="A2299" s="76"/>
      <c r="B2299" s="77"/>
      <c r="C2299" s="76"/>
      <c r="D2299" s="76"/>
      <c r="E2299" s="76"/>
      <c r="F2299" s="76"/>
      <c r="G2299" s="78"/>
      <c r="H2299" s="79"/>
      <c r="I2299" s="80"/>
      <c r="J2299" s="76"/>
      <c r="K2299" s="76"/>
      <c r="L2299" s="79"/>
    </row>
    <row r="2300" spans="1:12" x14ac:dyDescent="0.2">
      <c r="A2300" s="4"/>
      <c r="B2300" s="16"/>
      <c r="C2300" s="4"/>
      <c r="D2300" s="4"/>
      <c r="E2300" s="4"/>
      <c r="F2300" s="4"/>
      <c r="G2300" s="4"/>
      <c r="H2300" s="17"/>
      <c r="I2300" s="19"/>
      <c r="J2300" s="4"/>
      <c r="K2300" s="4"/>
      <c r="L2300" s="17"/>
    </row>
    <row r="2301" spans="1:12" x14ac:dyDescent="0.2">
      <c r="A2301" s="4"/>
      <c r="B2301" s="16"/>
      <c r="C2301" s="4"/>
      <c r="D2301" s="4"/>
      <c r="E2301" s="4"/>
      <c r="F2301" s="4"/>
      <c r="G2301" s="4"/>
      <c r="H2301" s="17"/>
      <c r="I2301" s="19"/>
      <c r="J2301" s="4"/>
      <c r="K2301" s="4"/>
      <c r="L2301" s="17"/>
    </row>
    <row r="2302" spans="1:12" x14ac:dyDescent="0.2">
      <c r="A2302" s="4"/>
      <c r="B2302" s="16"/>
      <c r="C2302" s="4"/>
      <c r="D2302" s="4"/>
      <c r="E2302" s="4"/>
      <c r="F2302" s="4"/>
      <c r="G2302" s="4"/>
      <c r="H2302" s="17"/>
      <c r="I2302" s="19"/>
      <c r="J2302" s="4"/>
      <c r="K2302" s="4"/>
      <c r="L2302" s="17"/>
    </row>
    <row r="2303" spans="1:12" x14ac:dyDescent="0.2">
      <c r="A2303" s="4"/>
      <c r="B2303" s="20"/>
      <c r="C2303" s="21"/>
      <c r="D2303" s="21"/>
      <c r="E2303" s="21"/>
      <c r="F2303" s="21"/>
      <c r="G2303" s="21"/>
      <c r="H2303" s="22"/>
      <c r="I2303" s="23"/>
      <c r="J2303" s="21"/>
      <c r="K2303" s="21"/>
      <c r="L2303" s="22"/>
    </row>
    <row r="2304" spans="1:12" ht="15" x14ac:dyDescent="0.25">
      <c r="A2304" s="1"/>
      <c r="B2304" s="39"/>
      <c r="C2304" s="1"/>
      <c r="D2304" s="1"/>
      <c r="E2304" s="1"/>
      <c r="F2304" s="40"/>
      <c r="G2304" s="40"/>
      <c r="H2304" s="1"/>
      <c r="I2304" s="41"/>
      <c r="J2304" s="1"/>
      <c r="K2304" s="1"/>
      <c r="L2304" s="42"/>
    </row>
    <row r="2305" spans="1:12" ht="15.75" thickBot="1" x14ac:dyDescent="0.3">
      <c r="A2305" s="1"/>
      <c r="B2305" s="43"/>
      <c r="C2305" s="44"/>
      <c r="D2305" s="44"/>
      <c r="E2305" s="44"/>
      <c r="F2305" s="45"/>
      <c r="G2305" s="45"/>
      <c r="H2305" s="44"/>
      <c r="I2305" s="46"/>
      <c r="J2305" s="44"/>
      <c r="K2305" s="44"/>
      <c r="L2305" s="47"/>
    </row>
    <row r="2306" spans="1:12" ht="15.75" thickTop="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 ht="50.25" customHeight="1" x14ac:dyDescent="0.2">
      <c r="A2307" s="10"/>
      <c r="B2307" s="279"/>
      <c r="C2307" s="279"/>
      <c r="D2307" s="279"/>
      <c r="E2307" s="279"/>
      <c r="F2307" s="279"/>
      <c r="G2307" s="279"/>
      <c r="H2307" s="279"/>
      <c r="I2307" s="279"/>
      <c r="J2307" s="279"/>
      <c r="K2307" s="279"/>
      <c r="L2307" s="279"/>
    </row>
    <row r="2308" spans="1:12" ht="12" customHeight="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 ht="15" x14ac:dyDescent="0.2">
      <c r="A2309" s="280"/>
      <c r="B2309" s="280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</row>
    <row r="2310" spans="1:12" ht="15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</row>
    <row r="2311" spans="1:12" ht="15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 spans="1:12" ht="15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</row>
    <row r="2313" spans="1:12" ht="15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</row>
    <row r="2314" spans="1:12" ht="15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</row>
    <row r="2315" spans="1:12" ht="15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</row>
    <row r="2316" spans="1:12" ht="15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</row>
    <row r="2317" spans="1:12" ht="15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</row>
    <row r="2318" spans="1:12" ht="15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</row>
    <row r="2319" spans="1:12" ht="15" x14ac:dyDescent="0.25">
      <c r="A2319" s="1"/>
      <c r="B2319" s="37"/>
      <c r="C2319" s="1"/>
      <c r="D2319" s="1"/>
      <c r="E2319" s="1"/>
      <c r="F2319" s="1"/>
      <c r="G2319" s="1"/>
      <c r="H2319" s="37"/>
      <c r="I2319" s="1"/>
      <c r="J2319" s="1"/>
      <c r="K2319" s="1"/>
      <c r="L2319" s="1"/>
    </row>
    <row r="2320" spans="1:12" ht="15" x14ac:dyDescent="0.25">
      <c r="A2320" s="1"/>
      <c r="B2320" s="48"/>
      <c r="C2320" s="7"/>
      <c r="D2320" s="1"/>
      <c r="E2320" s="1"/>
      <c r="F2320" s="1"/>
      <c r="G2320" s="1"/>
      <c r="H2320" s="1"/>
      <c r="I2320" s="1"/>
      <c r="J2320" s="1"/>
      <c r="K2320" s="1"/>
      <c r="L2320" s="1"/>
    </row>
    <row r="2326" spans="1:12" ht="15.75" x14ac:dyDescent="0.25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</row>
    <row r="2327" spans="1:12" ht="15.75" x14ac:dyDescent="0.25">
      <c r="A2327" s="3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</row>
    <row r="2328" spans="1:12" ht="15.75" x14ac:dyDescent="0.25">
      <c r="A2328" s="3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</row>
    <row r="2329" spans="1:12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</row>
    <row r="2330" spans="1:12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</row>
    <row r="2331" spans="1:12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</row>
    <row r="2332" spans="1:12" ht="19.5" thickBot="1" x14ac:dyDescent="0.35">
      <c r="A2332" s="339"/>
      <c r="B2332" s="339"/>
      <c r="C2332" s="339"/>
      <c r="D2332" s="339"/>
      <c r="E2332" s="339"/>
      <c r="F2332" s="339"/>
      <c r="G2332" s="339"/>
      <c r="H2332" s="339"/>
      <c r="I2332" s="339"/>
      <c r="J2332" s="339"/>
      <c r="K2332" s="339"/>
      <c r="L2332" s="339"/>
    </row>
    <row r="2333" spans="1:12" ht="19.5" thickTop="1" x14ac:dyDescent="0.3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</row>
    <row r="2334" spans="1:12" ht="18.75" x14ac:dyDescent="0.3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</row>
    <row r="2335" spans="1:12" ht="15" x14ac:dyDescent="0.25">
      <c r="A2335" s="1"/>
      <c r="B2335" s="1"/>
      <c r="C2335" s="4"/>
      <c r="D2335" s="4"/>
      <c r="E2335" s="4"/>
      <c r="F2335" s="4"/>
      <c r="G2335" s="4"/>
      <c r="H2335" s="4"/>
      <c r="I2335" s="4"/>
      <c r="J2335" s="4"/>
      <c r="K2335" s="4"/>
      <c r="L2335" s="4"/>
    </row>
    <row r="2336" spans="1:12" ht="15" x14ac:dyDescent="0.25">
      <c r="A2336" s="1"/>
      <c r="B2336" s="1"/>
      <c r="C2336" s="4"/>
      <c r="D2336" s="4"/>
      <c r="E2336" s="4"/>
      <c r="F2336" s="4"/>
      <c r="G2336" s="4"/>
      <c r="H2336" s="4"/>
      <c r="I2336" s="4"/>
      <c r="J2336" s="4"/>
      <c r="K2336" s="4"/>
      <c r="L2336" s="4"/>
    </row>
    <row r="2337" spans="1:12" ht="15" x14ac:dyDescent="0.25">
      <c r="A2337" s="1"/>
      <c r="B2337" s="1"/>
      <c r="C2337" s="4"/>
      <c r="D2337" s="4"/>
      <c r="E2337" s="4"/>
      <c r="F2337" s="4"/>
      <c r="G2337" s="4"/>
      <c r="H2337" s="4"/>
      <c r="I2337" s="4"/>
      <c r="J2337" s="4"/>
      <c r="K2337" s="4"/>
      <c r="L2337" s="4"/>
    </row>
    <row r="2338" spans="1:12" ht="15" x14ac:dyDescent="0.25">
      <c r="A2338" s="1"/>
      <c r="B2338" s="4"/>
      <c r="C2338" s="9"/>
      <c r="D2338" s="37"/>
      <c r="E2338" s="64"/>
      <c r="F2338" s="4"/>
      <c r="G2338" s="4"/>
      <c r="H2338" s="4"/>
      <c r="I2338" s="4"/>
      <c r="J2338" s="4"/>
      <c r="K2338" s="4"/>
      <c r="L2338" s="4"/>
    </row>
    <row r="2339" spans="1:12" ht="15" x14ac:dyDescent="0.25">
      <c r="A2339" s="1"/>
      <c r="B2339" s="4"/>
      <c r="C2339" s="9"/>
      <c r="D2339" s="1"/>
      <c r="E2339" s="64"/>
      <c r="F2339" s="4"/>
      <c r="G2339" s="4"/>
      <c r="H2339" s="4"/>
      <c r="I2339" s="4"/>
      <c r="J2339" s="4"/>
      <c r="K2339" s="4"/>
      <c r="L2339" s="4"/>
    </row>
    <row r="2340" spans="1:12" ht="15" x14ac:dyDescent="0.25">
      <c r="A2340" s="1"/>
      <c r="B2340" s="4"/>
      <c r="C2340" s="9"/>
      <c r="D2340" s="1"/>
      <c r="E2340" s="64"/>
      <c r="F2340" s="4"/>
      <c r="G2340" s="4"/>
      <c r="H2340" s="4"/>
      <c r="I2340" s="4"/>
      <c r="J2340" s="4"/>
      <c r="K2340" s="4"/>
      <c r="L2340" s="4"/>
    </row>
    <row r="2341" spans="1:12" ht="15" x14ac:dyDescent="0.25">
      <c r="A2341" s="1"/>
      <c r="B2341" s="1"/>
      <c r="C2341" s="4"/>
      <c r="D2341" s="1"/>
      <c r="E2341" s="4"/>
      <c r="F2341" s="4"/>
      <c r="G2341" s="4"/>
      <c r="H2341" s="4"/>
      <c r="I2341" s="4"/>
      <c r="J2341" s="4"/>
      <c r="K2341" s="4"/>
      <c r="L2341" s="4"/>
    </row>
    <row r="2342" spans="1:12" ht="42" customHeight="1" x14ac:dyDescent="0.2">
      <c r="A2342" s="280"/>
      <c r="B2342" s="277"/>
      <c r="C2342" s="277"/>
      <c r="D2342" s="277"/>
      <c r="E2342" s="277"/>
      <c r="F2342" s="277"/>
      <c r="G2342" s="277"/>
      <c r="H2342" s="277"/>
      <c r="I2342" s="277"/>
      <c r="J2342" s="277"/>
      <c r="K2342" s="277"/>
      <c r="L2342" s="277"/>
    </row>
    <row r="2343" spans="1:12" ht="15" x14ac:dyDescent="0.25">
      <c r="A2343" s="1"/>
      <c r="B2343" s="1"/>
      <c r="C2343" s="4"/>
      <c r="D2343" s="4"/>
      <c r="E2343" s="4"/>
      <c r="F2343" s="4"/>
      <c r="G2343" s="4"/>
      <c r="H2343" s="4"/>
      <c r="I2343" s="4"/>
      <c r="J2343" s="4"/>
      <c r="K2343" s="4"/>
      <c r="L2343" s="4"/>
    </row>
    <row r="2344" spans="1:12" ht="39.75" customHeight="1" thickBot="1" x14ac:dyDescent="0.25">
      <c r="A2344" s="10"/>
      <c r="B2344" s="337"/>
      <c r="C2344" s="338"/>
      <c r="D2344" s="338"/>
      <c r="E2344" s="338"/>
      <c r="F2344" s="338"/>
      <c r="G2344" s="338"/>
      <c r="H2344" s="338"/>
      <c r="I2344" s="338"/>
      <c r="J2344" s="338"/>
      <c r="K2344" s="338"/>
      <c r="L2344" s="338"/>
    </row>
    <row r="2345" spans="1:12" ht="15.75" thickTop="1" x14ac:dyDescent="0.25">
      <c r="A2345" s="1"/>
      <c r="B2345" s="11"/>
      <c r="C2345" s="12"/>
      <c r="D2345" s="13"/>
      <c r="E2345" s="13"/>
      <c r="F2345" s="13"/>
      <c r="G2345" s="13"/>
      <c r="H2345" s="14"/>
      <c r="I2345" s="15"/>
      <c r="J2345" s="12"/>
      <c r="K2345" s="13"/>
      <c r="L2345" s="14"/>
    </row>
    <row r="2346" spans="1:12" ht="22.5" customHeight="1" x14ac:dyDescent="0.2">
      <c r="A2346" s="50"/>
      <c r="B2346" s="60"/>
      <c r="C2346" s="50"/>
      <c r="D2346" s="50"/>
      <c r="E2346" s="50"/>
      <c r="F2346" s="50"/>
      <c r="G2346" s="54"/>
      <c r="H2346" s="55"/>
      <c r="I2346" s="56"/>
      <c r="J2346" s="50"/>
      <c r="K2346" s="50"/>
      <c r="L2346" s="55"/>
    </row>
    <row r="2347" spans="1:12" ht="22.5" customHeight="1" x14ac:dyDescent="0.2">
      <c r="A2347" s="76"/>
      <c r="B2347" s="77"/>
      <c r="C2347" s="76"/>
      <c r="D2347" s="76"/>
      <c r="E2347" s="76"/>
      <c r="F2347" s="76"/>
      <c r="G2347" s="78"/>
      <c r="H2347" s="79"/>
      <c r="I2347" s="80"/>
      <c r="J2347" s="76"/>
      <c r="K2347" s="76"/>
      <c r="L2347" s="79"/>
    </row>
    <row r="2348" spans="1:12" x14ac:dyDescent="0.2">
      <c r="A2348" s="4"/>
      <c r="B2348" s="16"/>
      <c r="C2348" s="4"/>
      <c r="D2348" s="4"/>
      <c r="E2348" s="4"/>
      <c r="F2348" s="4"/>
      <c r="G2348" s="4"/>
      <c r="H2348" s="17"/>
      <c r="I2348" s="19"/>
      <c r="J2348" s="4"/>
      <c r="K2348" s="4"/>
      <c r="L2348" s="17"/>
    </row>
    <row r="2349" spans="1:12" x14ac:dyDescent="0.2">
      <c r="A2349" s="4"/>
      <c r="B2349" s="16"/>
      <c r="C2349" s="4"/>
      <c r="D2349" s="4"/>
      <c r="E2349" s="4"/>
      <c r="F2349" s="4"/>
      <c r="G2349" s="4"/>
      <c r="H2349" s="17"/>
      <c r="I2349" s="19"/>
      <c r="J2349" s="4"/>
      <c r="K2349" s="4"/>
      <c r="L2349" s="17"/>
    </row>
    <row r="2350" spans="1:12" x14ac:dyDescent="0.2">
      <c r="A2350" s="4"/>
      <c r="B2350" s="16"/>
      <c r="C2350" s="4"/>
      <c r="D2350" s="4"/>
      <c r="E2350" s="4"/>
      <c r="F2350" s="4"/>
      <c r="G2350" s="4"/>
      <c r="H2350" s="17"/>
      <c r="I2350" s="19"/>
      <c r="J2350" s="4"/>
      <c r="K2350" s="4"/>
      <c r="L2350" s="17"/>
    </row>
    <row r="2351" spans="1:12" x14ac:dyDescent="0.2">
      <c r="A2351" s="4"/>
      <c r="B2351" s="20"/>
      <c r="C2351" s="21"/>
      <c r="D2351" s="21"/>
      <c r="E2351" s="21"/>
      <c r="F2351" s="21"/>
      <c r="G2351" s="21"/>
      <c r="H2351" s="22"/>
      <c r="I2351" s="23"/>
      <c r="J2351" s="21"/>
      <c r="K2351" s="21"/>
      <c r="L2351" s="22"/>
    </row>
    <row r="2352" spans="1:12" ht="15" x14ac:dyDescent="0.25">
      <c r="A2352" s="1"/>
      <c r="B2352" s="39"/>
      <c r="C2352" s="1"/>
      <c r="D2352" s="1"/>
      <c r="E2352" s="1"/>
      <c r="F2352" s="40"/>
      <c r="G2352" s="40"/>
      <c r="H2352" s="1"/>
      <c r="I2352" s="41"/>
      <c r="J2352" s="1"/>
      <c r="K2352" s="1"/>
      <c r="L2352" s="42"/>
    </row>
    <row r="2353" spans="1:12" ht="15.75" thickBot="1" x14ac:dyDescent="0.3">
      <c r="A2353" s="1"/>
      <c r="B2353" s="43"/>
      <c r="C2353" s="44"/>
      <c r="D2353" s="44"/>
      <c r="E2353" s="44"/>
      <c r="F2353" s="45"/>
      <c r="G2353" s="45"/>
      <c r="H2353" s="44"/>
      <c r="I2353" s="46"/>
      <c r="J2353" s="44"/>
      <c r="K2353" s="44"/>
      <c r="L2353" s="47"/>
    </row>
    <row r="2354" spans="1:12" ht="15.75" thickTop="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</row>
    <row r="2355" spans="1:12" ht="49.5" customHeight="1" x14ac:dyDescent="0.2">
      <c r="A2355" s="10"/>
      <c r="B2355" s="279"/>
      <c r="C2355" s="279"/>
      <c r="D2355" s="279"/>
      <c r="E2355" s="279"/>
      <c r="F2355" s="279"/>
      <c r="G2355" s="279"/>
      <c r="H2355" s="279"/>
      <c r="I2355" s="279"/>
      <c r="J2355" s="279"/>
      <c r="K2355" s="279"/>
      <c r="L2355" s="279"/>
    </row>
    <row r="2356" spans="1:12" ht="15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</row>
    <row r="2357" spans="1:12" ht="21" customHeight="1" x14ac:dyDescent="0.2">
      <c r="A2357" s="280"/>
      <c r="B2357" s="280"/>
      <c r="C2357" s="280"/>
      <c r="D2357" s="280"/>
      <c r="E2357" s="280"/>
      <c r="F2357" s="280"/>
      <c r="G2357" s="280"/>
      <c r="H2357" s="280"/>
      <c r="I2357" s="280"/>
      <c r="J2357" s="280"/>
      <c r="K2357" s="280"/>
      <c r="L2357" s="280"/>
    </row>
    <row r="2358" spans="1:12" ht="15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</row>
    <row r="2359" spans="1:12" ht="8.25" customHeight="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</row>
    <row r="2360" spans="1:12" ht="15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</row>
    <row r="2361" spans="1:12" ht="15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</row>
    <row r="2362" spans="1:12" ht="15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</row>
    <row r="2363" spans="1:12" ht="15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</row>
    <row r="2364" spans="1:12" ht="15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</row>
    <row r="2365" spans="1:12" ht="15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</row>
    <row r="2366" spans="1:12" ht="15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</row>
    <row r="2367" spans="1:12" ht="15" x14ac:dyDescent="0.25">
      <c r="A2367" s="1"/>
      <c r="B2367" s="37"/>
      <c r="C2367" s="1"/>
      <c r="D2367" s="1"/>
      <c r="E2367" s="1"/>
      <c r="F2367" s="1"/>
      <c r="G2367" s="1"/>
      <c r="H2367" s="37"/>
      <c r="I2367" s="1"/>
      <c r="J2367" s="1"/>
      <c r="K2367" s="1"/>
      <c r="L2367" s="1"/>
    </row>
    <row r="2368" spans="1:12" ht="15" x14ac:dyDescent="0.25">
      <c r="A2368" s="1"/>
      <c r="B2368" s="48"/>
      <c r="C2368" s="7"/>
      <c r="D2368" s="1"/>
      <c r="E2368" s="1"/>
      <c r="F2368" s="1"/>
      <c r="G2368" s="1"/>
      <c r="H2368" s="1"/>
      <c r="I2368" s="1"/>
      <c r="J2368" s="1"/>
      <c r="K2368" s="1"/>
      <c r="L2368" s="1"/>
    </row>
    <row r="2373" spans="1:12" ht="15.75" x14ac:dyDescent="0.25">
      <c r="A2373" s="3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</row>
    <row r="2374" spans="1:12" ht="15.75" x14ac:dyDescent="0.25">
      <c r="A2374" s="3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</row>
    <row r="2375" spans="1:12" ht="15.75" x14ac:dyDescent="0.25">
      <c r="A2375" s="3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</row>
    <row r="2376" spans="1:12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</row>
    <row r="2377" spans="1:12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</row>
    <row r="2378" spans="1:12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</row>
    <row r="2379" spans="1:12" ht="19.5" thickBot="1" x14ac:dyDescent="0.35">
      <c r="A2379" s="339"/>
      <c r="B2379" s="339"/>
      <c r="C2379" s="339"/>
      <c r="D2379" s="339"/>
      <c r="E2379" s="339"/>
      <c r="F2379" s="339"/>
      <c r="G2379" s="339"/>
      <c r="H2379" s="339"/>
      <c r="I2379" s="339"/>
      <c r="J2379" s="339"/>
      <c r="K2379" s="339"/>
      <c r="L2379" s="339"/>
    </row>
    <row r="2380" spans="1:12" ht="19.5" thickTop="1" x14ac:dyDescent="0.3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</row>
    <row r="2381" spans="1:12" ht="18.75" x14ac:dyDescent="0.3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</row>
    <row r="2382" spans="1:12" ht="15" x14ac:dyDescent="0.25">
      <c r="A2382" s="1"/>
      <c r="B2382" s="1"/>
      <c r="C2382" s="4"/>
      <c r="D2382" s="4"/>
      <c r="E2382" s="4"/>
      <c r="F2382" s="4"/>
      <c r="G2382" s="4"/>
      <c r="H2382" s="4"/>
      <c r="I2382" s="4"/>
      <c r="J2382" s="4"/>
      <c r="K2382" s="4"/>
      <c r="L2382" s="4"/>
    </row>
    <row r="2383" spans="1:12" ht="15" x14ac:dyDescent="0.25">
      <c r="A2383" s="1"/>
      <c r="B2383" s="1"/>
      <c r="C2383" s="4"/>
      <c r="D2383" s="4"/>
      <c r="E2383" s="4"/>
      <c r="F2383" s="4"/>
      <c r="G2383" s="4"/>
      <c r="H2383" s="4"/>
      <c r="I2383" s="4"/>
      <c r="J2383" s="4"/>
      <c r="K2383" s="4"/>
      <c r="L2383" s="4"/>
    </row>
    <row r="2384" spans="1:12" ht="15" x14ac:dyDescent="0.25">
      <c r="A2384" s="1"/>
      <c r="B2384" s="1"/>
      <c r="C2384" s="4"/>
      <c r="D2384" s="4"/>
      <c r="E2384" s="4"/>
      <c r="F2384" s="4"/>
      <c r="G2384" s="4"/>
      <c r="H2384" s="4"/>
      <c r="I2384" s="4"/>
      <c r="J2384" s="4"/>
      <c r="K2384" s="4"/>
      <c r="L2384" s="4"/>
    </row>
    <row r="2385" spans="1:12" ht="15" x14ac:dyDescent="0.25">
      <c r="A2385" s="1"/>
      <c r="B2385" s="4"/>
      <c r="C2385" s="9"/>
      <c r="D2385" s="37"/>
      <c r="E2385" s="64"/>
      <c r="F2385" s="4"/>
      <c r="G2385" s="4"/>
      <c r="H2385" s="4"/>
      <c r="I2385" s="4"/>
      <c r="J2385" s="4"/>
      <c r="K2385" s="4"/>
      <c r="L2385" s="4"/>
    </row>
    <row r="2386" spans="1:12" ht="15" x14ac:dyDescent="0.25">
      <c r="A2386" s="1"/>
      <c r="B2386" s="4"/>
      <c r="C2386" s="9"/>
      <c r="D2386" s="7"/>
      <c r="E2386" s="64"/>
      <c r="F2386" s="4"/>
      <c r="G2386" s="4"/>
      <c r="H2386" s="4"/>
      <c r="I2386" s="4"/>
      <c r="J2386" s="4"/>
      <c r="K2386" s="4"/>
      <c r="L2386" s="4"/>
    </row>
    <row r="2387" spans="1:12" ht="15" x14ac:dyDescent="0.25">
      <c r="A2387" s="1"/>
      <c r="B2387" s="4"/>
      <c r="C2387" s="9"/>
      <c r="D2387" s="1"/>
      <c r="E2387" s="64"/>
      <c r="F2387" s="4"/>
      <c r="G2387" s="4"/>
      <c r="H2387" s="4"/>
      <c r="I2387" s="4"/>
      <c r="J2387" s="4"/>
      <c r="K2387" s="4"/>
      <c r="L2387" s="4"/>
    </row>
    <row r="2388" spans="1:12" ht="15" x14ac:dyDescent="0.25">
      <c r="A2388" s="1"/>
      <c r="B2388" s="1"/>
      <c r="C2388" s="4"/>
      <c r="D2388" s="1"/>
      <c r="E2388" s="4"/>
      <c r="F2388" s="4"/>
      <c r="G2388" s="4"/>
      <c r="H2388" s="4"/>
      <c r="I2388" s="4"/>
      <c r="J2388" s="4"/>
      <c r="K2388" s="4"/>
      <c r="L2388" s="4"/>
    </row>
    <row r="2389" spans="1:12" ht="36" customHeight="1" x14ac:dyDescent="0.2">
      <c r="A2389" s="280"/>
      <c r="B2389" s="277"/>
      <c r="C2389" s="277"/>
      <c r="D2389" s="277"/>
      <c r="E2389" s="277"/>
      <c r="F2389" s="277"/>
      <c r="G2389" s="277"/>
      <c r="H2389" s="277"/>
      <c r="I2389" s="277"/>
      <c r="J2389" s="277"/>
      <c r="K2389" s="277"/>
      <c r="L2389" s="277"/>
    </row>
    <row r="2390" spans="1:12" ht="15" x14ac:dyDescent="0.25">
      <c r="A2390" s="1"/>
      <c r="B2390" s="1"/>
      <c r="C2390" s="4"/>
      <c r="D2390" s="4"/>
      <c r="E2390" s="4"/>
      <c r="F2390" s="4"/>
      <c r="G2390" s="4"/>
      <c r="H2390" s="4"/>
      <c r="I2390" s="4"/>
      <c r="J2390" s="4"/>
      <c r="K2390" s="4"/>
      <c r="L2390" s="4"/>
    </row>
    <row r="2391" spans="1:12" ht="35.25" customHeight="1" thickBot="1" x14ac:dyDescent="0.25">
      <c r="A2391" s="10"/>
      <c r="B2391" s="337"/>
      <c r="C2391" s="338"/>
      <c r="D2391" s="338"/>
      <c r="E2391" s="338"/>
      <c r="F2391" s="338"/>
      <c r="G2391" s="338"/>
      <c r="H2391" s="338"/>
      <c r="I2391" s="338"/>
      <c r="J2391" s="338"/>
      <c r="K2391" s="338"/>
      <c r="L2391" s="338"/>
    </row>
    <row r="2392" spans="1:12" ht="15.75" thickTop="1" x14ac:dyDescent="0.25">
      <c r="A2392" s="1"/>
      <c r="B2392" s="11"/>
      <c r="C2392" s="12"/>
      <c r="D2392" s="13"/>
      <c r="E2392" s="13"/>
      <c r="F2392" s="13"/>
      <c r="G2392" s="13"/>
      <c r="H2392" s="14"/>
      <c r="I2392" s="15"/>
      <c r="J2392" s="12"/>
      <c r="K2392" s="13"/>
      <c r="L2392" s="14"/>
    </row>
    <row r="2393" spans="1:12" ht="18" customHeight="1" x14ac:dyDescent="0.2">
      <c r="A2393" s="50"/>
      <c r="B2393" s="60"/>
      <c r="C2393" s="50"/>
      <c r="D2393" s="50"/>
      <c r="E2393" s="50"/>
      <c r="F2393" s="50"/>
      <c r="G2393" s="54"/>
      <c r="H2393" s="55"/>
      <c r="I2393" s="56"/>
      <c r="J2393" s="50"/>
      <c r="K2393" s="50"/>
      <c r="L2393" s="55"/>
    </row>
    <row r="2394" spans="1:12" ht="18" customHeight="1" x14ac:dyDescent="0.2">
      <c r="A2394" s="76"/>
      <c r="B2394" s="77"/>
      <c r="C2394" s="76"/>
      <c r="D2394" s="76"/>
      <c r="E2394" s="76"/>
      <c r="F2394" s="76"/>
      <c r="G2394" s="78"/>
      <c r="H2394" s="79"/>
      <c r="I2394" s="80"/>
      <c r="J2394" s="76"/>
      <c r="K2394" s="76"/>
      <c r="L2394" s="79"/>
    </row>
    <row r="2395" spans="1:12" x14ac:dyDescent="0.2">
      <c r="A2395" s="4"/>
      <c r="B2395" s="16"/>
      <c r="C2395" s="4"/>
      <c r="D2395" s="4"/>
      <c r="E2395" s="4"/>
      <c r="F2395" s="4"/>
      <c r="G2395" s="4"/>
      <c r="H2395" s="17"/>
      <c r="I2395" s="19"/>
      <c r="J2395" s="4"/>
      <c r="K2395" s="4"/>
      <c r="L2395" s="17"/>
    </row>
    <row r="2396" spans="1:12" x14ac:dyDescent="0.2">
      <c r="A2396" s="4"/>
      <c r="B2396" s="16"/>
      <c r="C2396" s="4"/>
      <c r="D2396" s="4"/>
      <c r="E2396" s="4"/>
      <c r="F2396" s="4"/>
      <c r="G2396" s="4"/>
      <c r="H2396" s="17"/>
      <c r="I2396" s="19"/>
      <c r="J2396" s="4"/>
      <c r="K2396" s="4"/>
      <c r="L2396" s="17"/>
    </row>
    <row r="2397" spans="1:12" x14ac:dyDescent="0.2">
      <c r="A2397" s="4"/>
      <c r="B2397" s="16"/>
      <c r="C2397" s="4"/>
      <c r="D2397" s="4"/>
      <c r="E2397" s="4"/>
      <c r="F2397" s="4"/>
      <c r="G2397" s="4"/>
      <c r="H2397" s="17"/>
      <c r="I2397" s="19"/>
      <c r="J2397" s="4"/>
      <c r="K2397" s="4"/>
      <c r="L2397" s="17"/>
    </row>
    <row r="2398" spans="1:12" x14ac:dyDescent="0.2">
      <c r="A2398" s="4"/>
      <c r="B2398" s="20"/>
      <c r="C2398" s="21"/>
      <c r="D2398" s="21"/>
      <c r="E2398" s="21"/>
      <c r="F2398" s="21"/>
      <c r="G2398" s="21"/>
      <c r="H2398" s="22"/>
      <c r="I2398" s="23"/>
      <c r="J2398" s="21"/>
      <c r="K2398" s="21"/>
      <c r="L2398" s="22"/>
    </row>
    <row r="2399" spans="1:12" ht="15" x14ac:dyDescent="0.25">
      <c r="A2399" s="1"/>
      <c r="B2399" s="39"/>
      <c r="C2399" s="1"/>
      <c r="D2399" s="1"/>
      <c r="E2399" s="1"/>
      <c r="F2399" s="40"/>
      <c r="G2399" s="40"/>
      <c r="H2399" s="1"/>
      <c r="I2399" s="41"/>
      <c r="J2399" s="1"/>
      <c r="K2399" s="1"/>
      <c r="L2399" s="42"/>
    </row>
    <row r="2400" spans="1:12" ht="15.75" thickBot="1" x14ac:dyDescent="0.3">
      <c r="A2400" s="1"/>
      <c r="B2400" s="43"/>
      <c r="C2400" s="44"/>
      <c r="D2400" s="44"/>
      <c r="E2400" s="44"/>
      <c r="F2400" s="45"/>
      <c r="G2400" s="45"/>
      <c r="H2400" s="44"/>
      <c r="I2400" s="46"/>
      <c r="J2400" s="44"/>
      <c r="K2400" s="44"/>
      <c r="L2400" s="47"/>
    </row>
    <row r="2401" spans="1:12" ht="15.75" thickTop="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</row>
    <row r="2402" spans="1:12" ht="48" customHeight="1" x14ac:dyDescent="0.2">
      <c r="A2402" s="10"/>
      <c r="B2402" s="279"/>
      <c r="C2402" s="279"/>
      <c r="D2402" s="279"/>
      <c r="E2402" s="279"/>
      <c r="F2402" s="279"/>
      <c r="G2402" s="279"/>
      <c r="H2402" s="279"/>
      <c r="I2402" s="279"/>
      <c r="J2402" s="279"/>
      <c r="K2402" s="279"/>
      <c r="L2402" s="279"/>
    </row>
    <row r="2403" spans="1:12" ht="15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</row>
    <row r="2404" spans="1:12" ht="20.25" customHeight="1" x14ac:dyDescent="0.2">
      <c r="A2404" s="280"/>
      <c r="B2404" s="280"/>
      <c r="C2404" s="280"/>
      <c r="D2404" s="280"/>
      <c r="E2404" s="280"/>
      <c r="F2404" s="280"/>
      <c r="G2404" s="280"/>
      <c r="H2404" s="280"/>
      <c r="I2404" s="280"/>
      <c r="J2404" s="280"/>
      <c r="K2404" s="280"/>
      <c r="L2404" s="280"/>
    </row>
    <row r="2405" spans="1:12" ht="15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</row>
    <row r="2406" spans="1:12" ht="15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</row>
    <row r="2407" spans="1:12" ht="15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</row>
    <row r="2408" spans="1:12" ht="15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</row>
    <row r="2409" spans="1:12" ht="15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</row>
    <row r="2410" spans="1:12" ht="15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 ht="15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 spans="1:12" ht="15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 ht="15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 ht="15" x14ac:dyDescent="0.25">
      <c r="A2414" s="1"/>
      <c r="B2414" s="37"/>
      <c r="C2414" s="1"/>
      <c r="D2414" s="1"/>
      <c r="E2414" s="1"/>
      <c r="F2414" s="1"/>
      <c r="G2414" s="1"/>
      <c r="H2414" s="37"/>
      <c r="I2414" s="1"/>
      <c r="J2414" s="1"/>
      <c r="K2414" s="1"/>
      <c r="L2414" s="1"/>
    </row>
    <row r="2415" spans="1:12" ht="15" x14ac:dyDescent="0.25">
      <c r="A2415" s="1"/>
      <c r="B2415" s="48"/>
      <c r="C2415" s="7"/>
      <c r="D2415" s="1"/>
      <c r="E2415" s="1"/>
      <c r="F2415" s="1"/>
      <c r="G2415" s="1"/>
      <c r="H2415" s="1"/>
      <c r="I2415" s="1"/>
      <c r="J2415" s="1"/>
      <c r="K2415" s="1"/>
      <c r="L2415" s="1"/>
    </row>
    <row r="2420" spans="1:12" ht="15.75" x14ac:dyDescent="0.25">
      <c r="A2420" s="3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</row>
    <row r="2421" spans="1:12" ht="15.75" x14ac:dyDescent="0.25">
      <c r="A2421" s="3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</row>
    <row r="2422" spans="1:12" ht="15.75" x14ac:dyDescent="0.25">
      <c r="A2422" s="3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</row>
    <row r="2423" spans="1:12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</row>
    <row r="2424" spans="1:12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</row>
    <row r="2425" spans="1:12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</row>
    <row r="2426" spans="1:12" ht="19.5" thickBot="1" x14ac:dyDescent="0.35">
      <c r="A2426" s="339"/>
      <c r="B2426" s="339"/>
      <c r="C2426" s="339"/>
      <c r="D2426" s="339"/>
      <c r="E2426" s="339"/>
      <c r="F2426" s="339"/>
      <c r="G2426" s="339"/>
      <c r="H2426" s="339"/>
      <c r="I2426" s="339"/>
      <c r="J2426" s="339"/>
      <c r="K2426" s="339"/>
      <c r="L2426" s="339"/>
    </row>
    <row r="2427" spans="1:12" ht="19.5" thickTop="1" x14ac:dyDescent="0.3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</row>
    <row r="2428" spans="1:12" ht="18.75" x14ac:dyDescent="0.3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</row>
    <row r="2429" spans="1:12" ht="15" x14ac:dyDescent="0.25">
      <c r="A2429" s="1"/>
      <c r="B2429" s="1"/>
      <c r="C2429" s="4"/>
      <c r="D2429" s="4"/>
      <c r="E2429" s="4"/>
      <c r="F2429" s="4"/>
      <c r="G2429" s="4"/>
      <c r="H2429" s="4"/>
      <c r="I2429" s="4"/>
      <c r="J2429" s="4"/>
      <c r="K2429" s="4"/>
      <c r="L2429" s="4"/>
    </row>
    <row r="2430" spans="1:12" ht="15" x14ac:dyDescent="0.25">
      <c r="A2430" s="1"/>
      <c r="B2430" s="1"/>
      <c r="C2430" s="4"/>
      <c r="D2430" s="4"/>
      <c r="E2430" s="4"/>
      <c r="F2430" s="4"/>
      <c r="G2430" s="4"/>
      <c r="H2430" s="4"/>
      <c r="I2430" s="4"/>
      <c r="J2430" s="4"/>
      <c r="K2430" s="4"/>
      <c r="L2430" s="4"/>
    </row>
    <row r="2431" spans="1:12" ht="15" x14ac:dyDescent="0.25">
      <c r="A2431" s="1"/>
      <c r="B2431" s="1"/>
      <c r="C2431" s="4"/>
      <c r="D2431" s="4"/>
      <c r="E2431" s="4"/>
      <c r="F2431" s="4"/>
      <c r="G2431" s="4"/>
      <c r="H2431" s="4"/>
      <c r="I2431" s="4"/>
      <c r="J2431" s="4"/>
      <c r="K2431" s="4"/>
      <c r="L2431" s="4"/>
    </row>
    <row r="2432" spans="1:12" ht="15" x14ac:dyDescent="0.25">
      <c r="A2432" s="1"/>
      <c r="B2432" s="4"/>
      <c r="C2432" s="9"/>
      <c r="D2432" s="37"/>
      <c r="E2432" s="64"/>
      <c r="F2432" s="4"/>
      <c r="G2432" s="4"/>
      <c r="H2432" s="4"/>
      <c r="I2432" s="4"/>
      <c r="J2432" s="4"/>
      <c r="K2432" s="4"/>
      <c r="L2432" s="4"/>
    </row>
    <row r="2433" spans="1:12" ht="15" x14ac:dyDescent="0.25">
      <c r="A2433" s="1"/>
      <c r="B2433" s="4"/>
      <c r="C2433" s="9"/>
      <c r="D2433" s="1"/>
      <c r="E2433" s="64"/>
      <c r="F2433" s="4"/>
      <c r="G2433" s="4"/>
      <c r="H2433" s="4"/>
      <c r="I2433" s="4"/>
      <c r="J2433" s="4"/>
      <c r="K2433" s="4"/>
      <c r="L2433" s="4"/>
    </row>
    <row r="2434" spans="1:12" ht="15" x14ac:dyDescent="0.25">
      <c r="A2434" s="1"/>
      <c r="B2434" s="4"/>
      <c r="C2434" s="9"/>
      <c r="D2434" s="1"/>
      <c r="E2434" s="64"/>
      <c r="F2434" s="4"/>
      <c r="G2434" s="4"/>
      <c r="H2434" s="4"/>
      <c r="I2434" s="4"/>
      <c r="J2434" s="4"/>
      <c r="K2434" s="4"/>
      <c r="L2434" s="4"/>
    </row>
    <row r="2435" spans="1:12" ht="15" x14ac:dyDescent="0.25">
      <c r="A2435" s="1"/>
      <c r="B2435" s="1"/>
      <c r="C2435" s="4"/>
      <c r="D2435" s="1"/>
      <c r="E2435" s="4"/>
      <c r="F2435" s="4"/>
      <c r="G2435" s="4"/>
      <c r="H2435" s="4"/>
      <c r="I2435" s="4"/>
      <c r="J2435" s="4"/>
      <c r="K2435" s="4"/>
      <c r="L2435" s="4"/>
    </row>
    <row r="2436" spans="1:12" ht="37.5" customHeight="1" x14ac:dyDescent="0.2">
      <c r="A2436" s="280"/>
      <c r="B2436" s="277"/>
      <c r="C2436" s="277"/>
      <c r="D2436" s="277"/>
      <c r="E2436" s="277"/>
      <c r="F2436" s="277"/>
      <c r="G2436" s="277"/>
      <c r="H2436" s="277"/>
      <c r="I2436" s="277"/>
      <c r="J2436" s="277"/>
      <c r="K2436" s="277"/>
      <c r="L2436" s="277"/>
    </row>
    <row r="2437" spans="1:12" ht="15" x14ac:dyDescent="0.25">
      <c r="A2437" s="1"/>
      <c r="B2437" s="1"/>
      <c r="C2437" s="4"/>
      <c r="D2437" s="4"/>
      <c r="E2437" s="4"/>
      <c r="F2437" s="4"/>
      <c r="G2437" s="4"/>
      <c r="H2437" s="4"/>
      <c r="I2437" s="4"/>
      <c r="J2437" s="4"/>
      <c r="K2437" s="4"/>
      <c r="L2437" s="4"/>
    </row>
    <row r="2438" spans="1:12" ht="36.75" customHeight="1" thickBot="1" x14ac:dyDescent="0.25">
      <c r="A2438" s="10"/>
      <c r="B2438" s="337"/>
      <c r="C2438" s="338"/>
      <c r="D2438" s="338"/>
      <c r="E2438" s="338"/>
      <c r="F2438" s="338"/>
      <c r="G2438" s="338"/>
      <c r="H2438" s="338"/>
      <c r="I2438" s="338"/>
      <c r="J2438" s="338"/>
      <c r="K2438" s="338"/>
      <c r="L2438" s="338"/>
    </row>
    <row r="2439" spans="1:12" ht="15.75" thickTop="1" x14ac:dyDescent="0.25">
      <c r="A2439" s="1"/>
      <c r="B2439" s="11"/>
      <c r="C2439" s="12"/>
      <c r="D2439" s="13"/>
      <c r="E2439" s="13"/>
      <c r="F2439" s="13"/>
      <c r="G2439" s="13"/>
      <c r="H2439" s="14"/>
      <c r="I2439" s="15"/>
      <c r="J2439" s="12"/>
      <c r="K2439" s="13"/>
      <c r="L2439" s="14"/>
    </row>
    <row r="2440" spans="1:12" ht="18.75" customHeight="1" x14ac:dyDescent="0.2">
      <c r="A2440" s="50"/>
      <c r="B2440" s="60"/>
      <c r="C2440" s="50"/>
      <c r="D2440" s="50"/>
      <c r="E2440" s="50"/>
      <c r="F2440" s="50"/>
      <c r="G2440" s="54"/>
      <c r="H2440" s="55"/>
      <c r="I2440" s="56"/>
      <c r="J2440" s="50"/>
      <c r="K2440" s="50"/>
      <c r="L2440" s="55"/>
    </row>
    <row r="2441" spans="1:12" ht="18.75" customHeight="1" x14ac:dyDescent="0.2">
      <c r="A2441" s="76"/>
      <c r="B2441" s="77"/>
      <c r="C2441" s="76"/>
      <c r="D2441" s="76"/>
      <c r="E2441" s="76"/>
      <c r="F2441" s="76"/>
      <c r="G2441" s="78"/>
      <c r="H2441" s="79"/>
      <c r="I2441" s="80"/>
      <c r="J2441" s="76"/>
      <c r="K2441" s="76"/>
      <c r="L2441" s="79"/>
    </row>
    <row r="2442" spans="1:12" x14ac:dyDescent="0.2">
      <c r="A2442" s="4"/>
      <c r="B2442" s="16"/>
      <c r="C2442" s="4"/>
      <c r="D2442" s="4"/>
      <c r="E2442" s="4"/>
      <c r="F2442" s="4"/>
      <c r="G2442" s="4"/>
      <c r="H2442" s="17"/>
      <c r="I2442" s="19"/>
      <c r="J2442" s="4"/>
      <c r="K2442" s="4"/>
      <c r="L2442" s="17"/>
    </row>
    <row r="2443" spans="1:12" x14ac:dyDescent="0.2">
      <c r="A2443" s="4"/>
      <c r="B2443" s="16"/>
      <c r="C2443" s="4"/>
      <c r="D2443" s="4"/>
      <c r="E2443" s="4"/>
      <c r="F2443" s="4"/>
      <c r="G2443" s="4"/>
      <c r="H2443" s="17"/>
      <c r="I2443" s="19"/>
      <c r="J2443" s="4"/>
      <c r="K2443" s="4"/>
      <c r="L2443" s="17"/>
    </row>
    <row r="2444" spans="1:12" x14ac:dyDescent="0.2">
      <c r="A2444" s="4"/>
      <c r="B2444" s="16"/>
      <c r="C2444" s="4"/>
      <c r="D2444" s="4"/>
      <c r="E2444" s="4"/>
      <c r="F2444" s="4"/>
      <c r="G2444" s="4"/>
      <c r="H2444" s="17"/>
      <c r="I2444" s="19"/>
      <c r="J2444" s="4"/>
      <c r="K2444" s="4"/>
      <c r="L2444" s="17"/>
    </row>
    <row r="2445" spans="1:12" x14ac:dyDescent="0.2">
      <c r="A2445" s="4"/>
      <c r="B2445" s="20"/>
      <c r="C2445" s="21"/>
      <c r="D2445" s="21"/>
      <c r="E2445" s="21"/>
      <c r="F2445" s="21"/>
      <c r="G2445" s="21"/>
      <c r="H2445" s="22"/>
      <c r="I2445" s="23"/>
      <c r="J2445" s="21"/>
      <c r="K2445" s="21"/>
      <c r="L2445" s="22"/>
    </row>
    <row r="2446" spans="1:12" ht="15" x14ac:dyDescent="0.25">
      <c r="A2446" s="1"/>
      <c r="B2446" s="39"/>
      <c r="C2446" s="1"/>
      <c r="D2446" s="1"/>
      <c r="E2446" s="1"/>
      <c r="F2446" s="40"/>
      <c r="G2446" s="40"/>
      <c r="H2446" s="1"/>
      <c r="I2446" s="41"/>
      <c r="J2446" s="1"/>
      <c r="K2446" s="1"/>
      <c r="L2446" s="42"/>
    </row>
    <row r="2447" spans="1:12" ht="15.75" thickBot="1" x14ac:dyDescent="0.3">
      <c r="A2447" s="1"/>
      <c r="B2447" s="43"/>
      <c r="C2447" s="44"/>
      <c r="D2447" s="44"/>
      <c r="E2447" s="44"/>
      <c r="F2447" s="45"/>
      <c r="G2447" s="45"/>
      <c r="H2447" s="44"/>
      <c r="I2447" s="46"/>
      <c r="J2447" s="44"/>
      <c r="K2447" s="44"/>
      <c r="L2447" s="47"/>
    </row>
    <row r="2448" spans="1:12" ht="15.75" thickTop="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</row>
    <row r="2449" spans="1:12" ht="46.5" customHeight="1" x14ac:dyDescent="0.2">
      <c r="A2449" s="10"/>
      <c r="B2449" s="279"/>
      <c r="C2449" s="279"/>
      <c r="D2449" s="279"/>
      <c r="E2449" s="279"/>
      <c r="F2449" s="279"/>
      <c r="G2449" s="279"/>
      <c r="H2449" s="279"/>
      <c r="I2449" s="279"/>
      <c r="J2449" s="279"/>
      <c r="K2449" s="279"/>
      <c r="L2449" s="279"/>
    </row>
    <row r="2450" spans="1:12" ht="15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 ht="22.5" customHeight="1" x14ac:dyDescent="0.2">
      <c r="A2451" s="280"/>
      <c r="B2451" s="280"/>
      <c r="C2451" s="280"/>
      <c r="D2451" s="280"/>
      <c r="E2451" s="280"/>
      <c r="F2451" s="280"/>
      <c r="G2451" s="280"/>
      <c r="H2451" s="280"/>
      <c r="I2451" s="280"/>
      <c r="J2451" s="280"/>
      <c r="K2451" s="280"/>
      <c r="L2451" s="280"/>
    </row>
    <row r="2452" spans="1:12" ht="15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 ht="12.75" customHeight="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 ht="15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</row>
    <row r="2455" spans="1:12" ht="15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</row>
    <row r="2456" spans="1:12" ht="15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</row>
    <row r="2457" spans="1:12" ht="15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</row>
    <row r="2458" spans="1:12" ht="13.5" customHeight="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</row>
    <row r="2459" spans="1:12" ht="15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</row>
    <row r="2460" spans="1:12" ht="9.75" customHeight="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 spans="1:12" ht="15" x14ac:dyDescent="0.25">
      <c r="A2461" s="1"/>
      <c r="B2461" s="37"/>
      <c r="C2461" s="1"/>
      <c r="D2461" s="1"/>
      <c r="E2461" s="1"/>
      <c r="F2461" s="1"/>
      <c r="G2461" s="1"/>
      <c r="H2461" s="37"/>
      <c r="I2461" s="1"/>
      <c r="J2461" s="1"/>
      <c r="K2461" s="1"/>
      <c r="L2461" s="1"/>
    </row>
    <row r="2462" spans="1:12" ht="15" x14ac:dyDescent="0.25">
      <c r="A2462" s="1"/>
      <c r="B2462" s="48"/>
      <c r="C2462" s="7"/>
      <c r="D2462" s="1"/>
      <c r="E2462" s="1"/>
      <c r="F2462" s="1"/>
      <c r="G2462" s="1"/>
      <c r="H2462" s="1"/>
      <c r="I2462" s="1"/>
      <c r="J2462" s="1"/>
      <c r="K2462" s="1"/>
      <c r="L2462" s="1"/>
    </row>
    <row r="2469" spans="1:12" ht="15.75" x14ac:dyDescent="0.25">
      <c r="A2469" s="3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</row>
    <row r="2470" spans="1:12" ht="15.75" x14ac:dyDescent="0.25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</row>
    <row r="2471" spans="1:12" ht="15.75" x14ac:dyDescent="0.25">
      <c r="A2471" s="3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</row>
    <row r="2472" spans="1:12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</row>
    <row r="2473" spans="1:12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</row>
    <row r="2474" spans="1:12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</row>
    <row r="2475" spans="1:12" ht="19.5" thickBot="1" x14ac:dyDescent="0.35">
      <c r="A2475" s="339"/>
      <c r="B2475" s="339"/>
      <c r="C2475" s="339"/>
      <c r="D2475" s="339"/>
      <c r="E2475" s="339"/>
      <c r="F2475" s="339"/>
      <c r="G2475" s="339"/>
      <c r="H2475" s="339"/>
      <c r="I2475" s="339"/>
      <c r="J2475" s="339"/>
      <c r="K2475" s="339"/>
      <c r="L2475" s="339"/>
    </row>
    <row r="2476" spans="1:12" ht="19.5" thickTop="1" x14ac:dyDescent="0.3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</row>
    <row r="2477" spans="1:12" ht="18.75" x14ac:dyDescent="0.3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</row>
    <row r="2478" spans="1:12" ht="15" x14ac:dyDescent="0.25">
      <c r="A2478" s="1"/>
      <c r="B2478" s="1"/>
      <c r="C2478" s="4"/>
      <c r="D2478" s="4"/>
      <c r="E2478" s="4"/>
      <c r="F2478" s="4"/>
      <c r="G2478" s="4"/>
      <c r="H2478" s="4"/>
      <c r="I2478" s="4"/>
      <c r="J2478" s="4"/>
      <c r="K2478" s="4"/>
      <c r="L2478" s="4"/>
    </row>
    <row r="2479" spans="1:12" ht="15" x14ac:dyDescent="0.25">
      <c r="A2479" s="1"/>
      <c r="B2479" s="1"/>
      <c r="C2479" s="4"/>
      <c r="D2479" s="4"/>
      <c r="E2479" s="4"/>
      <c r="F2479" s="4"/>
      <c r="G2479" s="4"/>
      <c r="H2479" s="4"/>
      <c r="I2479" s="4"/>
      <c r="J2479" s="4"/>
      <c r="K2479" s="4"/>
      <c r="L2479" s="4"/>
    </row>
    <row r="2480" spans="1:12" ht="15" x14ac:dyDescent="0.25">
      <c r="A2480" s="1"/>
      <c r="B2480" s="1"/>
      <c r="C2480" s="4"/>
      <c r="D2480" s="4"/>
      <c r="E2480" s="4"/>
      <c r="F2480" s="4"/>
      <c r="G2480" s="4"/>
      <c r="H2480" s="4"/>
      <c r="I2480" s="4"/>
      <c r="J2480" s="4"/>
      <c r="K2480" s="4"/>
      <c r="L2480" s="4"/>
    </row>
    <row r="2481" spans="1:12" ht="15" x14ac:dyDescent="0.25">
      <c r="A2481" s="1"/>
      <c r="B2481" s="4"/>
      <c r="C2481" s="9"/>
      <c r="D2481" s="37"/>
      <c r="E2481" s="64"/>
      <c r="F2481" s="4"/>
      <c r="G2481" s="4"/>
      <c r="H2481" s="4"/>
      <c r="I2481" s="4"/>
      <c r="J2481" s="4"/>
      <c r="K2481" s="4"/>
      <c r="L2481" s="4"/>
    </row>
    <row r="2482" spans="1:12" ht="15" x14ac:dyDescent="0.25">
      <c r="A2482" s="1"/>
      <c r="B2482" s="4"/>
      <c r="C2482" s="9"/>
      <c r="D2482" s="1"/>
      <c r="E2482" s="64"/>
      <c r="F2482" s="4"/>
      <c r="G2482" s="4"/>
      <c r="H2482" s="4"/>
      <c r="I2482" s="4"/>
      <c r="J2482" s="4"/>
      <c r="K2482" s="4"/>
      <c r="L2482" s="4"/>
    </row>
    <row r="2483" spans="1:12" ht="15" x14ac:dyDescent="0.25">
      <c r="A2483" s="1"/>
      <c r="B2483" s="4"/>
      <c r="C2483" s="9"/>
      <c r="D2483" s="1"/>
      <c r="E2483" s="64"/>
      <c r="F2483" s="4"/>
      <c r="G2483" s="4"/>
      <c r="H2483" s="4"/>
      <c r="I2483" s="4"/>
      <c r="J2483" s="4"/>
      <c r="K2483" s="4"/>
      <c r="L2483" s="4"/>
    </row>
    <row r="2484" spans="1:12" ht="15" x14ac:dyDescent="0.25">
      <c r="A2484" s="1"/>
      <c r="B2484" s="1"/>
      <c r="C2484" s="4"/>
      <c r="D2484" s="1"/>
      <c r="E2484" s="4"/>
      <c r="F2484" s="4"/>
      <c r="G2484" s="4"/>
      <c r="H2484" s="4"/>
      <c r="I2484" s="4"/>
      <c r="J2484" s="4"/>
      <c r="K2484" s="4"/>
      <c r="L2484" s="4"/>
    </row>
    <row r="2485" spans="1:12" ht="39.75" customHeight="1" x14ac:dyDescent="0.2">
      <c r="A2485" s="280"/>
      <c r="B2485" s="277"/>
      <c r="C2485" s="277"/>
      <c r="D2485" s="277"/>
      <c r="E2485" s="277"/>
      <c r="F2485" s="277"/>
      <c r="G2485" s="277"/>
      <c r="H2485" s="277"/>
      <c r="I2485" s="277"/>
      <c r="J2485" s="277"/>
      <c r="K2485" s="277"/>
      <c r="L2485" s="277"/>
    </row>
    <row r="2486" spans="1:12" ht="15" x14ac:dyDescent="0.25">
      <c r="A2486" s="1"/>
      <c r="B2486" s="1"/>
      <c r="C2486" s="4"/>
      <c r="D2486" s="4"/>
      <c r="E2486" s="4"/>
      <c r="F2486" s="4"/>
      <c r="G2486" s="4"/>
      <c r="H2486" s="4"/>
      <c r="I2486" s="4"/>
      <c r="J2486" s="4"/>
      <c r="K2486" s="4"/>
      <c r="L2486" s="4"/>
    </row>
    <row r="2487" spans="1:12" ht="38.25" customHeight="1" thickBot="1" x14ac:dyDescent="0.25">
      <c r="A2487" s="10"/>
      <c r="B2487" s="337"/>
      <c r="C2487" s="338"/>
      <c r="D2487" s="338"/>
      <c r="E2487" s="338"/>
      <c r="F2487" s="338"/>
      <c r="G2487" s="338"/>
      <c r="H2487" s="338"/>
      <c r="I2487" s="338"/>
      <c r="J2487" s="338"/>
      <c r="K2487" s="338"/>
      <c r="L2487" s="338"/>
    </row>
    <row r="2488" spans="1:12" ht="15.75" thickTop="1" x14ac:dyDescent="0.25">
      <c r="A2488" s="1"/>
      <c r="B2488" s="11"/>
      <c r="C2488" s="12"/>
      <c r="D2488" s="13"/>
      <c r="E2488" s="13"/>
      <c r="F2488" s="13"/>
      <c r="G2488" s="13"/>
      <c r="H2488" s="14"/>
      <c r="I2488" s="15"/>
      <c r="J2488" s="12"/>
      <c r="K2488" s="13"/>
      <c r="L2488" s="14"/>
    </row>
    <row r="2489" spans="1:12" ht="15" x14ac:dyDescent="0.2">
      <c r="A2489" s="50"/>
      <c r="B2489" s="60"/>
      <c r="C2489" s="50"/>
      <c r="D2489" s="50"/>
      <c r="E2489" s="50"/>
      <c r="F2489" s="50"/>
      <c r="G2489" s="54"/>
      <c r="H2489" s="55"/>
      <c r="I2489" s="56"/>
      <c r="J2489" s="50"/>
      <c r="K2489" s="50"/>
      <c r="L2489" s="55"/>
    </row>
    <row r="2490" spans="1:12" x14ac:dyDescent="0.2">
      <c r="A2490" s="76"/>
      <c r="B2490" s="77"/>
      <c r="C2490" s="76"/>
      <c r="D2490" s="76"/>
      <c r="E2490" s="76"/>
      <c r="F2490" s="76"/>
      <c r="G2490" s="78"/>
      <c r="H2490" s="79"/>
      <c r="I2490" s="80"/>
      <c r="J2490" s="76"/>
      <c r="K2490" s="76"/>
      <c r="L2490" s="79"/>
    </row>
    <row r="2491" spans="1:12" x14ac:dyDescent="0.2">
      <c r="A2491" s="4"/>
      <c r="B2491" s="16"/>
      <c r="C2491" s="4"/>
      <c r="D2491" s="4"/>
      <c r="E2491" s="4"/>
      <c r="F2491" s="4"/>
      <c r="G2491" s="4"/>
      <c r="H2491" s="17"/>
      <c r="I2491" s="19"/>
      <c r="J2491" s="4"/>
      <c r="K2491" s="4"/>
      <c r="L2491" s="17"/>
    </row>
    <row r="2492" spans="1:12" x14ac:dyDescent="0.2">
      <c r="A2492" s="4"/>
      <c r="B2492" s="16"/>
      <c r="C2492" s="4"/>
      <c r="D2492" s="4"/>
      <c r="E2492" s="4"/>
      <c r="F2492" s="4"/>
      <c r="G2492" s="4"/>
      <c r="H2492" s="17"/>
      <c r="I2492" s="19"/>
      <c r="J2492" s="4"/>
      <c r="K2492" s="4"/>
      <c r="L2492" s="17"/>
    </row>
    <row r="2493" spans="1:12" x14ac:dyDescent="0.2">
      <c r="A2493" s="4"/>
      <c r="B2493" s="16"/>
      <c r="C2493" s="4"/>
      <c r="D2493" s="4"/>
      <c r="E2493" s="4"/>
      <c r="F2493" s="4"/>
      <c r="G2493" s="4"/>
      <c r="H2493" s="17"/>
      <c r="I2493" s="19"/>
      <c r="J2493" s="4"/>
      <c r="K2493" s="4"/>
      <c r="L2493" s="17"/>
    </row>
    <row r="2494" spans="1:12" x14ac:dyDescent="0.2">
      <c r="A2494" s="4"/>
      <c r="B2494" s="20"/>
      <c r="C2494" s="21"/>
      <c r="D2494" s="21"/>
      <c r="E2494" s="21"/>
      <c r="F2494" s="21"/>
      <c r="G2494" s="21"/>
      <c r="H2494" s="22"/>
      <c r="I2494" s="23"/>
      <c r="J2494" s="21"/>
      <c r="K2494" s="21"/>
      <c r="L2494" s="22"/>
    </row>
    <row r="2495" spans="1:12" ht="15" x14ac:dyDescent="0.25">
      <c r="A2495" s="1"/>
      <c r="B2495" s="39"/>
      <c r="C2495" s="1"/>
      <c r="D2495" s="1"/>
      <c r="E2495" s="1"/>
      <c r="F2495" s="40"/>
      <c r="G2495" s="40"/>
      <c r="H2495" s="1"/>
      <c r="I2495" s="41"/>
      <c r="J2495" s="1"/>
      <c r="K2495" s="1"/>
      <c r="L2495" s="42"/>
    </row>
    <row r="2496" spans="1:12" ht="15.75" thickBot="1" x14ac:dyDescent="0.3">
      <c r="A2496" s="1"/>
      <c r="B2496" s="43"/>
      <c r="C2496" s="44"/>
      <c r="D2496" s="44"/>
      <c r="E2496" s="44"/>
      <c r="F2496" s="45"/>
      <c r="G2496" s="45"/>
      <c r="H2496" s="44"/>
      <c r="I2496" s="46"/>
      <c r="J2496" s="44"/>
      <c r="K2496" s="44"/>
      <c r="L2496" s="47"/>
    </row>
    <row r="2497" spans="1:12" ht="15.75" thickTop="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</row>
    <row r="2498" spans="1:12" ht="46.5" customHeight="1" x14ac:dyDescent="0.2">
      <c r="A2498" s="10"/>
      <c r="B2498" s="279"/>
      <c r="C2498" s="279"/>
      <c r="D2498" s="279"/>
      <c r="E2498" s="279"/>
      <c r="F2498" s="279"/>
      <c r="G2498" s="279"/>
      <c r="H2498" s="279"/>
      <c r="I2498" s="279"/>
      <c r="J2498" s="279"/>
      <c r="K2498" s="279"/>
      <c r="L2498" s="279"/>
    </row>
    <row r="2499" spans="1:12" ht="15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</row>
    <row r="2500" spans="1:12" ht="15" x14ac:dyDescent="0.2">
      <c r="A2500" s="280"/>
      <c r="B2500" s="280"/>
      <c r="C2500" s="280"/>
      <c r="D2500" s="280"/>
      <c r="E2500" s="280"/>
      <c r="F2500" s="280"/>
      <c r="G2500" s="280"/>
      <c r="H2500" s="280"/>
      <c r="I2500" s="280"/>
      <c r="J2500" s="280"/>
      <c r="K2500" s="280"/>
      <c r="L2500" s="280"/>
    </row>
    <row r="2501" spans="1:12" ht="15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</row>
    <row r="2502" spans="1:12" ht="15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 spans="1:12" ht="15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 spans="1:12" ht="15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</row>
    <row r="2505" spans="1:12" ht="15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</row>
    <row r="2506" spans="1:12" ht="15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</row>
    <row r="2507" spans="1:12" ht="15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 spans="1:12" ht="15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</row>
    <row r="2509" spans="1:12" ht="15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</row>
    <row r="2510" spans="1:12" ht="15" x14ac:dyDescent="0.25">
      <c r="A2510" s="1"/>
      <c r="B2510" s="37"/>
      <c r="C2510" s="1"/>
      <c r="D2510" s="1"/>
      <c r="E2510" s="1"/>
      <c r="F2510" s="1"/>
      <c r="G2510" s="1"/>
      <c r="H2510" s="37"/>
      <c r="I2510" s="1"/>
      <c r="J2510" s="1"/>
      <c r="K2510" s="1"/>
      <c r="L2510" s="1"/>
    </row>
    <row r="2511" spans="1:12" ht="15" x14ac:dyDescent="0.25">
      <c r="A2511" s="1"/>
      <c r="B2511" s="48"/>
      <c r="C2511" s="7"/>
      <c r="D2511" s="1"/>
      <c r="E2511" s="1"/>
      <c r="F2511" s="1"/>
      <c r="G2511" s="1"/>
      <c r="H2511" s="1"/>
      <c r="I2511" s="1"/>
      <c r="J2511" s="1"/>
      <c r="K2511" s="1"/>
      <c r="L2511" s="1"/>
    </row>
  </sheetData>
  <mergeCells count="267">
    <mergeCell ref="Q63:R63"/>
    <mergeCell ref="S63:U63"/>
    <mergeCell ref="B65:L65"/>
    <mergeCell ref="B111:L111"/>
    <mergeCell ref="B122:L122"/>
    <mergeCell ref="A124:L124"/>
    <mergeCell ref="A7:L7"/>
    <mergeCell ref="A17:L17"/>
    <mergeCell ref="B19:L19"/>
    <mergeCell ref="A53:L53"/>
    <mergeCell ref="A99:L99"/>
    <mergeCell ref="A109:L109"/>
    <mergeCell ref="A63:L63"/>
    <mergeCell ref="A146:L146"/>
    <mergeCell ref="A156:L156"/>
    <mergeCell ref="B158:L158"/>
    <mergeCell ref="B169:L169"/>
    <mergeCell ref="A171:L171"/>
    <mergeCell ref="A196:L196"/>
    <mergeCell ref="A206:L206"/>
    <mergeCell ref="B208:L208"/>
    <mergeCell ref="B219:L219"/>
    <mergeCell ref="A221:L221"/>
    <mergeCell ref="A243:L243"/>
    <mergeCell ref="A253:L253"/>
    <mergeCell ref="B255:L255"/>
    <mergeCell ref="B266:L266"/>
    <mergeCell ref="A268:L268"/>
    <mergeCell ref="A291:L291"/>
    <mergeCell ref="A301:L301"/>
    <mergeCell ref="B303:L303"/>
    <mergeCell ref="B313:L313"/>
    <mergeCell ref="A337:L337"/>
    <mergeCell ref="A347:L347"/>
    <mergeCell ref="B349:L349"/>
    <mergeCell ref="A384:L384"/>
    <mergeCell ref="A394:L394"/>
    <mergeCell ref="A315:L315"/>
    <mergeCell ref="B359:L359"/>
    <mergeCell ref="A361:L361"/>
    <mergeCell ref="B396:L396"/>
    <mergeCell ref="B407:L407"/>
    <mergeCell ref="A409:L409"/>
    <mergeCell ref="A432:L432"/>
    <mergeCell ref="A442:L442"/>
    <mergeCell ref="B444:L444"/>
    <mergeCell ref="B455:L455"/>
    <mergeCell ref="A457:L457"/>
    <mergeCell ref="A482:L482"/>
    <mergeCell ref="A492:L492"/>
    <mergeCell ref="B494:L494"/>
    <mergeCell ref="B505:L505"/>
    <mergeCell ref="A507:L507"/>
    <mergeCell ref="A531:L531"/>
    <mergeCell ref="A541:L541"/>
    <mergeCell ref="B543:L543"/>
    <mergeCell ref="B554:L554"/>
    <mergeCell ref="A556:L556"/>
    <mergeCell ref="A577:L577"/>
    <mergeCell ref="A587:L587"/>
    <mergeCell ref="B589:L589"/>
    <mergeCell ref="B600:L600"/>
    <mergeCell ref="A602:L602"/>
    <mergeCell ref="A624:L624"/>
    <mergeCell ref="A634:L634"/>
    <mergeCell ref="B636:L636"/>
    <mergeCell ref="B647:L647"/>
    <mergeCell ref="A649:L649"/>
    <mergeCell ref="A675:L675"/>
    <mergeCell ref="A685:L685"/>
    <mergeCell ref="B687:L687"/>
    <mergeCell ref="B698:L698"/>
    <mergeCell ref="A700:L700"/>
    <mergeCell ref="A721:L721"/>
    <mergeCell ref="A731:L731"/>
    <mergeCell ref="B733:L733"/>
    <mergeCell ref="B744:L744"/>
    <mergeCell ref="A746:L746"/>
    <mergeCell ref="A769:L769"/>
    <mergeCell ref="A779:L779"/>
    <mergeCell ref="B781:L781"/>
    <mergeCell ref="B792:L792"/>
    <mergeCell ref="A794:L794"/>
    <mergeCell ref="A816:L816"/>
    <mergeCell ref="A826:L826"/>
    <mergeCell ref="B828:L828"/>
    <mergeCell ref="B839:L839"/>
    <mergeCell ref="A841:L841"/>
    <mergeCell ref="A862:L862"/>
    <mergeCell ref="A872:L872"/>
    <mergeCell ref="B874:L874"/>
    <mergeCell ref="B885:L885"/>
    <mergeCell ref="A887:L887"/>
    <mergeCell ref="A911:L911"/>
    <mergeCell ref="A921:L921"/>
    <mergeCell ref="B923:L923"/>
    <mergeCell ref="B934:L934"/>
    <mergeCell ref="A936:L936"/>
    <mergeCell ref="A959:L959"/>
    <mergeCell ref="A969:L969"/>
    <mergeCell ref="B971:L971"/>
    <mergeCell ref="B982:L982"/>
    <mergeCell ref="A984:L984"/>
    <mergeCell ref="A1008:L1008"/>
    <mergeCell ref="A1018:L1018"/>
    <mergeCell ref="B1020:L1020"/>
    <mergeCell ref="B1031:L1031"/>
    <mergeCell ref="A1033:L1033"/>
    <mergeCell ref="A1055:L1055"/>
    <mergeCell ref="A1065:L1065"/>
    <mergeCell ref="B1067:L1067"/>
    <mergeCell ref="B1078:L1078"/>
    <mergeCell ref="A1080:L1080"/>
    <mergeCell ref="A1101:L1101"/>
    <mergeCell ref="A1111:L1111"/>
    <mergeCell ref="B1113:L1113"/>
    <mergeCell ref="B1124:L1124"/>
    <mergeCell ref="A1126:L1126"/>
    <mergeCell ref="A1148:L1148"/>
    <mergeCell ref="A1158:L1158"/>
    <mergeCell ref="B1160:L1160"/>
    <mergeCell ref="B1171:L1171"/>
    <mergeCell ref="A1173:L1173"/>
    <mergeCell ref="A1195:L1195"/>
    <mergeCell ref="A1205:L1205"/>
    <mergeCell ref="B1207:L1207"/>
    <mergeCell ref="B1218:L1218"/>
    <mergeCell ref="A1220:L1220"/>
    <mergeCell ref="A1243:L1243"/>
    <mergeCell ref="A1253:L1253"/>
    <mergeCell ref="B1255:L1255"/>
    <mergeCell ref="B1266:L1266"/>
    <mergeCell ref="A1268:L1268"/>
    <mergeCell ref="A1290:L1290"/>
    <mergeCell ref="A1300:L1300"/>
    <mergeCell ref="B1302:L1302"/>
    <mergeCell ref="B1313:L1313"/>
    <mergeCell ref="A1315:L1315"/>
    <mergeCell ref="A1339:L1339"/>
    <mergeCell ref="A1349:L1349"/>
    <mergeCell ref="B1351:L1351"/>
    <mergeCell ref="B1362:L1362"/>
    <mergeCell ref="A1364:L1364"/>
    <mergeCell ref="A1386:L1386"/>
    <mergeCell ref="A1396:L1396"/>
    <mergeCell ref="B1398:L1398"/>
    <mergeCell ref="B1409:L1409"/>
    <mergeCell ref="A1411:L1411"/>
    <mergeCell ref="A1435:L1435"/>
    <mergeCell ref="A1445:L1445"/>
    <mergeCell ref="B1447:L1447"/>
    <mergeCell ref="B1458:L1458"/>
    <mergeCell ref="A1460:L1460"/>
    <mergeCell ref="A1484:L1484"/>
    <mergeCell ref="A1494:L1494"/>
    <mergeCell ref="B1496:L1496"/>
    <mergeCell ref="B1507:L1507"/>
    <mergeCell ref="A1509:L1509"/>
    <mergeCell ref="A1532:L1532"/>
    <mergeCell ref="A1542:L1542"/>
    <mergeCell ref="B1544:L1544"/>
    <mergeCell ref="B1555:L1555"/>
    <mergeCell ref="A1557:L1557"/>
    <mergeCell ref="A1579:L1579"/>
    <mergeCell ref="A1589:L1589"/>
    <mergeCell ref="B1591:L1591"/>
    <mergeCell ref="B1602:L1602"/>
    <mergeCell ref="A1604:L1604"/>
    <mergeCell ref="A1627:L1627"/>
    <mergeCell ref="A1637:L1637"/>
    <mergeCell ref="B1639:L1639"/>
    <mergeCell ref="B1650:L1650"/>
    <mergeCell ref="A1652:L1652"/>
    <mergeCell ref="A1673:L1673"/>
    <mergeCell ref="A1683:L1683"/>
    <mergeCell ref="B1685:L1685"/>
    <mergeCell ref="B1696:L1696"/>
    <mergeCell ref="A1698:L1698"/>
    <mergeCell ref="A1719:L1719"/>
    <mergeCell ref="A1729:L1729"/>
    <mergeCell ref="B1731:L1731"/>
    <mergeCell ref="B1742:L1742"/>
    <mergeCell ref="A1744:L1744"/>
    <mergeCell ref="A1767:L1767"/>
    <mergeCell ref="A1777:L1777"/>
    <mergeCell ref="B1779:L1779"/>
    <mergeCell ref="B1790:L1790"/>
    <mergeCell ref="A1792:L1792"/>
    <mergeCell ref="A1816:L1816"/>
    <mergeCell ref="A1826:L1826"/>
    <mergeCell ref="B1828:L1828"/>
    <mergeCell ref="B1839:L1839"/>
    <mergeCell ref="A1841:L1841"/>
    <mergeCell ref="A1863:L1863"/>
    <mergeCell ref="A1873:L1873"/>
    <mergeCell ref="B1875:L1875"/>
    <mergeCell ref="B1886:L1886"/>
    <mergeCell ref="A1888:L1888"/>
    <mergeCell ref="A1910:L1910"/>
    <mergeCell ref="A1920:L1920"/>
    <mergeCell ref="B1922:L1922"/>
    <mergeCell ref="B1933:L1933"/>
    <mergeCell ref="A1935:L1935"/>
    <mergeCell ref="A1957:L1957"/>
    <mergeCell ref="A1967:L1967"/>
    <mergeCell ref="B1969:L1969"/>
    <mergeCell ref="B1980:L1980"/>
    <mergeCell ref="A1982:L1982"/>
    <mergeCell ref="A2003:L2003"/>
    <mergeCell ref="A2013:L2013"/>
    <mergeCell ref="B2015:L2015"/>
    <mergeCell ref="B2026:L2026"/>
    <mergeCell ref="A2028:L2028"/>
    <mergeCell ref="A2050:L2050"/>
    <mergeCell ref="A2060:L2060"/>
    <mergeCell ref="B2062:L2062"/>
    <mergeCell ref="B2073:L2073"/>
    <mergeCell ref="A2075:L2075"/>
    <mergeCell ref="A2096:L2096"/>
    <mergeCell ref="A2106:L2106"/>
    <mergeCell ref="B2108:L2108"/>
    <mergeCell ref="B2119:L2119"/>
    <mergeCell ref="A2121:L2121"/>
    <mergeCell ref="A2143:L2143"/>
    <mergeCell ref="A2153:L2153"/>
    <mergeCell ref="B2155:L2155"/>
    <mergeCell ref="B2166:L2166"/>
    <mergeCell ref="A2168:L2168"/>
    <mergeCell ref="A2191:L2191"/>
    <mergeCell ref="A2309:L2309"/>
    <mergeCell ref="A2332:L2332"/>
    <mergeCell ref="A2342:L2342"/>
    <mergeCell ref="B2344:L2344"/>
    <mergeCell ref="B2355:L2355"/>
    <mergeCell ref="A2201:L2201"/>
    <mergeCell ref="B2203:L2203"/>
    <mergeCell ref="B2214:L2214"/>
    <mergeCell ref="A2216:L2216"/>
    <mergeCell ref="A2238:L2238"/>
    <mergeCell ref="A2248:L2248"/>
    <mergeCell ref="B2250:L2250"/>
    <mergeCell ref="B2261:L2261"/>
    <mergeCell ref="A2263:L2263"/>
    <mergeCell ref="B2487:L2487"/>
    <mergeCell ref="B2498:L2498"/>
    <mergeCell ref="A2500:L2500"/>
    <mergeCell ref="B29:L29"/>
    <mergeCell ref="A31:L31"/>
    <mergeCell ref="B76:L76"/>
    <mergeCell ref="A78:L78"/>
    <mergeCell ref="A2436:L2436"/>
    <mergeCell ref="B2438:L2438"/>
    <mergeCell ref="B2449:L2449"/>
    <mergeCell ref="A2357:L2357"/>
    <mergeCell ref="A2451:L2451"/>
    <mergeCell ref="A2475:L2475"/>
    <mergeCell ref="A2485:L2485"/>
    <mergeCell ref="A2379:L2379"/>
    <mergeCell ref="A2389:L2389"/>
    <mergeCell ref="B2391:L2391"/>
    <mergeCell ref="B2402:L2402"/>
    <mergeCell ref="A2404:L2404"/>
    <mergeCell ref="A2426:L2426"/>
    <mergeCell ref="A2284:L2284"/>
    <mergeCell ref="A2294:L2294"/>
    <mergeCell ref="B2296:L2296"/>
    <mergeCell ref="B2307:L2307"/>
  </mergeCells>
  <pageMargins left="0.5" right="0.2" top="0.75" bottom="1" header="0.5" footer="0.5"/>
  <pageSetup paperSize="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19</vt:i4>
      </vt:variant>
    </vt:vector>
  </HeadingPairs>
  <TitlesOfParts>
    <vt:vector size="40" baseType="lpstr">
      <vt:lpstr>Pasar Simpang Katis</vt:lpstr>
      <vt:lpstr>Pengawalan PJAS</vt:lpstr>
      <vt:lpstr>Mangrove</vt:lpstr>
      <vt:lpstr>Kosong</vt:lpstr>
      <vt:lpstr>PJAS</vt:lpstr>
      <vt:lpstr>Nama Dafriil (2)</vt:lpstr>
      <vt:lpstr>Fasilitasi</vt:lpstr>
      <vt:lpstr>Juni.</vt:lpstr>
      <vt:lpstr>Pasar</vt:lpstr>
      <vt:lpstr>lama</vt:lpstr>
      <vt:lpstr>Feb 2026</vt:lpstr>
      <vt:lpstr>OKt</vt:lpstr>
      <vt:lpstr>Sep</vt:lpstr>
      <vt:lpstr>Agust</vt:lpstr>
      <vt:lpstr>Juli</vt:lpstr>
      <vt:lpstr>Juni</vt:lpstr>
      <vt:lpstr>MEi</vt:lpstr>
      <vt:lpstr>Mar-Apr</vt:lpstr>
      <vt:lpstr>Feb</vt:lpstr>
      <vt:lpstr>Jan</vt:lpstr>
      <vt:lpstr>CPNS</vt:lpstr>
      <vt:lpstr>Agust!Print_Area</vt:lpstr>
      <vt:lpstr>CPNS!Print_Area</vt:lpstr>
      <vt:lpstr>Fasilitasi!Print_Area</vt:lpstr>
      <vt:lpstr>Feb!Print_Area</vt:lpstr>
      <vt:lpstr>'Feb 2026'!Print_Area</vt:lpstr>
      <vt:lpstr>Jan!Print_Area</vt:lpstr>
      <vt:lpstr>Juli!Print_Area</vt:lpstr>
      <vt:lpstr>Juni!Print_Area</vt:lpstr>
      <vt:lpstr>Juni.!Print_Area</vt:lpstr>
      <vt:lpstr>Kosong!Print_Area</vt:lpstr>
      <vt:lpstr>lama!Print_Area</vt:lpstr>
      <vt:lpstr>Mangrove!Print_Area</vt:lpstr>
      <vt:lpstr>'Mar-Apr'!Print_Area</vt:lpstr>
      <vt:lpstr>MEi!Print_Area</vt:lpstr>
      <vt:lpstr>OKt!Print_Area</vt:lpstr>
      <vt:lpstr>Pasar!Print_Area</vt:lpstr>
      <vt:lpstr>'Pasar Simpang Katis'!Print_Area</vt:lpstr>
      <vt:lpstr>PJAS!Print_Area</vt:lpstr>
      <vt:lpstr>Sep!Print_Area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ms-office</dc:creator>
  <cp:lastModifiedBy>BPOM PANGKALPINANG</cp:lastModifiedBy>
  <cp:lastPrinted>2026-08-31T04:36:06Z</cp:lastPrinted>
  <dcterms:created xsi:type="dcterms:W3CDTF">2000-09-21T00:13:05Z</dcterms:created>
  <dcterms:modified xsi:type="dcterms:W3CDTF">2026-08-31T07:54:59Z</dcterms:modified>
</cp:coreProperties>
</file>